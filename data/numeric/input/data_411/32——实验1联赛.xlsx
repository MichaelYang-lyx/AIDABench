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xr:revisionPtr revIDLastSave="3" documentId="11_1FE484F58A08CE38C44F37945CD4434875BCFF68" xr6:coauthVersionLast="47" xr6:coauthVersionMax="47" xr10:uidLastSave="{BFAA865D-5838-461E-B26E-2BDE75C0F04C}"/>
  <bookViews>
    <workbookView xWindow="0" yWindow="0" windowWidth="22188" windowHeight="9060" xr2:uid="{00000000-000D-0000-FFFF-FFFF00000000}"/>
  </bookViews>
  <sheets>
    <sheet name="联赛" sheetId="13" r:id="rId1"/>
    <sheet name="国家队（新数据） " sheetId="8" state="hidden" r:id="rId2"/>
  </sheets>
  <definedNames>
    <definedName name="_xlnm._FilterDatabase" localSheetId="1" hidden="1">'国家队（新数据） '!$A$1:$V$303</definedName>
    <definedName name="_xlnm._FilterDatabase" localSheetId="0" hidden="1">联赛!$A$1:$P$17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49" i="8" l="1"/>
  <c r="V1649" i="8"/>
  <c r="W1648" i="8"/>
  <c r="V1648" i="8"/>
  <c r="L1645" i="8"/>
  <c r="J1645" i="8"/>
  <c r="I1645" i="8"/>
  <c r="L1644" i="8"/>
  <c r="J1644" i="8"/>
  <c r="I1644" i="8"/>
  <c r="L1643" i="8"/>
  <c r="J1643" i="8"/>
  <c r="I1643" i="8"/>
  <c r="L1642" i="8"/>
  <c r="J1642" i="8"/>
  <c r="I1642" i="8"/>
  <c r="L1641" i="8"/>
  <c r="J1641" i="8"/>
  <c r="I1641" i="8"/>
  <c r="L1640" i="8"/>
  <c r="J1640" i="8"/>
  <c r="I1640" i="8"/>
  <c r="L1639" i="8"/>
  <c r="J1639" i="8"/>
  <c r="I1639" i="8"/>
  <c r="L1638" i="8"/>
  <c r="J1638" i="8"/>
  <c r="I1638" i="8"/>
  <c r="L1637" i="8"/>
  <c r="J1637" i="8"/>
  <c r="I1637" i="8"/>
  <c r="L1636" i="8"/>
  <c r="J1636" i="8"/>
  <c r="I1636" i="8"/>
  <c r="L1635" i="8"/>
  <c r="J1635" i="8"/>
  <c r="I1635" i="8"/>
  <c r="L1634" i="8"/>
  <c r="J1634" i="8"/>
  <c r="I1634" i="8"/>
  <c r="L1633" i="8"/>
  <c r="J1633" i="8"/>
  <c r="I1633" i="8"/>
  <c r="L1632" i="8"/>
  <c r="J1632" i="8"/>
  <c r="I1632" i="8"/>
  <c r="L1631" i="8"/>
  <c r="J1631" i="8"/>
  <c r="I1631" i="8"/>
  <c r="L1630" i="8"/>
  <c r="J1630" i="8"/>
  <c r="I1630" i="8"/>
  <c r="L1629" i="8"/>
  <c r="J1629" i="8"/>
  <c r="I1629" i="8"/>
  <c r="L1628" i="8"/>
  <c r="J1628" i="8"/>
  <c r="I1628" i="8"/>
  <c r="L1627" i="8"/>
  <c r="J1627" i="8"/>
  <c r="I1627" i="8"/>
  <c r="L1626" i="8"/>
  <c r="J1626" i="8"/>
  <c r="I1626" i="8"/>
  <c r="L1625" i="8"/>
  <c r="J1625" i="8"/>
  <c r="I1625" i="8"/>
  <c r="L1624" i="8"/>
  <c r="J1624" i="8"/>
  <c r="I1624" i="8"/>
  <c r="L1623" i="8"/>
  <c r="J1623" i="8"/>
  <c r="I1623" i="8"/>
  <c r="L1622" i="8"/>
  <c r="J1622" i="8"/>
  <c r="I1622" i="8"/>
  <c r="L1621" i="8"/>
  <c r="J1621" i="8"/>
  <c r="I1621" i="8"/>
  <c r="L1620" i="8"/>
  <c r="J1620" i="8"/>
  <c r="I1620" i="8"/>
  <c r="L1619" i="8"/>
  <c r="J1619" i="8"/>
  <c r="I1619" i="8"/>
  <c r="L1618" i="8"/>
  <c r="J1618" i="8"/>
  <c r="I1618" i="8"/>
  <c r="L1617" i="8"/>
  <c r="J1617" i="8"/>
  <c r="I1617" i="8"/>
  <c r="L1616" i="8"/>
  <c r="J1616" i="8"/>
  <c r="I1616" i="8"/>
  <c r="L1615" i="8"/>
  <c r="J1615" i="8"/>
  <c r="I1615" i="8"/>
  <c r="L1614" i="8"/>
  <c r="J1614" i="8"/>
  <c r="I1614" i="8"/>
  <c r="L1613" i="8"/>
  <c r="J1613" i="8"/>
  <c r="I1613" i="8"/>
  <c r="L1612" i="8"/>
  <c r="J1612" i="8"/>
  <c r="I1612" i="8"/>
  <c r="L1611" i="8"/>
  <c r="J1611" i="8"/>
  <c r="I1611" i="8"/>
  <c r="L1610" i="8"/>
  <c r="J1610" i="8"/>
  <c r="I1610" i="8"/>
  <c r="L1609" i="8"/>
  <c r="I1609" i="8"/>
  <c r="L1608" i="8"/>
  <c r="J1608" i="8"/>
  <c r="I1608" i="8"/>
  <c r="L1607" i="8"/>
  <c r="J1607" i="8"/>
  <c r="I1607" i="8"/>
  <c r="L1606" i="8"/>
  <c r="J1606" i="8"/>
  <c r="I1606" i="8"/>
  <c r="L1605" i="8"/>
  <c r="I1605" i="8"/>
  <c r="L1604" i="8"/>
  <c r="J1604" i="8"/>
  <c r="I1604" i="8"/>
  <c r="L1603" i="8"/>
  <c r="J1603" i="8"/>
  <c r="I1603" i="8"/>
  <c r="L1602" i="8"/>
  <c r="I1602" i="8"/>
  <c r="L1601" i="8"/>
  <c r="J1601" i="8"/>
  <c r="I1601" i="8"/>
  <c r="L1600" i="8"/>
  <c r="J1600" i="8"/>
  <c r="I1600" i="8"/>
  <c r="L1599" i="8"/>
  <c r="J1599" i="8"/>
  <c r="I1599" i="8"/>
  <c r="L1598" i="8"/>
  <c r="I1598" i="8"/>
  <c r="L1597" i="8"/>
  <c r="J1597" i="8"/>
  <c r="I1597" i="8"/>
  <c r="L1596" i="8"/>
  <c r="J1596" i="8"/>
  <c r="I1596" i="8"/>
  <c r="L1595" i="8"/>
  <c r="J1595" i="8"/>
  <c r="I1595" i="8"/>
  <c r="L1594" i="8"/>
  <c r="I1594" i="8"/>
  <c r="L1593" i="8"/>
  <c r="J1593" i="8"/>
  <c r="I1593" i="8"/>
  <c r="L1592" i="8"/>
  <c r="I1592" i="8"/>
  <c r="L1591" i="8"/>
  <c r="I1591" i="8"/>
  <c r="L1590" i="8"/>
  <c r="J1590" i="8"/>
  <c r="I1590" i="8"/>
  <c r="L1589" i="8"/>
  <c r="J1589" i="8"/>
  <c r="I1589" i="8"/>
  <c r="L1588" i="8"/>
  <c r="I1588" i="8"/>
  <c r="L1587" i="8"/>
  <c r="I1587" i="8"/>
  <c r="L1586" i="8"/>
  <c r="J1586" i="8"/>
  <c r="I1586" i="8"/>
  <c r="L1585" i="8"/>
  <c r="J1585" i="8"/>
  <c r="I1585" i="8"/>
  <c r="L1584" i="8"/>
  <c r="J1584" i="8"/>
  <c r="I1584" i="8"/>
  <c r="L1583" i="8"/>
  <c r="I1583" i="8"/>
  <c r="L1582" i="8"/>
  <c r="I1582" i="8"/>
  <c r="L1581" i="8"/>
  <c r="I1581" i="8"/>
  <c r="L1580" i="8"/>
  <c r="J1580" i="8"/>
  <c r="I1580" i="8"/>
  <c r="L1579" i="8"/>
  <c r="J1579" i="8"/>
  <c r="I1579" i="8"/>
  <c r="L1578" i="8"/>
  <c r="J1578" i="8"/>
  <c r="I1578" i="8"/>
  <c r="L1577" i="8"/>
  <c r="J1577" i="8"/>
  <c r="I1577" i="8"/>
  <c r="L1576" i="8"/>
  <c r="J1576" i="8"/>
  <c r="I1576" i="8"/>
  <c r="L1575" i="8"/>
  <c r="J1575" i="8"/>
  <c r="I1575" i="8"/>
  <c r="L1574" i="8"/>
  <c r="I1574" i="8"/>
  <c r="L1573" i="8"/>
  <c r="J1573" i="8"/>
  <c r="I1573" i="8"/>
  <c r="L1572" i="8"/>
  <c r="J1572" i="8"/>
  <c r="I1572" i="8"/>
  <c r="L1571" i="8"/>
  <c r="J1571" i="8"/>
  <c r="I1571" i="8"/>
  <c r="L1570" i="8"/>
  <c r="J1570" i="8"/>
  <c r="I1570" i="8"/>
  <c r="L1569" i="8"/>
  <c r="J1569" i="8"/>
  <c r="I1569" i="8"/>
  <c r="L1568" i="8"/>
  <c r="J1568" i="8"/>
  <c r="I1568" i="8"/>
  <c r="L1567" i="8"/>
  <c r="I1567" i="8"/>
  <c r="L1566" i="8"/>
  <c r="J1566" i="8"/>
  <c r="I1566" i="8"/>
  <c r="L1565" i="8"/>
  <c r="J1565" i="8"/>
  <c r="I1565" i="8"/>
  <c r="L1564" i="8"/>
  <c r="J1564" i="8"/>
  <c r="I1564" i="8"/>
  <c r="L1563" i="8"/>
  <c r="J1563" i="8"/>
  <c r="I1563" i="8"/>
  <c r="L1562" i="8"/>
  <c r="J1562" i="8"/>
  <c r="I1562" i="8"/>
  <c r="L1561" i="8"/>
  <c r="J1561" i="8"/>
  <c r="I1561" i="8"/>
  <c r="L1560" i="8"/>
  <c r="J1560" i="8"/>
  <c r="I1560" i="8"/>
  <c r="L1559" i="8"/>
  <c r="J1559" i="8"/>
  <c r="I1559" i="8"/>
  <c r="L1558" i="8"/>
  <c r="J1558" i="8"/>
  <c r="I1558" i="8"/>
  <c r="L1557" i="8"/>
  <c r="I1557" i="8"/>
  <c r="L1556" i="8"/>
  <c r="J1556" i="8"/>
  <c r="I1556" i="8"/>
  <c r="L1555" i="8"/>
  <c r="J1555" i="8"/>
  <c r="I1555" i="8"/>
  <c r="L1554" i="8"/>
  <c r="I1554" i="8"/>
  <c r="L1553" i="8"/>
  <c r="J1553" i="8"/>
  <c r="I1553" i="8"/>
  <c r="L1552" i="8"/>
  <c r="I1552" i="8"/>
  <c r="L1551" i="8"/>
  <c r="J1551" i="8"/>
  <c r="I1551" i="8"/>
  <c r="L1550" i="8"/>
  <c r="J1550" i="8"/>
  <c r="I1550" i="8"/>
  <c r="L1549" i="8"/>
  <c r="I1549" i="8"/>
  <c r="L1548" i="8"/>
  <c r="J1548" i="8"/>
  <c r="I1548" i="8"/>
  <c r="L1547" i="8"/>
  <c r="I1547" i="8"/>
  <c r="L1546" i="8"/>
  <c r="I1546" i="8"/>
  <c r="L1545" i="8"/>
  <c r="J1545" i="8"/>
  <c r="I1545" i="8"/>
  <c r="L1544" i="8"/>
  <c r="J1544" i="8"/>
  <c r="I1544" i="8"/>
  <c r="L1543" i="8"/>
  <c r="I1543" i="8"/>
  <c r="L1542" i="8"/>
  <c r="I1542" i="8"/>
  <c r="L1541" i="8"/>
  <c r="I1541" i="8"/>
  <c r="L1540" i="8"/>
  <c r="I1540" i="8"/>
  <c r="L1539" i="8"/>
  <c r="J1539" i="8"/>
  <c r="I1539" i="8"/>
  <c r="L1538" i="8"/>
  <c r="J1538" i="8"/>
  <c r="I1538" i="8"/>
  <c r="L1537" i="8"/>
  <c r="J1537" i="8"/>
  <c r="I1537" i="8"/>
  <c r="L1536" i="8"/>
  <c r="J1536" i="8"/>
  <c r="I1536" i="8"/>
  <c r="L1535" i="8"/>
  <c r="J1535" i="8"/>
  <c r="I1535" i="8"/>
  <c r="L1534" i="8"/>
  <c r="J1534" i="8"/>
  <c r="I1534" i="8"/>
  <c r="L1533" i="8"/>
  <c r="I1533" i="8"/>
  <c r="L1532" i="8"/>
  <c r="J1532" i="8"/>
  <c r="I1532" i="8"/>
  <c r="L1531" i="8"/>
  <c r="J1531" i="8"/>
  <c r="I1531" i="8"/>
  <c r="L1530" i="8"/>
  <c r="J1530" i="8"/>
  <c r="I1530" i="8"/>
  <c r="L1529" i="8"/>
  <c r="J1529" i="8"/>
  <c r="I1529" i="8"/>
  <c r="L1528" i="8"/>
  <c r="J1528" i="8"/>
  <c r="I1528" i="8"/>
  <c r="L1527" i="8"/>
  <c r="J1527" i="8"/>
  <c r="I1527" i="8"/>
  <c r="L1526" i="8"/>
  <c r="J1526" i="8"/>
  <c r="I1526" i="8"/>
  <c r="L1525" i="8"/>
  <c r="I1525" i="8"/>
  <c r="L1524" i="8"/>
  <c r="I1524" i="8"/>
  <c r="L1523" i="8"/>
  <c r="J1523" i="8"/>
  <c r="I1523" i="8"/>
  <c r="L1522" i="8"/>
  <c r="I1522" i="8"/>
  <c r="L1521" i="8"/>
  <c r="J1521" i="8"/>
  <c r="I1521" i="8"/>
  <c r="L1520" i="8"/>
  <c r="I1520" i="8"/>
  <c r="L1519" i="8"/>
  <c r="J1519" i="8"/>
  <c r="I1519" i="8"/>
  <c r="L1518" i="8"/>
  <c r="J1518" i="8"/>
  <c r="I1518" i="8"/>
  <c r="L1517" i="8"/>
  <c r="I1517" i="8"/>
  <c r="L1516" i="8"/>
  <c r="J1516" i="8"/>
  <c r="I1516" i="8"/>
  <c r="L1515" i="8"/>
  <c r="J1515" i="8"/>
  <c r="I1515" i="8"/>
  <c r="L1514" i="8"/>
  <c r="J1514" i="8"/>
  <c r="I1514" i="8"/>
  <c r="L1513" i="8"/>
  <c r="I1513" i="8"/>
  <c r="L1512" i="8"/>
  <c r="I1512" i="8"/>
  <c r="L1511" i="8"/>
  <c r="J1511" i="8"/>
  <c r="I1511" i="8"/>
  <c r="L1510" i="8"/>
  <c r="J1510" i="8"/>
  <c r="I1510" i="8"/>
  <c r="L1509" i="8"/>
  <c r="J1509" i="8"/>
  <c r="I1509" i="8"/>
  <c r="L1508" i="8"/>
  <c r="J1508" i="8"/>
  <c r="I1508" i="8"/>
  <c r="L1507" i="8"/>
  <c r="J1507" i="8"/>
  <c r="I1507" i="8"/>
  <c r="L1506" i="8"/>
  <c r="J1506" i="8"/>
  <c r="I1506" i="8"/>
  <c r="L1505" i="8"/>
  <c r="I1505" i="8"/>
  <c r="L1504" i="8"/>
  <c r="J1504" i="8"/>
  <c r="I1504" i="8"/>
  <c r="L1503" i="8"/>
  <c r="I1503" i="8"/>
  <c r="L1502" i="8"/>
  <c r="J1502" i="8"/>
  <c r="I1502" i="8"/>
  <c r="L1501" i="8"/>
  <c r="J1501" i="8"/>
  <c r="I1501" i="8"/>
  <c r="L1500" i="8"/>
  <c r="J1500" i="8"/>
  <c r="I1500" i="8"/>
  <c r="L1499" i="8"/>
  <c r="J1499" i="8"/>
  <c r="I1499" i="8"/>
  <c r="L1498" i="8"/>
  <c r="I1498" i="8"/>
  <c r="L1497" i="8"/>
  <c r="J1497" i="8"/>
  <c r="I1497" i="8"/>
  <c r="L1496" i="8"/>
  <c r="I1496" i="8"/>
  <c r="L1495" i="8"/>
  <c r="I1495" i="8"/>
  <c r="L1494" i="8"/>
  <c r="J1494" i="8"/>
  <c r="I1494" i="8"/>
  <c r="L1493" i="8"/>
  <c r="J1493" i="8"/>
  <c r="I1493" i="8"/>
  <c r="L1492" i="8"/>
  <c r="J1492" i="8"/>
  <c r="I1492" i="8"/>
  <c r="L1491" i="8"/>
  <c r="I1491" i="8"/>
  <c r="L1490" i="8"/>
  <c r="I1490" i="8"/>
  <c r="L1489" i="8"/>
  <c r="J1489" i="8"/>
  <c r="I1489" i="8"/>
  <c r="L1488" i="8"/>
  <c r="J1488" i="8"/>
  <c r="I1488" i="8"/>
  <c r="L1487" i="8"/>
  <c r="J1487" i="8"/>
  <c r="I1487" i="8"/>
  <c r="L1486" i="8"/>
  <c r="J1486" i="8"/>
  <c r="I1486" i="8"/>
  <c r="L1485" i="8"/>
  <c r="J1485" i="8"/>
  <c r="I1485" i="8"/>
  <c r="L1484" i="8"/>
  <c r="J1484" i="8"/>
  <c r="I1484" i="8"/>
  <c r="L1483" i="8"/>
  <c r="I1483" i="8"/>
  <c r="L1482" i="8"/>
  <c r="J1482" i="8"/>
  <c r="I1482" i="8"/>
  <c r="L1481" i="8"/>
  <c r="J1481" i="8"/>
  <c r="I1481" i="8"/>
  <c r="L1480" i="8"/>
  <c r="J1480" i="8"/>
  <c r="I1480" i="8"/>
  <c r="L1479" i="8"/>
  <c r="J1479" i="8"/>
  <c r="I1479" i="8"/>
  <c r="L1478" i="8"/>
  <c r="I1478" i="8"/>
  <c r="L1477" i="8"/>
  <c r="I1477" i="8"/>
  <c r="L1476" i="8"/>
  <c r="J1476" i="8"/>
  <c r="I1476" i="8"/>
  <c r="L1475" i="8"/>
  <c r="J1475" i="8"/>
  <c r="I1475" i="8"/>
  <c r="L1474" i="8"/>
  <c r="J1474" i="8"/>
  <c r="I1474" i="8"/>
  <c r="L1473" i="8"/>
  <c r="J1473" i="8"/>
  <c r="I1473" i="8"/>
  <c r="L1472" i="8"/>
  <c r="J1472" i="8"/>
  <c r="I1472" i="8"/>
  <c r="L1471" i="8"/>
  <c r="I1471" i="8"/>
  <c r="L1470" i="8"/>
  <c r="I1470" i="8"/>
  <c r="L1469" i="8"/>
  <c r="J1469" i="8"/>
  <c r="I1469" i="8"/>
  <c r="L1468" i="8"/>
  <c r="I1468" i="8"/>
  <c r="L1467" i="8"/>
  <c r="I1467" i="8"/>
  <c r="L1466" i="8"/>
  <c r="J1466" i="8"/>
  <c r="I1466" i="8"/>
  <c r="L1465" i="8"/>
  <c r="I1465" i="8"/>
  <c r="L1464" i="8"/>
  <c r="J1464" i="8"/>
  <c r="I1464" i="8"/>
  <c r="L1463" i="8"/>
  <c r="J1463" i="8"/>
  <c r="I1463" i="8"/>
  <c r="L1462" i="8"/>
  <c r="J1462" i="8"/>
  <c r="I1462" i="8"/>
  <c r="L1461" i="8"/>
  <c r="J1461" i="8"/>
  <c r="I1461" i="8"/>
  <c r="L1460" i="8"/>
  <c r="J1460" i="8"/>
  <c r="I1460" i="8"/>
  <c r="L1459" i="8"/>
  <c r="I1459" i="8"/>
  <c r="L1458" i="8"/>
  <c r="J1458" i="8"/>
  <c r="I1458" i="8"/>
  <c r="L1457" i="8"/>
  <c r="J1457" i="8"/>
  <c r="I1457" i="8"/>
  <c r="L1456" i="8"/>
  <c r="J1456" i="8"/>
  <c r="I1456" i="8"/>
  <c r="L1455" i="8"/>
  <c r="J1455" i="8"/>
  <c r="I1455" i="8"/>
  <c r="L1454" i="8"/>
  <c r="J1454" i="8"/>
  <c r="I1454" i="8"/>
  <c r="L1453" i="8"/>
  <c r="J1453" i="8"/>
  <c r="I1453" i="8"/>
  <c r="L1452" i="8"/>
  <c r="J1452" i="8"/>
  <c r="I1452" i="8"/>
  <c r="L1451" i="8"/>
  <c r="J1451" i="8"/>
  <c r="I1451" i="8"/>
  <c r="L1450" i="8"/>
  <c r="J1450" i="8"/>
  <c r="I1450" i="8"/>
  <c r="L1449" i="8"/>
  <c r="J1449" i="8"/>
  <c r="I1449" i="8"/>
  <c r="L1448" i="8"/>
  <c r="I1448" i="8"/>
  <c r="L1447" i="8"/>
  <c r="J1447" i="8"/>
  <c r="I1447" i="8"/>
  <c r="L1446" i="8"/>
  <c r="J1446" i="8"/>
  <c r="I1446" i="8"/>
  <c r="L1445" i="8"/>
  <c r="I1445" i="8"/>
  <c r="L1444" i="8"/>
  <c r="I1444" i="8"/>
  <c r="L1443" i="8"/>
  <c r="J1443" i="8"/>
  <c r="I1443" i="8"/>
  <c r="L1442" i="8"/>
  <c r="J1442" i="8"/>
  <c r="I1442" i="8"/>
  <c r="L1441" i="8"/>
  <c r="J1441" i="8"/>
  <c r="I1441" i="8"/>
  <c r="L1440" i="8"/>
  <c r="I1440" i="8"/>
  <c r="L1439" i="8"/>
  <c r="I1439" i="8"/>
  <c r="L1438" i="8"/>
  <c r="I1438" i="8"/>
  <c r="L1437" i="8"/>
  <c r="I1437" i="8"/>
  <c r="L1436" i="8"/>
  <c r="I1436" i="8"/>
  <c r="L1435" i="8"/>
  <c r="J1435" i="8"/>
  <c r="I1435" i="8"/>
  <c r="L1434" i="8"/>
  <c r="J1434" i="8"/>
  <c r="I1434" i="8"/>
  <c r="L1433" i="8"/>
  <c r="J1433" i="8"/>
  <c r="I1433" i="8"/>
  <c r="L1432" i="8"/>
  <c r="J1432" i="8"/>
  <c r="I1432" i="8"/>
  <c r="L1431" i="8"/>
  <c r="J1431" i="8"/>
  <c r="I1431" i="8"/>
  <c r="L1430" i="8"/>
  <c r="J1430" i="8"/>
  <c r="I1430" i="8"/>
  <c r="L1429" i="8"/>
  <c r="I1429" i="8"/>
  <c r="L1428" i="8"/>
  <c r="J1428" i="8"/>
  <c r="I1428" i="8"/>
  <c r="L1427" i="8"/>
  <c r="J1427" i="8"/>
  <c r="I1427" i="8"/>
  <c r="L1426" i="8"/>
  <c r="J1426" i="8"/>
  <c r="I1426" i="8"/>
  <c r="L1425" i="8"/>
  <c r="J1425" i="8"/>
  <c r="I1425" i="8"/>
  <c r="L1424" i="8"/>
  <c r="J1424" i="8"/>
  <c r="I1424" i="8"/>
  <c r="L1423" i="8"/>
  <c r="I1423" i="8"/>
  <c r="L1422" i="8"/>
  <c r="J1422" i="8"/>
  <c r="I1422" i="8"/>
  <c r="L1421" i="8"/>
  <c r="I1421" i="8"/>
  <c r="L1420" i="8"/>
  <c r="J1420" i="8"/>
  <c r="I1420" i="8"/>
  <c r="L1419" i="8"/>
  <c r="J1419" i="8"/>
  <c r="I1419" i="8"/>
  <c r="L1418" i="8"/>
  <c r="J1418" i="8"/>
  <c r="I1418" i="8"/>
  <c r="L1417" i="8"/>
  <c r="J1417" i="8"/>
  <c r="I1417" i="8"/>
  <c r="L1416" i="8"/>
  <c r="I1416" i="8"/>
  <c r="L1415" i="8"/>
  <c r="J1415" i="8"/>
  <c r="I1415" i="8"/>
  <c r="L1414" i="8"/>
  <c r="J1414" i="8"/>
  <c r="I1414" i="8"/>
  <c r="L1413" i="8"/>
  <c r="J1413" i="8"/>
  <c r="I1413" i="8"/>
  <c r="L1412" i="8"/>
  <c r="J1412" i="8"/>
  <c r="I1412" i="8"/>
  <c r="L1411" i="8"/>
  <c r="I1411" i="8"/>
  <c r="L1410" i="8"/>
  <c r="J1410" i="8"/>
  <c r="I1410" i="8"/>
  <c r="L1409" i="8"/>
  <c r="J1409" i="8"/>
  <c r="I1409" i="8"/>
  <c r="L1408" i="8"/>
  <c r="J1408" i="8"/>
  <c r="I1408" i="8"/>
  <c r="L1407" i="8"/>
  <c r="J1407" i="8"/>
  <c r="I1407" i="8"/>
  <c r="L1406" i="8"/>
  <c r="J1406" i="8"/>
  <c r="I1406" i="8"/>
  <c r="L1405" i="8"/>
  <c r="J1405" i="8"/>
  <c r="I1405" i="8"/>
  <c r="L1404" i="8"/>
  <c r="J1404" i="8"/>
  <c r="I1404" i="8"/>
  <c r="L1403" i="8"/>
  <c r="J1403" i="8"/>
  <c r="I1403" i="8"/>
  <c r="L1402" i="8"/>
  <c r="J1402" i="8"/>
  <c r="I1402" i="8"/>
  <c r="L1401" i="8"/>
  <c r="I1401" i="8"/>
  <c r="L1400" i="8"/>
  <c r="I1400" i="8"/>
  <c r="L1399" i="8"/>
  <c r="J1399" i="8"/>
  <c r="I1399" i="8"/>
  <c r="L1398" i="8"/>
  <c r="J1398" i="8"/>
  <c r="I1398" i="8"/>
  <c r="L1397" i="8"/>
  <c r="J1397" i="8"/>
  <c r="I1397" i="8"/>
  <c r="L1396" i="8"/>
  <c r="J1396" i="8"/>
  <c r="I1396" i="8"/>
  <c r="L1395" i="8"/>
  <c r="J1395" i="8"/>
  <c r="I1395" i="8"/>
  <c r="L1394" i="8"/>
  <c r="J1394" i="8"/>
  <c r="I1394" i="8"/>
  <c r="L1393" i="8"/>
  <c r="J1393" i="8"/>
  <c r="I1393" i="8"/>
  <c r="L1392" i="8"/>
  <c r="J1392" i="8"/>
  <c r="I1392" i="8"/>
  <c r="L1391" i="8"/>
  <c r="J1391" i="8"/>
  <c r="I1391" i="8"/>
  <c r="L1390" i="8"/>
  <c r="I1390" i="8"/>
  <c r="L1389" i="8"/>
  <c r="J1389" i="8"/>
  <c r="I1389" i="8"/>
  <c r="L1388" i="8"/>
  <c r="J1388" i="8"/>
  <c r="I1388" i="8"/>
  <c r="L1387" i="8"/>
  <c r="J1387" i="8"/>
  <c r="I1387" i="8"/>
  <c r="L1386" i="8"/>
  <c r="J1386" i="8"/>
  <c r="I1386" i="8"/>
  <c r="L1385" i="8"/>
  <c r="J1385" i="8"/>
  <c r="I1385" i="8"/>
  <c r="L1384" i="8"/>
  <c r="J1384" i="8"/>
  <c r="I1384" i="8"/>
  <c r="L1383" i="8"/>
  <c r="J1383" i="8"/>
  <c r="I1383" i="8"/>
  <c r="L1382" i="8"/>
  <c r="J1382" i="8"/>
  <c r="I1382" i="8"/>
  <c r="L1381" i="8"/>
  <c r="J1381" i="8"/>
  <c r="I1381" i="8"/>
  <c r="L1380" i="8"/>
  <c r="J1380" i="8"/>
  <c r="I1380" i="8"/>
  <c r="L1379" i="8"/>
  <c r="J1379" i="8"/>
  <c r="I1379" i="8"/>
  <c r="L1378" i="8"/>
  <c r="J1378" i="8"/>
  <c r="I1378" i="8"/>
  <c r="L1377" i="8"/>
  <c r="J1377" i="8"/>
  <c r="I1377" i="8"/>
  <c r="L1376" i="8"/>
  <c r="J1376" i="8"/>
  <c r="I1376" i="8"/>
  <c r="L1375" i="8"/>
  <c r="J1375" i="8"/>
  <c r="I1375" i="8"/>
  <c r="L1374" i="8"/>
  <c r="I1374" i="8"/>
  <c r="L1373" i="8"/>
  <c r="J1373" i="8"/>
  <c r="I1373" i="8"/>
  <c r="L1372" i="8"/>
  <c r="J1372" i="8"/>
  <c r="I1372" i="8"/>
  <c r="L1371" i="8"/>
  <c r="J1371" i="8"/>
  <c r="I1371" i="8"/>
  <c r="L1370" i="8"/>
  <c r="J1370" i="8"/>
  <c r="I1370" i="8"/>
  <c r="L1369" i="8"/>
  <c r="J1369" i="8"/>
  <c r="I1369" i="8"/>
  <c r="L1368" i="8"/>
  <c r="J1368" i="8"/>
  <c r="I1368" i="8"/>
  <c r="L1367" i="8"/>
  <c r="J1367" i="8"/>
  <c r="I1367" i="8"/>
  <c r="L1366" i="8"/>
  <c r="J1366" i="8"/>
  <c r="I1366" i="8"/>
  <c r="L1365" i="8"/>
  <c r="J1365" i="8"/>
  <c r="I1365" i="8"/>
  <c r="L1364" i="8"/>
  <c r="J1364" i="8"/>
  <c r="I1364" i="8"/>
  <c r="L1363" i="8"/>
  <c r="J1363" i="8"/>
  <c r="I1363" i="8"/>
  <c r="L1362" i="8"/>
  <c r="J1362" i="8"/>
  <c r="I1362" i="8"/>
  <c r="L1361" i="8"/>
  <c r="J1361" i="8"/>
  <c r="I1361" i="8"/>
  <c r="L1360" i="8"/>
  <c r="J1360" i="8"/>
  <c r="I1360" i="8"/>
  <c r="L1359" i="8"/>
  <c r="J1359" i="8"/>
  <c r="I1359" i="8"/>
  <c r="L1358" i="8"/>
  <c r="J1358" i="8"/>
  <c r="I1358" i="8"/>
  <c r="L1357" i="8"/>
  <c r="J1357" i="8"/>
  <c r="I1357" i="8"/>
  <c r="L1356" i="8"/>
  <c r="J1356" i="8"/>
  <c r="I1356" i="8"/>
  <c r="L1355" i="8"/>
  <c r="J1355" i="8"/>
  <c r="I1355" i="8"/>
  <c r="L1354" i="8"/>
  <c r="J1354" i="8"/>
  <c r="I1354" i="8"/>
  <c r="L1353" i="8"/>
  <c r="J1353" i="8"/>
  <c r="I1353" i="8"/>
  <c r="L1352" i="8"/>
  <c r="J1352" i="8"/>
  <c r="I1352" i="8"/>
  <c r="L1351" i="8"/>
  <c r="I1351" i="8"/>
  <c r="L1350" i="8"/>
  <c r="J1350" i="8"/>
  <c r="I1350" i="8"/>
  <c r="L1349" i="8"/>
  <c r="J1349" i="8"/>
  <c r="I1349" i="8"/>
  <c r="L1348" i="8"/>
  <c r="J1348" i="8"/>
  <c r="I1348" i="8"/>
  <c r="L1347" i="8"/>
  <c r="J1347" i="8"/>
  <c r="I1347" i="8"/>
  <c r="L1346" i="8"/>
  <c r="J1346" i="8"/>
  <c r="I1346" i="8"/>
  <c r="J1345" i="8"/>
  <c r="I1345" i="8"/>
  <c r="L1344" i="8"/>
  <c r="J1344" i="8"/>
  <c r="I1344" i="8"/>
  <c r="L1343" i="8"/>
  <c r="J1343" i="8"/>
  <c r="I1343" i="8"/>
  <c r="L1342" i="8"/>
  <c r="J1342" i="8"/>
  <c r="I1342" i="8"/>
  <c r="L1341" i="8"/>
  <c r="I1341" i="8"/>
  <c r="L1340" i="8"/>
  <c r="J1340" i="8"/>
  <c r="I1340" i="8"/>
  <c r="L1339" i="8"/>
  <c r="J1339" i="8"/>
  <c r="I1339" i="8"/>
  <c r="L1338" i="8"/>
  <c r="J1338" i="8"/>
  <c r="I1338" i="8"/>
  <c r="L1337" i="8"/>
  <c r="I1337" i="8"/>
  <c r="L1336" i="8"/>
  <c r="J1336" i="8"/>
  <c r="I1336" i="8"/>
  <c r="L1335" i="8"/>
  <c r="J1335" i="8"/>
  <c r="I1335" i="8"/>
  <c r="L1334" i="8"/>
  <c r="J1334" i="8"/>
  <c r="I1334" i="8"/>
  <c r="L1333" i="8"/>
  <c r="J1333" i="8"/>
  <c r="I1333" i="8"/>
  <c r="L1332" i="8"/>
  <c r="J1332" i="8"/>
  <c r="I1332" i="8"/>
  <c r="L1331" i="8"/>
  <c r="J1331" i="8"/>
  <c r="I1331" i="8"/>
  <c r="L1330" i="8"/>
  <c r="J1330" i="8"/>
  <c r="I1330" i="8"/>
  <c r="L1329" i="8"/>
  <c r="J1329" i="8"/>
  <c r="I1329" i="8"/>
  <c r="L1328" i="8"/>
  <c r="J1328" i="8"/>
  <c r="I1328" i="8"/>
  <c r="L1327" i="8"/>
  <c r="J1327" i="8"/>
  <c r="I1327" i="8"/>
  <c r="L1326" i="8"/>
  <c r="J1326" i="8"/>
  <c r="I1326" i="8"/>
  <c r="L1325" i="8"/>
  <c r="J1325" i="8"/>
  <c r="I1325" i="8"/>
  <c r="L1324" i="8"/>
  <c r="J1324" i="8"/>
  <c r="I1324" i="8"/>
  <c r="L1323" i="8"/>
  <c r="J1323" i="8"/>
  <c r="I1323" i="8"/>
  <c r="L1322" i="8"/>
  <c r="J1322" i="8"/>
  <c r="I1322" i="8"/>
  <c r="L1321" i="8"/>
  <c r="J1321" i="8"/>
  <c r="I1321" i="8"/>
  <c r="L1320" i="8"/>
  <c r="I1320" i="8"/>
  <c r="L1319" i="8"/>
  <c r="J1319" i="8"/>
  <c r="I1319" i="8"/>
  <c r="L1318" i="8"/>
  <c r="J1318" i="8"/>
  <c r="I1318" i="8"/>
  <c r="L1317" i="8"/>
  <c r="J1317" i="8"/>
  <c r="I1317" i="8"/>
  <c r="L1316" i="8"/>
  <c r="J1316" i="8"/>
  <c r="I1316" i="8"/>
  <c r="L1315" i="8"/>
  <c r="J1315" i="8"/>
  <c r="I1315" i="8"/>
  <c r="L1314" i="8"/>
  <c r="J1314" i="8"/>
  <c r="I1314" i="8"/>
  <c r="L1313" i="8"/>
  <c r="J1313" i="8"/>
  <c r="I1313" i="8"/>
  <c r="L1312" i="8"/>
  <c r="J1312" i="8"/>
  <c r="I1312" i="8"/>
  <c r="L1311" i="8"/>
  <c r="J1311" i="8"/>
  <c r="I1311" i="8"/>
  <c r="L1310" i="8"/>
  <c r="J1310" i="8"/>
  <c r="I1310" i="8"/>
  <c r="L1309" i="8"/>
  <c r="I1309" i="8"/>
  <c r="L1308" i="8"/>
  <c r="J1308" i="8"/>
  <c r="I1308" i="8"/>
  <c r="L1307" i="8"/>
  <c r="J1307" i="8"/>
  <c r="I1307" i="8"/>
  <c r="L1306" i="8"/>
  <c r="J1306" i="8"/>
  <c r="I1306" i="8"/>
  <c r="L1305" i="8"/>
  <c r="J1305" i="8"/>
  <c r="I1305" i="8"/>
  <c r="L1304" i="8"/>
  <c r="I1304" i="8"/>
  <c r="L1303" i="8"/>
  <c r="J1303" i="8"/>
  <c r="I1303" i="8"/>
  <c r="L1302" i="8"/>
  <c r="J1302" i="8"/>
  <c r="I1302" i="8"/>
  <c r="L1301" i="8"/>
  <c r="J1301" i="8"/>
  <c r="I1301" i="8"/>
  <c r="L1300" i="8"/>
  <c r="J1300" i="8"/>
  <c r="I1300" i="8"/>
  <c r="L1299" i="8"/>
  <c r="I1299" i="8"/>
  <c r="L1298" i="8"/>
  <c r="J1298" i="8"/>
  <c r="I1298" i="8"/>
  <c r="L1297" i="8"/>
  <c r="J1297" i="8"/>
  <c r="I1297" i="8"/>
  <c r="L1296" i="8"/>
  <c r="J1296" i="8"/>
  <c r="I1296" i="8"/>
  <c r="L1295" i="8"/>
  <c r="J1295" i="8"/>
  <c r="I1295" i="8"/>
  <c r="L1294" i="8"/>
  <c r="J1294" i="8"/>
  <c r="I1294" i="8"/>
  <c r="J1293" i="8"/>
  <c r="I1293" i="8"/>
  <c r="L1292" i="8"/>
  <c r="I1292" i="8"/>
  <c r="L1291" i="8"/>
  <c r="J1291" i="8"/>
  <c r="I1291" i="8"/>
  <c r="L1290" i="8"/>
  <c r="J1290" i="8"/>
  <c r="I1290" i="8"/>
  <c r="L1289" i="8"/>
  <c r="J1289" i="8"/>
  <c r="I1289" i="8"/>
  <c r="L1288" i="8"/>
  <c r="J1288" i="8"/>
  <c r="I1288" i="8"/>
  <c r="L1287" i="8"/>
  <c r="J1287" i="8"/>
  <c r="I1287" i="8"/>
  <c r="L1286" i="8"/>
  <c r="J1286" i="8"/>
  <c r="I1286" i="8"/>
  <c r="L1285" i="8"/>
  <c r="J1285" i="8"/>
  <c r="I1285" i="8"/>
  <c r="L1284" i="8"/>
  <c r="J1284" i="8"/>
  <c r="I1284" i="8"/>
  <c r="L1283" i="8"/>
  <c r="J1283" i="8"/>
  <c r="I1283" i="8"/>
  <c r="L1282" i="8"/>
  <c r="J1282" i="8"/>
  <c r="I1282" i="8"/>
  <c r="L1281" i="8"/>
  <c r="J1281" i="8"/>
  <c r="I1281" i="8"/>
  <c r="L1280" i="8"/>
  <c r="J1280" i="8"/>
  <c r="I1280" i="8"/>
  <c r="L1279" i="8"/>
  <c r="J1279" i="8"/>
  <c r="I1279" i="8"/>
  <c r="L1278" i="8"/>
  <c r="J1278" i="8"/>
  <c r="I1278" i="8"/>
  <c r="L1277" i="8"/>
  <c r="I1277" i="8"/>
  <c r="L1276" i="8"/>
  <c r="J1276" i="8"/>
  <c r="I1276" i="8"/>
  <c r="L1275" i="8"/>
  <c r="J1275" i="8"/>
  <c r="I1275" i="8"/>
  <c r="L1274" i="8"/>
  <c r="J1274" i="8"/>
  <c r="I1274" i="8"/>
  <c r="L1273" i="8"/>
  <c r="J1273" i="8"/>
  <c r="I1273" i="8"/>
  <c r="L1272" i="8"/>
  <c r="J1272" i="8"/>
  <c r="I1272" i="8"/>
  <c r="L1271" i="8"/>
  <c r="J1271" i="8"/>
  <c r="I1271" i="8"/>
  <c r="L1270" i="8"/>
  <c r="J1270" i="8"/>
  <c r="I1270" i="8"/>
  <c r="L1269" i="8"/>
  <c r="J1269" i="8"/>
  <c r="I1269" i="8"/>
  <c r="L1268" i="8"/>
  <c r="J1268" i="8"/>
  <c r="I1268" i="8"/>
  <c r="L1267" i="8"/>
  <c r="J1267" i="8"/>
  <c r="I1267" i="8"/>
  <c r="L1266" i="8"/>
  <c r="J1266" i="8"/>
  <c r="I1266" i="8"/>
  <c r="L1265" i="8"/>
  <c r="I1265" i="8"/>
  <c r="L1264" i="8"/>
  <c r="J1264" i="8"/>
  <c r="I1264" i="8"/>
  <c r="L1263" i="8"/>
  <c r="I1263" i="8"/>
  <c r="L1262" i="8"/>
  <c r="J1262" i="8"/>
  <c r="I1262" i="8"/>
  <c r="L1261" i="8"/>
  <c r="J1261" i="8"/>
  <c r="I1261" i="8"/>
  <c r="L1260" i="8"/>
  <c r="J1260" i="8"/>
  <c r="I1260" i="8"/>
  <c r="L1259" i="8"/>
  <c r="J1259" i="8"/>
  <c r="I1259" i="8"/>
  <c r="L1258" i="8"/>
  <c r="J1258" i="8"/>
  <c r="I1258" i="8"/>
  <c r="L1257" i="8"/>
  <c r="J1257" i="8"/>
  <c r="I1257" i="8"/>
  <c r="L1256" i="8"/>
  <c r="J1256" i="8"/>
  <c r="I1256" i="8"/>
  <c r="L1255" i="8"/>
  <c r="J1255" i="8"/>
  <c r="I1255" i="8"/>
  <c r="L1254" i="8"/>
  <c r="J1254" i="8"/>
  <c r="I1254" i="8"/>
  <c r="L1253" i="8"/>
  <c r="I1253" i="8"/>
  <c r="L1252" i="8"/>
  <c r="J1252" i="8"/>
  <c r="I1252" i="8"/>
  <c r="L1251" i="8"/>
  <c r="J1251" i="8"/>
  <c r="I1251" i="8"/>
  <c r="L1250" i="8"/>
  <c r="J1250" i="8"/>
  <c r="I1250" i="8"/>
  <c r="L1249" i="8"/>
  <c r="J1249" i="8"/>
  <c r="I1249" i="8"/>
  <c r="L1248" i="8"/>
  <c r="J1248" i="8"/>
  <c r="I1248" i="8"/>
  <c r="L1247" i="8"/>
  <c r="J1247" i="8"/>
  <c r="I1247" i="8"/>
  <c r="L1246" i="8"/>
  <c r="J1246" i="8"/>
  <c r="I1246" i="8"/>
  <c r="L1245" i="8"/>
  <c r="J1245" i="8"/>
  <c r="I1245" i="8"/>
  <c r="L1244" i="8"/>
  <c r="J1244" i="8"/>
  <c r="I1244" i="8"/>
  <c r="L1243" i="8"/>
  <c r="J1243" i="8"/>
  <c r="I1243" i="8"/>
  <c r="L1242" i="8"/>
  <c r="J1242" i="8"/>
  <c r="I1242" i="8"/>
  <c r="L1241" i="8"/>
  <c r="J1241" i="8"/>
  <c r="I1241" i="8"/>
  <c r="L1240" i="8"/>
  <c r="I1240" i="8"/>
  <c r="L1239" i="8"/>
  <c r="I1239" i="8"/>
  <c r="L1238" i="8"/>
  <c r="J1238" i="8"/>
  <c r="I1238" i="8"/>
  <c r="L1237" i="8"/>
  <c r="J1237" i="8"/>
  <c r="I1237" i="8"/>
  <c r="L1236" i="8"/>
  <c r="J1236" i="8"/>
  <c r="I1236" i="8"/>
  <c r="L1235" i="8"/>
  <c r="J1235" i="8"/>
  <c r="I1235" i="8"/>
  <c r="L1234" i="8"/>
  <c r="J1234" i="8"/>
  <c r="I1234" i="8"/>
  <c r="L1233" i="8"/>
  <c r="J1233" i="8"/>
  <c r="I1233" i="8"/>
  <c r="L1232" i="8"/>
  <c r="J1232" i="8"/>
  <c r="I1232" i="8"/>
  <c r="L1231" i="8"/>
  <c r="I1231" i="8"/>
  <c r="L1230" i="8"/>
  <c r="J1230" i="8"/>
  <c r="I1230" i="8"/>
  <c r="L1229" i="8"/>
  <c r="J1229" i="8"/>
  <c r="I1229" i="8"/>
  <c r="L1228" i="8"/>
  <c r="J1228" i="8"/>
  <c r="I1228" i="8"/>
  <c r="L1227" i="8"/>
  <c r="J1227" i="8"/>
  <c r="I1227" i="8"/>
  <c r="L1226" i="8"/>
  <c r="J1226" i="8"/>
  <c r="I1226" i="8"/>
  <c r="L1225" i="8"/>
  <c r="J1225" i="8"/>
  <c r="I1225" i="8"/>
  <c r="L1224" i="8"/>
  <c r="J1224" i="8"/>
  <c r="I1224" i="8"/>
  <c r="L1223" i="8"/>
  <c r="J1223" i="8"/>
  <c r="I1223" i="8"/>
  <c r="L1222" i="8"/>
  <c r="I1222" i="8"/>
  <c r="L1221" i="8"/>
  <c r="I1221" i="8"/>
  <c r="L1220" i="8"/>
  <c r="I1220" i="8"/>
  <c r="L1219" i="8"/>
  <c r="J1219" i="8"/>
  <c r="I1219" i="8"/>
  <c r="L1218" i="8"/>
  <c r="J1218" i="8"/>
  <c r="I1218" i="8"/>
  <c r="L1217" i="8"/>
  <c r="J1217" i="8"/>
  <c r="I1217" i="8"/>
  <c r="L1216" i="8"/>
  <c r="J1216" i="8"/>
  <c r="I1216" i="8"/>
  <c r="L1215" i="8"/>
  <c r="J1215" i="8"/>
  <c r="I1215" i="8"/>
  <c r="L1214" i="8"/>
  <c r="J1214" i="8"/>
  <c r="I1214" i="8"/>
  <c r="L1213" i="8"/>
  <c r="J1213" i="8"/>
  <c r="I1213" i="8"/>
  <c r="L1212" i="8"/>
  <c r="J1212" i="8"/>
  <c r="I1212" i="8"/>
  <c r="L1211" i="8"/>
  <c r="J1211" i="8"/>
  <c r="I1211" i="8"/>
  <c r="L1210" i="8"/>
  <c r="J1210" i="8"/>
  <c r="I1210" i="8"/>
  <c r="L1209" i="8"/>
  <c r="J1209" i="8"/>
  <c r="I1209" i="8"/>
  <c r="L1208" i="8"/>
  <c r="J1208" i="8"/>
  <c r="I1208" i="8"/>
  <c r="L1207" i="8"/>
  <c r="J1207" i="8"/>
  <c r="I1207" i="8"/>
  <c r="L1206" i="8"/>
  <c r="I1206" i="8"/>
  <c r="L1205" i="8"/>
  <c r="J1205" i="8"/>
  <c r="I1205" i="8"/>
  <c r="L1204" i="8"/>
  <c r="J1204" i="8"/>
  <c r="I1204" i="8"/>
  <c r="L1203" i="8"/>
  <c r="I1203" i="8"/>
  <c r="L1202" i="8"/>
  <c r="J1202" i="8"/>
  <c r="I1202" i="8"/>
  <c r="L1201" i="8"/>
  <c r="J1201" i="8"/>
  <c r="I1201" i="8"/>
  <c r="L1200" i="8"/>
  <c r="J1200" i="8"/>
  <c r="I1200" i="8"/>
  <c r="L1199" i="8"/>
  <c r="J1199" i="8"/>
  <c r="I1199" i="8"/>
  <c r="L1198" i="8"/>
  <c r="J1198" i="8"/>
  <c r="I1198" i="8"/>
  <c r="L1197" i="8"/>
  <c r="J1197" i="8"/>
  <c r="I1197" i="8"/>
  <c r="L1196" i="8"/>
  <c r="J1196" i="8"/>
  <c r="I1196" i="8"/>
  <c r="L1195" i="8"/>
  <c r="J1195" i="8"/>
  <c r="I1195" i="8"/>
  <c r="L1194" i="8"/>
  <c r="J1194" i="8"/>
  <c r="I1194" i="8"/>
  <c r="L1193" i="8"/>
  <c r="J1193" i="8"/>
  <c r="I1193" i="8"/>
  <c r="L1192" i="8"/>
  <c r="J1192" i="8"/>
  <c r="I1192" i="8"/>
  <c r="L1191" i="8"/>
  <c r="J1191" i="8"/>
  <c r="I1191" i="8"/>
  <c r="L1190" i="8"/>
  <c r="J1190" i="8"/>
  <c r="I1190" i="8"/>
  <c r="L1189" i="8"/>
  <c r="J1189" i="8"/>
  <c r="I1189" i="8"/>
  <c r="L1188" i="8"/>
  <c r="J1188" i="8"/>
  <c r="I1188" i="8"/>
  <c r="L1187" i="8"/>
  <c r="J1187" i="8"/>
  <c r="I1187" i="8"/>
  <c r="L1186" i="8"/>
  <c r="J1186" i="8"/>
  <c r="I1186" i="8"/>
  <c r="L1185" i="8"/>
  <c r="J1185" i="8"/>
  <c r="I1185" i="8"/>
  <c r="L1184" i="8"/>
  <c r="J1184" i="8"/>
  <c r="I1184" i="8"/>
  <c r="L1183" i="8"/>
  <c r="J1183" i="8"/>
  <c r="I1183" i="8"/>
  <c r="L1182" i="8"/>
  <c r="J1182" i="8"/>
  <c r="I1182" i="8"/>
  <c r="L1181" i="8"/>
  <c r="J1181" i="8"/>
  <c r="I1181" i="8"/>
  <c r="L1180" i="8"/>
  <c r="J1180" i="8"/>
  <c r="I1180" i="8"/>
  <c r="L1179" i="8"/>
  <c r="J1179" i="8"/>
  <c r="I1179" i="8"/>
  <c r="L1178" i="8"/>
  <c r="J1178" i="8"/>
  <c r="I1178" i="8"/>
  <c r="L1177" i="8"/>
  <c r="J1177" i="8"/>
  <c r="I1177" i="8"/>
  <c r="L1176" i="8"/>
  <c r="J1176" i="8"/>
  <c r="I1176" i="8"/>
  <c r="L1175" i="8"/>
  <c r="J1175" i="8"/>
  <c r="I1175" i="8"/>
  <c r="L1174" i="8"/>
  <c r="J1174" i="8"/>
  <c r="I1174" i="8"/>
  <c r="L1173" i="8"/>
  <c r="J1173" i="8"/>
  <c r="I1173" i="8"/>
  <c r="L1172" i="8"/>
  <c r="I1172" i="8"/>
  <c r="L1171" i="8"/>
  <c r="I1171" i="8"/>
  <c r="L1170" i="8"/>
  <c r="I1170" i="8"/>
  <c r="L1169" i="8"/>
  <c r="J1169" i="8"/>
  <c r="I1169" i="8"/>
  <c r="L1168" i="8"/>
  <c r="J1168" i="8"/>
  <c r="I1168" i="8"/>
  <c r="L1167" i="8"/>
  <c r="I1167" i="8"/>
  <c r="L1166" i="8"/>
  <c r="J1166" i="8"/>
  <c r="I1166" i="8"/>
  <c r="L1165" i="8"/>
  <c r="J1165" i="8"/>
  <c r="I1165" i="8"/>
  <c r="L1164" i="8"/>
  <c r="J1164" i="8"/>
  <c r="I1164" i="8"/>
  <c r="L1163" i="8"/>
  <c r="J1163" i="8"/>
  <c r="I1163" i="8"/>
  <c r="L1162" i="8"/>
  <c r="J1162" i="8"/>
  <c r="I1162" i="8"/>
  <c r="L1161" i="8"/>
  <c r="J1161" i="8"/>
  <c r="I1161" i="8"/>
  <c r="L1160" i="8"/>
  <c r="J1160" i="8"/>
  <c r="I1160" i="8"/>
  <c r="L1159" i="8"/>
  <c r="J1159" i="8"/>
  <c r="I1159" i="8"/>
  <c r="L1158" i="8"/>
  <c r="J1158" i="8"/>
  <c r="I1158" i="8"/>
  <c r="L1157" i="8"/>
  <c r="J1157" i="8"/>
  <c r="I1157" i="8"/>
  <c r="L1156" i="8"/>
  <c r="J1156" i="8"/>
  <c r="I1156" i="8"/>
  <c r="L1155" i="8"/>
  <c r="J1155" i="8"/>
  <c r="I1155" i="8"/>
  <c r="L1154" i="8"/>
  <c r="J1154" i="8"/>
  <c r="I1154" i="8"/>
  <c r="L1153" i="8"/>
  <c r="J1153" i="8"/>
  <c r="I1153" i="8"/>
  <c r="L1152" i="8"/>
  <c r="J1152" i="8"/>
  <c r="I1152" i="8"/>
  <c r="L1151" i="8"/>
  <c r="I1151" i="8"/>
  <c r="L1150" i="8"/>
  <c r="J1150" i="8"/>
  <c r="I1150" i="8"/>
  <c r="L1149" i="8"/>
  <c r="J1149" i="8"/>
  <c r="I1149" i="8"/>
  <c r="L1148" i="8"/>
  <c r="J1148" i="8"/>
  <c r="I1148" i="8"/>
  <c r="L1147" i="8"/>
  <c r="J1147" i="8"/>
  <c r="I1147" i="8"/>
  <c r="L1146" i="8"/>
  <c r="J1146" i="8"/>
  <c r="I1146" i="8"/>
  <c r="L1145" i="8"/>
  <c r="I1145" i="8"/>
  <c r="L1144" i="8"/>
  <c r="I1144" i="8"/>
  <c r="L1143" i="8"/>
  <c r="J1143" i="8"/>
  <c r="I1143" i="8"/>
  <c r="L1142" i="8"/>
  <c r="I1142" i="8"/>
  <c r="L1141" i="8"/>
  <c r="J1141" i="8"/>
  <c r="I1141" i="8"/>
  <c r="L1140" i="8"/>
  <c r="J1140" i="8"/>
  <c r="I1140" i="8"/>
  <c r="L1139" i="8"/>
  <c r="J1139" i="8"/>
  <c r="I1139" i="8"/>
  <c r="L1138" i="8"/>
  <c r="J1138" i="8"/>
  <c r="I1138" i="8"/>
  <c r="L1137" i="8"/>
  <c r="J1137" i="8"/>
  <c r="I1137" i="8"/>
  <c r="L1136" i="8"/>
  <c r="I1136" i="8"/>
  <c r="L1135" i="8"/>
  <c r="I1135" i="8"/>
  <c r="L1134" i="8"/>
  <c r="J1134" i="8"/>
  <c r="I1134" i="8"/>
  <c r="L1133" i="8"/>
  <c r="I1133" i="8"/>
  <c r="L1132" i="8"/>
  <c r="J1132" i="8"/>
  <c r="I1132" i="8"/>
  <c r="L1131" i="8"/>
  <c r="J1131" i="8"/>
  <c r="I1131" i="8"/>
  <c r="L1130" i="8"/>
  <c r="J1130" i="8"/>
  <c r="I1130" i="8"/>
  <c r="L1129" i="8"/>
  <c r="J1129" i="8"/>
  <c r="I1129" i="8"/>
  <c r="L1128" i="8"/>
  <c r="J1128" i="8"/>
  <c r="I1128" i="8"/>
  <c r="L1127" i="8"/>
  <c r="J1127" i="8"/>
  <c r="I1127" i="8"/>
  <c r="L1126" i="8"/>
  <c r="J1126" i="8"/>
  <c r="I1126" i="8"/>
  <c r="L1125" i="8"/>
  <c r="J1125" i="8"/>
  <c r="I1125" i="8"/>
  <c r="L1124" i="8"/>
  <c r="J1124" i="8"/>
  <c r="I1124" i="8"/>
  <c r="L1123" i="8"/>
  <c r="J1123" i="8"/>
  <c r="I1123" i="8"/>
  <c r="L1122" i="8"/>
  <c r="J1122" i="8"/>
  <c r="I1122" i="8"/>
  <c r="L1121" i="8"/>
  <c r="I1121" i="8"/>
  <c r="L1120" i="8"/>
  <c r="J1120" i="8"/>
  <c r="I1120" i="8"/>
  <c r="L1119" i="8"/>
  <c r="J1119" i="8"/>
  <c r="I1119" i="8"/>
  <c r="L1118" i="8"/>
  <c r="I1118" i="8"/>
  <c r="L1117" i="8"/>
  <c r="I1117" i="8"/>
  <c r="L1116" i="8"/>
  <c r="J1116" i="8"/>
  <c r="I1116" i="8"/>
  <c r="L1115" i="8"/>
  <c r="I1115" i="8"/>
  <c r="L1114" i="8"/>
  <c r="I1114" i="8"/>
  <c r="L1113" i="8"/>
  <c r="I1113" i="8"/>
  <c r="L1112" i="8"/>
  <c r="J1112" i="8"/>
  <c r="I1112" i="8"/>
  <c r="L1111" i="8"/>
  <c r="J1111" i="8"/>
  <c r="I1111" i="8"/>
  <c r="L1110" i="8"/>
  <c r="I1110" i="8"/>
  <c r="L1109" i="8"/>
  <c r="J1109" i="8"/>
  <c r="I1109" i="8"/>
  <c r="L1108" i="8"/>
  <c r="J1108" i="8"/>
  <c r="I1108" i="8"/>
  <c r="L1107" i="8"/>
  <c r="J1107" i="8"/>
  <c r="I1107" i="8"/>
  <c r="L1106" i="8"/>
  <c r="I1106" i="8"/>
  <c r="L1105" i="8"/>
  <c r="J1105" i="8"/>
  <c r="I1105" i="8"/>
  <c r="L1104" i="8"/>
  <c r="J1104" i="8"/>
  <c r="I1104" i="8"/>
  <c r="L1103" i="8"/>
  <c r="I1103" i="8"/>
  <c r="L1102" i="8"/>
  <c r="J1102" i="8"/>
  <c r="I1102" i="8"/>
  <c r="L1101" i="8"/>
  <c r="J1101" i="8"/>
  <c r="I1101" i="8"/>
  <c r="L1100" i="8"/>
  <c r="J1100" i="8"/>
  <c r="I1100" i="8"/>
  <c r="L1099" i="8"/>
  <c r="J1099" i="8"/>
  <c r="I1099" i="8"/>
  <c r="L1098" i="8"/>
  <c r="J1098" i="8"/>
  <c r="I1098" i="8"/>
  <c r="L1097" i="8"/>
  <c r="I1097" i="8"/>
  <c r="L1096" i="8"/>
  <c r="J1096" i="8"/>
  <c r="I1096" i="8"/>
  <c r="L1095" i="8"/>
  <c r="J1095" i="8"/>
  <c r="I1095" i="8"/>
  <c r="L1094" i="8"/>
  <c r="I1094" i="8"/>
  <c r="L1093" i="8"/>
  <c r="I1093" i="8"/>
  <c r="L1092" i="8"/>
  <c r="J1092" i="8"/>
  <c r="I1092" i="8"/>
  <c r="L1091" i="8"/>
  <c r="J1091" i="8"/>
  <c r="I1091" i="8"/>
  <c r="L1090" i="8"/>
  <c r="J1090" i="8"/>
  <c r="I1090" i="8"/>
  <c r="L1089" i="8"/>
  <c r="J1089" i="8"/>
  <c r="I1089" i="8"/>
  <c r="L1088" i="8"/>
  <c r="J1088" i="8"/>
  <c r="I1088" i="8"/>
  <c r="J1087" i="8"/>
  <c r="I1087" i="8"/>
  <c r="L1086" i="8"/>
  <c r="J1086" i="8"/>
  <c r="I1086" i="8"/>
  <c r="L1085" i="8"/>
  <c r="J1085" i="8"/>
  <c r="I1085" i="8"/>
  <c r="L1084" i="8"/>
  <c r="J1084" i="8"/>
  <c r="I1084" i="8"/>
  <c r="L1083" i="8"/>
  <c r="J1083" i="8"/>
  <c r="I1083" i="8"/>
  <c r="L1082" i="8"/>
  <c r="J1082" i="8"/>
  <c r="I1082" i="8"/>
  <c r="L1081" i="8"/>
  <c r="I1081" i="8"/>
  <c r="L1080" i="8"/>
  <c r="J1080" i="8"/>
  <c r="I1080" i="8"/>
  <c r="L1079" i="8"/>
  <c r="J1079" i="8"/>
  <c r="I1079" i="8"/>
  <c r="L1078" i="8"/>
  <c r="J1078" i="8"/>
  <c r="I1078" i="8"/>
  <c r="L1077" i="8"/>
  <c r="J1077" i="8"/>
  <c r="I1077" i="8"/>
  <c r="L1076" i="8"/>
  <c r="J1076" i="8"/>
  <c r="I1076" i="8"/>
  <c r="L1075" i="8"/>
  <c r="I1075" i="8"/>
  <c r="L1074" i="8"/>
  <c r="J1074" i="8"/>
  <c r="I1074" i="8"/>
  <c r="L1073" i="8"/>
  <c r="J1073" i="8"/>
  <c r="I1073" i="8"/>
  <c r="L1072" i="8"/>
  <c r="J1072" i="8"/>
  <c r="I1072" i="8"/>
  <c r="L1071" i="8"/>
  <c r="I1071" i="8"/>
  <c r="L1070" i="8"/>
  <c r="J1070" i="8"/>
  <c r="I1070" i="8"/>
  <c r="L1069" i="8"/>
  <c r="J1069" i="8"/>
  <c r="I1069" i="8"/>
  <c r="L1068" i="8"/>
  <c r="J1068" i="8"/>
  <c r="I1068" i="8"/>
  <c r="L1067" i="8"/>
  <c r="J1067" i="8"/>
  <c r="I1067" i="8"/>
  <c r="L1066" i="8"/>
  <c r="J1066" i="8"/>
  <c r="I1066" i="8"/>
  <c r="L1065" i="8"/>
  <c r="J1065" i="8"/>
  <c r="I1065" i="8"/>
  <c r="L1064" i="8"/>
  <c r="J1064" i="8"/>
  <c r="I1064" i="8"/>
  <c r="L1063" i="8"/>
  <c r="J1063" i="8"/>
  <c r="I1063" i="8"/>
  <c r="L1062" i="8"/>
  <c r="I1062" i="8"/>
  <c r="L1061" i="8"/>
  <c r="J1061" i="8"/>
  <c r="I1061" i="8"/>
  <c r="L1060" i="8"/>
  <c r="J1060" i="8"/>
  <c r="I1060" i="8"/>
  <c r="L1059" i="8"/>
  <c r="I1059" i="8"/>
  <c r="L1058" i="8"/>
  <c r="J1058" i="8"/>
  <c r="I1058" i="8"/>
  <c r="L1057" i="8"/>
  <c r="J1057" i="8"/>
  <c r="I1057" i="8"/>
  <c r="L1056" i="8"/>
  <c r="J1056" i="8"/>
  <c r="I1056" i="8"/>
  <c r="L1055" i="8"/>
  <c r="I1055" i="8"/>
  <c r="L1054" i="8"/>
  <c r="J1054" i="8"/>
  <c r="I1054" i="8"/>
  <c r="L1053" i="8"/>
  <c r="J1053" i="8"/>
  <c r="I1053" i="8"/>
  <c r="L1052" i="8"/>
  <c r="J1052" i="8"/>
  <c r="I1052" i="8"/>
  <c r="L1051" i="8"/>
  <c r="J1051" i="8"/>
  <c r="I1051" i="8"/>
  <c r="L1050" i="8"/>
  <c r="J1050" i="8"/>
  <c r="I1050" i="8"/>
  <c r="L1049" i="8"/>
  <c r="J1049" i="8"/>
  <c r="I1049" i="8"/>
  <c r="L1048" i="8"/>
  <c r="J1048" i="8"/>
  <c r="I1048" i="8"/>
  <c r="L1047" i="8"/>
  <c r="J1047" i="8"/>
  <c r="I1047" i="8"/>
  <c r="L1046" i="8"/>
  <c r="J1046" i="8"/>
  <c r="I1046" i="8"/>
  <c r="L1045" i="8"/>
  <c r="J1045" i="8"/>
  <c r="I1045" i="8"/>
  <c r="L1044" i="8"/>
  <c r="J1044" i="8"/>
  <c r="I1044" i="8"/>
  <c r="L1043" i="8"/>
  <c r="J1043" i="8"/>
  <c r="I1043" i="8"/>
  <c r="L1042" i="8"/>
  <c r="I1042" i="8"/>
  <c r="L1041" i="8"/>
  <c r="J1041" i="8"/>
  <c r="I1041" i="8"/>
  <c r="L1040" i="8"/>
  <c r="J1040" i="8"/>
  <c r="I1040" i="8"/>
  <c r="L1039" i="8"/>
  <c r="I1039" i="8"/>
  <c r="L1038" i="8"/>
  <c r="I1038" i="8"/>
  <c r="L1037" i="8"/>
  <c r="I1037" i="8"/>
  <c r="L1036" i="8"/>
  <c r="I1036" i="8"/>
  <c r="L1035" i="8"/>
  <c r="J1035" i="8"/>
  <c r="I1035" i="8"/>
  <c r="L1034" i="8"/>
  <c r="J1034" i="8"/>
  <c r="I1034" i="8"/>
  <c r="L1033" i="8"/>
  <c r="J1033" i="8"/>
  <c r="I1033" i="8"/>
  <c r="L1032" i="8"/>
  <c r="J1032" i="8"/>
  <c r="I1032" i="8"/>
  <c r="L1031" i="8"/>
  <c r="J1031" i="8"/>
  <c r="I1031" i="8"/>
  <c r="L1030" i="8"/>
  <c r="J1030" i="8"/>
  <c r="I1030" i="8"/>
  <c r="L1029" i="8"/>
  <c r="J1029" i="8"/>
  <c r="I1029" i="8"/>
  <c r="L1028" i="8"/>
  <c r="J1028" i="8"/>
  <c r="I1028" i="8"/>
  <c r="L1027" i="8"/>
  <c r="J1027" i="8"/>
  <c r="I1027" i="8"/>
  <c r="L1026" i="8"/>
  <c r="I1026" i="8"/>
  <c r="L1025" i="8"/>
  <c r="J1025" i="8"/>
  <c r="I1025" i="8"/>
  <c r="L1024" i="8"/>
  <c r="J1024" i="8"/>
  <c r="I1024" i="8"/>
  <c r="L1023" i="8"/>
  <c r="J1023" i="8"/>
  <c r="I1023" i="8"/>
  <c r="L1022" i="8"/>
  <c r="J1022" i="8"/>
  <c r="I1022" i="8"/>
  <c r="L1021" i="8"/>
  <c r="I1021" i="8"/>
  <c r="L1020" i="8"/>
  <c r="J1020" i="8"/>
  <c r="I1020" i="8"/>
  <c r="L1019" i="8"/>
  <c r="I1019" i="8"/>
  <c r="L1018" i="8"/>
  <c r="I1018" i="8"/>
  <c r="L1017" i="8"/>
  <c r="J1017" i="8"/>
  <c r="I1017" i="8"/>
  <c r="L1016" i="8"/>
  <c r="J1016" i="8"/>
  <c r="I1016" i="8"/>
  <c r="L1015" i="8"/>
  <c r="J1015" i="8"/>
  <c r="I1015" i="8"/>
  <c r="L1014" i="8"/>
  <c r="J1014" i="8"/>
  <c r="I1014" i="8"/>
  <c r="L1013" i="8"/>
  <c r="J1013" i="8"/>
  <c r="I1013" i="8"/>
  <c r="L1012" i="8"/>
  <c r="J1012" i="8"/>
  <c r="I1012" i="8"/>
  <c r="L1011" i="8"/>
  <c r="J1011" i="8"/>
  <c r="I1011" i="8"/>
  <c r="L1010" i="8"/>
  <c r="J1010" i="8"/>
  <c r="I1010" i="8"/>
  <c r="L1009" i="8"/>
  <c r="J1009" i="8"/>
  <c r="I1009" i="8"/>
  <c r="L1008" i="8"/>
  <c r="J1008" i="8"/>
  <c r="I1008" i="8"/>
  <c r="L1007" i="8"/>
  <c r="J1007" i="8"/>
  <c r="I1007" i="8"/>
  <c r="L1006" i="8"/>
  <c r="I1006" i="8"/>
  <c r="L1005" i="8"/>
  <c r="I1005" i="8"/>
  <c r="L1004" i="8"/>
  <c r="J1004" i="8"/>
  <c r="I1004" i="8"/>
  <c r="L1003" i="8"/>
  <c r="J1003" i="8"/>
  <c r="I1003" i="8"/>
  <c r="L1002" i="8"/>
  <c r="I1002" i="8"/>
  <c r="L1001" i="8"/>
  <c r="J1001" i="8"/>
  <c r="I1001" i="8"/>
  <c r="L1000" i="8"/>
  <c r="I1000" i="8"/>
  <c r="L999" i="8"/>
  <c r="J999" i="8"/>
  <c r="I999" i="8"/>
  <c r="L998" i="8"/>
  <c r="J998" i="8"/>
  <c r="I998" i="8"/>
  <c r="L997" i="8"/>
  <c r="J997" i="8"/>
  <c r="I997" i="8"/>
  <c r="L996" i="8"/>
  <c r="J996" i="8"/>
  <c r="I996" i="8"/>
  <c r="L995" i="8"/>
  <c r="I995" i="8"/>
  <c r="L994" i="8"/>
  <c r="I994" i="8"/>
  <c r="L993" i="8"/>
  <c r="J993" i="8"/>
  <c r="I993" i="8"/>
  <c r="L992" i="8"/>
  <c r="I992" i="8"/>
  <c r="L991" i="8"/>
  <c r="J991" i="8"/>
  <c r="I991" i="8"/>
  <c r="L990" i="8"/>
  <c r="I990" i="8"/>
  <c r="L989" i="8"/>
  <c r="J989" i="8"/>
  <c r="I989" i="8"/>
  <c r="L988" i="8"/>
  <c r="I988" i="8"/>
  <c r="L987" i="8"/>
  <c r="I987" i="8"/>
  <c r="L986" i="8"/>
  <c r="J986" i="8"/>
  <c r="I986" i="8"/>
  <c r="L985" i="8"/>
  <c r="I985" i="8"/>
  <c r="L984" i="8"/>
  <c r="J984" i="8"/>
  <c r="I984" i="8"/>
  <c r="L983" i="8"/>
  <c r="J983" i="8"/>
  <c r="I983" i="8"/>
  <c r="L982" i="8"/>
  <c r="J982" i="8"/>
  <c r="I982" i="8"/>
  <c r="L981" i="8"/>
  <c r="I981" i="8"/>
  <c r="L980" i="8"/>
  <c r="J980" i="8"/>
  <c r="I980" i="8"/>
  <c r="L979" i="8"/>
  <c r="J979" i="8"/>
  <c r="I979" i="8"/>
  <c r="L978" i="8"/>
  <c r="J978" i="8"/>
  <c r="I978" i="8"/>
  <c r="L977" i="8"/>
  <c r="J977" i="8"/>
  <c r="I977" i="8"/>
  <c r="L976" i="8"/>
  <c r="J976" i="8"/>
  <c r="I976" i="8"/>
  <c r="L975" i="8"/>
  <c r="J975" i="8"/>
  <c r="I975" i="8"/>
  <c r="L974" i="8"/>
  <c r="J974" i="8"/>
  <c r="I974" i="8"/>
  <c r="L973" i="8"/>
  <c r="I973" i="8"/>
  <c r="L972" i="8"/>
  <c r="J972" i="8"/>
  <c r="I972" i="8"/>
  <c r="L971" i="8"/>
  <c r="J971" i="8"/>
  <c r="I971" i="8"/>
  <c r="L970" i="8"/>
  <c r="J970" i="8"/>
  <c r="I970" i="8"/>
  <c r="L969" i="8"/>
  <c r="J969" i="8"/>
  <c r="I969" i="8"/>
  <c r="L968" i="8"/>
  <c r="J968" i="8"/>
  <c r="I968" i="8"/>
  <c r="L967" i="8"/>
  <c r="J967" i="8"/>
  <c r="I967" i="8"/>
  <c r="L966" i="8"/>
  <c r="J966" i="8"/>
  <c r="I966" i="8"/>
  <c r="L965" i="8"/>
  <c r="J965" i="8"/>
  <c r="I965" i="8"/>
  <c r="L964" i="8"/>
  <c r="I964" i="8"/>
  <c r="L963" i="8"/>
  <c r="J963" i="8"/>
  <c r="I963" i="8"/>
  <c r="L962" i="8"/>
  <c r="J962" i="8"/>
  <c r="I962" i="8"/>
  <c r="L961" i="8"/>
  <c r="J961" i="8"/>
  <c r="I961" i="8"/>
  <c r="L960" i="8"/>
  <c r="I960" i="8"/>
  <c r="L959" i="8"/>
  <c r="I959" i="8"/>
  <c r="L958" i="8"/>
  <c r="J958" i="8"/>
  <c r="I958" i="8"/>
  <c r="L957" i="8"/>
  <c r="J957" i="8"/>
  <c r="I957" i="8"/>
  <c r="L956" i="8"/>
  <c r="I956" i="8"/>
  <c r="L955" i="8"/>
  <c r="I955" i="8"/>
  <c r="L954" i="8"/>
  <c r="J954" i="8"/>
  <c r="I954" i="8"/>
  <c r="L953" i="8"/>
  <c r="J953" i="8"/>
  <c r="I953" i="8"/>
  <c r="L952" i="8"/>
  <c r="J952" i="8"/>
  <c r="I952" i="8"/>
  <c r="L951" i="8"/>
  <c r="J951" i="8"/>
  <c r="I951" i="8"/>
  <c r="L950" i="8"/>
  <c r="J950" i="8"/>
  <c r="I950" i="8"/>
  <c r="L949" i="8"/>
  <c r="J949" i="8"/>
  <c r="I949" i="8"/>
  <c r="L948" i="8"/>
  <c r="I948" i="8"/>
  <c r="L947" i="8"/>
  <c r="J947" i="8"/>
  <c r="I947" i="8"/>
  <c r="L946" i="8"/>
  <c r="I946" i="8"/>
  <c r="L945" i="8"/>
  <c r="J945" i="8"/>
  <c r="I945" i="8"/>
  <c r="L944" i="8"/>
  <c r="J944" i="8"/>
  <c r="I944" i="8"/>
  <c r="L943" i="8"/>
  <c r="I943" i="8"/>
  <c r="L942" i="8"/>
  <c r="I942" i="8"/>
  <c r="L941" i="8"/>
  <c r="J941" i="8"/>
  <c r="I941" i="8"/>
  <c r="L940" i="8"/>
  <c r="J940" i="8"/>
  <c r="I940" i="8"/>
  <c r="L939" i="8"/>
  <c r="I939" i="8"/>
  <c r="L938" i="8"/>
  <c r="J938" i="8"/>
  <c r="I938" i="8"/>
  <c r="L937" i="8"/>
  <c r="J937" i="8"/>
  <c r="I937" i="8"/>
  <c r="L936" i="8"/>
  <c r="J936" i="8"/>
  <c r="I936" i="8"/>
  <c r="L935" i="8"/>
  <c r="J935" i="8"/>
  <c r="I935" i="8"/>
  <c r="L934" i="8"/>
  <c r="I934" i="8"/>
  <c r="L933" i="8"/>
  <c r="J933" i="8"/>
  <c r="I933" i="8"/>
  <c r="L932" i="8"/>
  <c r="J932" i="8"/>
  <c r="I932" i="8"/>
  <c r="L931" i="8"/>
  <c r="J931" i="8"/>
  <c r="I931" i="8"/>
  <c r="L930" i="8"/>
  <c r="I930" i="8"/>
  <c r="L929" i="8"/>
  <c r="J929" i="8"/>
  <c r="I929" i="8"/>
  <c r="L928" i="8"/>
  <c r="J928" i="8"/>
  <c r="I928" i="8"/>
  <c r="L927" i="8"/>
  <c r="J927" i="8"/>
  <c r="I927" i="8"/>
  <c r="L926" i="8"/>
  <c r="J926" i="8"/>
  <c r="I926" i="8"/>
  <c r="L925" i="8"/>
  <c r="J925" i="8"/>
  <c r="I925" i="8"/>
  <c r="L924" i="8"/>
  <c r="J924" i="8"/>
  <c r="I924" i="8"/>
  <c r="L923" i="8"/>
  <c r="J923" i="8"/>
  <c r="I923" i="8"/>
  <c r="L922" i="8"/>
  <c r="J922" i="8"/>
  <c r="I922" i="8"/>
  <c r="L921" i="8"/>
  <c r="J921" i="8"/>
  <c r="I921" i="8"/>
  <c r="L920" i="8"/>
  <c r="J920" i="8"/>
  <c r="I920" i="8"/>
  <c r="L919" i="8"/>
  <c r="I919" i="8"/>
  <c r="L918" i="8"/>
  <c r="J918" i="8"/>
  <c r="I918" i="8"/>
  <c r="L917" i="8"/>
  <c r="J917" i="8"/>
  <c r="I917" i="8"/>
  <c r="L916" i="8"/>
  <c r="J916" i="8"/>
  <c r="I916" i="8"/>
  <c r="L915" i="8"/>
  <c r="J915" i="8"/>
  <c r="I915" i="8"/>
  <c r="L914" i="8"/>
  <c r="J914" i="8"/>
  <c r="I914" i="8"/>
  <c r="L913" i="8"/>
  <c r="J913" i="8"/>
  <c r="I913" i="8"/>
  <c r="L912" i="8"/>
  <c r="I912" i="8"/>
  <c r="L911" i="8"/>
  <c r="J911" i="8"/>
  <c r="I911" i="8"/>
  <c r="L910" i="8"/>
  <c r="J910" i="8"/>
  <c r="I910" i="8"/>
  <c r="L909" i="8"/>
  <c r="J909" i="8"/>
  <c r="I909" i="8"/>
  <c r="L908" i="8"/>
  <c r="I908" i="8"/>
  <c r="L907" i="8"/>
  <c r="J907" i="8"/>
  <c r="I907" i="8"/>
  <c r="L906" i="8"/>
  <c r="J906" i="8"/>
  <c r="I906" i="8"/>
  <c r="L905" i="8"/>
  <c r="I905" i="8"/>
  <c r="L904" i="8"/>
  <c r="J904" i="8"/>
  <c r="I904" i="8"/>
  <c r="L903" i="8"/>
  <c r="J903" i="8"/>
  <c r="I903" i="8"/>
  <c r="L902" i="8"/>
  <c r="J902" i="8"/>
  <c r="I902" i="8"/>
  <c r="L901" i="8"/>
  <c r="J901" i="8"/>
  <c r="I901" i="8"/>
  <c r="L900" i="8"/>
  <c r="J900" i="8"/>
  <c r="I900" i="8"/>
  <c r="L899" i="8"/>
  <c r="J899" i="8"/>
  <c r="I899" i="8"/>
  <c r="L898" i="8"/>
  <c r="J898" i="8"/>
  <c r="I898" i="8"/>
  <c r="L897" i="8"/>
  <c r="J897" i="8"/>
  <c r="I897" i="8"/>
  <c r="L896" i="8"/>
  <c r="J896" i="8"/>
  <c r="I896" i="8"/>
  <c r="L895" i="8"/>
  <c r="I895" i="8"/>
  <c r="L894" i="8"/>
  <c r="I894" i="8"/>
  <c r="L893" i="8"/>
  <c r="J893" i="8"/>
  <c r="I893" i="8"/>
  <c r="L892" i="8"/>
  <c r="J892" i="8"/>
  <c r="I892" i="8"/>
  <c r="L891" i="8"/>
  <c r="J891" i="8"/>
  <c r="I891" i="8"/>
  <c r="L890" i="8"/>
  <c r="J890" i="8"/>
  <c r="I890" i="8"/>
  <c r="L889" i="8"/>
  <c r="I889" i="8"/>
  <c r="L888" i="8"/>
  <c r="I888" i="8"/>
  <c r="L887" i="8"/>
  <c r="J887" i="8"/>
  <c r="I887" i="8"/>
  <c r="L886" i="8"/>
  <c r="I886" i="8"/>
  <c r="L885" i="8"/>
  <c r="I885" i="8"/>
  <c r="L884" i="8"/>
  <c r="I884" i="8"/>
  <c r="L883" i="8"/>
  <c r="I883" i="8"/>
  <c r="L882" i="8"/>
  <c r="I882" i="8"/>
  <c r="L881" i="8"/>
  <c r="I881" i="8"/>
  <c r="L880" i="8"/>
  <c r="I880" i="8"/>
  <c r="L879" i="8"/>
  <c r="I879" i="8"/>
  <c r="L878" i="8"/>
  <c r="I878" i="8"/>
  <c r="L877" i="8"/>
  <c r="I877" i="8"/>
  <c r="L876" i="8"/>
  <c r="I876" i="8"/>
  <c r="L875" i="8"/>
  <c r="I875" i="8"/>
  <c r="L874" i="8"/>
  <c r="I874" i="8"/>
  <c r="L873" i="8"/>
  <c r="I873" i="8"/>
  <c r="L872" i="8"/>
  <c r="I872" i="8"/>
  <c r="L871" i="8"/>
  <c r="J871" i="8"/>
  <c r="I871" i="8"/>
  <c r="L870" i="8"/>
  <c r="J870" i="8"/>
  <c r="I870" i="8"/>
  <c r="L869" i="8"/>
  <c r="J869" i="8"/>
  <c r="I869" i="8"/>
  <c r="L868" i="8"/>
  <c r="J868" i="8"/>
  <c r="I868" i="8"/>
  <c r="L867" i="8"/>
  <c r="J867" i="8"/>
  <c r="I867" i="8"/>
  <c r="L866" i="8"/>
  <c r="J866" i="8"/>
  <c r="I866" i="8"/>
  <c r="L865" i="8"/>
  <c r="J865" i="8"/>
  <c r="I865" i="8"/>
  <c r="L864" i="8"/>
  <c r="J864" i="8"/>
  <c r="I864" i="8"/>
  <c r="L863" i="8"/>
  <c r="J863" i="8"/>
  <c r="I863" i="8"/>
  <c r="J862" i="8"/>
  <c r="I862" i="8"/>
  <c r="L861" i="8"/>
  <c r="I861" i="8"/>
  <c r="L860" i="8"/>
  <c r="I860" i="8"/>
  <c r="L859" i="8"/>
  <c r="I859" i="8"/>
  <c r="L858" i="8"/>
  <c r="J858" i="8"/>
  <c r="I858" i="8"/>
  <c r="L857" i="8"/>
  <c r="I857" i="8"/>
  <c r="L856" i="8"/>
  <c r="J856" i="8"/>
  <c r="I856" i="8"/>
  <c r="L855" i="8"/>
  <c r="J855" i="8"/>
  <c r="I855" i="8"/>
  <c r="L854" i="8"/>
  <c r="J854" i="8"/>
  <c r="I854" i="8"/>
  <c r="L853" i="8"/>
  <c r="J853" i="8"/>
  <c r="I853" i="8"/>
  <c r="L852" i="8"/>
  <c r="J852" i="8"/>
  <c r="I852" i="8"/>
  <c r="L851" i="8"/>
  <c r="J851" i="8"/>
  <c r="I851" i="8"/>
  <c r="L850" i="8"/>
  <c r="I850" i="8"/>
  <c r="L849" i="8"/>
  <c r="I849" i="8"/>
  <c r="L848" i="8"/>
  <c r="J848" i="8"/>
  <c r="I848" i="8"/>
  <c r="L847" i="8"/>
  <c r="J847" i="8"/>
  <c r="I847" i="8"/>
  <c r="L846" i="8"/>
  <c r="I846" i="8"/>
  <c r="L845" i="8"/>
  <c r="I845" i="8"/>
  <c r="L844" i="8"/>
  <c r="J844" i="8"/>
  <c r="I844" i="8"/>
  <c r="L843" i="8"/>
  <c r="J843" i="8"/>
  <c r="I843" i="8"/>
  <c r="L842" i="8"/>
  <c r="I842" i="8"/>
  <c r="L841" i="8"/>
  <c r="I841" i="8"/>
  <c r="L840" i="8"/>
  <c r="I840" i="8"/>
  <c r="L839" i="8"/>
  <c r="J839" i="8"/>
  <c r="I839" i="8"/>
  <c r="L838" i="8"/>
  <c r="J838" i="8"/>
  <c r="I838" i="8"/>
  <c r="L837" i="8"/>
  <c r="J837" i="8"/>
  <c r="I837" i="8"/>
  <c r="L836" i="8"/>
  <c r="I836" i="8"/>
  <c r="L835" i="8"/>
  <c r="J835" i="8"/>
  <c r="I835" i="8"/>
  <c r="L834" i="8"/>
  <c r="J834" i="8"/>
  <c r="I834" i="8"/>
  <c r="L833" i="8"/>
  <c r="I833" i="8"/>
  <c r="L832" i="8"/>
  <c r="I832" i="8"/>
  <c r="L831" i="8"/>
  <c r="I831" i="8"/>
  <c r="L830" i="8"/>
  <c r="J830" i="8"/>
  <c r="I830" i="8"/>
  <c r="L829" i="8"/>
  <c r="I829" i="8"/>
  <c r="L828" i="8"/>
  <c r="I828" i="8"/>
  <c r="L827" i="8"/>
  <c r="J827" i="8"/>
  <c r="I827" i="8"/>
  <c r="L826" i="8"/>
  <c r="I826" i="8"/>
  <c r="L825" i="8"/>
  <c r="I825" i="8"/>
  <c r="L824" i="8"/>
  <c r="J824" i="8"/>
  <c r="I824" i="8"/>
  <c r="L823" i="8"/>
  <c r="I823" i="8"/>
  <c r="L822" i="8"/>
  <c r="I822" i="8"/>
  <c r="L821" i="8"/>
  <c r="J821" i="8"/>
  <c r="I821" i="8"/>
  <c r="L820" i="8"/>
  <c r="J820" i="8"/>
  <c r="I820" i="8"/>
  <c r="L819" i="8"/>
  <c r="I819" i="8"/>
  <c r="L818" i="8"/>
  <c r="J818" i="8"/>
  <c r="I818" i="8"/>
  <c r="L817" i="8"/>
  <c r="J817" i="8"/>
  <c r="I817" i="8"/>
  <c r="L816" i="8"/>
  <c r="I816" i="8"/>
  <c r="L815" i="8"/>
  <c r="I815" i="8"/>
  <c r="L814" i="8"/>
  <c r="I814" i="8"/>
  <c r="L813" i="8"/>
  <c r="J813" i="8"/>
  <c r="I813" i="8"/>
  <c r="L812" i="8"/>
  <c r="I812" i="8"/>
  <c r="L811" i="8"/>
  <c r="J811" i="8"/>
  <c r="I811" i="8"/>
  <c r="L810" i="8"/>
  <c r="J810" i="8"/>
  <c r="I810" i="8"/>
  <c r="L809" i="8"/>
  <c r="I809" i="8"/>
  <c r="L808" i="8"/>
  <c r="I808" i="8"/>
  <c r="L807" i="8"/>
  <c r="J807" i="8"/>
  <c r="I807" i="8"/>
  <c r="L806" i="8"/>
  <c r="I806" i="8"/>
  <c r="L805" i="8"/>
  <c r="K805" i="8"/>
  <c r="J805" i="8"/>
  <c r="I805" i="8"/>
  <c r="L804" i="8"/>
  <c r="J804" i="8"/>
  <c r="I804" i="8"/>
  <c r="L803" i="8"/>
  <c r="J803" i="8"/>
  <c r="I803" i="8"/>
  <c r="L802" i="8"/>
  <c r="J802" i="8"/>
  <c r="I802" i="8"/>
  <c r="L801" i="8"/>
  <c r="J801" i="8"/>
  <c r="I801" i="8"/>
  <c r="L800" i="8"/>
  <c r="J800" i="8"/>
  <c r="I800" i="8"/>
  <c r="L799" i="8"/>
  <c r="J799" i="8"/>
  <c r="I799" i="8"/>
  <c r="L798" i="8"/>
  <c r="J798" i="8"/>
  <c r="I798" i="8"/>
  <c r="L797" i="8"/>
  <c r="J797" i="8"/>
  <c r="I797" i="8"/>
  <c r="L796" i="8"/>
  <c r="I796" i="8"/>
  <c r="L795" i="8"/>
  <c r="J795" i="8"/>
  <c r="I795" i="8"/>
  <c r="L794" i="8"/>
  <c r="I794" i="8"/>
  <c r="L793" i="8"/>
  <c r="I793" i="8"/>
  <c r="L792" i="8"/>
  <c r="J792" i="8"/>
  <c r="I792" i="8"/>
  <c r="L791" i="8"/>
  <c r="J791" i="8"/>
  <c r="I791" i="8"/>
  <c r="L790" i="8"/>
  <c r="J790" i="8"/>
  <c r="I790" i="8"/>
  <c r="L789" i="8"/>
  <c r="I789" i="8"/>
  <c r="L788" i="8"/>
  <c r="J788" i="8"/>
  <c r="I788" i="8"/>
  <c r="L787" i="8"/>
  <c r="J787" i="8"/>
  <c r="I787" i="8"/>
  <c r="L786" i="8"/>
  <c r="J786" i="8"/>
  <c r="I786" i="8"/>
  <c r="L785" i="8"/>
  <c r="J785" i="8"/>
  <c r="I785" i="8"/>
  <c r="L784" i="8"/>
  <c r="J784" i="8"/>
  <c r="I784" i="8"/>
  <c r="L783" i="8"/>
  <c r="J783" i="8"/>
  <c r="I783" i="8"/>
  <c r="L782" i="8"/>
  <c r="J782" i="8"/>
  <c r="I782" i="8"/>
  <c r="L781" i="8"/>
  <c r="J781" i="8"/>
  <c r="I781" i="8"/>
  <c r="L780" i="8"/>
  <c r="J780" i="8"/>
  <c r="I780" i="8"/>
  <c r="L779" i="8"/>
  <c r="J779" i="8"/>
  <c r="I779" i="8"/>
  <c r="L778" i="8"/>
  <c r="J778" i="8"/>
  <c r="I778" i="8"/>
  <c r="L777" i="8"/>
  <c r="J777" i="8"/>
  <c r="I777" i="8"/>
  <c r="L776" i="8"/>
  <c r="J776" i="8"/>
  <c r="I776" i="8"/>
  <c r="L775" i="8"/>
  <c r="J775" i="8"/>
  <c r="I775" i="8"/>
  <c r="L774" i="8"/>
  <c r="J774" i="8"/>
  <c r="I774" i="8"/>
  <c r="L773" i="8"/>
  <c r="J773" i="8"/>
  <c r="I773" i="8"/>
  <c r="L772" i="8"/>
  <c r="J772" i="8"/>
  <c r="I772" i="8"/>
  <c r="L771" i="8"/>
  <c r="J771" i="8"/>
  <c r="I771" i="8"/>
  <c r="L770" i="8"/>
  <c r="J770" i="8"/>
  <c r="I770" i="8"/>
  <c r="L769" i="8"/>
  <c r="J769" i="8"/>
  <c r="I769" i="8"/>
  <c r="L768" i="8"/>
  <c r="J768" i="8"/>
  <c r="I768" i="8"/>
  <c r="L767" i="8"/>
  <c r="J767" i="8"/>
  <c r="I767" i="8"/>
  <c r="L766" i="8"/>
  <c r="I766" i="8"/>
  <c r="L765" i="8"/>
  <c r="J765" i="8"/>
  <c r="I765" i="8"/>
  <c r="L764" i="8"/>
  <c r="J764" i="8"/>
  <c r="I764" i="8"/>
  <c r="L763" i="8"/>
  <c r="J763" i="8"/>
  <c r="I763" i="8"/>
  <c r="L762" i="8"/>
  <c r="J762" i="8"/>
  <c r="I762" i="8"/>
  <c r="L761" i="8"/>
  <c r="J761" i="8"/>
  <c r="I761" i="8"/>
  <c r="L760" i="8"/>
  <c r="J760" i="8"/>
  <c r="I760" i="8"/>
  <c r="L759" i="8"/>
  <c r="J759" i="8"/>
  <c r="I759" i="8"/>
  <c r="L758" i="8"/>
  <c r="J758" i="8"/>
  <c r="I758" i="8"/>
  <c r="L757" i="8"/>
  <c r="J757" i="8"/>
  <c r="I757" i="8"/>
  <c r="L756" i="8"/>
  <c r="J756" i="8"/>
  <c r="I756" i="8"/>
  <c r="L755" i="8"/>
  <c r="J755" i="8"/>
  <c r="I755" i="8"/>
  <c r="L754" i="8"/>
  <c r="J754" i="8"/>
  <c r="I754" i="8"/>
  <c r="L753" i="8"/>
  <c r="J753" i="8"/>
  <c r="I753" i="8"/>
  <c r="L752" i="8"/>
  <c r="J752" i="8"/>
  <c r="I752" i="8"/>
  <c r="L751" i="8"/>
  <c r="J751" i="8"/>
  <c r="I751" i="8"/>
  <c r="L750" i="8"/>
  <c r="J750" i="8"/>
  <c r="I750" i="8"/>
  <c r="L749" i="8"/>
  <c r="J749" i="8"/>
  <c r="I749" i="8"/>
  <c r="L748" i="8"/>
  <c r="J748" i="8"/>
  <c r="I748" i="8"/>
  <c r="L747" i="8"/>
  <c r="J747" i="8"/>
  <c r="I747" i="8"/>
  <c r="L746" i="8"/>
  <c r="J746" i="8"/>
  <c r="I746" i="8"/>
  <c r="L745" i="8"/>
  <c r="J745" i="8"/>
  <c r="I745" i="8"/>
  <c r="L744" i="8"/>
  <c r="J744" i="8"/>
  <c r="I744" i="8"/>
  <c r="L743" i="8"/>
  <c r="J743" i="8"/>
  <c r="I743" i="8"/>
  <c r="L742" i="8"/>
  <c r="J742" i="8"/>
  <c r="I742" i="8"/>
  <c r="L741" i="8"/>
  <c r="J741" i="8"/>
  <c r="I741" i="8"/>
  <c r="L740" i="8"/>
  <c r="J740" i="8"/>
  <c r="I740" i="8"/>
  <c r="L739" i="8"/>
  <c r="J739" i="8"/>
  <c r="I739" i="8"/>
  <c r="L738" i="8"/>
  <c r="J738" i="8"/>
  <c r="I738" i="8"/>
  <c r="L737" i="8"/>
  <c r="J737" i="8"/>
  <c r="I737" i="8"/>
  <c r="L736" i="8"/>
  <c r="J736" i="8"/>
  <c r="I736" i="8"/>
  <c r="L735" i="8"/>
  <c r="J735" i="8"/>
  <c r="I735" i="8"/>
  <c r="L734" i="8"/>
  <c r="J734" i="8"/>
  <c r="I734" i="8"/>
  <c r="L733" i="8"/>
  <c r="J733" i="8"/>
  <c r="I733" i="8"/>
  <c r="L732" i="8"/>
  <c r="J732" i="8"/>
  <c r="I732" i="8"/>
  <c r="L731" i="8"/>
  <c r="J731" i="8"/>
  <c r="I731" i="8"/>
  <c r="L730" i="8"/>
  <c r="J730" i="8"/>
  <c r="I730" i="8"/>
  <c r="L729" i="8"/>
  <c r="J729" i="8"/>
  <c r="I729" i="8"/>
  <c r="L728" i="8"/>
  <c r="J728" i="8"/>
  <c r="I728" i="8"/>
  <c r="L727" i="8"/>
  <c r="J727" i="8"/>
  <c r="I727" i="8"/>
  <c r="L726" i="8"/>
  <c r="J726" i="8"/>
  <c r="I726" i="8"/>
  <c r="L725" i="8"/>
  <c r="J725" i="8"/>
  <c r="I725" i="8"/>
  <c r="L724" i="8"/>
  <c r="J724" i="8"/>
  <c r="I724" i="8"/>
  <c r="L723" i="8"/>
  <c r="J723" i="8"/>
  <c r="I723" i="8"/>
  <c r="L722" i="8"/>
  <c r="J722" i="8"/>
  <c r="I722" i="8"/>
  <c r="L721" i="8"/>
  <c r="J721" i="8"/>
  <c r="I721" i="8"/>
  <c r="L720" i="8"/>
  <c r="J720" i="8"/>
  <c r="I720" i="8"/>
  <c r="L719" i="8"/>
  <c r="J719" i="8"/>
  <c r="I719" i="8"/>
  <c r="L718" i="8"/>
  <c r="J718" i="8"/>
  <c r="I718" i="8"/>
  <c r="L717" i="8"/>
  <c r="J717" i="8"/>
  <c r="I717" i="8"/>
  <c r="L716" i="8"/>
  <c r="J716" i="8"/>
  <c r="I716" i="8"/>
  <c r="L715" i="8"/>
  <c r="J715" i="8"/>
  <c r="I715" i="8"/>
  <c r="L714" i="8"/>
  <c r="J714" i="8"/>
  <c r="I714" i="8"/>
  <c r="L713" i="8"/>
  <c r="J713" i="8"/>
  <c r="I713" i="8"/>
  <c r="L712" i="8"/>
  <c r="J712" i="8"/>
  <c r="I712" i="8"/>
  <c r="L711" i="8"/>
  <c r="J711" i="8"/>
  <c r="I711" i="8"/>
  <c r="L710" i="8"/>
  <c r="J710" i="8"/>
  <c r="I710" i="8"/>
  <c r="L709" i="8"/>
  <c r="J709" i="8"/>
  <c r="I709" i="8"/>
  <c r="L708" i="8"/>
  <c r="J708" i="8"/>
  <c r="I708" i="8"/>
  <c r="L707" i="8"/>
  <c r="J707" i="8"/>
  <c r="I707" i="8"/>
  <c r="L706" i="8"/>
  <c r="J706" i="8"/>
  <c r="I706" i="8"/>
  <c r="L705" i="8"/>
  <c r="J705" i="8"/>
  <c r="I705" i="8"/>
  <c r="L704" i="8"/>
  <c r="J704" i="8"/>
  <c r="I704" i="8"/>
  <c r="L703" i="8"/>
  <c r="J703" i="8"/>
  <c r="I703" i="8"/>
  <c r="L702" i="8"/>
  <c r="J702" i="8"/>
  <c r="I702" i="8"/>
  <c r="L701" i="8"/>
  <c r="J701" i="8"/>
  <c r="I701" i="8"/>
  <c r="L700" i="8"/>
  <c r="J700" i="8"/>
  <c r="I700" i="8"/>
  <c r="L699" i="8"/>
  <c r="J699" i="8"/>
  <c r="I699" i="8"/>
  <c r="L698" i="8"/>
  <c r="J698" i="8"/>
  <c r="I698" i="8"/>
  <c r="L697" i="8"/>
  <c r="J697" i="8"/>
  <c r="I697" i="8"/>
  <c r="L696" i="8"/>
  <c r="J696" i="8"/>
  <c r="I696" i="8"/>
  <c r="L695" i="8"/>
  <c r="J695" i="8"/>
  <c r="I695" i="8"/>
  <c r="L694" i="8"/>
  <c r="J694" i="8"/>
  <c r="I694" i="8"/>
  <c r="L693" i="8"/>
  <c r="J693" i="8"/>
  <c r="I693" i="8"/>
  <c r="L692" i="8"/>
  <c r="J692" i="8"/>
  <c r="I692" i="8"/>
  <c r="L691" i="8"/>
  <c r="J691" i="8"/>
  <c r="I691" i="8"/>
  <c r="L690" i="8"/>
  <c r="J690" i="8"/>
  <c r="I690" i="8"/>
  <c r="L689" i="8"/>
  <c r="J689" i="8"/>
  <c r="I689" i="8"/>
  <c r="L688" i="8"/>
  <c r="J688" i="8"/>
  <c r="I688" i="8"/>
  <c r="L687" i="8"/>
  <c r="J687" i="8"/>
  <c r="I687" i="8"/>
  <c r="L686" i="8"/>
  <c r="J686" i="8"/>
  <c r="I686" i="8"/>
  <c r="L685" i="8"/>
  <c r="J685" i="8"/>
  <c r="I685" i="8"/>
  <c r="L684" i="8"/>
  <c r="J684" i="8"/>
  <c r="I684" i="8"/>
  <c r="L683" i="8"/>
  <c r="J683" i="8"/>
  <c r="I683" i="8"/>
  <c r="L682" i="8"/>
  <c r="J682" i="8"/>
  <c r="I682" i="8"/>
  <c r="L681" i="8"/>
  <c r="J681" i="8"/>
  <c r="I681" i="8"/>
  <c r="L680" i="8"/>
  <c r="J680" i="8"/>
  <c r="I680" i="8"/>
  <c r="L679" i="8"/>
  <c r="J679" i="8"/>
  <c r="I679" i="8"/>
  <c r="L678" i="8"/>
  <c r="J678" i="8"/>
  <c r="I678" i="8"/>
  <c r="L677" i="8"/>
  <c r="J677" i="8"/>
  <c r="I677" i="8"/>
  <c r="L676" i="8"/>
  <c r="J676" i="8"/>
  <c r="I676" i="8"/>
  <c r="L675" i="8"/>
  <c r="J675" i="8"/>
  <c r="I675" i="8"/>
  <c r="L674" i="8"/>
  <c r="J674" i="8"/>
  <c r="I674" i="8"/>
  <c r="L673" i="8"/>
  <c r="I673" i="8"/>
  <c r="L672" i="8"/>
  <c r="J672" i="8"/>
  <c r="I672" i="8"/>
  <c r="L671" i="8"/>
  <c r="J671" i="8"/>
  <c r="I671" i="8"/>
  <c r="L670" i="8"/>
  <c r="J670" i="8"/>
  <c r="I670" i="8"/>
  <c r="L669" i="8"/>
  <c r="J669" i="8"/>
  <c r="I669" i="8"/>
  <c r="L668" i="8"/>
  <c r="J668" i="8"/>
  <c r="I668" i="8"/>
  <c r="L667" i="8"/>
  <c r="J667" i="8"/>
  <c r="I667" i="8"/>
  <c r="L666" i="8"/>
  <c r="J666" i="8"/>
  <c r="I666" i="8"/>
  <c r="L665" i="8"/>
  <c r="J665" i="8"/>
  <c r="I665" i="8"/>
  <c r="L664" i="8"/>
  <c r="J664" i="8"/>
  <c r="I664" i="8"/>
  <c r="L663" i="8"/>
  <c r="J663" i="8"/>
  <c r="I663" i="8"/>
  <c r="L662" i="8"/>
  <c r="I662" i="8"/>
  <c r="L661" i="8"/>
  <c r="J661" i="8"/>
  <c r="I661" i="8"/>
  <c r="L660" i="8"/>
  <c r="J660" i="8"/>
  <c r="I660" i="8"/>
  <c r="L659" i="8"/>
  <c r="I659" i="8"/>
  <c r="L658" i="8"/>
  <c r="I658" i="8"/>
  <c r="L657" i="8"/>
  <c r="I657" i="8"/>
  <c r="L656" i="8"/>
  <c r="J656" i="8"/>
  <c r="I656" i="8"/>
  <c r="L655" i="8"/>
  <c r="J655" i="8"/>
  <c r="I655" i="8"/>
  <c r="L654" i="8"/>
  <c r="J654" i="8"/>
  <c r="I654" i="8"/>
  <c r="L653" i="8"/>
  <c r="I653" i="8"/>
  <c r="L652" i="8"/>
  <c r="J652" i="8"/>
  <c r="I652" i="8"/>
  <c r="L651" i="8"/>
  <c r="I651" i="8"/>
  <c r="L650" i="8"/>
  <c r="I650" i="8"/>
  <c r="L649" i="8"/>
  <c r="I649" i="8"/>
  <c r="L648" i="8"/>
  <c r="J648" i="8"/>
  <c r="I648" i="8"/>
  <c r="L647" i="8"/>
  <c r="I647" i="8"/>
  <c r="L646" i="8"/>
  <c r="I646" i="8"/>
  <c r="L645" i="8"/>
  <c r="J645" i="8"/>
  <c r="I645" i="8"/>
  <c r="L644" i="8"/>
  <c r="I644" i="8"/>
  <c r="L643" i="8"/>
  <c r="J643" i="8"/>
  <c r="I643" i="8"/>
  <c r="L642" i="8"/>
  <c r="J642" i="8"/>
  <c r="I642" i="8"/>
  <c r="L641" i="8"/>
  <c r="J641" i="8"/>
  <c r="I641" i="8"/>
  <c r="L640" i="8"/>
  <c r="J640" i="8"/>
  <c r="I640" i="8"/>
  <c r="L639" i="8"/>
  <c r="I639" i="8"/>
  <c r="L638" i="8"/>
  <c r="I638" i="8"/>
  <c r="L637" i="8"/>
  <c r="J637" i="8"/>
  <c r="I637" i="8"/>
  <c r="L636" i="8"/>
  <c r="I636" i="8"/>
  <c r="L635" i="8"/>
  <c r="J635" i="8"/>
  <c r="I635" i="8"/>
  <c r="L634" i="8"/>
  <c r="I634" i="8"/>
  <c r="L633" i="8"/>
  <c r="I633" i="8"/>
  <c r="L632" i="8"/>
  <c r="I632" i="8"/>
  <c r="L631" i="8"/>
  <c r="I631" i="8"/>
  <c r="L630" i="8"/>
  <c r="I630" i="8"/>
  <c r="L629" i="8"/>
  <c r="I629" i="8"/>
  <c r="L628" i="8"/>
  <c r="J628" i="8"/>
  <c r="I628" i="8"/>
  <c r="L627" i="8"/>
  <c r="J627" i="8"/>
  <c r="I627" i="8"/>
  <c r="L626" i="8"/>
  <c r="I626" i="8"/>
  <c r="L625" i="8"/>
  <c r="I625" i="8"/>
  <c r="L624" i="8"/>
  <c r="J624" i="8"/>
  <c r="I624" i="8"/>
  <c r="L623" i="8"/>
  <c r="J623" i="8"/>
  <c r="I623" i="8"/>
  <c r="L622" i="8"/>
  <c r="I622" i="8"/>
  <c r="L621" i="8"/>
  <c r="J621" i="8"/>
  <c r="I621" i="8"/>
  <c r="L620" i="8"/>
  <c r="J620" i="8"/>
  <c r="I620" i="8"/>
  <c r="L619" i="8"/>
  <c r="J619" i="8"/>
  <c r="I619" i="8"/>
  <c r="L618" i="8"/>
  <c r="J618" i="8"/>
  <c r="I618" i="8"/>
  <c r="L617" i="8"/>
  <c r="J617" i="8"/>
  <c r="I617" i="8"/>
  <c r="L616" i="8"/>
  <c r="I616" i="8"/>
  <c r="L615" i="8"/>
  <c r="J615" i="8"/>
  <c r="I615" i="8"/>
  <c r="L614" i="8"/>
  <c r="J614" i="8"/>
  <c r="I614" i="8"/>
  <c r="L613" i="8"/>
  <c r="J613" i="8"/>
  <c r="I613" i="8"/>
  <c r="L612" i="8"/>
  <c r="I612" i="8"/>
  <c r="L611" i="8"/>
  <c r="J611" i="8"/>
  <c r="I611" i="8"/>
  <c r="L610" i="8"/>
  <c r="J610" i="8"/>
  <c r="I610" i="8"/>
  <c r="L609" i="8"/>
  <c r="I609" i="8"/>
  <c r="L608" i="8"/>
  <c r="I608" i="8"/>
  <c r="L607" i="8"/>
  <c r="J607" i="8"/>
  <c r="I607" i="8"/>
  <c r="L606" i="8"/>
  <c r="I606" i="8"/>
  <c r="L605" i="8"/>
  <c r="I605" i="8"/>
  <c r="L604" i="8"/>
  <c r="I604" i="8"/>
  <c r="L603" i="8"/>
  <c r="J603" i="8"/>
  <c r="I603" i="8"/>
  <c r="L602" i="8"/>
  <c r="I602" i="8"/>
  <c r="L601" i="8"/>
  <c r="I601" i="8"/>
  <c r="L600" i="8"/>
  <c r="J600" i="8"/>
  <c r="I600" i="8"/>
  <c r="L599" i="8"/>
  <c r="J599" i="8"/>
  <c r="I599" i="8"/>
  <c r="L598" i="8"/>
  <c r="J598" i="8"/>
  <c r="I598" i="8"/>
  <c r="L597" i="8"/>
  <c r="I597" i="8"/>
  <c r="L596" i="8"/>
  <c r="J596" i="8"/>
  <c r="I596" i="8"/>
  <c r="L595" i="8"/>
  <c r="I595" i="8"/>
  <c r="L594" i="8"/>
  <c r="I594" i="8"/>
  <c r="L593" i="8"/>
  <c r="J593" i="8"/>
  <c r="I593" i="8"/>
  <c r="L592" i="8"/>
  <c r="J592" i="8"/>
  <c r="I592" i="8"/>
  <c r="L591" i="8"/>
  <c r="J591" i="8"/>
  <c r="I591" i="8"/>
  <c r="L590" i="8"/>
  <c r="J590" i="8"/>
  <c r="I590" i="8"/>
  <c r="L589" i="8"/>
  <c r="J589" i="8"/>
  <c r="I589" i="8"/>
  <c r="L588" i="8"/>
  <c r="J588" i="8"/>
  <c r="I588" i="8"/>
  <c r="L587" i="8"/>
  <c r="J587" i="8"/>
  <c r="I587" i="8"/>
  <c r="L586" i="8"/>
  <c r="J586" i="8"/>
  <c r="I586" i="8"/>
  <c r="L585" i="8"/>
  <c r="J585" i="8"/>
  <c r="I585" i="8"/>
  <c r="L584" i="8"/>
  <c r="I584" i="8"/>
  <c r="L583" i="8"/>
  <c r="J583" i="8"/>
  <c r="I583" i="8"/>
  <c r="L582" i="8"/>
  <c r="J582" i="8"/>
  <c r="I582" i="8"/>
  <c r="L581" i="8"/>
  <c r="J581" i="8"/>
  <c r="I581" i="8"/>
  <c r="L580" i="8"/>
  <c r="I580" i="8"/>
  <c r="L579" i="8"/>
  <c r="I579" i="8"/>
  <c r="L578" i="8"/>
  <c r="I578" i="8"/>
  <c r="L577" i="8"/>
  <c r="J577" i="8"/>
  <c r="I577" i="8"/>
  <c r="L576" i="8"/>
  <c r="J576" i="8"/>
  <c r="I576" i="8"/>
  <c r="L575" i="8"/>
  <c r="J575" i="8"/>
  <c r="I575" i="8"/>
  <c r="L574" i="8"/>
  <c r="I574" i="8"/>
  <c r="L573" i="8"/>
  <c r="I573" i="8"/>
  <c r="L572" i="8"/>
  <c r="I572" i="8"/>
  <c r="L571" i="8"/>
  <c r="I571" i="8"/>
  <c r="L570" i="8"/>
  <c r="I570" i="8"/>
  <c r="L569" i="8"/>
  <c r="J569" i="8"/>
  <c r="I569" i="8"/>
  <c r="L568" i="8"/>
  <c r="J568" i="8"/>
  <c r="I568" i="8"/>
  <c r="L567" i="8"/>
  <c r="I567" i="8"/>
  <c r="L566" i="8"/>
  <c r="I566" i="8"/>
  <c r="L565" i="8"/>
  <c r="J565" i="8"/>
  <c r="I565" i="8"/>
  <c r="L564" i="8"/>
  <c r="J564" i="8"/>
  <c r="I564" i="8"/>
  <c r="L563" i="8"/>
  <c r="J563" i="8"/>
  <c r="I563" i="8"/>
  <c r="L562" i="8"/>
  <c r="J562" i="8"/>
  <c r="I562" i="8"/>
  <c r="L561" i="8"/>
  <c r="J561" i="8"/>
  <c r="I561" i="8"/>
  <c r="L560" i="8"/>
  <c r="J560" i="8"/>
  <c r="I560" i="8"/>
  <c r="L559" i="8"/>
  <c r="I559" i="8"/>
  <c r="L558" i="8"/>
  <c r="J558" i="8"/>
  <c r="I558" i="8"/>
  <c r="L557" i="8"/>
  <c r="J557" i="8"/>
  <c r="I557" i="8"/>
  <c r="L556" i="8"/>
  <c r="J556" i="8"/>
  <c r="I556" i="8"/>
  <c r="L555" i="8"/>
  <c r="J555" i="8"/>
  <c r="I555" i="8"/>
  <c r="L554" i="8"/>
  <c r="I554" i="8"/>
  <c r="L553" i="8"/>
  <c r="J553" i="8"/>
  <c r="I553" i="8"/>
  <c r="L552" i="8"/>
  <c r="I552" i="8"/>
  <c r="L551" i="8"/>
  <c r="J551" i="8"/>
  <c r="I551" i="8"/>
  <c r="L550" i="8"/>
  <c r="I550" i="8"/>
  <c r="L549" i="8"/>
  <c r="I549" i="8"/>
  <c r="L548" i="8"/>
  <c r="J548" i="8"/>
  <c r="I548" i="8"/>
  <c r="L547" i="8"/>
  <c r="J547" i="8"/>
  <c r="I547" i="8"/>
  <c r="L546" i="8"/>
  <c r="J546" i="8"/>
  <c r="I546" i="8"/>
  <c r="L545" i="8"/>
  <c r="J545" i="8"/>
  <c r="I545" i="8"/>
  <c r="L544" i="8"/>
  <c r="J544" i="8"/>
  <c r="I544" i="8"/>
  <c r="L543" i="8"/>
  <c r="I543" i="8"/>
  <c r="L542" i="8"/>
  <c r="I542" i="8"/>
  <c r="L541" i="8"/>
  <c r="J541" i="8"/>
  <c r="I541" i="8"/>
  <c r="L540" i="8"/>
  <c r="I540" i="8"/>
  <c r="L539" i="8"/>
  <c r="J539" i="8"/>
  <c r="I539" i="8"/>
  <c r="L538" i="8"/>
  <c r="I538" i="8"/>
  <c r="L537" i="8"/>
  <c r="J537" i="8"/>
  <c r="I537" i="8"/>
  <c r="L536" i="8"/>
  <c r="I536" i="8"/>
  <c r="L535" i="8"/>
  <c r="J535" i="8"/>
  <c r="I535" i="8"/>
  <c r="L534" i="8"/>
  <c r="J534" i="8"/>
  <c r="I534" i="8"/>
  <c r="L533" i="8"/>
  <c r="J533" i="8"/>
  <c r="I533" i="8"/>
  <c r="L532" i="8"/>
  <c r="J532" i="8"/>
  <c r="I532" i="8"/>
  <c r="L531" i="8"/>
  <c r="I531" i="8"/>
  <c r="L530" i="8"/>
  <c r="I530" i="8"/>
  <c r="L529" i="8"/>
  <c r="J529" i="8"/>
  <c r="I529" i="8"/>
  <c r="L528" i="8"/>
  <c r="J528" i="8"/>
  <c r="I528" i="8"/>
  <c r="L527" i="8"/>
  <c r="J527" i="8"/>
  <c r="I527" i="8"/>
  <c r="L526" i="8"/>
  <c r="J526" i="8"/>
  <c r="I526" i="8"/>
  <c r="L525" i="8"/>
  <c r="J525" i="8"/>
  <c r="I525" i="8"/>
  <c r="L524" i="8"/>
  <c r="J524" i="8"/>
  <c r="I524" i="8"/>
  <c r="L523" i="8"/>
  <c r="J523" i="8"/>
  <c r="I523" i="8"/>
  <c r="L522" i="8"/>
  <c r="I522" i="8"/>
  <c r="L521" i="8"/>
  <c r="I521" i="8"/>
  <c r="L520" i="8"/>
  <c r="I520" i="8"/>
  <c r="L519" i="8"/>
  <c r="J519" i="8"/>
  <c r="I519" i="8"/>
  <c r="L518" i="8"/>
  <c r="J518" i="8"/>
  <c r="I518" i="8"/>
  <c r="L517" i="8"/>
  <c r="J517" i="8"/>
  <c r="I517" i="8"/>
  <c r="L516" i="8"/>
  <c r="I516" i="8"/>
  <c r="L515" i="8"/>
  <c r="I515" i="8"/>
  <c r="L514" i="8"/>
  <c r="J514" i="8"/>
  <c r="I514" i="8"/>
  <c r="L513" i="8"/>
  <c r="J513" i="8"/>
  <c r="I513" i="8"/>
  <c r="L512" i="8"/>
  <c r="J512" i="8"/>
  <c r="I512" i="8"/>
  <c r="L511" i="8"/>
  <c r="I511" i="8"/>
  <c r="L510" i="8"/>
  <c r="J510" i="8"/>
  <c r="I510" i="8"/>
  <c r="L509" i="8"/>
  <c r="I509" i="8"/>
  <c r="L508" i="8"/>
  <c r="J508" i="8"/>
  <c r="I508" i="8"/>
  <c r="L507" i="8"/>
  <c r="I507" i="8"/>
  <c r="L506" i="8"/>
  <c r="I506" i="8"/>
  <c r="L505" i="8"/>
  <c r="I505" i="8"/>
  <c r="L504" i="8"/>
  <c r="J504" i="8"/>
  <c r="I504" i="8"/>
  <c r="L503" i="8"/>
  <c r="I503" i="8"/>
  <c r="L502" i="8"/>
  <c r="I502" i="8"/>
  <c r="L501" i="8"/>
  <c r="I501" i="8"/>
  <c r="L500" i="8"/>
  <c r="I500" i="8"/>
  <c r="L499" i="8"/>
  <c r="I499" i="8"/>
  <c r="L498" i="8"/>
  <c r="J498" i="8"/>
  <c r="I498" i="8"/>
  <c r="L497" i="8"/>
  <c r="J497" i="8"/>
  <c r="I497" i="8"/>
  <c r="L496" i="8"/>
  <c r="J496" i="8"/>
  <c r="I496" i="8"/>
  <c r="L495" i="8"/>
  <c r="J495" i="8"/>
  <c r="I495" i="8"/>
  <c r="J494" i="8"/>
  <c r="I494" i="8"/>
  <c r="L493" i="8"/>
  <c r="I493" i="8"/>
  <c r="L492" i="8"/>
  <c r="I492" i="8"/>
  <c r="L491" i="8"/>
  <c r="J491" i="8"/>
  <c r="I491" i="8"/>
  <c r="L490" i="8"/>
  <c r="I490" i="8"/>
  <c r="L489" i="8"/>
  <c r="J489" i="8"/>
  <c r="I489" i="8"/>
  <c r="L488" i="8"/>
  <c r="J488" i="8"/>
  <c r="I488" i="8"/>
  <c r="L487" i="8"/>
  <c r="J487" i="8"/>
  <c r="I487" i="8"/>
  <c r="L486" i="8"/>
  <c r="I486" i="8"/>
  <c r="L485" i="8"/>
  <c r="J485" i="8"/>
  <c r="I485" i="8"/>
  <c r="L484" i="8"/>
  <c r="I484" i="8"/>
  <c r="L483" i="8"/>
  <c r="J483" i="8"/>
  <c r="I483" i="8"/>
  <c r="L482" i="8"/>
  <c r="I482" i="8"/>
  <c r="L481" i="8"/>
  <c r="J481" i="8"/>
  <c r="I481" i="8"/>
  <c r="L480" i="8"/>
  <c r="I480" i="8"/>
  <c r="L479" i="8"/>
  <c r="I479" i="8"/>
  <c r="L478" i="8"/>
  <c r="J478" i="8"/>
  <c r="I478" i="8"/>
  <c r="L477" i="8"/>
  <c r="J477" i="8"/>
  <c r="I477" i="8"/>
  <c r="L476" i="8"/>
  <c r="I476" i="8"/>
  <c r="L475" i="8"/>
  <c r="J475" i="8"/>
  <c r="I475" i="8"/>
  <c r="L474" i="8"/>
  <c r="J474" i="8"/>
  <c r="I474" i="8"/>
  <c r="L473" i="8"/>
  <c r="J473" i="8"/>
  <c r="I473" i="8"/>
  <c r="L472" i="8"/>
  <c r="J472" i="8"/>
  <c r="I472" i="8"/>
  <c r="L471" i="8"/>
  <c r="J471" i="8"/>
  <c r="I471" i="8"/>
  <c r="L470" i="8"/>
  <c r="J470" i="8"/>
  <c r="I470" i="8"/>
  <c r="L469" i="8"/>
  <c r="J469" i="8"/>
  <c r="I469" i="8"/>
  <c r="L468" i="8"/>
  <c r="J468" i="8"/>
  <c r="I468" i="8"/>
  <c r="L467" i="8"/>
  <c r="J467" i="8"/>
  <c r="I467" i="8"/>
  <c r="L466" i="8"/>
  <c r="I466" i="8"/>
  <c r="L465" i="8"/>
  <c r="J465" i="8"/>
  <c r="I465" i="8"/>
  <c r="L464" i="8"/>
  <c r="I464" i="8"/>
  <c r="L463" i="8"/>
  <c r="J463" i="8"/>
  <c r="I463" i="8"/>
  <c r="L462" i="8"/>
  <c r="I462" i="8"/>
  <c r="L461" i="8"/>
  <c r="I461" i="8"/>
  <c r="L460" i="8"/>
  <c r="J460" i="8"/>
  <c r="I460" i="8"/>
  <c r="L459" i="8"/>
  <c r="J459" i="8"/>
  <c r="I459" i="8"/>
  <c r="L458" i="8"/>
  <c r="I458" i="8"/>
  <c r="L457" i="8"/>
  <c r="J457" i="8"/>
  <c r="I457" i="8"/>
  <c r="L456" i="8"/>
  <c r="J456" i="8"/>
  <c r="I456" i="8"/>
  <c r="L455" i="8"/>
  <c r="J455" i="8"/>
  <c r="I455" i="8"/>
  <c r="L454" i="8"/>
  <c r="J454" i="8"/>
  <c r="I454" i="8"/>
  <c r="L453" i="8"/>
  <c r="J453" i="8"/>
  <c r="I453" i="8"/>
  <c r="L452" i="8"/>
  <c r="J452" i="8"/>
  <c r="I452" i="8"/>
  <c r="L451" i="8"/>
  <c r="I451" i="8"/>
  <c r="L450" i="8"/>
  <c r="J450" i="8"/>
  <c r="I450" i="8"/>
  <c r="L449" i="8"/>
  <c r="J449" i="8"/>
  <c r="I449" i="8"/>
  <c r="L448" i="8"/>
  <c r="I448" i="8"/>
  <c r="L447" i="8"/>
  <c r="J447" i="8"/>
  <c r="I447" i="8"/>
  <c r="L446" i="8"/>
  <c r="I446" i="8"/>
  <c r="L445" i="8"/>
  <c r="I445" i="8"/>
  <c r="L444" i="8"/>
  <c r="J444" i="8"/>
  <c r="I444" i="8"/>
  <c r="L443" i="8"/>
  <c r="J443" i="8"/>
  <c r="I443" i="8"/>
  <c r="L442" i="8"/>
  <c r="I442" i="8"/>
  <c r="L441" i="8"/>
  <c r="I441" i="8"/>
  <c r="L440" i="8"/>
  <c r="J440" i="8"/>
  <c r="I440" i="8"/>
  <c r="L439" i="8"/>
  <c r="J439" i="8"/>
  <c r="I439" i="8"/>
  <c r="L438" i="8"/>
  <c r="I438" i="8"/>
  <c r="L437" i="8"/>
  <c r="J437" i="8"/>
  <c r="I437" i="8"/>
  <c r="L436" i="8"/>
  <c r="J436" i="8"/>
  <c r="I436" i="8"/>
  <c r="L435" i="8"/>
  <c r="J435" i="8"/>
  <c r="I435" i="8"/>
  <c r="L434" i="8"/>
  <c r="I434" i="8"/>
  <c r="L433" i="8"/>
  <c r="I433" i="8"/>
  <c r="L432" i="8"/>
  <c r="J432" i="8"/>
  <c r="I432" i="8"/>
  <c r="L431" i="8"/>
  <c r="J431" i="8"/>
  <c r="I431" i="8"/>
  <c r="L430" i="8"/>
  <c r="I430" i="8"/>
  <c r="L429" i="8"/>
  <c r="I429" i="8"/>
  <c r="L428" i="8"/>
  <c r="I428" i="8"/>
  <c r="L427" i="8"/>
  <c r="J427" i="8"/>
  <c r="I427" i="8"/>
  <c r="L426" i="8"/>
  <c r="J426" i="8"/>
  <c r="I426" i="8"/>
  <c r="L425" i="8"/>
  <c r="J425" i="8"/>
  <c r="I425" i="8"/>
  <c r="L424" i="8"/>
  <c r="I424" i="8"/>
  <c r="L423" i="8"/>
  <c r="I423" i="8"/>
  <c r="L422" i="8"/>
  <c r="J422" i="8"/>
  <c r="I422" i="8"/>
  <c r="L421" i="8"/>
  <c r="J421" i="8"/>
  <c r="I421" i="8"/>
  <c r="L420" i="8"/>
  <c r="J420" i="8"/>
  <c r="I420" i="8"/>
  <c r="L419" i="8"/>
  <c r="J419" i="8"/>
  <c r="I419" i="8"/>
  <c r="L418" i="8"/>
  <c r="J418" i="8"/>
  <c r="I418" i="8"/>
  <c r="L417" i="8"/>
  <c r="I417" i="8"/>
  <c r="L416" i="8"/>
  <c r="J416" i="8"/>
  <c r="I416" i="8"/>
  <c r="L415" i="8"/>
  <c r="J415" i="8"/>
  <c r="I415" i="8"/>
  <c r="L414" i="8"/>
  <c r="J414" i="8"/>
  <c r="I414" i="8"/>
  <c r="L413" i="8"/>
  <c r="J413" i="8"/>
  <c r="I413" i="8"/>
  <c r="L412" i="8"/>
  <c r="J412" i="8"/>
  <c r="I412" i="8"/>
  <c r="L411" i="8"/>
  <c r="J411" i="8"/>
  <c r="I411" i="8"/>
  <c r="L410" i="8"/>
  <c r="J410" i="8"/>
  <c r="I410" i="8"/>
  <c r="L409" i="8"/>
  <c r="J409" i="8"/>
  <c r="I409" i="8"/>
  <c r="L408" i="8"/>
  <c r="I408" i="8"/>
  <c r="L407" i="8"/>
  <c r="I407" i="8"/>
  <c r="L406" i="8"/>
  <c r="J406" i="8"/>
  <c r="I406" i="8"/>
  <c r="L405" i="8"/>
  <c r="J405" i="8"/>
  <c r="I405" i="8"/>
  <c r="L404" i="8"/>
  <c r="I404" i="8"/>
  <c r="L403" i="8"/>
  <c r="J403" i="8"/>
  <c r="I403" i="8"/>
  <c r="L402" i="8"/>
  <c r="J402" i="8"/>
  <c r="I402" i="8"/>
  <c r="L401" i="8"/>
  <c r="J401" i="8"/>
  <c r="I401" i="8"/>
  <c r="L400" i="8"/>
  <c r="I400" i="8"/>
  <c r="L399" i="8"/>
  <c r="I399" i="8"/>
  <c r="L398" i="8"/>
  <c r="I398" i="8"/>
  <c r="L397" i="8"/>
  <c r="I397" i="8"/>
  <c r="L396" i="8"/>
  <c r="I396" i="8"/>
  <c r="L395" i="8"/>
  <c r="J395" i="8"/>
  <c r="I395" i="8"/>
  <c r="L394" i="8"/>
  <c r="J394" i="8"/>
  <c r="I394" i="8"/>
  <c r="L393" i="8"/>
  <c r="J393" i="8"/>
  <c r="I393" i="8"/>
  <c r="L392" i="8"/>
  <c r="J392" i="8"/>
  <c r="I392" i="8"/>
  <c r="L391" i="8"/>
  <c r="J391" i="8"/>
  <c r="I391" i="8"/>
  <c r="L390" i="8"/>
  <c r="J390" i="8"/>
  <c r="I390" i="8"/>
  <c r="L389" i="8"/>
  <c r="J389" i="8"/>
  <c r="I389" i="8"/>
  <c r="L388" i="8"/>
  <c r="J388" i="8"/>
  <c r="I388" i="8"/>
  <c r="L387" i="8"/>
  <c r="I387" i="8"/>
  <c r="L386" i="8"/>
  <c r="J386" i="8"/>
  <c r="I386" i="8"/>
  <c r="L385" i="8"/>
  <c r="J385" i="8"/>
  <c r="I385" i="8"/>
  <c r="L384" i="8"/>
  <c r="J384" i="8"/>
  <c r="I384" i="8"/>
  <c r="L383" i="8"/>
  <c r="J383" i="8"/>
  <c r="I383" i="8"/>
  <c r="L382" i="8"/>
  <c r="J382" i="8"/>
  <c r="I382" i="8"/>
  <c r="L381" i="8"/>
  <c r="I381" i="8"/>
  <c r="L380" i="8"/>
  <c r="J380" i="8"/>
  <c r="I380" i="8"/>
  <c r="L379" i="8"/>
  <c r="I379" i="8"/>
  <c r="L378" i="8"/>
  <c r="J378" i="8"/>
  <c r="I378" i="8"/>
  <c r="L377" i="8"/>
  <c r="I377" i="8"/>
  <c r="L376" i="8"/>
  <c r="I376" i="8"/>
  <c r="L375" i="8"/>
  <c r="J375" i="8"/>
  <c r="I375" i="8"/>
  <c r="L374" i="8"/>
  <c r="J374" i="8"/>
  <c r="I374" i="8"/>
  <c r="L373" i="8"/>
  <c r="J373" i="8"/>
  <c r="I373" i="8"/>
  <c r="L372" i="8"/>
  <c r="J372" i="8"/>
  <c r="I372" i="8"/>
  <c r="L371" i="8"/>
  <c r="I371" i="8"/>
  <c r="L370" i="8"/>
  <c r="J370" i="8"/>
  <c r="I370" i="8"/>
  <c r="L369" i="8"/>
  <c r="J369" i="8"/>
  <c r="I369" i="8"/>
  <c r="L368" i="8"/>
  <c r="J368" i="8"/>
  <c r="I368" i="8"/>
  <c r="L367" i="8"/>
  <c r="J367" i="8"/>
  <c r="I367" i="8"/>
  <c r="L366" i="8"/>
  <c r="J366" i="8"/>
  <c r="I366" i="8"/>
  <c r="L365" i="8"/>
  <c r="I365" i="8"/>
  <c r="L364" i="8"/>
  <c r="J364" i="8"/>
  <c r="I364" i="8"/>
  <c r="L363" i="8"/>
  <c r="J363" i="8"/>
  <c r="I363" i="8"/>
  <c r="L362" i="8"/>
  <c r="J362" i="8"/>
  <c r="I362" i="8"/>
  <c r="L361" i="8"/>
  <c r="I361" i="8"/>
  <c r="L360" i="8"/>
  <c r="J360" i="8"/>
  <c r="I360" i="8"/>
  <c r="L359" i="8"/>
  <c r="J359" i="8"/>
  <c r="I359" i="8"/>
  <c r="L358" i="8"/>
  <c r="J358" i="8"/>
  <c r="I358" i="8"/>
  <c r="L357" i="8"/>
  <c r="I357" i="8"/>
  <c r="L356" i="8"/>
  <c r="J356" i="8"/>
  <c r="I356" i="8"/>
  <c r="L355" i="8"/>
  <c r="J355" i="8"/>
  <c r="I355" i="8"/>
  <c r="L354" i="8"/>
  <c r="J354" i="8"/>
  <c r="I354" i="8"/>
  <c r="L353" i="8"/>
  <c r="I353" i="8"/>
  <c r="L352" i="8"/>
  <c r="J352" i="8"/>
  <c r="I352" i="8"/>
  <c r="L351" i="8"/>
  <c r="J351" i="8"/>
  <c r="I351" i="8"/>
  <c r="L350" i="8"/>
  <c r="J350" i="8"/>
  <c r="I350" i="8"/>
  <c r="L349" i="8"/>
  <c r="J349" i="8"/>
  <c r="I349" i="8"/>
  <c r="L348" i="8"/>
  <c r="J348" i="8"/>
  <c r="I348" i="8"/>
  <c r="L347" i="8"/>
  <c r="J347" i="8"/>
  <c r="I347" i="8"/>
  <c r="L346" i="8"/>
  <c r="J346" i="8"/>
  <c r="I346" i="8"/>
  <c r="L345" i="8"/>
  <c r="J345" i="8"/>
  <c r="I345" i="8"/>
  <c r="L344" i="8"/>
  <c r="J344" i="8"/>
  <c r="I344" i="8"/>
  <c r="L343" i="8"/>
  <c r="I343" i="8"/>
  <c r="L342" i="8"/>
  <c r="I342" i="8"/>
  <c r="L341" i="8"/>
  <c r="J341" i="8"/>
  <c r="I341" i="8"/>
  <c r="L340" i="8"/>
  <c r="J340" i="8"/>
  <c r="I340" i="8"/>
  <c r="L339" i="8"/>
  <c r="J339" i="8"/>
  <c r="I339" i="8"/>
  <c r="L338" i="8"/>
  <c r="J338" i="8"/>
  <c r="I338" i="8"/>
  <c r="L337" i="8"/>
  <c r="J337" i="8"/>
  <c r="I337" i="8"/>
  <c r="L336" i="8"/>
  <c r="J336" i="8"/>
  <c r="I336" i="8"/>
  <c r="L335" i="8"/>
  <c r="J335" i="8"/>
  <c r="I335" i="8"/>
  <c r="L334" i="8"/>
  <c r="J334" i="8"/>
  <c r="I334" i="8"/>
  <c r="L333" i="8"/>
  <c r="J333" i="8"/>
  <c r="I333" i="8"/>
  <c r="L332" i="8"/>
  <c r="J332" i="8"/>
  <c r="I332" i="8"/>
  <c r="L331" i="8"/>
  <c r="J331" i="8"/>
  <c r="I331" i="8"/>
  <c r="L330" i="8"/>
  <c r="J330" i="8"/>
  <c r="I330" i="8"/>
  <c r="L329" i="8"/>
  <c r="I329" i="8"/>
  <c r="L328" i="8"/>
  <c r="J328" i="8"/>
  <c r="I328" i="8"/>
  <c r="L327" i="8"/>
  <c r="J327" i="8"/>
  <c r="I327" i="8"/>
  <c r="J326" i="8"/>
  <c r="I326" i="8"/>
  <c r="L325" i="8"/>
  <c r="J325" i="8"/>
  <c r="I325" i="8"/>
  <c r="L324" i="8"/>
  <c r="J324" i="8"/>
  <c r="I324" i="8"/>
  <c r="L323" i="8"/>
  <c r="I323" i="8"/>
  <c r="L322" i="8"/>
  <c r="I322" i="8"/>
  <c r="L321" i="8"/>
  <c r="J321" i="8"/>
  <c r="I321" i="8"/>
  <c r="L320" i="8"/>
  <c r="I320" i="8"/>
  <c r="L319" i="8"/>
  <c r="J319" i="8"/>
  <c r="I319" i="8"/>
  <c r="L318" i="8"/>
  <c r="J318" i="8"/>
  <c r="I318" i="8"/>
  <c r="L317" i="8"/>
  <c r="J317" i="8"/>
  <c r="I317" i="8"/>
  <c r="L316" i="8"/>
  <c r="J316" i="8"/>
  <c r="I316" i="8"/>
  <c r="L315" i="8"/>
  <c r="I315" i="8"/>
  <c r="L314" i="8"/>
  <c r="J314" i="8"/>
  <c r="I314" i="8"/>
  <c r="L313" i="8"/>
  <c r="J313" i="8"/>
  <c r="I313" i="8"/>
  <c r="L312" i="8"/>
  <c r="I312" i="8"/>
  <c r="L311" i="8"/>
  <c r="I311" i="8"/>
  <c r="L310" i="8"/>
  <c r="J310" i="8"/>
  <c r="I310" i="8"/>
  <c r="L309" i="8"/>
  <c r="I309" i="8"/>
  <c r="L308" i="8"/>
  <c r="I308" i="8"/>
  <c r="L307" i="8"/>
  <c r="J307" i="8"/>
  <c r="I307" i="8"/>
  <c r="L306" i="8"/>
  <c r="J306" i="8"/>
  <c r="I306" i="8"/>
  <c r="L305" i="8"/>
  <c r="J305" i="8"/>
  <c r="I305" i="8"/>
  <c r="L304" i="8"/>
  <c r="J304" i="8"/>
  <c r="I304" i="8"/>
  <c r="L303" i="8"/>
  <c r="J303" i="8"/>
  <c r="I303" i="8"/>
  <c r="L302" i="8"/>
  <c r="J302" i="8"/>
  <c r="I302" i="8"/>
  <c r="L301" i="8"/>
  <c r="J301" i="8"/>
  <c r="I301" i="8"/>
  <c r="L300" i="8"/>
  <c r="J300" i="8"/>
  <c r="I300" i="8"/>
  <c r="L299" i="8"/>
  <c r="J299" i="8"/>
  <c r="I299" i="8"/>
  <c r="L298" i="8"/>
  <c r="J298" i="8"/>
  <c r="I298" i="8"/>
  <c r="L297" i="8"/>
  <c r="I297" i="8"/>
  <c r="L296" i="8"/>
  <c r="J296" i="8"/>
  <c r="I296" i="8"/>
  <c r="L295" i="8"/>
  <c r="J295" i="8"/>
  <c r="I295" i="8"/>
  <c r="L294" i="8"/>
  <c r="J294" i="8"/>
  <c r="I294" i="8"/>
  <c r="L293" i="8"/>
  <c r="J293" i="8"/>
  <c r="I293" i="8"/>
  <c r="L292" i="8"/>
  <c r="J292" i="8"/>
  <c r="I292" i="8"/>
  <c r="L291" i="8"/>
  <c r="J291" i="8"/>
  <c r="I291" i="8"/>
  <c r="L290" i="8"/>
  <c r="J290" i="8"/>
  <c r="I290" i="8"/>
  <c r="L289" i="8"/>
  <c r="J289" i="8"/>
  <c r="I289" i="8"/>
  <c r="L288" i="8"/>
  <c r="J288" i="8"/>
  <c r="I288" i="8"/>
  <c r="L287" i="8"/>
  <c r="J287" i="8"/>
  <c r="I287" i="8"/>
  <c r="L286" i="8"/>
  <c r="J286" i="8"/>
  <c r="I286" i="8"/>
  <c r="L285" i="8"/>
  <c r="J285" i="8"/>
  <c r="I285" i="8"/>
  <c r="L284" i="8"/>
  <c r="J284" i="8"/>
  <c r="I284" i="8"/>
  <c r="J283" i="8"/>
  <c r="I283" i="8"/>
  <c r="L282" i="8"/>
  <c r="J282" i="8"/>
  <c r="I282" i="8"/>
  <c r="L281" i="8"/>
  <c r="J281" i="8"/>
  <c r="I281" i="8"/>
  <c r="L280" i="8"/>
  <c r="J280" i="8"/>
  <c r="I280" i="8"/>
  <c r="J279" i="8"/>
  <c r="I279" i="8"/>
  <c r="L278" i="8"/>
  <c r="J278" i="8"/>
  <c r="I278" i="8"/>
  <c r="L277" i="8"/>
  <c r="J277" i="8"/>
  <c r="I277" i="8"/>
  <c r="L276" i="8"/>
  <c r="J276" i="8"/>
  <c r="I276" i="8"/>
  <c r="L275" i="8"/>
  <c r="I275" i="8"/>
  <c r="L274" i="8"/>
  <c r="J274" i="8"/>
  <c r="I274" i="8"/>
  <c r="L273" i="8"/>
  <c r="J273" i="8"/>
  <c r="I273" i="8"/>
  <c r="L272" i="8"/>
  <c r="J272" i="8"/>
  <c r="I272" i="8"/>
  <c r="L271" i="8"/>
  <c r="J271" i="8"/>
  <c r="I271" i="8"/>
  <c r="L270" i="8"/>
  <c r="J270" i="8"/>
  <c r="I270" i="8"/>
  <c r="L269" i="8"/>
  <c r="J269" i="8"/>
  <c r="I269" i="8"/>
  <c r="L268" i="8"/>
  <c r="J268" i="8"/>
  <c r="I268" i="8"/>
  <c r="J267" i="8"/>
  <c r="I267" i="8"/>
  <c r="L266" i="8"/>
  <c r="J266" i="8"/>
  <c r="I266" i="8"/>
  <c r="L265" i="8"/>
  <c r="J265" i="8"/>
  <c r="I265" i="8"/>
  <c r="L264" i="8"/>
  <c r="J264" i="8"/>
  <c r="I264" i="8"/>
  <c r="L263" i="8"/>
  <c r="J263" i="8"/>
  <c r="I263" i="8"/>
  <c r="L262" i="8"/>
  <c r="J262" i="8"/>
  <c r="I262" i="8"/>
  <c r="L261" i="8"/>
  <c r="J261" i="8"/>
  <c r="I261" i="8"/>
  <c r="L260" i="8"/>
  <c r="J260" i="8"/>
  <c r="I260" i="8"/>
  <c r="L259" i="8"/>
  <c r="I259" i="8"/>
  <c r="L258" i="8"/>
  <c r="J258" i="8"/>
  <c r="I258" i="8"/>
  <c r="L257" i="8"/>
  <c r="I257" i="8"/>
  <c r="L256" i="8"/>
  <c r="J256" i="8"/>
  <c r="I256" i="8"/>
  <c r="L255" i="8"/>
  <c r="J255" i="8"/>
  <c r="I255" i="8"/>
  <c r="L254" i="8"/>
  <c r="J254" i="8"/>
  <c r="I254" i="8"/>
  <c r="L253" i="8"/>
  <c r="J253" i="8"/>
  <c r="I253" i="8"/>
  <c r="L252" i="8"/>
  <c r="J252" i="8"/>
  <c r="I252" i="8"/>
  <c r="L251" i="8"/>
  <c r="J251" i="8"/>
  <c r="I251" i="8"/>
  <c r="L250" i="8"/>
  <c r="I250" i="8"/>
  <c r="L249" i="8"/>
  <c r="J249" i="8"/>
  <c r="I249" i="8"/>
  <c r="L248" i="8"/>
  <c r="I248" i="8"/>
  <c r="L247" i="8"/>
  <c r="I247" i="8"/>
  <c r="L246" i="8"/>
  <c r="J246" i="8"/>
  <c r="I246" i="8"/>
  <c r="L245" i="8"/>
  <c r="J245" i="8"/>
  <c r="I245" i="8"/>
  <c r="L244" i="8"/>
  <c r="J244" i="8"/>
  <c r="I244" i="8"/>
  <c r="L243" i="8"/>
  <c r="J243" i="8"/>
  <c r="I243" i="8"/>
  <c r="L242" i="8"/>
  <c r="J242" i="8"/>
  <c r="I242" i="8"/>
  <c r="L241" i="8"/>
  <c r="J241" i="8"/>
  <c r="I241" i="8"/>
  <c r="L240" i="8"/>
  <c r="I240" i="8"/>
  <c r="L239" i="8"/>
  <c r="J239" i="8"/>
  <c r="I239" i="8"/>
  <c r="L238" i="8"/>
  <c r="I238" i="8"/>
  <c r="L237" i="8"/>
  <c r="J237" i="8"/>
  <c r="I237" i="8"/>
  <c r="L236" i="8"/>
  <c r="J236" i="8"/>
  <c r="I236" i="8"/>
  <c r="L235" i="8"/>
  <c r="J235" i="8"/>
  <c r="I235" i="8"/>
  <c r="L234" i="8"/>
  <c r="J234" i="8"/>
  <c r="I234" i="8"/>
  <c r="L233" i="8"/>
  <c r="J233" i="8"/>
  <c r="I233" i="8"/>
  <c r="L232" i="8"/>
  <c r="J232" i="8"/>
  <c r="I232" i="8"/>
  <c r="L231" i="8"/>
  <c r="I231" i="8"/>
  <c r="L230" i="8"/>
  <c r="J230" i="8"/>
  <c r="I230" i="8"/>
  <c r="L229" i="8"/>
  <c r="J229" i="8"/>
  <c r="I229" i="8"/>
  <c r="L228" i="8"/>
  <c r="I228" i="8"/>
  <c r="L227" i="8"/>
  <c r="J227" i="8"/>
  <c r="I227" i="8"/>
  <c r="L226" i="8"/>
  <c r="J226" i="8"/>
  <c r="I226" i="8"/>
  <c r="L225" i="8"/>
  <c r="I225" i="8"/>
  <c r="L224" i="8"/>
  <c r="J224" i="8"/>
  <c r="I224" i="8"/>
  <c r="L223" i="8"/>
  <c r="I223" i="8"/>
  <c r="L222" i="8"/>
  <c r="J222" i="8"/>
  <c r="I222" i="8"/>
  <c r="L221" i="8"/>
  <c r="J221" i="8"/>
  <c r="I221" i="8"/>
  <c r="L220" i="8"/>
  <c r="I220" i="8"/>
  <c r="L219" i="8"/>
  <c r="J219" i="8"/>
  <c r="I219" i="8"/>
  <c r="L218" i="8"/>
  <c r="I218" i="8"/>
  <c r="L217" i="8"/>
  <c r="I217" i="8"/>
  <c r="L216" i="8"/>
  <c r="J216" i="8"/>
  <c r="I216" i="8"/>
  <c r="L215" i="8"/>
  <c r="J215" i="8"/>
  <c r="I215" i="8"/>
  <c r="L214" i="8"/>
  <c r="J214" i="8"/>
  <c r="I214" i="8"/>
  <c r="L213" i="8"/>
  <c r="J213" i="8"/>
  <c r="I213" i="8"/>
  <c r="L212" i="8"/>
  <c r="J212" i="8"/>
  <c r="I212" i="8"/>
  <c r="L211" i="8"/>
  <c r="J211" i="8"/>
  <c r="I211" i="8"/>
  <c r="L210" i="8"/>
  <c r="J210" i="8"/>
  <c r="I210" i="8"/>
  <c r="L209" i="8"/>
  <c r="J209" i="8"/>
  <c r="I209" i="8"/>
  <c r="L208" i="8"/>
  <c r="I208" i="8"/>
  <c r="L207" i="8"/>
  <c r="J207" i="8"/>
  <c r="I207" i="8"/>
  <c r="L206" i="8"/>
  <c r="J206" i="8"/>
  <c r="I206" i="8"/>
  <c r="L205" i="8"/>
  <c r="J205" i="8"/>
  <c r="I205" i="8"/>
  <c r="L204" i="8"/>
  <c r="J204" i="8"/>
  <c r="I204" i="8"/>
  <c r="L203" i="8"/>
  <c r="I203" i="8"/>
  <c r="L202" i="8"/>
  <c r="J202" i="8"/>
  <c r="I202" i="8"/>
  <c r="L201" i="8"/>
  <c r="J201" i="8"/>
  <c r="I201" i="8"/>
  <c r="L200" i="8"/>
  <c r="J200" i="8"/>
  <c r="I200" i="8"/>
  <c r="L199" i="8"/>
  <c r="J199" i="8"/>
  <c r="I199" i="8"/>
  <c r="L198" i="8"/>
  <c r="J198" i="8"/>
  <c r="I198" i="8"/>
  <c r="L197" i="8"/>
  <c r="J197" i="8"/>
  <c r="I197" i="8"/>
  <c r="L196" i="8"/>
  <c r="J196" i="8"/>
  <c r="I196" i="8"/>
  <c r="L195" i="8"/>
  <c r="J195" i="8"/>
  <c r="I195" i="8"/>
  <c r="L194" i="8"/>
  <c r="J194" i="8"/>
  <c r="I194" i="8"/>
  <c r="L193" i="8"/>
  <c r="J193" i="8"/>
  <c r="I193" i="8"/>
  <c r="L192" i="8"/>
  <c r="J192" i="8"/>
  <c r="I192" i="8"/>
  <c r="L191" i="8"/>
  <c r="J191" i="8"/>
  <c r="I191" i="8"/>
  <c r="L190" i="8"/>
  <c r="I190" i="8"/>
  <c r="L189" i="8"/>
  <c r="J189" i="8"/>
  <c r="I189" i="8"/>
  <c r="L188" i="8"/>
  <c r="J188" i="8"/>
  <c r="I188" i="8"/>
  <c r="L187" i="8"/>
  <c r="J187" i="8"/>
  <c r="I187" i="8"/>
  <c r="L186" i="8"/>
  <c r="J186" i="8"/>
  <c r="I186" i="8"/>
  <c r="L185" i="8"/>
  <c r="J185" i="8"/>
  <c r="I185" i="8"/>
  <c r="L184" i="8"/>
  <c r="J184" i="8"/>
  <c r="I184" i="8"/>
  <c r="J183" i="8"/>
  <c r="I183" i="8"/>
  <c r="L182" i="8"/>
  <c r="J182" i="8"/>
  <c r="I182" i="8"/>
  <c r="L181" i="8"/>
  <c r="J181" i="8"/>
  <c r="I181" i="8"/>
  <c r="L180" i="8"/>
  <c r="J180" i="8"/>
  <c r="I180" i="8"/>
  <c r="L179" i="8"/>
  <c r="J179" i="8"/>
  <c r="I179" i="8"/>
  <c r="L178" i="8"/>
  <c r="J178" i="8"/>
  <c r="I178" i="8"/>
  <c r="L177" i="8"/>
  <c r="J177" i="8"/>
  <c r="I177" i="8"/>
  <c r="L176" i="8"/>
  <c r="J176" i="8"/>
  <c r="I176" i="8"/>
  <c r="J175" i="8"/>
  <c r="I175" i="8"/>
  <c r="L174" i="8"/>
  <c r="J174" i="8"/>
  <c r="I174" i="8"/>
  <c r="L173" i="8"/>
  <c r="J173" i="8"/>
  <c r="I173" i="8"/>
  <c r="L172" i="8"/>
  <c r="J172" i="8"/>
  <c r="I172" i="8"/>
  <c r="L171" i="8"/>
  <c r="J171" i="8"/>
  <c r="I171" i="8"/>
  <c r="L170" i="8"/>
  <c r="J170" i="8"/>
  <c r="I170" i="8"/>
  <c r="L169" i="8"/>
  <c r="I169" i="8"/>
  <c r="L168" i="8"/>
  <c r="J168" i="8"/>
  <c r="I168" i="8"/>
  <c r="L167" i="8"/>
  <c r="I167" i="8"/>
  <c r="L166" i="8"/>
  <c r="J166" i="8"/>
  <c r="I166" i="8"/>
  <c r="L165" i="8"/>
  <c r="J165" i="8"/>
  <c r="I165" i="8"/>
  <c r="L164" i="8"/>
  <c r="J164" i="8"/>
  <c r="I164" i="8"/>
  <c r="L163" i="8"/>
  <c r="I163" i="8"/>
  <c r="L162" i="8"/>
  <c r="J162" i="8"/>
  <c r="I162" i="8"/>
  <c r="L161" i="8"/>
  <c r="J161" i="8"/>
  <c r="I161" i="8"/>
  <c r="L160" i="8"/>
  <c r="J160" i="8"/>
  <c r="I160" i="8"/>
  <c r="L159" i="8"/>
  <c r="J159" i="8"/>
  <c r="I159" i="8"/>
  <c r="L158" i="8"/>
  <c r="J158" i="8"/>
  <c r="I158" i="8"/>
  <c r="L157" i="8"/>
  <c r="J157" i="8"/>
  <c r="I157" i="8"/>
  <c r="L156" i="8"/>
  <c r="J156" i="8"/>
  <c r="I156" i="8"/>
  <c r="L155" i="8"/>
  <c r="J155" i="8"/>
  <c r="I155" i="8"/>
  <c r="L154" i="8"/>
  <c r="J154" i="8"/>
  <c r="I154" i="8"/>
  <c r="L153" i="8"/>
  <c r="J153" i="8"/>
  <c r="I153" i="8"/>
  <c r="L152" i="8"/>
  <c r="J152" i="8"/>
  <c r="I152" i="8"/>
  <c r="L151" i="8"/>
  <c r="I151" i="8"/>
  <c r="L150" i="8"/>
  <c r="J150" i="8"/>
  <c r="I150" i="8"/>
  <c r="L149" i="8"/>
  <c r="J149" i="8"/>
  <c r="I149" i="8"/>
  <c r="L148" i="8"/>
  <c r="J148" i="8"/>
  <c r="I148" i="8"/>
  <c r="L147" i="8"/>
  <c r="J147" i="8"/>
  <c r="I147" i="8"/>
  <c r="L146" i="8"/>
  <c r="J146" i="8"/>
  <c r="I146" i="8"/>
  <c r="L145" i="8"/>
  <c r="J145" i="8"/>
  <c r="I145" i="8"/>
  <c r="L144" i="8"/>
  <c r="J144" i="8"/>
  <c r="I144" i="8"/>
  <c r="L143" i="8"/>
  <c r="J143" i="8"/>
  <c r="I143" i="8"/>
  <c r="L142" i="8"/>
  <c r="J142" i="8"/>
  <c r="I142" i="8"/>
  <c r="L141" i="8"/>
  <c r="J141" i="8"/>
  <c r="I141" i="8"/>
  <c r="L140" i="8"/>
  <c r="J140" i="8"/>
  <c r="I140" i="8"/>
  <c r="L139" i="8"/>
  <c r="J139" i="8"/>
  <c r="I139" i="8"/>
  <c r="L138" i="8"/>
  <c r="I138" i="8"/>
  <c r="L137" i="8"/>
  <c r="J137" i="8"/>
  <c r="I137" i="8"/>
  <c r="L136" i="8"/>
  <c r="J136" i="8"/>
  <c r="I136" i="8"/>
  <c r="L135" i="8"/>
  <c r="J135" i="8"/>
  <c r="I135" i="8"/>
  <c r="L134" i="8"/>
  <c r="I134" i="8"/>
  <c r="L133" i="8"/>
  <c r="J133" i="8"/>
  <c r="I133" i="8"/>
  <c r="L132" i="8"/>
  <c r="J132" i="8"/>
  <c r="I132" i="8"/>
  <c r="L131" i="8"/>
  <c r="J131" i="8"/>
  <c r="I131" i="8"/>
  <c r="L130" i="8"/>
  <c r="J130" i="8"/>
  <c r="I130" i="8"/>
  <c r="L129" i="8"/>
  <c r="J129" i="8"/>
  <c r="I129" i="8"/>
  <c r="L128" i="8"/>
  <c r="J128" i="8"/>
  <c r="I128" i="8"/>
  <c r="L127" i="8"/>
  <c r="J127" i="8"/>
  <c r="I127" i="8"/>
  <c r="L126" i="8"/>
  <c r="J126" i="8"/>
  <c r="I126" i="8"/>
  <c r="L125" i="8"/>
  <c r="J125" i="8"/>
  <c r="I125" i="8"/>
  <c r="L124" i="8"/>
  <c r="I124" i="8"/>
  <c r="L123" i="8"/>
  <c r="I123" i="8"/>
  <c r="L122" i="8"/>
  <c r="I122" i="8"/>
  <c r="L121" i="8"/>
  <c r="J121" i="8"/>
  <c r="I121" i="8"/>
  <c r="L120" i="8"/>
  <c r="J120" i="8"/>
  <c r="I120" i="8"/>
  <c r="L119" i="8"/>
  <c r="J119" i="8"/>
  <c r="I119" i="8"/>
  <c r="L118" i="8"/>
  <c r="J118" i="8"/>
  <c r="I118" i="8"/>
  <c r="L117" i="8"/>
  <c r="J117" i="8"/>
  <c r="I117" i="8"/>
  <c r="L116" i="8"/>
  <c r="J116" i="8"/>
  <c r="I116" i="8"/>
  <c r="L115" i="8"/>
  <c r="J115" i="8"/>
  <c r="I115" i="8"/>
  <c r="L114" i="8"/>
  <c r="J114" i="8"/>
  <c r="I114" i="8"/>
  <c r="L113" i="8"/>
  <c r="J113" i="8"/>
  <c r="I113" i="8"/>
  <c r="L112" i="8"/>
  <c r="J112" i="8"/>
  <c r="I112" i="8"/>
  <c r="L111" i="8"/>
  <c r="J111" i="8"/>
  <c r="I111" i="8"/>
  <c r="L110" i="8"/>
  <c r="J110" i="8"/>
  <c r="I110" i="8"/>
  <c r="L109" i="8"/>
  <c r="J109" i="8"/>
  <c r="I109" i="8"/>
  <c r="L108" i="8"/>
  <c r="J108" i="8"/>
  <c r="I108" i="8"/>
  <c r="L107" i="8"/>
  <c r="J107" i="8"/>
  <c r="I107" i="8"/>
  <c r="L106" i="8"/>
  <c r="J106" i="8"/>
  <c r="I106" i="8"/>
  <c r="L105" i="8"/>
  <c r="J105" i="8"/>
  <c r="I105" i="8"/>
  <c r="L104" i="8"/>
  <c r="J104" i="8"/>
  <c r="I104" i="8"/>
  <c r="L103" i="8"/>
  <c r="J103" i="8"/>
  <c r="I103" i="8"/>
  <c r="L102" i="8"/>
  <c r="I102" i="8"/>
  <c r="L101" i="8"/>
  <c r="J101" i="8"/>
  <c r="I101" i="8"/>
  <c r="L100" i="8"/>
  <c r="J100" i="8"/>
  <c r="I100" i="8"/>
  <c r="L99" i="8"/>
  <c r="J99" i="8"/>
  <c r="I99" i="8"/>
  <c r="L98" i="8"/>
  <c r="J98" i="8"/>
  <c r="I98" i="8"/>
  <c r="L97" i="8"/>
  <c r="I97" i="8"/>
  <c r="L96" i="8"/>
  <c r="J96" i="8"/>
  <c r="I96" i="8"/>
  <c r="L95" i="8"/>
  <c r="I95" i="8"/>
  <c r="L94" i="8"/>
  <c r="I94" i="8"/>
  <c r="L93" i="8"/>
  <c r="J93" i="8"/>
  <c r="I93" i="8"/>
  <c r="L92" i="8"/>
  <c r="J92" i="8"/>
  <c r="I92" i="8"/>
  <c r="L91" i="8"/>
  <c r="J91" i="8"/>
  <c r="I91" i="8"/>
  <c r="L90" i="8"/>
  <c r="J90" i="8"/>
  <c r="I90" i="8"/>
  <c r="L89" i="8"/>
  <c r="J89" i="8"/>
  <c r="I89" i="8"/>
  <c r="L88" i="8"/>
  <c r="J88" i="8"/>
  <c r="I88" i="8"/>
  <c r="L87" i="8"/>
  <c r="J87" i="8"/>
  <c r="I87" i="8"/>
  <c r="L86" i="8"/>
  <c r="J86" i="8"/>
  <c r="I86" i="8"/>
  <c r="L85" i="8"/>
  <c r="J85" i="8"/>
  <c r="I85" i="8"/>
  <c r="L84" i="8"/>
  <c r="I84" i="8"/>
  <c r="L83" i="8"/>
  <c r="J83" i="8"/>
  <c r="I83" i="8"/>
  <c r="L82" i="8"/>
  <c r="J82" i="8"/>
  <c r="I82" i="8"/>
  <c r="L81" i="8"/>
  <c r="J81" i="8"/>
  <c r="I81" i="8"/>
  <c r="L80" i="8"/>
  <c r="I80" i="8"/>
  <c r="L79" i="8"/>
  <c r="I79" i="8"/>
  <c r="L78" i="8"/>
  <c r="J78" i="8"/>
  <c r="I78" i="8"/>
  <c r="L77" i="8"/>
  <c r="I77" i="8"/>
  <c r="L76" i="8"/>
  <c r="I76" i="8"/>
  <c r="L75" i="8"/>
  <c r="I75" i="8"/>
  <c r="L74" i="8"/>
  <c r="J74" i="8"/>
  <c r="I74" i="8"/>
  <c r="L73" i="8"/>
  <c r="I73" i="8"/>
  <c r="L72" i="8"/>
  <c r="J72" i="8"/>
  <c r="I72" i="8"/>
  <c r="L71" i="8"/>
  <c r="J71" i="8"/>
  <c r="I71" i="8"/>
  <c r="L70" i="8"/>
  <c r="J70" i="8"/>
  <c r="I70" i="8"/>
  <c r="L69" i="8"/>
  <c r="J69" i="8"/>
  <c r="I69" i="8"/>
  <c r="L68" i="8"/>
  <c r="J68" i="8"/>
  <c r="I68" i="8"/>
  <c r="L67" i="8"/>
  <c r="J67" i="8"/>
  <c r="I67" i="8"/>
  <c r="L66" i="8"/>
  <c r="J66" i="8"/>
  <c r="I66" i="8"/>
  <c r="L65" i="8"/>
  <c r="J65" i="8"/>
  <c r="I65" i="8"/>
  <c r="L64" i="8"/>
  <c r="J64" i="8"/>
  <c r="I64" i="8"/>
  <c r="L63" i="8"/>
  <c r="J63" i="8"/>
  <c r="I63" i="8"/>
  <c r="L62" i="8"/>
  <c r="J62" i="8"/>
  <c r="I62" i="8"/>
  <c r="L61" i="8"/>
  <c r="J61" i="8"/>
  <c r="I61" i="8"/>
  <c r="L60" i="8"/>
  <c r="J60" i="8"/>
  <c r="I60" i="8"/>
  <c r="L59" i="8"/>
  <c r="J59" i="8"/>
  <c r="I59" i="8"/>
  <c r="L58" i="8"/>
  <c r="J58" i="8"/>
  <c r="I58" i="8"/>
  <c r="L57" i="8"/>
  <c r="J57" i="8"/>
  <c r="I57" i="8"/>
  <c r="L56" i="8"/>
  <c r="J56" i="8"/>
  <c r="I56" i="8"/>
  <c r="L55" i="8"/>
  <c r="J55" i="8"/>
  <c r="I55" i="8"/>
  <c r="L54" i="8"/>
  <c r="J54" i="8"/>
  <c r="I54" i="8"/>
  <c r="L53" i="8"/>
  <c r="J53" i="8"/>
  <c r="I53" i="8"/>
  <c r="L52" i="8"/>
  <c r="I52" i="8"/>
  <c r="L51" i="8"/>
  <c r="J51" i="8"/>
  <c r="I51" i="8"/>
  <c r="L50" i="8"/>
  <c r="J50" i="8"/>
  <c r="I50" i="8"/>
  <c r="L49" i="8"/>
  <c r="J49" i="8"/>
  <c r="I49" i="8"/>
  <c r="L48" i="8"/>
  <c r="I48" i="8"/>
  <c r="L47" i="8"/>
  <c r="J47" i="8"/>
  <c r="I47" i="8"/>
  <c r="L46" i="8"/>
  <c r="J46" i="8"/>
  <c r="I46" i="8"/>
  <c r="L45" i="8"/>
  <c r="I45" i="8"/>
  <c r="L44" i="8"/>
  <c r="J44" i="8"/>
  <c r="I44" i="8"/>
  <c r="L43" i="8"/>
  <c r="I43" i="8"/>
  <c r="L42" i="8"/>
  <c r="J42" i="8"/>
  <c r="I42" i="8"/>
  <c r="L41" i="8"/>
  <c r="J41" i="8"/>
  <c r="I41" i="8"/>
  <c r="L40" i="8"/>
  <c r="J40" i="8"/>
  <c r="I40" i="8"/>
  <c r="L39" i="8"/>
  <c r="J39" i="8"/>
  <c r="I39" i="8"/>
  <c r="L38" i="8"/>
  <c r="J38" i="8"/>
  <c r="I38" i="8"/>
  <c r="L37" i="8"/>
  <c r="I37" i="8"/>
  <c r="L36" i="8"/>
  <c r="J36" i="8"/>
  <c r="I36" i="8"/>
  <c r="L35" i="8"/>
  <c r="I35" i="8"/>
  <c r="L34" i="8"/>
  <c r="I34" i="8"/>
  <c r="L33" i="8"/>
  <c r="J33" i="8"/>
  <c r="I33" i="8"/>
  <c r="L32" i="8"/>
  <c r="J32" i="8"/>
  <c r="I32" i="8"/>
  <c r="L31" i="8"/>
  <c r="I31" i="8"/>
  <c r="L30" i="8"/>
  <c r="J30" i="8"/>
  <c r="I30" i="8"/>
  <c r="L29" i="8"/>
  <c r="I29" i="8"/>
  <c r="L28" i="8"/>
  <c r="J28" i="8"/>
  <c r="I28" i="8"/>
  <c r="L27" i="8"/>
  <c r="J27" i="8"/>
  <c r="I27" i="8"/>
  <c r="L26" i="8"/>
  <c r="J26" i="8"/>
  <c r="I26" i="8"/>
  <c r="L25" i="8"/>
  <c r="J25" i="8"/>
  <c r="I25" i="8"/>
  <c r="L24" i="8"/>
  <c r="J24" i="8"/>
  <c r="I24" i="8"/>
  <c r="L23" i="8"/>
  <c r="J23" i="8"/>
  <c r="I23" i="8"/>
  <c r="L22" i="8"/>
  <c r="I22" i="8"/>
  <c r="L21" i="8"/>
  <c r="J21" i="8"/>
  <c r="I21" i="8"/>
  <c r="L20" i="8"/>
  <c r="J20" i="8"/>
  <c r="I20" i="8"/>
  <c r="L19" i="8"/>
  <c r="J19" i="8"/>
  <c r="I19" i="8"/>
  <c r="L18" i="8"/>
  <c r="J18" i="8"/>
  <c r="I18" i="8"/>
  <c r="L17" i="8"/>
  <c r="J17" i="8"/>
  <c r="I17" i="8"/>
  <c r="L16" i="8"/>
  <c r="J16" i="8"/>
  <c r="I16" i="8"/>
  <c r="L15" i="8"/>
  <c r="J15" i="8"/>
  <c r="I15" i="8"/>
  <c r="J14" i="8"/>
  <c r="I14" i="8"/>
  <c r="L13" i="8"/>
  <c r="J13" i="8"/>
  <c r="I13" i="8"/>
  <c r="L12" i="8"/>
  <c r="J12" i="8"/>
  <c r="I12" i="8"/>
  <c r="L11" i="8"/>
  <c r="J11" i="8"/>
  <c r="I11" i="8"/>
  <c r="L10" i="8"/>
  <c r="J10" i="8"/>
  <c r="I10" i="8"/>
  <c r="J9" i="8"/>
  <c r="I9" i="8"/>
  <c r="L8" i="8"/>
  <c r="J8" i="8"/>
  <c r="I8" i="8"/>
  <c r="L7" i="8"/>
  <c r="J7" i="8"/>
  <c r="I7" i="8"/>
  <c r="L6" i="8"/>
  <c r="J6" i="8"/>
  <c r="I6" i="8"/>
  <c r="L5" i="8"/>
  <c r="J5" i="8"/>
  <c r="I5" i="8"/>
  <c r="L4" i="8"/>
  <c r="J4" i="8"/>
  <c r="I4" i="8"/>
  <c r="L3" i="8"/>
  <c r="J3" i="8"/>
  <c r="I3" i="8"/>
  <c r="L2" i="8"/>
  <c r="J2" i="8"/>
  <c r="I2" i="8"/>
</calcChain>
</file>

<file path=xl/sharedStrings.xml><?xml version="1.0" encoding="utf-8"?>
<sst xmlns="http://schemas.openxmlformats.org/spreadsheetml/2006/main" count="18747" uniqueCount="2309">
  <si>
    <t>比分</t>
  </si>
  <si>
    <t>基础概率</t>
  </si>
  <si>
    <t>盘口概率</t>
  </si>
  <si>
    <t>同类概率</t>
  </si>
  <si>
    <t>同主实力1</t>
  </si>
  <si>
    <t>同主实力1修正</t>
  </si>
  <si>
    <t>同主实力2</t>
  </si>
  <si>
    <t>同主实力2修正</t>
  </si>
  <si>
    <t>同主指数</t>
  </si>
  <si>
    <t>同主指数修正</t>
  </si>
  <si>
    <t>同客实力1</t>
  </si>
  <si>
    <t>同客实力1修正</t>
  </si>
  <si>
    <t>同客实力2</t>
  </si>
  <si>
    <t>同客实力2修正</t>
  </si>
  <si>
    <t>同客指数</t>
  </si>
  <si>
    <t>同客指数修正</t>
  </si>
  <si>
    <t>初盘大</t>
  </si>
  <si>
    <t>水位</t>
  </si>
  <si>
    <t>终盘水位</t>
  </si>
  <si>
    <t>澳盘比对</t>
  </si>
  <si>
    <t>马会终盘</t>
  </si>
  <si>
    <t>马会水位</t>
  </si>
  <si>
    <t>2-0</t>
  </si>
  <si>
    <t>2.5</t>
  </si>
  <si>
    <t>中水下盘突破</t>
  </si>
  <si>
    <t>2-2</t>
  </si>
  <si>
    <t>2.25</t>
  </si>
  <si>
    <t>上盘中水</t>
  </si>
  <si>
    <t>中水上盘突破</t>
  </si>
  <si>
    <t>3-2</t>
  </si>
  <si>
    <t>2.75</t>
  </si>
  <si>
    <t>1-0</t>
  </si>
  <si>
    <t>上盘高水</t>
  </si>
  <si>
    <t>2-1</t>
  </si>
  <si>
    <t>3</t>
  </si>
  <si>
    <t>高一档不降盘</t>
  </si>
  <si>
    <t>1-1</t>
  </si>
  <si>
    <t>4-0</t>
  </si>
  <si>
    <t>3.25</t>
  </si>
  <si>
    <t>上盘低水</t>
  </si>
  <si>
    <t>低一档不升盘</t>
  </si>
  <si>
    <t>3-1</t>
  </si>
  <si>
    <t>0-0</t>
  </si>
  <si>
    <t>4-1</t>
  </si>
  <si>
    <t>3-0</t>
  </si>
  <si>
    <t>2</t>
  </si>
  <si>
    <t>低水上盘突破</t>
  </si>
  <si>
    <t>0-2</t>
  </si>
  <si>
    <t>低水下盘突破</t>
  </si>
  <si>
    <t>7-0</t>
  </si>
  <si>
    <t>3.75</t>
  </si>
  <si>
    <t>高水下盘突破</t>
  </si>
  <si>
    <t>4.75</t>
  </si>
  <si>
    <t>0-1</t>
  </si>
  <si>
    <t>4-2</t>
  </si>
  <si>
    <t>6-0</t>
  </si>
  <si>
    <t>3.5</t>
  </si>
  <si>
    <t>5-0</t>
  </si>
  <si>
    <t>5</t>
  </si>
  <si>
    <t>4</t>
  </si>
  <si>
    <t>1-2</t>
  </si>
  <si>
    <t>0-4</t>
  </si>
  <si>
    <t>2-3</t>
  </si>
  <si>
    <t>1.75</t>
  </si>
  <si>
    <t>0-3</t>
  </si>
  <si>
    <t>高水上盘突破</t>
  </si>
  <si>
    <t>3-3</t>
  </si>
  <si>
    <t>4-4</t>
  </si>
  <si>
    <t>6-1</t>
  </si>
  <si>
    <t>7-1</t>
  </si>
  <si>
    <t>0-7</t>
  </si>
  <si>
    <t>5.5</t>
  </si>
  <si>
    <t>4.25</t>
  </si>
  <si>
    <t>6-4</t>
  </si>
  <si>
    <t>1-3</t>
  </si>
  <si>
    <t>1-4</t>
  </si>
  <si>
    <t>1-5</t>
  </si>
  <si>
    <t>5-2</t>
  </si>
  <si>
    <t>2-4</t>
  </si>
  <si>
    <t>4-3</t>
  </si>
  <si>
    <t>6-2</t>
  </si>
  <si>
    <t>1.5</t>
  </si>
  <si>
    <t>5-1</t>
  </si>
  <si>
    <t>联赛</t>
  </si>
  <si>
    <t>日期</t>
  </si>
  <si>
    <t>轮次</t>
  </si>
  <si>
    <t>主</t>
  </si>
  <si>
    <t>客队</t>
  </si>
  <si>
    <t>主队2</t>
  </si>
  <si>
    <t>客队2</t>
  </si>
  <si>
    <t>实力差</t>
  </si>
  <si>
    <t>实力盘</t>
  </si>
  <si>
    <t>澳盘</t>
  </si>
  <si>
    <t>亚合</t>
  </si>
  <si>
    <t>典型特征&amp;预判</t>
  </si>
  <si>
    <t>临场竞价</t>
  </si>
  <si>
    <t>终盘竞价</t>
  </si>
  <si>
    <t>热度</t>
  </si>
  <si>
    <t>域</t>
  </si>
  <si>
    <t>预测</t>
  </si>
  <si>
    <t>拉力</t>
  </si>
  <si>
    <t>特点</t>
  </si>
  <si>
    <t>初盘</t>
  </si>
  <si>
    <t>亚盘变化（澳彩）</t>
  </si>
  <si>
    <t xml:space="preserve">高峰期变化 </t>
  </si>
  <si>
    <t>1小时水位</t>
  </si>
  <si>
    <t>终盘变化</t>
  </si>
  <si>
    <t>友谊赛</t>
  </si>
  <si>
    <t>周六002</t>
  </si>
  <si>
    <t>中国</t>
  </si>
  <si>
    <t>克罗地亚</t>
  </si>
  <si>
    <t>-0.75</t>
  </si>
  <si>
    <t>升盘1档</t>
  </si>
  <si>
    <t>68（100）</t>
  </si>
  <si>
    <t>维持低水；13时68；3时升盘，2时升盘96；</t>
  </si>
  <si>
    <t>周三002</t>
  </si>
  <si>
    <t>德国</t>
  </si>
  <si>
    <t>英格兰</t>
  </si>
  <si>
    <t>0.75</t>
  </si>
  <si>
    <t>盘口不变</t>
  </si>
  <si>
    <t>98（80）</t>
  </si>
  <si>
    <t>94-92；13时90；</t>
  </si>
  <si>
    <t>周三003</t>
  </si>
  <si>
    <t>苏格兰</t>
  </si>
  <si>
    <t>加拿大</t>
  </si>
  <si>
    <t>1.25</t>
  </si>
  <si>
    <t>80（100）</t>
  </si>
  <si>
    <t>102-92；</t>
  </si>
  <si>
    <t>世亚预</t>
  </si>
  <si>
    <t>周四001</t>
  </si>
  <si>
    <t>叙利亚</t>
  </si>
  <si>
    <t>乌兹别克斯坦</t>
  </si>
  <si>
    <t>-0.5</t>
  </si>
  <si>
    <t>降盘1档</t>
  </si>
  <si>
    <t>0异常中立场68（100）</t>
  </si>
  <si>
    <t>80-90；6时降盘66；</t>
  </si>
  <si>
    <t>周四002</t>
  </si>
  <si>
    <t>泰国</t>
  </si>
  <si>
    <t>沙特</t>
  </si>
  <si>
    <t>86-96；13时90；7时84；</t>
  </si>
  <si>
    <t>周四003</t>
  </si>
  <si>
    <t>伊拉克</t>
  </si>
  <si>
    <t>澳大利亚</t>
  </si>
  <si>
    <t>模糊</t>
  </si>
  <si>
    <r>
      <rPr>
        <sz val="11"/>
        <color theme="1"/>
        <rFont val="宋体"/>
        <charset val="134"/>
        <scheme val="minor"/>
      </rPr>
      <t>100-90；</t>
    </r>
    <r>
      <rPr>
        <sz val="11"/>
        <color rgb="FFFF0000"/>
        <rFont val="宋体"/>
        <charset val="134"/>
        <scheme val="minor"/>
      </rPr>
      <t>6时升盘118，</t>
    </r>
    <r>
      <rPr>
        <sz val="11"/>
        <color theme="1"/>
        <rFont val="宋体"/>
        <charset val="134"/>
        <scheme val="minor"/>
      </rPr>
      <t>106；</t>
    </r>
  </si>
  <si>
    <t>周四004</t>
  </si>
  <si>
    <t>阿联酋</t>
  </si>
  <si>
    <t>日本</t>
  </si>
  <si>
    <t>98-92；17时86,6时80；</t>
  </si>
  <si>
    <t>周四005</t>
  </si>
  <si>
    <t>卡塔尔</t>
  </si>
  <si>
    <t>伊朗</t>
  </si>
  <si>
    <t>-0.25</t>
  </si>
  <si>
    <t>亚低看一档</t>
  </si>
  <si>
    <t>64（110）</t>
  </si>
  <si>
    <t>90-86；17时80</t>
  </si>
  <si>
    <t>世南美预</t>
  </si>
  <si>
    <t>周四007</t>
  </si>
  <si>
    <t>哥伦比亚</t>
  </si>
  <si>
    <t>玻利维亚</t>
  </si>
  <si>
    <t>升盘2档</t>
  </si>
  <si>
    <t>——</t>
  </si>
  <si>
    <t>90-86；</t>
  </si>
  <si>
    <t>周四008</t>
  </si>
  <si>
    <t>巴拉圭</t>
  </si>
  <si>
    <t>厄瓜多尔</t>
  </si>
  <si>
    <t>0</t>
  </si>
  <si>
    <t>3异常</t>
  </si>
  <si>
    <t>客108；无变化</t>
  </si>
  <si>
    <t>周四009</t>
  </si>
  <si>
    <t>乌拉圭</t>
  </si>
  <si>
    <t>巴西</t>
  </si>
  <si>
    <r>
      <rPr>
        <sz val="11"/>
        <color theme="1"/>
        <rFont val="宋体"/>
        <charset val="134"/>
        <scheme val="minor"/>
      </rPr>
      <t>102-98；</t>
    </r>
    <r>
      <rPr>
        <sz val="11"/>
        <color rgb="FFFF0000"/>
        <rFont val="宋体"/>
        <charset val="134"/>
        <scheme val="minor"/>
      </rPr>
      <t>10时84；</t>
    </r>
  </si>
  <si>
    <t>周四010</t>
  </si>
  <si>
    <t>阿根廷</t>
  </si>
  <si>
    <t>智利</t>
  </si>
  <si>
    <t>1.0</t>
  </si>
  <si>
    <t>104（80）</t>
  </si>
  <si>
    <r>
      <rPr>
        <sz val="11"/>
        <color theme="1"/>
        <rFont val="宋体"/>
        <charset val="134"/>
        <scheme val="minor"/>
      </rPr>
      <t>90-76；</t>
    </r>
    <r>
      <rPr>
        <sz val="11"/>
        <color rgb="FFFF0000"/>
        <rFont val="宋体"/>
        <charset val="134"/>
        <scheme val="minor"/>
      </rPr>
      <t>19时升盘102</t>
    </r>
    <r>
      <rPr>
        <sz val="11"/>
        <color theme="1"/>
        <rFont val="宋体"/>
        <charset val="134"/>
        <scheme val="minor"/>
      </rPr>
      <t>；10时98；</t>
    </r>
  </si>
  <si>
    <t>周四011</t>
  </si>
  <si>
    <t>委内瑞拉</t>
  </si>
  <si>
    <t>秘鲁</t>
  </si>
  <si>
    <t>0.25</t>
  </si>
  <si>
    <t>亚低看二档</t>
  </si>
  <si>
    <r>
      <rPr>
        <sz val="11"/>
        <color rgb="FFFF0000"/>
        <rFont val="宋体"/>
        <charset val="134"/>
        <scheme val="minor"/>
      </rPr>
      <t>104-110；</t>
    </r>
    <r>
      <rPr>
        <sz val="11"/>
        <color rgb="FFFF0000"/>
        <rFont val="宋体"/>
        <charset val="134"/>
        <scheme val="minor"/>
      </rPr>
      <t>19时降盘82；</t>
    </r>
  </si>
  <si>
    <t>韩国</t>
  </si>
  <si>
    <t>86-84；19时78；</t>
  </si>
  <si>
    <t>90</t>
  </si>
  <si>
    <t>世欧预</t>
  </si>
  <si>
    <t>周五004</t>
  </si>
  <si>
    <t>土耳其</t>
  </si>
  <si>
    <t>芬兰</t>
  </si>
  <si>
    <r>
      <rPr>
        <sz val="11"/>
        <color theme="1"/>
        <rFont val="宋体"/>
        <charset val="134"/>
        <scheme val="minor"/>
      </rPr>
      <t>102-98；</t>
    </r>
    <r>
      <rPr>
        <sz val="11"/>
        <color rgb="FFFF0000"/>
        <rFont val="宋体"/>
        <charset val="134"/>
        <scheme val="minor"/>
      </rPr>
      <t>8时降盘82</t>
    </r>
    <r>
      <rPr>
        <sz val="11"/>
        <color theme="1"/>
        <rFont val="宋体"/>
        <charset val="134"/>
        <scheme val="minor"/>
      </rPr>
      <t>；</t>
    </r>
  </si>
  <si>
    <t>周五005</t>
  </si>
  <si>
    <t>奥地利</t>
  </si>
  <si>
    <t>摩尔多瓦</t>
  </si>
  <si>
    <t>78（100）</t>
  </si>
  <si>
    <r>
      <rPr>
        <sz val="11"/>
        <color theme="1"/>
        <rFont val="宋体"/>
        <charset val="134"/>
        <scheme val="minor"/>
      </rPr>
      <t>92-82；</t>
    </r>
    <r>
      <rPr>
        <sz val="11"/>
        <color rgb="FFFF0000"/>
        <rFont val="宋体"/>
        <charset val="134"/>
        <scheme val="minor"/>
      </rPr>
      <t>11时升盘高水，8时78；</t>
    </r>
  </si>
  <si>
    <t>周五006</t>
  </si>
  <si>
    <t>爱尔兰</t>
  </si>
  <si>
    <t>威尔士</t>
  </si>
  <si>
    <t>3异常；</t>
  </si>
  <si>
    <t>92-102；7时104；</t>
  </si>
  <si>
    <t>周五007</t>
  </si>
  <si>
    <t>意大利</t>
  </si>
  <si>
    <t>阿尔巴尼亚</t>
  </si>
  <si>
    <t>高水降盘低水；15时升盘100；</t>
  </si>
  <si>
    <t>降热</t>
  </si>
  <si>
    <t>周五009</t>
  </si>
  <si>
    <t>西班牙</t>
  </si>
  <si>
    <t>以色列</t>
  </si>
  <si>
    <t>74（96）</t>
  </si>
  <si>
    <t>92；17时106；10时降盘维持低水；</t>
  </si>
  <si>
    <t>周五010</t>
  </si>
  <si>
    <t>乌克兰</t>
  </si>
  <si>
    <t>98-92-102；8时92；</t>
  </si>
  <si>
    <t>周五011</t>
  </si>
  <si>
    <t>科索沃</t>
  </si>
  <si>
    <t>冰岛</t>
  </si>
  <si>
    <t>-1.25</t>
  </si>
  <si>
    <t>中立场68（98）</t>
  </si>
  <si>
    <t>88-84；10时76；</t>
  </si>
  <si>
    <t>世中北美预</t>
  </si>
  <si>
    <t>周五012</t>
  </si>
  <si>
    <t>特立尼达和多巴哥</t>
  </si>
  <si>
    <t>巴拿马</t>
  </si>
  <si>
    <t>106（90）</t>
  </si>
  <si>
    <t>102；（76赔率）</t>
  </si>
  <si>
    <t>周五014</t>
  </si>
  <si>
    <t>墨西哥</t>
  </si>
  <si>
    <t>哥斯达黎加</t>
  </si>
  <si>
    <t>66（98）</t>
  </si>
  <si>
    <t>74（76赔付体系）；</t>
  </si>
  <si>
    <t>周五015</t>
  </si>
  <si>
    <t>美国</t>
  </si>
  <si>
    <t>洪都拉斯</t>
  </si>
  <si>
    <t>66（100）</t>
  </si>
  <si>
    <r>
      <rPr>
        <sz val="11"/>
        <color theme="1"/>
        <rFont val="宋体"/>
        <charset val="134"/>
        <scheme val="minor"/>
      </rPr>
      <t>88-78；</t>
    </r>
    <r>
      <rPr>
        <sz val="11"/>
        <color rgb="FFFF0000"/>
        <rFont val="宋体"/>
        <charset val="134"/>
        <scheme val="minor"/>
      </rPr>
      <t>低水72；</t>
    </r>
  </si>
  <si>
    <t>周六018</t>
  </si>
  <si>
    <t>瑞典</t>
  </si>
  <si>
    <t>白俄罗斯</t>
  </si>
  <si>
    <t>90；9时88；</t>
  </si>
  <si>
    <t>周六019</t>
  </si>
  <si>
    <t>安道尔</t>
  </si>
  <si>
    <t>法罗群岛</t>
  </si>
  <si>
    <t>-1</t>
  </si>
  <si>
    <t>客绿*超高水舍</t>
  </si>
  <si>
    <t>超高水防冷</t>
  </si>
  <si>
    <t>112；</t>
  </si>
  <si>
    <t>周六020</t>
  </si>
  <si>
    <t>瑞士</t>
  </si>
  <si>
    <t>拉脱维亚</t>
  </si>
  <si>
    <t>64（100）</t>
  </si>
  <si>
    <t>72；13时70</t>
  </si>
  <si>
    <t>周六021</t>
  </si>
  <si>
    <t>波黑</t>
  </si>
  <si>
    <t>直布罗陀</t>
  </si>
  <si>
    <t>4.5</t>
  </si>
  <si>
    <t>主50</t>
  </si>
  <si>
    <t>52；14时50；</t>
  </si>
  <si>
    <t>周六028</t>
  </si>
  <si>
    <t>保加利亚</t>
  </si>
  <si>
    <t>荷兰</t>
  </si>
  <si>
    <t>Z升盘舍</t>
  </si>
  <si>
    <t>100-86；11时82；</t>
  </si>
  <si>
    <t>周六029</t>
  </si>
  <si>
    <t>卢森堡</t>
  </si>
  <si>
    <t>法国</t>
  </si>
  <si>
    <t>88；16时80；10时72</t>
  </si>
  <si>
    <t>周六030</t>
  </si>
  <si>
    <t>葡萄牙</t>
  </si>
  <si>
    <t>匈牙利</t>
  </si>
  <si>
    <t>90-82；11时86；</t>
  </si>
  <si>
    <t>周六031</t>
  </si>
  <si>
    <t>比利时</t>
  </si>
  <si>
    <t>希腊</t>
  </si>
  <si>
    <t>92-94（曾102）；</t>
  </si>
  <si>
    <t>周日010</t>
  </si>
  <si>
    <t>阿塞拜疆</t>
  </si>
  <si>
    <t>82-76；11时升盘80；</t>
  </si>
  <si>
    <t>超低水升盘持续控赔模式</t>
  </si>
  <si>
    <t>周日011</t>
  </si>
  <si>
    <t>圣马力诺</t>
  </si>
  <si>
    <t>0-6</t>
  </si>
  <si>
    <t>捷克</t>
  </si>
  <si>
    <t>80-82；16时74；</t>
  </si>
  <si>
    <t>周日012</t>
  </si>
  <si>
    <t>亚美尼亚</t>
  </si>
  <si>
    <t>哈萨克斯坦</t>
  </si>
  <si>
    <t>0.5</t>
  </si>
  <si>
    <t>86；13时82；</t>
  </si>
  <si>
    <t>周日013</t>
  </si>
  <si>
    <t>立陶宛</t>
  </si>
  <si>
    <t>72（88）</t>
  </si>
  <si>
    <r>
      <rPr>
        <sz val="11"/>
        <color theme="1"/>
        <rFont val="宋体"/>
        <charset val="134"/>
        <scheme val="minor"/>
      </rPr>
      <t>86；</t>
    </r>
    <r>
      <rPr>
        <sz val="11"/>
        <color rgb="FFFF0000"/>
        <rFont val="宋体"/>
        <charset val="134"/>
        <scheme val="minor"/>
      </rPr>
      <t>11时升盘94；</t>
    </r>
    <r>
      <rPr>
        <sz val="11"/>
        <color theme="1"/>
        <rFont val="宋体"/>
        <charset val="134"/>
        <scheme val="minor"/>
      </rPr>
      <t>7时92；</t>
    </r>
  </si>
  <si>
    <t>周日014</t>
  </si>
  <si>
    <t>北爱尔兰</t>
  </si>
  <si>
    <t>挪威</t>
  </si>
  <si>
    <t>0.5&amp;0.75*不变中水慎</t>
  </si>
  <si>
    <t>100；12时98；</t>
  </si>
  <si>
    <t>周日015</t>
  </si>
  <si>
    <t>黑山</t>
  </si>
  <si>
    <t>波兰</t>
  </si>
  <si>
    <t>92-86；</t>
  </si>
  <si>
    <t>周日016</t>
  </si>
  <si>
    <t>罗马尼亚</t>
  </si>
  <si>
    <t>丹麦</t>
  </si>
  <si>
    <t>98,10时108；</t>
  </si>
  <si>
    <t>周日017</t>
  </si>
  <si>
    <t>斯洛文尼亚</t>
  </si>
  <si>
    <t>110（80）</t>
  </si>
  <si>
    <t>100-98；6时100</t>
  </si>
  <si>
    <t>周二001</t>
  </si>
  <si>
    <t>112（90）</t>
  </si>
  <si>
    <t>104；</t>
  </si>
  <si>
    <t>周二002</t>
  </si>
  <si>
    <t>78-70；</t>
  </si>
  <si>
    <t>周二003</t>
  </si>
  <si>
    <t>112（95）</t>
  </si>
  <si>
    <t>98-92；</t>
  </si>
  <si>
    <t>周二004</t>
  </si>
  <si>
    <t>106-100；</t>
  </si>
  <si>
    <t>周二005</t>
  </si>
  <si>
    <t>64（80）</t>
  </si>
  <si>
    <t>88-82；</t>
  </si>
  <si>
    <t>周二007</t>
  </si>
  <si>
    <t>客绿*1.0实力以下舍</t>
  </si>
  <si>
    <t>3异常110（80）</t>
  </si>
  <si>
    <r>
      <rPr>
        <sz val="11"/>
        <color theme="1"/>
        <rFont val="宋体"/>
        <charset val="134"/>
        <scheme val="minor"/>
      </rPr>
      <t>98-104；8</t>
    </r>
    <r>
      <rPr>
        <sz val="11"/>
        <color rgb="FFFF0000"/>
        <rFont val="宋体"/>
        <charset val="134"/>
        <scheme val="minor"/>
      </rPr>
      <t>时112；</t>
    </r>
  </si>
  <si>
    <t>临场波动</t>
  </si>
  <si>
    <t>周二016</t>
  </si>
  <si>
    <t>高原主场</t>
  </si>
  <si>
    <t>80-72；9时80；</t>
  </si>
  <si>
    <t>周二017</t>
  </si>
  <si>
    <t>74（100）</t>
  </si>
  <si>
    <r>
      <rPr>
        <sz val="11"/>
        <color theme="1"/>
        <rFont val="宋体"/>
        <charset val="134"/>
        <scheme val="minor"/>
      </rPr>
      <t>104；</t>
    </r>
    <r>
      <rPr>
        <sz val="11"/>
        <color rgb="FFFF0000"/>
        <rFont val="宋体"/>
        <charset val="134"/>
        <scheme val="minor"/>
      </rPr>
      <t>14时降盘84；</t>
    </r>
    <r>
      <rPr>
        <sz val="11"/>
        <color theme="1"/>
        <rFont val="宋体"/>
        <charset val="134"/>
        <scheme val="minor"/>
      </rPr>
      <t>10时80；</t>
    </r>
  </si>
  <si>
    <t>周二018</t>
  </si>
  <si>
    <t>114（90）</t>
  </si>
  <si>
    <r>
      <rPr>
        <sz val="11"/>
        <color theme="1"/>
        <rFont val="宋体"/>
        <charset val="134"/>
        <scheme val="minor"/>
      </rPr>
      <t>78-86；</t>
    </r>
    <r>
      <rPr>
        <sz val="11"/>
        <color rgb="FFFF0000"/>
        <rFont val="宋体"/>
        <charset val="134"/>
        <scheme val="minor"/>
      </rPr>
      <t>17时94</t>
    </r>
    <r>
      <rPr>
        <sz val="11"/>
        <color theme="1"/>
        <rFont val="宋体"/>
        <charset val="134"/>
        <scheme val="minor"/>
      </rPr>
      <t>；</t>
    </r>
    <r>
      <rPr>
        <sz val="11"/>
        <color theme="1"/>
        <rFont val="宋体"/>
        <charset val="134"/>
        <scheme val="minor"/>
      </rPr>
      <t>4时96</t>
    </r>
  </si>
  <si>
    <t>114</t>
  </si>
  <si>
    <t>周二019</t>
  </si>
  <si>
    <t>94-88；15时升盘100；</t>
  </si>
  <si>
    <t>周二020</t>
  </si>
  <si>
    <r>
      <rPr>
        <sz val="11"/>
        <color rgb="FFFF00FF"/>
        <rFont val="宋体"/>
        <charset val="134"/>
        <scheme val="minor"/>
      </rPr>
      <t>74-64；</t>
    </r>
    <r>
      <rPr>
        <sz val="11"/>
        <color rgb="FFFF00FF"/>
        <rFont val="宋体"/>
        <charset val="134"/>
        <scheme val="minor"/>
      </rPr>
      <t>15时升盘80；</t>
    </r>
  </si>
  <si>
    <t>周二021</t>
  </si>
  <si>
    <t>86-84；</t>
  </si>
  <si>
    <t>周二022</t>
  </si>
  <si>
    <t>0异常56（100）</t>
  </si>
  <si>
    <r>
      <rPr>
        <sz val="11"/>
        <color theme="1"/>
        <rFont val="宋体"/>
        <charset val="134"/>
        <scheme val="minor"/>
      </rPr>
      <t>76；</t>
    </r>
    <r>
      <rPr>
        <sz val="11"/>
        <color rgb="FFFF0000"/>
        <rFont val="宋体"/>
        <charset val="134"/>
        <scheme val="minor"/>
      </rPr>
      <t>16时降盘60；8时70；</t>
    </r>
  </si>
  <si>
    <t>周二023</t>
  </si>
  <si>
    <t>升盘过晚</t>
  </si>
  <si>
    <t>客76,19时升盘104；</t>
  </si>
  <si>
    <t>周二006</t>
  </si>
  <si>
    <t>俄罗斯</t>
  </si>
  <si>
    <t>100；无变化</t>
  </si>
  <si>
    <t>周二008</t>
  </si>
  <si>
    <r>
      <rPr>
        <sz val="11"/>
        <color theme="1"/>
        <rFont val="宋体"/>
        <charset val="134"/>
        <scheme val="minor"/>
      </rPr>
      <t>82-78；</t>
    </r>
    <r>
      <rPr>
        <sz val="11"/>
        <color rgb="FFFF0000"/>
        <rFont val="宋体"/>
        <charset val="134"/>
        <scheme val="minor"/>
      </rPr>
      <t>9时升盘100</t>
    </r>
    <r>
      <rPr>
        <sz val="11"/>
        <color theme="1"/>
        <rFont val="宋体"/>
        <charset val="134"/>
        <scheme val="minor"/>
      </rPr>
      <t>；</t>
    </r>
  </si>
  <si>
    <t>周二009</t>
  </si>
  <si>
    <r>
      <rPr>
        <sz val="11"/>
        <color rgb="FFFF0000"/>
        <rFont val="宋体"/>
        <charset val="134"/>
        <scheme val="minor"/>
      </rPr>
      <t>82-</t>
    </r>
    <r>
      <rPr>
        <sz val="11"/>
        <color rgb="FFFF0000"/>
        <rFont val="宋体"/>
        <charset val="134"/>
        <scheme val="minor"/>
      </rPr>
      <t>72；9时升盘96；</t>
    </r>
  </si>
  <si>
    <t>周二010</t>
  </si>
  <si>
    <t>88-86；</t>
  </si>
  <si>
    <t>周二011</t>
  </si>
  <si>
    <t>76（110）客让</t>
  </si>
  <si>
    <t>90；9时92；</t>
  </si>
  <si>
    <t>周二015</t>
  </si>
  <si>
    <t>主金慎</t>
  </si>
  <si>
    <t>102，无变化；</t>
  </si>
  <si>
    <t>周五002</t>
  </si>
  <si>
    <t>新西兰</t>
  </si>
  <si>
    <r>
      <rPr>
        <sz val="11"/>
        <color theme="1"/>
        <rFont val="宋体"/>
        <charset val="134"/>
        <scheme val="minor"/>
      </rPr>
      <t>80；</t>
    </r>
    <r>
      <rPr>
        <sz val="11"/>
        <color rgb="FFFF0000"/>
        <rFont val="宋体"/>
        <charset val="134"/>
        <scheme val="minor"/>
      </rPr>
      <t>10时升盘102</t>
    </r>
    <r>
      <rPr>
        <sz val="11"/>
        <color theme="1"/>
        <rFont val="宋体"/>
        <charset val="134"/>
        <scheme val="minor"/>
      </rPr>
      <t>；6时96；</t>
    </r>
  </si>
  <si>
    <t>周五003</t>
  </si>
  <si>
    <t>76（95）</t>
  </si>
  <si>
    <t>96；15时82；</t>
  </si>
  <si>
    <r>
      <rPr>
        <sz val="11"/>
        <color rgb="FFFF0000"/>
        <rFont val="宋体"/>
        <charset val="134"/>
        <scheme val="minor"/>
      </rPr>
      <t>78-</t>
    </r>
    <r>
      <rPr>
        <sz val="11"/>
        <color rgb="FFFF0000"/>
        <rFont val="宋体"/>
        <charset val="134"/>
        <scheme val="minor"/>
      </rPr>
      <t>76；</t>
    </r>
  </si>
  <si>
    <t>周日023</t>
  </si>
  <si>
    <r>
      <rPr>
        <sz val="11"/>
        <color theme="1"/>
        <rFont val="宋体"/>
        <charset val="134"/>
        <scheme val="minor"/>
      </rPr>
      <t>客82-78；</t>
    </r>
    <r>
      <rPr>
        <sz val="11"/>
        <color rgb="FFFF0000"/>
        <rFont val="宋体"/>
        <charset val="134"/>
        <scheme val="minor"/>
      </rPr>
      <t>6时升盘112；</t>
    </r>
  </si>
  <si>
    <t>周日025</t>
  </si>
  <si>
    <t>科特迪瓦</t>
  </si>
  <si>
    <t>94；7时82；</t>
  </si>
  <si>
    <t>周一002</t>
  </si>
  <si>
    <r>
      <rPr>
        <sz val="11"/>
        <color theme="1"/>
        <rFont val="宋体"/>
        <charset val="134"/>
        <scheme val="minor"/>
      </rPr>
      <t>客80-66；</t>
    </r>
    <r>
      <rPr>
        <sz val="11"/>
        <color rgb="FFFF0000"/>
        <rFont val="宋体"/>
        <charset val="134"/>
        <scheme val="minor"/>
      </rPr>
      <t>14时客队升盘，11时降盘80；</t>
    </r>
  </si>
  <si>
    <t>造热</t>
  </si>
  <si>
    <t>周一003</t>
  </si>
  <si>
    <t>升盘2档舍</t>
  </si>
  <si>
    <t>82-74；14时升盘102；</t>
  </si>
  <si>
    <t>周四006</t>
  </si>
  <si>
    <t>早升盘防冷</t>
  </si>
  <si>
    <r>
      <rPr>
        <sz val="11"/>
        <color rgb="FFFFFF00"/>
        <rFont val="宋体"/>
        <charset val="134"/>
        <scheme val="minor"/>
      </rPr>
      <t>低</t>
    </r>
    <r>
      <rPr>
        <sz val="11"/>
        <color rgb="FFFFFF00"/>
        <rFont val="宋体"/>
        <charset val="134"/>
        <scheme val="minor"/>
      </rPr>
      <t>水早升盘；10时94；6时降盘90</t>
    </r>
  </si>
  <si>
    <t>68（90）</t>
  </si>
  <si>
    <t>94-84；</t>
  </si>
  <si>
    <t>100-104；</t>
  </si>
  <si>
    <r>
      <rPr>
        <sz val="11"/>
        <color theme="1"/>
        <rFont val="宋体"/>
        <charset val="134"/>
        <scheme val="minor"/>
      </rPr>
      <t>98-104；</t>
    </r>
    <r>
      <rPr>
        <sz val="11"/>
        <color rgb="FF00B0F0"/>
        <rFont val="宋体"/>
        <charset val="134"/>
        <scheme val="minor"/>
      </rPr>
      <t>10时降盘78；</t>
    </r>
  </si>
  <si>
    <t>74；</t>
  </si>
  <si>
    <t>客金中中慎</t>
  </si>
  <si>
    <t>98-92；10时86；</t>
  </si>
  <si>
    <t>88</t>
  </si>
  <si>
    <t>120（100）</t>
  </si>
  <si>
    <t>90-94；10时108；</t>
  </si>
  <si>
    <t>62（90）</t>
  </si>
  <si>
    <t>78-72；</t>
  </si>
  <si>
    <t>周五008</t>
  </si>
  <si>
    <t>98-92；10时102；</t>
  </si>
  <si>
    <t>94-84；7时88；5时90</t>
  </si>
  <si>
    <t>爱沙尼亚</t>
  </si>
  <si>
    <t>降盘2档</t>
  </si>
  <si>
    <t>70（100）</t>
  </si>
  <si>
    <t>84-94；</t>
  </si>
  <si>
    <t>塞浦路斯</t>
  </si>
  <si>
    <r>
      <rPr>
        <sz val="11"/>
        <color theme="1"/>
        <rFont val="宋体"/>
        <charset val="134"/>
        <scheme val="minor"/>
      </rPr>
      <t>82-80；</t>
    </r>
    <r>
      <rPr>
        <sz val="11"/>
        <color rgb="FFFF0000"/>
        <rFont val="宋体"/>
        <charset val="134"/>
        <scheme val="minor"/>
      </rPr>
      <t>10时94；</t>
    </r>
  </si>
  <si>
    <t>周六005</t>
  </si>
  <si>
    <t>水位高不博</t>
  </si>
  <si>
    <t>90；7时102；</t>
  </si>
  <si>
    <t>周六006</t>
  </si>
  <si>
    <r>
      <rPr>
        <sz val="11"/>
        <color theme="1"/>
        <rFont val="宋体"/>
        <charset val="134"/>
        <scheme val="minor"/>
      </rPr>
      <t>92-78；</t>
    </r>
    <r>
      <rPr>
        <sz val="11"/>
        <color rgb="FFFF0000"/>
        <rFont val="宋体"/>
        <charset val="134"/>
        <scheme val="minor"/>
      </rPr>
      <t>9时升盘102</t>
    </r>
    <r>
      <rPr>
        <sz val="11"/>
        <color theme="1"/>
        <rFont val="宋体"/>
        <charset val="134"/>
        <scheme val="minor"/>
      </rPr>
      <t>，后96；</t>
    </r>
  </si>
  <si>
    <t>周六007</t>
  </si>
  <si>
    <t>92；14时86；</t>
  </si>
  <si>
    <t>周六008</t>
  </si>
  <si>
    <t>88；20时80，后76；</t>
  </si>
  <si>
    <t>周六009</t>
  </si>
  <si>
    <t>客102-96；14时92；8时86；</t>
  </si>
  <si>
    <t>周六010</t>
  </si>
  <si>
    <r>
      <rPr>
        <sz val="11"/>
        <color theme="1"/>
        <rFont val="宋体"/>
        <charset val="134"/>
        <scheme val="minor"/>
      </rPr>
      <t>78-84；</t>
    </r>
    <r>
      <rPr>
        <sz val="11"/>
        <color rgb="FFFF0000"/>
        <rFont val="宋体"/>
        <charset val="134"/>
        <scheme val="minor"/>
      </rPr>
      <t>13时92</t>
    </r>
    <r>
      <rPr>
        <sz val="11"/>
        <color theme="1"/>
        <rFont val="宋体"/>
        <charset val="134"/>
        <scheme val="minor"/>
      </rPr>
      <t>，后96；</t>
    </r>
  </si>
  <si>
    <t>周六011</t>
  </si>
  <si>
    <t>98-92；14时86；</t>
  </si>
  <si>
    <t>周六012</t>
  </si>
  <si>
    <t>斯洛伐克</t>
  </si>
  <si>
    <t>96-90；</t>
  </si>
  <si>
    <t>86</t>
  </si>
  <si>
    <t>周日009</t>
  </si>
  <si>
    <t>90-82；</t>
  </si>
  <si>
    <t>格鲁吉亚</t>
  </si>
  <si>
    <t>108-98；11时92；</t>
  </si>
  <si>
    <t>106-94；3时86</t>
  </si>
  <si>
    <t>80</t>
  </si>
  <si>
    <t>塞尔维亚</t>
  </si>
  <si>
    <r>
      <rPr>
        <sz val="11"/>
        <color theme="1"/>
        <rFont val="宋体"/>
        <charset val="134"/>
        <scheme val="minor"/>
      </rPr>
      <t>78升</t>
    </r>
    <r>
      <rPr>
        <sz val="11"/>
        <color theme="1"/>
        <rFont val="宋体"/>
        <charset val="134"/>
        <scheme val="minor"/>
      </rPr>
      <t>盘94；20时90；16时86；</t>
    </r>
  </si>
  <si>
    <r>
      <rPr>
        <sz val="11"/>
        <color theme="1"/>
        <rFont val="宋体"/>
        <charset val="134"/>
        <scheme val="minor"/>
      </rPr>
      <t>86-84；</t>
    </r>
    <r>
      <rPr>
        <sz val="11"/>
        <color rgb="FFFF00FF"/>
        <rFont val="宋体"/>
        <charset val="134"/>
        <scheme val="minor"/>
      </rPr>
      <t>12时升盘104；</t>
    </r>
  </si>
  <si>
    <t>列支敦士登</t>
  </si>
  <si>
    <t>主60；</t>
  </si>
  <si>
    <t>80-78；</t>
  </si>
  <si>
    <t>北马其顿</t>
  </si>
  <si>
    <t>102-100；8时90</t>
  </si>
  <si>
    <t>102-98；20时102；</t>
  </si>
  <si>
    <t>中立场60（80）（100）</t>
  </si>
  <si>
    <t>82降盘80；</t>
  </si>
  <si>
    <t>周日024</t>
  </si>
  <si>
    <t>100；16时96；</t>
  </si>
  <si>
    <t>周一001</t>
  </si>
  <si>
    <t>跳水盘</t>
  </si>
  <si>
    <r>
      <rPr>
        <sz val="11"/>
        <color theme="1"/>
        <rFont val="宋体"/>
        <charset val="134"/>
        <scheme val="minor"/>
      </rPr>
      <t>90；</t>
    </r>
    <r>
      <rPr>
        <sz val="11"/>
        <color rgb="FFFF0000"/>
        <rFont val="宋体"/>
        <charset val="134"/>
        <scheme val="minor"/>
      </rPr>
      <t>17时降盘66</t>
    </r>
    <r>
      <rPr>
        <sz val="11"/>
        <color theme="1"/>
        <rFont val="宋体"/>
        <charset val="134"/>
        <scheme val="minor"/>
      </rPr>
      <t>；</t>
    </r>
    <r>
      <rPr>
        <sz val="11"/>
        <color rgb="FFFF0000"/>
        <rFont val="宋体"/>
        <charset val="134"/>
        <scheme val="minor"/>
      </rPr>
      <t>4时升盘半球100</t>
    </r>
    <r>
      <rPr>
        <sz val="11"/>
        <color theme="1"/>
        <rFont val="宋体"/>
        <charset val="134"/>
        <scheme val="minor"/>
      </rPr>
      <t>；</t>
    </r>
    <r>
      <rPr>
        <sz val="11"/>
        <color rgb="FF00B0F0"/>
        <rFont val="宋体"/>
        <charset val="134"/>
        <scheme val="minor"/>
      </rPr>
      <t>3时降盘78</t>
    </r>
    <r>
      <rPr>
        <sz val="11"/>
        <color theme="1"/>
        <rFont val="宋体"/>
        <charset val="134"/>
        <scheme val="minor"/>
      </rPr>
      <t>；</t>
    </r>
  </si>
  <si>
    <t>74（110）</t>
  </si>
  <si>
    <r>
      <rPr>
        <sz val="11"/>
        <color theme="1"/>
        <rFont val="宋体"/>
        <charset val="134"/>
        <scheme val="minor"/>
      </rPr>
      <t>72-68；</t>
    </r>
    <r>
      <rPr>
        <sz val="11"/>
        <color rgb="FFFF00FF"/>
        <rFont val="宋体"/>
        <charset val="134"/>
        <scheme val="minor"/>
      </rPr>
      <t>7时升盘10</t>
    </r>
    <r>
      <rPr>
        <sz val="11"/>
        <color theme="1"/>
        <rFont val="宋体"/>
        <charset val="134"/>
        <scheme val="minor"/>
      </rPr>
      <t>0；6时98；3时104</t>
    </r>
  </si>
  <si>
    <t>98-110；5时98；</t>
  </si>
  <si>
    <t>新加坡</t>
  </si>
  <si>
    <t>94；</t>
  </si>
  <si>
    <t>高中舍；</t>
  </si>
  <si>
    <t>100-94；7时92；3时降盘74；</t>
  </si>
  <si>
    <t>72；升盘88-92；</t>
  </si>
  <si>
    <t>中立场100（80）</t>
  </si>
  <si>
    <r>
      <rPr>
        <sz val="11"/>
        <color theme="1"/>
        <rFont val="宋体"/>
        <charset val="134"/>
        <scheme val="minor"/>
      </rPr>
      <t>74-96；15时102；9时86；</t>
    </r>
    <r>
      <rPr>
        <sz val="11"/>
        <color rgb="FFFF00FF"/>
        <rFont val="宋体"/>
        <charset val="134"/>
        <scheme val="minor"/>
      </rPr>
      <t>7时升盘降</t>
    </r>
    <r>
      <rPr>
        <sz val="11"/>
        <color theme="1"/>
        <rFont val="宋体"/>
        <charset val="134"/>
        <scheme val="minor"/>
      </rPr>
      <t>水</t>
    </r>
  </si>
  <si>
    <r>
      <rPr>
        <sz val="11"/>
        <color theme="1"/>
        <rFont val="宋体"/>
        <charset val="134"/>
        <scheme val="minor"/>
      </rPr>
      <t>客74,</t>
    </r>
    <r>
      <rPr>
        <sz val="11"/>
        <color rgb="FFFF0000"/>
        <rFont val="宋体"/>
        <charset val="134"/>
        <scheme val="minor"/>
      </rPr>
      <t>9时升盘98；6时降盘72</t>
    </r>
    <r>
      <rPr>
        <sz val="11"/>
        <color theme="1"/>
        <rFont val="宋体"/>
        <charset val="134"/>
        <scheme val="minor"/>
      </rPr>
      <t>；</t>
    </r>
  </si>
  <si>
    <t>周二014</t>
  </si>
  <si>
    <t>96-92；22时升盘100；5时96；</t>
  </si>
  <si>
    <t>高中*0.5实力舍</t>
  </si>
  <si>
    <r>
      <rPr>
        <sz val="11"/>
        <color theme="1"/>
        <rFont val="宋体"/>
        <charset val="134"/>
        <scheme val="minor"/>
      </rPr>
      <t>100-94；</t>
    </r>
    <r>
      <rPr>
        <sz val="11"/>
        <color rgb="FFFF0000"/>
        <rFont val="宋体"/>
        <charset val="134"/>
        <scheme val="minor"/>
      </rPr>
      <t>11时降盘86；</t>
    </r>
  </si>
  <si>
    <r>
      <rPr>
        <sz val="11"/>
        <color theme="1"/>
        <rFont val="宋体"/>
        <charset val="134"/>
        <scheme val="minor"/>
      </rPr>
      <t>84-70；</t>
    </r>
    <r>
      <rPr>
        <sz val="11"/>
        <color rgb="FFFF00FF"/>
        <rFont val="宋体"/>
        <charset val="134"/>
        <scheme val="minor"/>
      </rPr>
      <t>13时升盘80</t>
    </r>
    <r>
      <rPr>
        <sz val="11"/>
        <color theme="1"/>
        <rFont val="宋体"/>
        <charset val="134"/>
        <scheme val="minor"/>
      </rPr>
      <t>；7时92；</t>
    </r>
  </si>
  <si>
    <r>
      <rPr>
        <sz val="11"/>
        <color rgb="FFFF0000"/>
        <rFont val="宋体"/>
        <charset val="134"/>
        <scheme val="minor"/>
      </rPr>
      <t>84-92；</t>
    </r>
    <r>
      <rPr>
        <sz val="11"/>
        <color rgb="FFFF0000"/>
        <rFont val="宋体"/>
        <charset val="134"/>
        <scheme val="minor"/>
      </rPr>
      <t>19时升盘108；</t>
    </r>
  </si>
  <si>
    <t>周二012</t>
  </si>
  <si>
    <r>
      <rPr>
        <sz val="11"/>
        <color theme="1"/>
        <rFont val="宋体"/>
        <charset val="134"/>
        <scheme val="minor"/>
      </rPr>
      <t>84，</t>
    </r>
    <r>
      <rPr>
        <sz val="11"/>
        <color rgb="FFFF0000"/>
        <rFont val="宋体"/>
        <charset val="134"/>
        <scheme val="minor"/>
      </rPr>
      <t>16时升盘102；</t>
    </r>
  </si>
  <si>
    <t>70（90）</t>
  </si>
  <si>
    <r>
      <rPr>
        <sz val="11"/>
        <color rgb="FFFF0000"/>
        <rFont val="宋体"/>
        <charset val="134"/>
        <scheme val="minor"/>
      </rPr>
      <t>60</t>
    </r>
    <r>
      <rPr>
        <sz val="11"/>
        <color theme="1"/>
        <rFont val="宋体"/>
        <charset val="134"/>
        <scheme val="minor"/>
      </rPr>
      <t>；</t>
    </r>
    <r>
      <rPr>
        <sz val="11"/>
        <color rgb="FFFF0000"/>
        <rFont val="宋体"/>
        <charset val="134"/>
        <scheme val="minor"/>
      </rPr>
      <t>19时升盘70-66；</t>
    </r>
  </si>
  <si>
    <r>
      <rPr>
        <sz val="11"/>
        <color theme="1"/>
        <rFont val="宋体"/>
        <charset val="134"/>
        <scheme val="minor"/>
      </rPr>
      <t>96-9</t>
    </r>
    <r>
      <rPr>
        <sz val="11"/>
        <color rgb="FFFFFF00"/>
        <rFont val="宋体"/>
        <charset val="134"/>
        <scheme val="minor"/>
      </rPr>
      <t>2升盘110（或无升盘）；</t>
    </r>
  </si>
  <si>
    <t>110-98-104；10时96；8时102；</t>
  </si>
  <si>
    <t>70（110）</t>
  </si>
  <si>
    <t>78-82升盘86；14时降盘78；</t>
  </si>
  <si>
    <t>114（100）</t>
  </si>
  <si>
    <r>
      <rPr>
        <sz val="11"/>
        <color theme="1"/>
        <rFont val="宋体"/>
        <charset val="134"/>
        <scheme val="minor"/>
      </rPr>
      <t>102-100；12时90；</t>
    </r>
    <r>
      <rPr>
        <sz val="11"/>
        <color rgb="FFFF0000"/>
        <rFont val="宋体"/>
        <charset val="134"/>
        <scheme val="minor"/>
      </rPr>
      <t>10时升盘114；</t>
    </r>
  </si>
  <si>
    <t>98；5时104</t>
  </si>
  <si>
    <t>82-80；5时84；</t>
  </si>
  <si>
    <t>112-96；8时88；</t>
  </si>
  <si>
    <t>升盘降盘慎</t>
  </si>
  <si>
    <t>82升盘100；10时降盘82；</t>
  </si>
  <si>
    <t>82升盘104；</t>
  </si>
  <si>
    <t>周四012</t>
  </si>
  <si>
    <t>66（96）</t>
  </si>
  <si>
    <t>88-72；12时62</t>
  </si>
  <si>
    <t>周四013</t>
  </si>
  <si>
    <t>92-102；9时降盘112；</t>
  </si>
  <si>
    <t>强队脱衣舞</t>
  </si>
  <si>
    <t>周四014</t>
  </si>
  <si>
    <t>9-0</t>
  </si>
  <si>
    <t>68-60；</t>
  </si>
  <si>
    <t>周四015</t>
  </si>
  <si>
    <t>低不升慎</t>
  </si>
  <si>
    <t>74（105）</t>
  </si>
  <si>
    <t>88；16时84；8时78；</t>
  </si>
  <si>
    <t>周四016</t>
  </si>
  <si>
    <t>降盘不利3</t>
  </si>
  <si>
    <r>
      <rPr>
        <sz val="11"/>
        <color theme="1"/>
        <rFont val="宋体"/>
        <charset val="134"/>
        <scheme val="minor"/>
      </rPr>
      <t>106-104；20时96</t>
    </r>
    <r>
      <rPr>
        <sz val="11"/>
        <color rgb="FFFF0000"/>
        <rFont val="宋体"/>
        <charset val="134"/>
        <scheme val="minor"/>
      </rPr>
      <t>；12时降盘76-80；</t>
    </r>
  </si>
  <si>
    <t>周四018</t>
  </si>
  <si>
    <t>78（105）</t>
  </si>
  <si>
    <t>96-86；</t>
  </si>
  <si>
    <t>78</t>
  </si>
  <si>
    <t>周四019</t>
  </si>
  <si>
    <r>
      <rPr>
        <sz val="11"/>
        <color theme="1"/>
        <rFont val="宋体"/>
        <charset val="134"/>
        <scheme val="minor"/>
      </rPr>
      <t>84-76升盘</t>
    </r>
    <r>
      <rPr>
        <sz val="11"/>
        <color theme="1"/>
        <rFont val="宋体"/>
        <charset val="134"/>
        <scheme val="minor"/>
      </rPr>
      <t>102；11时98；</t>
    </r>
  </si>
  <si>
    <t>周四020</t>
  </si>
  <si>
    <t>90；16时88-92；</t>
  </si>
  <si>
    <t>周四021</t>
  </si>
  <si>
    <t>66（90）</t>
  </si>
  <si>
    <t>88-80升盘104；</t>
  </si>
  <si>
    <t>周四022</t>
  </si>
  <si>
    <r>
      <rPr>
        <sz val="11"/>
        <color theme="1"/>
        <rFont val="宋体"/>
        <charset val="134"/>
        <scheme val="minor"/>
      </rPr>
      <t>96-90-84；</t>
    </r>
    <r>
      <rPr>
        <sz val="11"/>
        <color rgb="FFFF0000"/>
        <rFont val="宋体"/>
        <charset val="134"/>
        <scheme val="minor"/>
      </rPr>
      <t>12时升盘102</t>
    </r>
    <r>
      <rPr>
        <sz val="11"/>
        <color theme="1"/>
        <rFont val="宋体"/>
        <charset val="134"/>
        <scheme val="minor"/>
      </rPr>
      <t>；</t>
    </r>
  </si>
  <si>
    <t>世非预</t>
  </si>
  <si>
    <t>周五001</t>
  </si>
  <si>
    <t>加纳</t>
  </si>
  <si>
    <t>刚果</t>
  </si>
  <si>
    <t>异常亚盘舍，低不升舍</t>
  </si>
  <si>
    <t>80；6时76；</t>
  </si>
  <si>
    <t>84-92；</t>
  </si>
  <si>
    <t>尼日利亚</t>
  </si>
  <si>
    <t>喀麦隆</t>
  </si>
  <si>
    <t>A</t>
  </si>
  <si>
    <t>82；</t>
  </si>
  <si>
    <t>周五016</t>
  </si>
  <si>
    <t>佛得角</t>
  </si>
  <si>
    <t>南非</t>
  </si>
  <si>
    <t>客88；20时80；</t>
  </si>
  <si>
    <t>周五017</t>
  </si>
  <si>
    <t>94升盘108-104；11时96；7时82；</t>
  </si>
  <si>
    <t>周五018</t>
  </si>
  <si>
    <r>
      <rPr>
        <sz val="11"/>
        <color theme="1"/>
        <rFont val="宋体"/>
        <charset val="134"/>
        <scheme val="minor"/>
      </rPr>
      <t>78-70；</t>
    </r>
    <r>
      <rPr>
        <sz val="11"/>
        <color rgb="FFFF00FF"/>
        <rFont val="宋体"/>
        <charset val="134"/>
        <scheme val="minor"/>
      </rPr>
      <t>20时升盘92；</t>
    </r>
  </si>
  <si>
    <t>周五019</t>
  </si>
  <si>
    <t>64（90）</t>
  </si>
  <si>
    <r>
      <rPr>
        <sz val="11"/>
        <color theme="1"/>
        <rFont val="宋体"/>
        <charset val="134"/>
        <scheme val="minor"/>
      </rPr>
      <t>74-66；</t>
    </r>
    <r>
      <rPr>
        <sz val="11"/>
        <color rgb="FFFF0000"/>
        <rFont val="宋体"/>
        <charset val="134"/>
        <scheme val="minor"/>
      </rPr>
      <t>14时升盘70；12时升盘78；</t>
    </r>
  </si>
  <si>
    <t>周五020</t>
  </si>
  <si>
    <t>98；10时102；</t>
  </si>
  <si>
    <t>108</t>
  </si>
  <si>
    <t>周五021</t>
  </si>
  <si>
    <t>82升盘102；11时98</t>
  </si>
  <si>
    <t>周五022</t>
  </si>
  <si>
    <t>80升盘100；11时84</t>
  </si>
  <si>
    <t>特殊</t>
  </si>
  <si>
    <t>周五023</t>
  </si>
  <si>
    <t>74升盘96；14时94；</t>
  </si>
  <si>
    <t>92</t>
  </si>
  <si>
    <t>周五024</t>
  </si>
  <si>
    <t>突尼斯</t>
  </si>
  <si>
    <t>民主刚果</t>
  </si>
  <si>
    <t>74；11时80</t>
  </si>
  <si>
    <t>周五025</t>
  </si>
  <si>
    <t>摩洛哥</t>
  </si>
  <si>
    <t>马里</t>
  </si>
  <si>
    <t>106降盘96；18时86；</t>
  </si>
  <si>
    <t>周五026</t>
  </si>
  <si>
    <t>60（98）</t>
  </si>
  <si>
    <r>
      <rPr>
        <sz val="11"/>
        <color theme="1"/>
        <rFont val="宋体"/>
        <charset val="134"/>
        <scheme val="minor"/>
      </rPr>
      <t>74-72；</t>
    </r>
    <r>
      <rPr>
        <sz val="11"/>
        <color rgb="FFFF0000"/>
        <rFont val="宋体"/>
        <charset val="134"/>
        <scheme val="minor"/>
      </rPr>
      <t>14时64；</t>
    </r>
  </si>
  <si>
    <t>周五027</t>
  </si>
  <si>
    <t>66（105）</t>
  </si>
  <si>
    <t>主106；</t>
  </si>
  <si>
    <t>周五030</t>
  </si>
  <si>
    <t>低不升舍</t>
  </si>
  <si>
    <t>周六024</t>
  </si>
  <si>
    <t>88-92；后中水波动；</t>
  </si>
  <si>
    <t>周六025</t>
  </si>
  <si>
    <t>96-100；12时降盘78；</t>
  </si>
  <si>
    <t>周六026</t>
  </si>
  <si>
    <r>
      <rPr>
        <sz val="11"/>
        <color theme="1"/>
        <rFont val="宋体"/>
        <charset val="134"/>
        <scheme val="minor"/>
      </rPr>
      <t>102-100；</t>
    </r>
    <r>
      <rPr>
        <sz val="11"/>
        <color rgb="FFFF0000"/>
        <rFont val="宋体"/>
        <charset val="134"/>
        <scheme val="minor"/>
      </rPr>
      <t>12时96；8时90；6时80</t>
    </r>
    <r>
      <rPr>
        <sz val="11"/>
        <color theme="1"/>
        <rFont val="宋体"/>
        <charset val="134"/>
        <scheme val="minor"/>
      </rPr>
      <t>；</t>
    </r>
  </si>
  <si>
    <t>周六027</t>
  </si>
  <si>
    <t>56（75）（100）</t>
  </si>
  <si>
    <r>
      <rPr>
        <sz val="11"/>
        <color theme="1"/>
        <rFont val="宋体"/>
        <charset val="134"/>
        <scheme val="minor"/>
      </rPr>
      <t>70；</t>
    </r>
    <r>
      <rPr>
        <sz val="11"/>
        <color rgb="FFFF0000"/>
        <rFont val="宋体"/>
        <charset val="134"/>
        <scheme val="minor"/>
      </rPr>
      <t>13时升盘80</t>
    </r>
    <r>
      <rPr>
        <sz val="11"/>
        <color theme="1"/>
        <rFont val="宋体"/>
        <charset val="134"/>
        <scheme val="minor"/>
      </rPr>
      <t>；6时58；</t>
    </r>
  </si>
  <si>
    <t>90-86；11时82；</t>
  </si>
  <si>
    <t>周六032</t>
  </si>
  <si>
    <t>马其顿</t>
  </si>
  <si>
    <t>客场龙舍</t>
  </si>
  <si>
    <t>106降盘76；13时84；</t>
  </si>
  <si>
    <t>周六033</t>
  </si>
  <si>
    <r>
      <rPr>
        <sz val="11"/>
        <color theme="1"/>
        <rFont val="宋体"/>
        <charset val="134"/>
        <scheme val="minor"/>
      </rPr>
      <t>82-</t>
    </r>
    <r>
      <rPr>
        <sz val="11"/>
        <color rgb="FFFF0000"/>
        <rFont val="宋体"/>
        <charset val="134"/>
        <scheme val="minor"/>
      </rPr>
      <t>88</t>
    </r>
    <r>
      <rPr>
        <sz val="11"/>
        <color theme="1"/>
        <rFont val="宋体"/>
        <charset val="134"/>
        <scheme val="minor"/>
      </rPr>
      <t>-80；</t>
    </r>
    <r>
      <rPr>
        <sz val="11"/>
        <color rgb="FFFF00FF"/>
        <rFont val="宋体"/>
        <charset val="134"/>
        <scheme val="minor"/>
      </rPr>
      <t>11时升盘96；</t>
    </r>
  </si>
  <si>
    <t>必杀</t>
  </si>
  <si>
    <t>周六035</t>
  </si>
  <si>
    <t>92；11时84；</t>
  </si>
  <si>
    <t>周六013</t>
  </si>
  <si>
    <t>赞比亚</t>
  </si>
  <si>
    <t>阿尔及利亚</t>
  </si>
  <si>
    <t>106；7时104；</t>
  </si>
  <si>
    <t>加蓬</t>
  </si>
  <si>
    <t>客78-70；</t>
  </si>
  <si>
    <t>周六037</t>
  </si>
  <si>
    <t>塞内加尔</t>
  </si>
  <si>
    <t>布基纳法索</t>
  </si>
  <si>
    <t>升盘低不升慎</t>
  </si>
  <si>
    <r>
      <rPr>
        <sz val="11"/>
        <color rgb="FFFF0000"/>
        <rFont val="宋体"/>
        <charset val="134"/>
        <scheme val="minor"/>
      </rPr>
      <t>84-</t>
    </r>
    <r>
      <rPr>
        <sz val="11"/>
        <color rgb="FFFF0000"/>
        <rFont val="宋体"/>
        <charset val="134"/>
        <scheme val="minor"/>
      </rPr>
      <t>62；</t>
    </r>
  </si>
  <si>
    <t>周日008</t>
  </si>
  <si>
    <t>74（105,110）</t>
  </si>
  <si>
    <r>
      <rPr>
        <sz val="11"/>
        <color theme="1"/>
        <rFont val="宋体"/>
        <charset val="134"/>
        <scheme val="minor"/>
      </rPr>
      <t>90；</t>
    </r>
    <r>
      <rPr>
        <sz val="11"/>
        <color rgb="FFFF0000"/>
        <rFont val="宋体"/>
        <charset val="134"/>
        <scheme val="minor"/>
      </rPr>
      <t>18时86；</t>
    </r>
    <r>
      <rPr>
        <sz val="11"/>
        <color theme="1"/>
        <rFont val="宋体"/>
        <charset val="134"/>
        <scheme val="minor"/>
      </rPr>
      <t>7时升盘100；5时106；</t>
    </r>
  </si>
  <si>
    <r>
      <rPr>
        <sz val="11"/>
        <color theme="1"/>
        <rFont val="宋体"/>
        <charset val="134"/>
        <scheme val="minor"/>
      </rPr>
      <t>86；</t>
    </r>
    <r>
      <rPr>
        <sz val="11"/>
        <color rgb="FFFF00FF"/>
        <rFont val="宋体"/>
        <charset val="134"/>
        <scheme val="minor"/>
      </rPr>
      <t>12时升盘98；9时104；8时降盘8</t>
    </r>
    <r>
      <rPr>
        <sz val="11"/>
        <color theme="1"/>
        <rFont val="宋体"/>
        <charset val="134"/>
        <scheme val="minor"/>
      </rPr>
      <t>6-82；</t>
    </r>
  </si>
  <si>
    <t>开盘很晚</t>
  </si>
  <si>
    <r>
      <rPr>
        <sz val="11"/>
        <color theme="1"/>
        <rFont val="宋体"/>
        <charset val="134"/>
        <scheme val="minor"/>
      </rPr>
      <t>12时104；</t>
    </r>
    <r>
      <rPr>
        <sz val="11"/>
        <color rgb="FFFF0000"/>
        <rFont val="宋体"/>
        <charset val="134"/>
        <scheme val="minor"/>
      </rPr>
      <t>9时112；</t>
    </r>
  </si>
  <si>
    <t>降盘2档慎</t>
  </si>
  <si>
    <r>
      <rPr>
        <sz val="11"/>
        <color theme="1"/>
        <rFont val="宋体"/>
        <charset val="134"/>
        <scheme val="minor"/>
      </rPr>
      <t>106；</t>
    </r>
    <r>
      <rPr>
        <sz val="11"/>
        <color rgb="FFFF0000"/>
        <rFont val="宋体"/>
        <charset val="134"/>
        <scheme val="minor"/>
      </rPr>
      <t>11时降盘84；</t>
    </r>
    <r>
      <rPr>
        <sz val="11"/>
        <color theme="1"/>
        <rFont val="宋体"/>
        <charset val="134"/>
        <scheme val="minor"/>
      </rPr>
      <t>11时88</t>
    </r>
  </si>
  <si>
    <t>12时78；9时72</t>
  </si>
  <si>
    <t>90；12时降盘82；</t>
  </si>
  <si>
    <t>92；13时86；</t>
  </si>
  <si>
    <t>90；20时86；13时82；</t>
  </si>
  <si>
    <t>84升盘94；7时降盘86；6时升盘106</t>
  </si>
  <si>
    <t>94；12时88；10时86</t>
  </si>
  <si>
    <t>周一004</t>
  </si>
  <si>
    <r>
      <rPr>
        <sz val="11"/>
        <color theme="1"/>
        <rFont val="宋体"/>
        <charset val="134"/>
        <scheme val="minor"/>
      </rPr>
      <t>100；21时90；</t>
    </r>
    <r>
      <rPr>
        <sz val="11"/>
        <color rgb="FFFF0000"/>
        <rFont val="宋体"/>
        <charset val="134"/>
        <scheme val="minor"/>
      </rPr>
      <t>20时82</t>
    </r>
  </si>
  <si>
    <t>周一005</t>
  </si>
  <si>
    <t>客88；9时82</t>
  </si>
  <si>
    <t>周一006</t>
  </si>
  <si>
    <t>90；20时84；8时升盘100</t>
  </si>
  <si>
    <t>周一007</t>
  </si>
  <si>
    <r>
      <rPr>
        <sz val="11"/>
        <color theme="1"/>
        <rFont val="宋体"/>
        <charset val="134"/>
        <scheme val="minor"/>
      </rPr>
      <t>86；</t>
    </r>
    <r>
      <rPr>
        <sz val="11"/>
        <color rgb="FFFF0000"/>
        <rFont val="宋体"/>
        <charset val="134"/>
        <scheme val="minor"/>
      </rPr>
      <t>15时升盘96</t>
    </r>
    <r>
      <rPr>
        <sz val="11"/>
        <color theme="1"/>
        <rFont val="宋体"/>
        <charset val="134"/>
        <scheme val="minor"/>
      </rPr>
      <t>；12时86；10时80</t>
    </r>
  </si>
  <si>
    <t>周一008</t>
  </si>
  <si>
    <t>94；14时92；10时86</t>
  </si>
  <si>
    <t>周一009</t>
  </si>
  <si>
    <r>
      <rPr>
        <sz val="11"/>
        <color theme="1"/>
        <rFont val="宋体"/>
        <charset val="134"/>
        <scheme val="minor"/>
      </rPr>
      <t>100；</t>
    </r>
    <r>
      <rPr>
        <sz val="11"/>
        <color rgb="FFFF0000"/>
        <rFont val="宋体"/>
        <charset val="134"/>
        <scheme val="minor"/>
      </rPr>
      <t>20时降盘84</t>
    </r>
    <r>
      <rPr>
        <sz val="11"/>
        <color theme="1"/>
        <rFont val="宋体"/>
        <charset val="134"/>
        <scheme val="minor"/>
      </rPr>
      <t>；临场94；</t>
    </r>
  </si>
  <si>
    <t>70（110）客让</t>
  </si>
  <si>
    <r>
      <rPr>
        <sz val="11"/>
        <color theme="1"/>
        <rFont val="宋体"/>
        <charset val="134"/>
        <scheme val="minor"/>
      </rPr>
      <t>102；</t>
    </r>
    <r>
      <rPr>
        <sz val="11"/>
        <color rgb="FFFF0000"/>
        <rFont val="宋体"/>
        <charset val="134"/>
        <scheme val="minor"/>
      </rPr>
      <t>7时降盘98</t>
    </r>
  </si>
  <si>
    <t>周一010</t>
  </si>
  <si>
    <t>利比亚</t>
  </si>
  <si>
    <t>几内亚</t>
  </si>
  <si>
    <t>开盘时间晚</t>
  </si>
  <si>
    <t>90；11时84；</t>
  </si>
  <si>
    <t>远高看，降盘1档不利</t>
  </si>
  <si>
    <t>60（90）</t>
  </si>
  <si>
    <r>
      <rPr>
        <sz val="11"/>
        <color theme="1"/>
        <rFont val="宋体"/>
        <charset val="134"/>
        <scheme val="minor"/>
      </rPr>
      <t>84</t>
    </r>
    <r>
      <rPr>
        <sz val="11"/>
        <color rgb="FFFF0000"/>
        <rFont val="宋体"/>
        <charset val="134"/>
        <scheme val="minor"/>
      </rPr>
      <t>；12时降盘88；9</t>
    </r>
    <r>
      <rPr>
        <sz val="11"/>
        <color theme="1"/>
        <rFont val="宋体"/>
        <charset val="134"/>
        <scheme val="minor"/>
      </rPr>
      <t>时84；</t>
    </r>
  </si>
  <si>
    <t>3异常60（100）</t>
  </si>
  <si>
    <t>72；6时62</t>
  </si>
  <si>
    <t>0异常</t>
  </si>
  <si>
    <t>80-94；5时106</t>
  </si>
  <si>
    <t>70（105）</t>
  </si>
  <si>
    <r>
      <rPr>
        <sz val="11"/>
        <color theme="1"/>
        <rFont val="宋体"/>
        <charset val="134"/>
        <scheme val="minor"/>
      </rPr>
      <t>82；10时60；</t>
    </r>
    <r>
      <rPr>
        <sz val="11"/>
        <color rgb="FFFF0000"/>
        <rFont val="宋体"/>
        <charset val="134"/>
        <scheme val="minor"/>
      </rPr>
      <t>9时升盘76-78</t>
    </r>
  </si>
  <si>
    <t>110（85）</t>
  </si>
  <si>
    <t>102；11时90；9时升盘106-110；</t>
  </si>
  <si>
    <t>92；</t>
  </si>
  <si>
    <t>亚远低看</t>
  </si>
  <si>
    <t>92；5时升盘100</t>
  </si>
  <si>
    <r>
      <rPr>
        <sz val="11"/>
        <color theme="1"/>
        <rFont val="宋体"/>
        <charset val="134"/>
        <scheme val="minor"/>
      </rPr>
      <t>80-92；</t>
    </r>
    <r>
      <rPr>
        <sz val="11"/>
        <color rgb="FFFF0000"/>
        <rFont val="宋体"/>
        <charset val="134"/>
        <scheme val="minor"/>
      </rPr>
      <t>7时降盘92</t>
    </r>
    <r>
      <rPr>
        <sz val="11"/>
        <color theme="1"/>
        <rFont val="宋体"/>
        <charset val="134"/>
        <scheme val="minor"/>
      </rPr>
      <t>；</t>
    </r>
  </si>
  <si>
    <t>88；</t>
  </si>
  <si>
    <t>84；</t>
  </si>
  <si>
    <t>3相等</t>
  </si>
  <si>
    <t>98；14时102；13时96；</t>
  </si>
  <si>
    <t>68（96）</t>
  </si>
  <si>
    <r>
      <rPr>
        <sz val="11"/>
        <color theme="1"/>
        <rFont val="宋体"/>
        <charset val="134"/>
        <scheme val="minor"/>
      </rPr>
      <t>84；</t>
    </r>
    <r>
      <rPr>
        <sz val="11"/>
        <color rgb="FFFF0000"/>
        <rFont val="宋体"/>
        <charset val="134"/>
        <scheme val="minor"/>
      </rPr>
      <t>11时升盘98；8时86</t>
    </r>
  </si>
  <si>
    <t>90；</t>
  </si>
  <si>
    <t>客92；13时96-94；</t>
  </si>
  <si>
    <t>102（90）</t>
  </si>
  <si>
    <t>周二024</t>
  </si>
  <si>
    <t>86；14时82</t>
  </si>
  <si>
    <t>周二026</t>
  </si>
  <si>
    <t>82-78-90；</t>
  </si>
  <si>
    <t>周二027</t>
  </si>
  <si>
    <r>
      <rPr>
        <sz val="11"/>
        <color theme="1"/>
        <rFont val="宋体"/>
        <charset val="134"/>
        <scheme val="minor"/>
      </rPr>
      <t>客74-80；</t>
    </r>
    <r>
      <rPr>
        <sz val="11"/>
        <color rgb="FFFF00FF"/>
        <rFont val="宋体"/>
        <charset val="134"/>
        <scheme val="minor"/>
      </rPr>
      <t>14时升盘108；</t>
    </r>
  </si>
  <si>
    <t>周二028</t>
  </si>
  <si>
    <t>100-108-100；</t>
  </si>
  <si>
    <t>周二029</t>
  </si>
  <si>
    <t>0异常62（110）</t>
  </si>
  <si>
    <t>84；13时86</t>
  </si>
  <si>
    <t>周二030</t>
  </si>
  <si>
    <t>94-90；12时88</t>
  </si>
  <si>
    <t>周二031</t>
  </si>
  <si>
    <t>客86；</t>
  </si>
  <si>
    <r>
      <rPr>
        <sz val="11"/>
        <color theme="1"/>
        <rFont val="宋体"/>
        <charset val="134"/>
        <scheme val="minor"/>
      </rPr>
      <t>84-78；</t>
    </r>
    <r>
      <rPr>
        <sz val="11"/>
        <color rgb="FFFF00FF"/>
        <rFont val="宋体"/>
        <charset val="134"/>
        <scheme val="minor"/>
      </rPr>
      <t>3时升盘96</t>
    </r>
  </si>
  <si>
    <t>87-82；8时84；5时88</t>
  </si>
  <si>
    <t>1-6</t>
  </si>
  <si>
    <t>-1.75</t>
  </si>
  <si>
    <t>87-94；</t>
  </si>
  <si>
    <t>63升盘76-84；9时92</t>
  </si>
  <si>
    <t>0-8</t>
  </si>
  <si>
    <t>-3</t>
  </si>
  <si>
    <t>76；</t>
  </si>
  <si>
    <t>81-78升盘108；</t>
  </si>
  <si>
    <t>72升盘86；10时降盘82</t>
  </si>
  <si>
    <t>106降升盘106；9时98；5时92；</t>
  </si>
  <si>
    <t>103-104；9时90</t>
  </si>
  <si>
    <t>96升盘110；</t>
  </si>
  <si>
    <t>87-84；21时88；16时86；</t>
  </si>
  <si>
    <t>87-84；10时76-72</t>
  </si>
  <si>
    <t>103-108；</t>
  </si>
  <si>
    <t>96；9时90</t>
  </si>
  <si>
    <t>84-88降盘88-100；9时96；94</t>
  </si>
  <si>
    <t>客83-60升盘92-78；20时升盘102；</t>
  </si>
  <si>
    <r>
      <rPr>
        <sz val="11"/>
        <color theme="1"/>
        <rFont val="宋体"/>
        <charset val="134"/>
        <scheme val="minor"/>
      </rPr>
      <t>78-</t>
    </r>
    <r>
      <rPr>
        <sz val="11"/>
        <color rgb="FFFF0000"/>
        <rFont val="宋体"/>
        <charset val="134"/>
        <scheme val="minor"/>
      </rPr>
      <t>98；</t>
    </r>
    <r>
      <rPr>
        <sz val="11"/>
        <color theme="1"/>
        <rFont val="宋体"/>
        <charset val="134"/>
        <scheme val="minor"/>
      </rPr>
      <t>13时84</t>
    </r>
  </si>
  <si>
    <t>客龙；降盘不利</t>
  </si>
  <si>
    <r>
      <rPr>
        <sz val="11"/>
        <color theme="1"/>
        <rFont val="宋体"/>
        <charset val="134"/>
        <scheme val="minor"/>
      </rPr>
      <t>78</t>
    </r>
    <r>
      <rPr>
        <sz val="11"/>
        <color rgb="FFFF0000"/>
        <rFont val="宋体"/>
        <charset val="134"/>
        <scheme val="minor"/>
      </rPr>
      <t>-90</t>
    </r>
    <r>
      <rPr>
        <sz val="11"/>
        <color theme="1"/>
        <rFont val="宋体"/>
        <charset val="134"/>
        <scheme val="minor"/>
      </rPr>
      <t>；13时84</t>
    </r>
  </si>
  <si>
    <t>-2</t>
  </si>
  <si>
    <t>80；12时94；</t>
  </si>
  <si>
    <t>76（100）</t>
  </si>
  <si>
    <t>78-86；10时68；</t>
  </si>
  <si>
    <t>78（110）</t>
  </si>
  <si>
    <t>70升盘90；14时100</t>
  </si>
  <si>
    <t>-2.25</t>
  </si>
  <si>
    <t>106（80）</t>
  </si>
  <si>
    <t>100-84-102；10时98；</t>
  </si>
  <si>
    <r>
      <rPr>
        <sz val="11"/>
        <color theme="1"/>
        <rFont val="宋体"/>
        <charset val="134"/>
        <scheme val="minor"/>
      </rPr>
      <t>95-96；</t>
    </r>
    <r>
      <rPr>
        <sz val="11"/>
        <color rgb="FFFF0000"/>
        <rFont val="宋体"/>
        <charset val="134"/>
        <scheme val="minor"/>
      </rPr>
      <t>12时92；</t>
    </r>
  </si>
  <si>
    <t>80；20时72；</t>
  </si>
  <si>
    <t>100（90）</t>
  </si>
  <si>
    <t>80-68；</t>
  </si>
  <si>
    <t>98；</t>
  </si>
  <si>
    <t>8-0</t>
  </si>
  <si>
    <t>70-74；11时82；6时92；</t>
  </si>
  <si>
    <r>
      <rPr>
        <sz val="11"/>
        <color theme="1"/>
        <rFont val="宋体"/>
        <charset val="134"/>
        <scheme val="minor"/>
      </rPr>
      <t>客103-102；</t>
    </r>
    <r>
      <rPr>
        <sz val="11"/>
        <color rgb="FFFF0000"/>
        <rFont val="宋体"/>
        <charset val="134"/>
        <scheme val="minor"/>
      </rPr>
      <t>9时主队升盘102</t>
    </r>
    <r>
      <rPr>
        <sz val="11"/>
        <color theme="1"/>
        <rFont val="宋体"/>
        <charset val="134"/>
        <scheme val="minor"/>
      </rPr>
      <t>；4时98；</t>
    </r>
  </si>
  <si>
    <t>3-4</t>
  </si>
  <si>
    <r>
      <rPr>
        <sz val="11"/>
        <color rgb="FFFF0000"/>
        <rFont val="宋体"/>
        <charset val="134"/>
        <scheme val="minor"/>
      </rPr>
      <t>101-110</t>
    </r>
    <r>
      <rPr>
        <sz val="11"/>
        <color theme="1"/>
        <rFont val="宋体"/>
        <charset val="134"/>
        <scheme val="minor"/>
      </rPr>
      <t>；</t>
    </r>
    <r>
      <rPr>
        <sz val="11"/>
        <color rgb="FFFF0000"/>
        <rFont val="宋体"/>
        <charset val="134"/>
        <scheme val="minor"/>
      </rPr>
      <t>11时92；8时88；4时84；</t>
    </r>
  </si>
  <si>
    <t>5时82；7时88</t>
  </si>
  <si>
    <t>-1.5</t>
  </si>
  <si>
    <t>70（95）</t>
  </si>
  <si>
    <t>85-78升盘96；20时90；14时82；</t>
  </si>
  <si>
    <t>78升盘82；</t>
  </si>
  <si>
    <t>75；14时70；</t>
  </si>
  <si>
    <t>108（96）</t>
  </si>
  <si>
    <t>95-80；10时96-94；</t>
  </si>
  <si>
    <t>周六034</t>
  </si>
  <si>
    <t>98-100；10时降盘82-88；</t>
  </si>
  <si>
    <t>周六014</t>
  </si>
  <si>
    <t>78；7时76；</t>
  </si>
  <si>
    <t>周日018</t>
  </si>
  <si>
    <t>76（105）</t>
  </si>
  <si>
    <t>周日019</t>
  </si>
  <si>
    <t>客98；</t>
  </si>
  <si>
    <t>周日020</t>
  </si>
  <si>
    <t>83；8时82</t>
  </si>
  <si>
    <t>周日021</t>
  </si>
  <si>
    <t>103；12时98；6时90；</t>
  </si>
  <si>
    <t>周日022</t>
  </si>
  <si>
    <t>97；</t>
  </si>
  <si>
    <t>58（80）（100）</t>
  </si>
  <si>
    <t>107；</t>
  </si>
  <si>
    <t>105；10时102；</t>
  </si>
  <si>
    <t>104</t>
  </si>
  <si>
    <t>100；</t>
  </si>
  <si>
    <t>103；8时102</t>
  </si>
  <si>
    <t>85；12时84；8时75</t>
  </si>
  <si>
    <t>97；7时86；</t>
  </si>
  <si>
    <r>
      <rPr>
        <sz val="11"/>
        <color theme="1"/>
        <rFont val="宋体"/>
        <charset val="134"/>
        <scheme val="minor"/>
      </rPr>
      <t>84；14时80；</t>
    </r>
    <r>
      <rPr>
        <sz val="11"/>
        <color rgb="FFFF00FF"/>
        <rFont val="宋体"/>
        <charset val="134"/>
        <scheme val="minor"/>
      </rPr>
      <t>8时升盘96</t>
    </r>
    <r>
      <rPr>
        <sz val="11"/>
        <color theme="1"/>
        <rFont val="宋体"/>
        <charset val="134"/>
        <scheme val="minor"/>
      </rPr>
      <t>；</t>
    </r>
  </si>
  <si>
    <r>
      <rPr>
        <sz val="11"/>
        <color theme="1"/>
        <rFont val="宋体"/>
        <charset val="134"/>
        <scheme val="minor"/>
      </rPr>
      <t>88-74；</t>
    </r>
    <r>
      <rPr>
        <sz val="11"/>
        <color rgb="FFFF0000"/>
        <rFont val="宋体"/>
        <charset val="134"/>
        <scheme val="minor"/>
      </rPr>
      <t>20时升盘94-90；6时升盘92；</t>
    </r>
  </si>
  <si>
    <t>周一011</t>
  </si>
  <si>
    <t>58（80）（90）</t>
  </si>
  <si>
    <t>94；20时80；</t>
  </si>
  <si>
    <t>周一012</t>
  </si>
  <si>
    <t>客86；20时82-80；10时78；</t>
  </si>
  <si>
    <t>周一013</t>
  </si>
  <si>
    <t>客龙</t>
  </si>
  <si>
    <t>112；15时98；</t>
  </si>
  <si>
    <t>79-78；</t>
  </si>
  <si>
    <t>周二013</t>
  </si>
  <si>
    <r>
      <rPr>
        <sz val="11"/>
        <color theme="1"/>
        <rFont val="宋体"/>
        <charset val="134"/>
        <scheme val="minor"/>
      </rPr>
      <t>68；</t>
    </r>
    <r>
      <rPr>
        <sz val="11"/>
        <color rgb="FFFF0000"/>
        <rFont val="宋体"/>
        <charset val="134"/>
        <scheme val="minor"/>
      </rPr>
      <t>17时升盘72；</t>
    </r>
    <r>
      <rPr>
        <sz val="11"/>
        <color theme="1"/>
        <rFont val="宋体"/>
        <charset val="134"/>
        <scheme val="minor"/>
      </rPr>
      <t>后波动低水</t>
    </r>
  </si>
  <si>
    <t>客场虫慎</t>
  </si>
  <si>
    <t>100；10时108；</t>
  </si>
  <si>
    <r>
      <rPr>
        <sz val="11"/>
        <color theme="1"/>
        <rFont val="宋体"/>
        <charset val="134"/>
        <scheme val="minor"/>
      </rPr>
      <t>100；</t>
    </r>
    <r>
      <rPr>
        <sz val="11"/>
        <color rgb="FFFF0000"/>
        <rFont val="宋体"/>
        <charset val="134"/>
        <scheme val="minor"/>
      </rPr>
      <t>14时降盘88-82；</t>
    </r>
  </si>
  <si>
    <t>112（100）</t>
  </si>
  <si>
    <r>
      <rPr>
        <sz val="11"/>
        <color theme="1"/>
        <rFont val="宋体"/>
        <charset val="134"/>
        <scheme val="minor"/>
      </rPr>
      <t>124；</t>
    </r>
    <r>
      <rPr>
        <sz val="11"/>
        <color rgb="FFFF0000"/>
        <rFont val="宋体"/>
        <charset val="134"/>
        <scheme val="minor"/>
      </rPr>
      <t>17时降盘106；</t>
    </r>
  </si>
  <si>
    <t>72（100）</t>
  </si>
  <si>
    <t>82；18时70-82-76；</t>
  </si>
  <si>
    <r>
      <rPr>
        <sz val="11"/>
        <color theme="1"/>
        <rFont val="宋体"/>
        <charset val="134"/>
        <scheme val="minor"/>
      </rPr>
      <t>96；</t>
    </r>
    <r>
      <rPr>
        <sz val="11"/>
        <color rgb="FFFF0000"/>
        <rFont val="宋体"/>
        <charset val="134"/>
        <scheme val="minor"/>
      </rPr>
      <t>16时降盘72-80；</t>
    </r>
  </si>
  <si>
    <t>70-78，低水波动</t>
  </si>
  <si>
    <t>98-94；19时96-94</t>
  </si>
  <si>
    <t>101-100-98-102；19时98；12时92</t>
  </si>
  <si>
    <r>
      <rPr>
        <sz val="11"/>
        <color theme="1"/>
        <rFont val="宋体"/>
        <charset val="134"/>
        <scheme val="minor"/>
      </rPr>
      <t>客107；</t>
    </r>
    <r>
      <rPr>
        <sz val="11"/>
        <color rgb="FFFF0000"/>
        <rFont val="宋体"/>
        <charset val="134"/>
        <scheme val="minor"/>
      </rPr>
      <t>19时主队升盘102</t>
    </r>
    <r>
      <rPr>
        <sz val="11"/>
        <color theme="1"/>
        <rFont val="宋体"/>
        <charset val="134"/>
        <scheme val="minor"/>
      </rPr>
      <t>；</t>
    </r>
  </si>
  <si>
    <t>周二025</t>
  </si>
  <si>
    <t>0.75实力低舍</t>
  </si>
  <si>
    <t>97-100；</t>
  </si>
  <si>
    <t>主绿*升盘低水舍</t>
  </si>
  <si>
    <t>80；12时76；</t>
  </si>
  <si>
    <t>亚远高看</t>
  </si>
  <si>
    <r>
      <rPr>
        <sz val="11"/>
        <color theme="1"/>
        <rFont val="宋体"/>
        <charset val="134"/>
        <scheme val="minor"/>
      </rPr>
      <t>88；</t>
    </r>
    <r>
      <rPr>
        <sz val="11"/>
        <color rgb="FFFF00FF"/>
        <rFont val="宋体"/>
        <charset val="134"/>
        <scheme val="minor"/>
      </rPr>
      <t>14时升盘104；</t>
    </r>
  </si>
  <si>
    <t>78；</t>
  </si>
  <si>
    <r>
      <rPr>
        <sz val="11"/>
        <color theme="1"/>
        <rFont val="宋体"/>
        <charset val="134"/>
        <scheme val="minor"/>
      </rPr>
      <t>85；16时80；</t>
    </r>
    <r>
      <rPr>
        <sz val="11"/>
        <color rgb="FFFF0000"/>
        <rFont val="宋体"/>
        <charset val="134"/>
        <scheme val="minor"/>
      </rPr>
      <t>8时升盘106</t>
    </r>
    <r>
      <rPr>
        <sz val="11"/>
        <color theme="1"/>
        <rFont val="宋体"/>
        <charset val="134"/>
        <scheme val="minor"/>
      </rPr>
      <t>；</t>
    </r>
  </si>
  <si>
    <t>99-88；18时86；10时78-76；</t>
  </si>
  <si>
    <t>77升盘86-96；21时102；8时98</t>
  </si>
  <si>
    <r>
      <rPr>
        <sz val="11"/>
        <color rgb="FFFF00FF"/>
        <rFont val="宋体"/>
        <charset val="134"/>
        <scheme val="minor"/>
      </rPr>
      <t>79-74；</t>
    </r>
    <r>
      <rPr>
        <sz val="11"/>
        <color rgb="FFFF00FF"/>
        <rFont val="宋体"/>
        <charset val="134"/>
        <scheme val="minor"/>
      </rPr>
      <t>9时升盘102；</t>
    </r>
  </si>
  <si>
    <t>98</t>
  </si>
  <si>
    <r>
      <rPr>
        <sz val="11"/>
        <color theme="1"/>
        <rFont val="宋体"/>
        <charset val="134"/>
        <scheme val="minor"/>
      </rPr>
      <t>78；</t>
    </r>
    <r>
      <rPr>
        <sz val="11"/>
        <color rgb="FFFF0000"/>
        <rFont val="宋体"/>
        <charset val="134"/>
        <scheme val="minor"/>
      </rPr>
      <t>6时升盘100</t>
    </r>
    <r>
      <rPr>
        <sz val="11"/>
        <color theme="1"/>
        <rFont val="宋体"/>
        <charset val="134"/>
        <scheme val="minor"/>
      </rPr>
      <t>；</t>
    </r>
  </si>
  <si>
    <t>100</t>
  </si>
  <si>
    <t>76升盘84；6时升盘90；</t>
  </si>
  <si>
    <t>中立场</t>
  </si>
  <si>
    <r>
      <rPr>
        <sz val="11"/>
        <color rgb="FFFF0000"/>
        <rFont val="宋体"/>
        <charset val="134"/>
        <scheme val="minor"/>
      </rPr>
      <t>96；</t>
    </r>
    <r>
      <rPr>
        <sz val="11"/>
        <color rgb="FFFF0000"/>
        <rFont val="宋体"/>
        <charset val="134"/>
        <scheme val="minor"/>
      </rPr>
      <t>12时100；</t>
    </r>
  </si>
  <si>
    <t>周五013</t>
  </si>
  <si>
    <t>85-74；9时82；</t>
  </si>
  <si>
    <r>
      <rPr>
        <sz val="11"/>
        <color theme="1"/>
        <rFont val="宋体"/>
        <charset val="134"/>
        <scheme val="minor"/>
      </rPr>
      <t>78；</t>
    </r>
    <r>
      <rPr>
        <sz val="11"/>
        <color rgb="FFFF0000"/>
        <rFont val="宋体"/>
        <charset val="134"/>
        <scheme val="minor"/>
      </rPr>
      <t>14时升盘102；</t>
    </r>
  </si>
  <si>
    <r>
      <rPr>
        <sz val="11"/>
        <color theme="1"/>
        <rFont val="宋体"/>
        <charset val="134"/>
        <scheme val="minor"/>
      </rPr>
      <t>105-96；</t>
    </r>
    <r>
      <rPr>
        <sz val="11"/>
        <color rgb="FFFF0000"/>
        <rFont val="宋体"/>
        <charset val="134"/>
        <scheme val="minor"/>
      </rPr>
      <t>19时86；9时84；</t>
    </r>
  </si>
  <si>
    <r>
      <rPr>
        <sz val="11"/>
        <color theme="1"/>
        <rFont val="宋体"/>
        <charset val="134"/>
        <scheme val="minor"/>
      </rPr>
      <t>80；</t>
    </r>
    <r>
      <rPr>
        <sz val="11"/>
        <color rgb="FFFF0000"/>
        <rFont val="宋体"/>
        <charset val="134"/>
        <scheme val="minor"/>
      </rPr>
      <t>15时升盘100</t>
    </r>
    <r>
      <rPr>
        <sz val="11"/>
        <color theme="1"/>
        <rFont val="宋体"/>
        <charset val="134"/>
        <scheme val="minor"/>
      </rPr>
      <t>；7时96；</t>
    </r>
  </si>
  <si>
    <t>96</t>
  </si>
  <si>
    <t>客场龙</t>
  </si>
  <si>
    <r>
      <rPr>
        <sz val="11"/>
        <color theme="1"/>
        <rFont val="宋体"/>
        <charset val="134"/>
        <scheme val="minor"/>
      </rPr>
      <t>84；</t>
    </r>
    <r>
      <rPr>
        <sz val="11"/>
        <color rgb="FFFF0000"/>
        <rFont val="宋体"/>
        <charset val="134"/>
        <scheme val="minor"/>
      </rPr>
      <t>15时升盘98；</t>
    </r>
  </si>
  <si>
    <t>98；180体系；12时96；</t>
  </si>
  <si>
    <t>主80.5+舍*客金</t>
  </si>
  <si>
    <r>
      <rPr>
        <sz val="11"/>
        <color theme="1"/>
        <rFont val="宋体"/>
        <charset val="134"/>
        <scheme val="minor"/>
      </rPr>
      <t>84；</t>
    </r>
    <r>
      <rPr>
        <sz val="11"/>
        <color rgb="FFFF00FF"/>
        <rFont val="宋体"/>
        <charset val="134"/>
        <scheme val="minor"/>
      </rPr>
      <t>8时升盘98；</t>
    </r>
  </si>
  <si>
    <r>
      <rPr>
        <sz val="11"/>
        <color theme="1"/>
        <rFont val="宋体"/>
        <charset val="134"/>
        <scheme val="minor"/>
      </rPr>
      <t>82升</t>
    </r>
    <r>
      <rPr>
        <sz val="11"/>
        <color theme="1"/>
        <rFont val="宋体"/>
        <charset val="134"/>
        <scheme val="minor"/>
      </rPr>
      <t>盘94；10时88；</t>
    </r>
  </si>
  <si>
    <r>
      <rPr>
        <sz val="11"/>
        <color theme="1"/>
        <rFont val="宋体"/>
        <charset val="134"/>
        <scheme val="minor"/>
      </rPr>
      <t>81-78；</t>
    </r>
    <r>
      <rPr>
        <sz val="11"/>
        <color rgb="FFFF0000"/>
        <rFont val="宋体"/>
        <charset val="134"/>
        <scheme val="minor"/>
      </rPr>
      <t>10时升盘98；</t>
    </r>
  </si>
  <si>
    <t>100（80）</t>
  </si>
  <si>
    <t>100；14时102；11时100；9时98；</t>
  </si>
  <si>
    <t>78升盘108；12时106</t>
  </si>
  <si>
    <t>102；13时100；后98-100；（180体系）</t>
  </si>
  <si>
    <t>96-94；16时90；10时86；（180体系）</t>
  </si>
  <si>
    <t>客90-94；</t>
  </si>
  <si>
    <t>中低慎</t>
  </si>
  <si>
    <t>86-84；（180体系）</t>
  </si>
  <si>
    <t>99；</t>
  </si>
  <si>
    <t>87-84；</t>
  </si>
  <si>
    <t>94-86；12时80；</t>
  </si>
  <si>
    <r>
      <rPr>
        <sz val="11"/>
        <color theme="1"/>
        <rFont val="宋体"/>
        <charset val="134"/>
        <scheme val="minor"/>
      </rPr>
      <t>103</t>
    </r>
    <r>
      <rPr>
        <sz val="11"/>
        <color rgb="FFFF0000"/>
        <rFont val="宋体"/>
        <charset val="134"/>
        <scheme val="minor"/>
      </rPr>
      <t>-92；</t>
    </r>
  </si>
  <si>
    <t>80（110）</t>
  </si>
  <si>
    <t>客78；</t>
  </si>
  <si>
    <t>96；10时98-100；</t>
  </si>
  <si>
    <t>92（100）</t>
  </si>
  <si>
    <t>108-100；</t>
  </si>
  <si>
    <t>周三001</t>
  </si>
  <si>
    <r>
      <rPr>
        <sz val="11"/>
        <color theme="1"/>
        <rFont val="宋体"/>
        <charset val="134"/>
        <scheme val="minor"/>
      </rPr>
      <t>100；102；</t>
    </r>
    <r>
      <rPr>
        <sz val="11"/>
        <color rgb="FFFF0000"/>
        <rFont val="宋体"/>
        <charset val="134"/>
        <scheme val="minor"/>
      </rPr>
      <t>3时降盘84-90</t>
    </r>
  </si>
  <si>
    <t>周三009</t>
  </si>
  <si>
    <t>87-86；22时88；</t>
  </si>
  <si>
    <t>74（90）</t>
  </si>
  <si>
    <t>86；21时78；</t>
  </si>
  <si>
    <t>升盘低水舍</t>
  </si>
  <si>
    <r>
      <rPr>
        <sz val="11"/>
        <color theme="1"/>
        <rFont val="宋体"/>
        <charset val="134"/>
        <scheme val="minor"/>
      </rPr>
      <t>80-75；</t>
    </r>
    <r>
      <rPr>
        <sz val="11"/>
        <color rgb="FFFF0000"/>
        <rFont val="宋体"/>
        <charset val="134"/>
        <scheme val="minor"/>
      </rPr>
      <t>12时升盘94；</t>
    </r>
  </si>
  <si>
    <t>80；19时86；</t>
  </si>
  <si>
    <r>
      <rPr>
        <sz val="11"/>
        <color rgb="FFFF00FF"/>
        <rFont val="宋体"/>
        <charset val="134"/>
        <scheme val="minor"/>
      </rPr>
      <t>84-74；</t>
    </r>
    <r>
      <rPr>
        <sz val="11"/>
        <color rgb="FFFF00FF"/>
        <rFont val="宋体"/>
        <charset val="134"/>
        <scheme val="minor"/>
      </rPr>
      <t>15时升盘104；</t>
    </r>
  </si>
  <si>
    <t>降盘高水慎</t>
  </si>
  <si>
    <t>98-96；15时104；</t>
  </si>
  <si>
    <t>埃及</t>
  </si>
  <si>
    <r>
      <rPr>
        <sz val="11"/>
        <color theme="1"/>
        <rFont val="宋体"/>
        <charset val="134"/>
        <scheme val="minor"/>
      </rPr>
      <t>74-72；</t>
    </r>
    <r>
      <rPr>
        <sz val="11"/>
        <color rgb="FFFF0000"/>
        <rFont val="宋体"/>
        <charset val="134"/>
        <scheme val="minor"/>
      </rPr>
      <t>15时升盘100；</t>
    </r>
  </si>
  <si>
    <t>73升盘86；</t>
  </si>
  <si>
    <t>3异常中立场</t>
  </si>
  <si>
    <t>101-100；1时98-92；</t>
  </si>
  <si>
    <t xml:space="preserve">马里 </t>
  </si>
  <si>
    <t>升盘2档下盘</t>
  </si>
  <si>
    <r>
      <rPr>
        <sz val="11"/>
        <color theme="1"/>
        <rFont val="宋体"/>
        <charset val="134"/>
        <scheme val="minor"/>
      </rPr>
      <t>74-70；</t>
    </r>
    <r>
      <rPr>
        <sz val="11"/>
        <color rgb="FFFFFF00"/>
        <rFont val="宋体"/>
        <charset val="134"/>
        <scheme val="minor"/>
      </rPr>
      <t>10时升盘88</t>
    </r>
    <r>
      <rPr>
        <sz val="11"/>
        <color rgb="FFFF0000"/>
        <rFont val="宋体"/>
        <charset val="134"/>
        <scheme val="minor"/>
      </rPr>
      <t>；</t>
    </r>
    <r>
      <rPr>
        <sz val="11"/>
        <color theme="1"/>
        <rFont val="宋体"/>
        <charset val="134"/>
        <scheme val="minor"/>
      </rPr>
      <t>3时68；1时64；</t>
    </r>
  </si>
  <si>
    <r>
      <rPr>
        <sz val="11"/>
        <color theme="1"/>
        <rFont val="宋体"/>
        <charset val="134"/>
        <scheme val="minor"/>
      </rPr>
      <t>84-76</t>
    </r>
    <r>
      <rPr>
        <sz val="11"/>
        <color rgb="FFFF0000"/>
        <rFont val="宋体"/>
        <charset val="134"/>
        <scheme val="minor"/>
      </rPr>
      <t>；7时66；</t>
    </r>
  </si>
  <si>
    <r>
      <rPr>
        <sz val="11"/>
        <color theme="1"/>
        <rFont val="宋体"/>
        <charset val="134"/>
        <scheme val="minor"/>
      </rPr>
      <t>73-62；</t>
    </r>
    <r>
      <rPr>
        <sz val="11"/>
        <color rgb="FFFF0000"/>
        <rFont val="宋体"/>
        <charset val="134"/>
        <scheme val="minor"/>
      </rPr>
      <t>13时升盘94</t>
    </r>
    <r>
      <rPr>
        <sz val="11"/>
        <color theme="1"/>
        <rFont val="宋体"/>
        <charset val="134"/>
        <scheme val="minor"/>
      </rPr>
      <t>；</t>
    </r>
  </si>
  <si>
    <t>94</t>
  </si>
  <si>
    <t>中立场94（90）</t>
  </si>
  <si>
    <t>87；7时96</t>
  </si>
  <si>
    <r>
      <rPr>
        <sz val="11"/>
        <color theme="1"/>
        <rFont val="宋体"/>
        <charset val="134"/>
        <scheme val="minor"/>
      </rPr>
      <t>74-72；</t>
    </r>
    <r>
      <rPr>
        <sz val="11"/>
        <color rgb="FFFF0000"/>
        <rFont val="宋体"/>
        <charset val="134"/>
        <scheme val="minor"/>
      </rPr>
      <t>15时升盘98；</t>
    </r>
  </si>
  <si>
    <r>
      <rPr>
        <sz val="11"/>
        <color rgb="FFFF0000"/>
        <rFont val="宋体"/>
        <charset val="134"/>
        <scheme val="minor"/>
      </rPr>
      <t>99</t>
    </r>
    <r>
      <rPr>
        <sz val="11"/>
        <color rgb="FFFF0000"/>
        <rFont val="宋体"/>
        <charset val="134"/>
        <scheme val="minor"/>
      </rPr>
      <t>-90；15时86；</t>
    </r>
  </si>
  <si>
    <t>83-84；</t>
  </si>
  <si>
    <r>
      <rPr>
        <sz val="11"/>
        <color theme="1"/>
        <rFont val="宋体"/>
        <charset val="134"/>
        <scheme val="minor"/>
      </rPr>
      <t>80；</t>
    </r>
    <r>
      <rPr>
        <sz val="11"/>
        <color rgb="FFFF00FF"/>
        <rFont val="宋体"/>
        <charset val="134"/>
        <scheme val="minor"/>
      </rPr>
      <t>4时升盘100</t>
    </r>
    <r>
      <rPr>
        <sz val="11"/>
        <color theme="1"/>
        <rFont val="宋体"/>
        <charset val="134"/>
        <scheme val="minor"/>
      </rPr>
      <t>；</t>
    </r>
  </si>
  <si>
    <t>中立场116（80）</t>
  </si>
  <si>
    <t>110；7时94；</t>
  </si>
  <si>
    <t>客93；8时85；</t>
  </si>
  <si>
    <t>88；19时80；</t>
  </si>
  <si>
    <t>100；7时102；1时94；</t>
  </si>
  <si>
    <r>
      <rPr>
        <sz val="11"/>
        <color theme="1"/>
        <rFont val="宋体"/>
        <charset val="134"/>
        <scheme val="minor"/>
      </rPr>
      <t>96；</t>
    </r>
    <r>
      <rPr>
        <sz val="11"/>
        <color rgb="FFFF0000"/>
        <rFont val="宋体"/>
        <charset val="134"/>
        <scheme val="minor"/>
      </rPr>
      <t>8时88；</t>
    </r>
  </si>
  <si>
    <r>
      <rPr>
        <sz val="11"/>
        <color theme="1"/>
        <rFont val="宋体"/>
        <charset val="134"/>
        <scheme val="minor"/>
      </rPr>
      <t>101-100；</t>
    </r>
    <r>
      <rPr>
        <sz val="11"/>
        <color rgb="FFFF0000"/>
        <rFont val="宋体"/>
        <charset val="134"/>
        <scheme val="minor"/>
      </rPr>
      <t>12时降盘84；</t>
    </r>
  </si>
  <si>
    <t>亚高看一档</t>
  </si>
  <si>
    <r>
      <rPr>
        <sz val="11"/>
        <color rgb="FFFF0000"/>
        <rFont val="宋体"/>
        <charset val="134"/>
        <scheme val="minor"/>
      </rPr>
      <t>98-104；</t>
    </r>
    <r>
      <rPr>
        <sz val="11"/>
        <color rgb="FFFF0000"/>
        <rFont val="宋体"/>
        <charset val="134"/>
        <scheme val="minor"/>
      </rPr>
      <t>14时降盘84；10时96；</t>
    </r>
  </si>
  <si>
    <t>85；15时80；8时76；</t>
  </si>
  <si>
    <t>81-76；</t>
  </si>
  <si>
    <r>
      <rPr>
        <sz val="11"/>
        <color rgb="FFFF0000"/>
        <rFont val="宋体"/>
        <charset val="134"/>
        <scheme val="minor"/>
      </rPr>
      <t>101-96；</t>
    </r>
    <r>
      <rPr>
        <sz val="11"/>
        <color theme="1"/>
        <rFont val="宋体"/>
        <charset val="134"/>
        <scheme val="minor"/>
      </rPr>
      <t>15时90；</t>
    </r>
  </si>
  <si>
    <r>
      <rPr>
        <sz val="11"/>
        <color rgb="FFFF0000"/>
        <rFont val="宋体"/>
        <charset val="134"/>
        <scheme val="minor"/>
      </rPr>
      <t>80-76；</t>
    </r>
    <r>
      <rPr>
        <sz val="11"/>
        <color rgb="FFFF0000"/>
        <rFont val="宋体"/>
        <charset val="134"/>
        <scheme val="minor"/>
      </rPr>
      <t>14时升盘104；8时82；</t>
    </r>
  </si>
  <si>
    <t>82</t>
  </si>
  <si>
    <t>86；11时92；</t>
  </si>
  <si>
    <t>正确</t>
  </si>
  <si>
    <t>主73-88；</t>
  </si>
  <si>
    <t>客89-92；15时98；</t>
  </si>
  <si>
    <t>错误</t>
  </si>
  <si>
    <r>
      <rPr>
        <sz val="11"/>
        <color theme="1"/>
        <rFont val="宋体"/>
        <charset val="134"/>
        <scheme val="minor"/>
      </rPr>
      <t>客99；</t>
    </r>
    <r>
      <rPr>
        <sz val="11"/>
        <color rgb="FFFF0000"/>
        <rFont val="宋体"/>
        <charset val="134"/>
        <scheme val="minor"/>
      </rPr>
      <t>14时主队升盘98；</t>
    </r>
  </si>
  <si>
    <r>
      <rPr>
        <sz val="11"/>
        <color theme="1"/>
        <rFont val="宋体"/>
        <charset val="134"/>
        <scheme val="minor"/>
      </rPr>
      <t>96-90；</t>
    </r>
    <r>
      <rPr>
        <sz val="11"/>
        <color rgb="FFFF0000"/>
        <rFont val="宋体"/>
        <charset val="134"/>
        <scheme val="minor"/>
      </rPr>
      <t>14时82-78；</t>
    </r>
  </si>
  <si>
    <t>75升盘86；7时94-96；</t>
  </si>
  <si>
    <r>
      <rPr>
        <sz val="11"/>
        <color rgb="FFFF00FF"/>
        <rFont val="宋体"/>
        <charset val="134"/>
        <scheme val="minor"/>
      </rPr>
      <t>99-110；</t>
    </r>
    <r>
      <rPr>
        <sz val="11"/>
        <color rgb="FFFF00FF"/>
        <rFont val="宋体"/>
        <charset val="134"/>
        <scheme val="minor"/>
      </rPr>
      <t>14时降盘86-84；11时90；</t>
    </r>
  </si>
  <si>
    <t>98-88升盘108；12时降盘88；8时92；</t>
  </si>
  <si>
    <t>68升盘88-80；15时升盘102；5时降盘86-88；</t>
  </si>
  <si>
    <r>
      <rPr>
        <sz val="11"/>
        <color theme="1"/>
        <rFont val="宋体"/>
        <charset val="134"/>
        <scheme val="minor"/>
      </rPr>
      <t>99-110；</t>
    </r>
    <r>
      <rPr>
        <sz val="11"/>
        <color rgb="FFFF0000"/>
        <rFont val="宋体"/>
        <charset val="134"/>
        <scheme val="minor"/>
      </rPr>
      <t>14时降盘86；</t>
    </r>
  </si>
  <si>
    <t>100；9时92；6时84；4时86；</t>
  </si>
  <si>
    <t>客队95-92；19时升盘106；</t>
  </si>
  <si>
    <t>周五102</t>
  </si>
  <si>
    <t>101-92升盘106；15时降盘82；</t>
  </si>
  <si>
    <t>周六112</t>
  </si>
  <si>
    <t>86-82；18时90；12时100-96；7时降盘80；</t>
  </si>
  <si>
    <t>周六113</t>
  </si>
  <si>
    <r>
      <rPr>
        <sz val="11"/>
        <color theme="1"/>
        <rFont val="宋体"/>
        <charset val="134"/>
        <scheme val="minor"/>
      </rPr>
      <t>100；</t>
    </r>
    <r>
      <rPr>
        <sz val="11"/>
        <color rgb="FFFF0000"/>
        <rFont val="宋体"/>
        <charset val="134"/>
        <scheme val="minor"/>
      </rPr>
      <t>9时95</t>
    </r>
    <r>
      <rPr>
        <sz val="11"/>
        <color theme="1"/>
        <rFont val="宋体"/>
        <charset val="134"/>
        <scheme val="minor"/>
      </rPr>
      <t>；7时90；</t>
    </r>
  </si>
  <si>
    <t>周六114</t>
  </si>
  <si>
    <r>
      <rPr>
        <sz val="11"/>
        <color theme="1"/>
        <rFont val="宋体"/>
        <charset val="134"/>
        <scheme val="minor"/>
      </rPr>
      <t>75-78；</t>
    </r>
    <r>
      <rPr>
        <sz val="11"/>
        <color rgb="FFFF0000"/>
        <rFont val="宋体"/>
        <charset val="134"/>
        <scheme val="minor"/>
      </rPr>
      <t>13时升盘96</t>
    </r>
    <r>
      <rPr>
        <sz val="11"/>
        <color theme="1"/>
        <rFont val="宋体"/>
        <charset val="134"/>
        <scheme val="minor"/>
      </rPr>
      <t>；</t>
    </r>
  </si>
  <si>
    <t>周六115</t>
  </si>
  <si>
    <r>
      <rPr>
        <sz val="11"/>
        <color theme="1"/>
        <rFont val="宋体"/>
        <charset val="134"/>
        <scheme val="minor"/>
      </rPr>
      <t>94；</t>
    </r>
    <r>
      <rPr>
        <sz val="11"/>
        <color rgb="FFFF0000"/>
        <rFont val="宋体"/>
        <charset val="134"/>
        <scheme val="minor"/>
      </rPr>
      <t>14时84；12时86；10时82；</t>
    </r>
    <r>
      <rPr>
        <sz val="11"/>
        <color theme="1"/>
        <rFont val="宋体"/>
        <charset val="134"/>
        <scheme val="minor"/>
      </rPr>
      <t>5时78；3时升盘96；</t>
    </r>
  </si>
  <si>
    <t>周日105</t>
  </si>
  <si>
    <t>友谊赛降盘2档舍</t>
  </si>
  <si>
    <r>
      <rPr>
        <sz val="11"/>
        <color rgb="FFFF0000"/>
        <rFont val="宋体"/>
        <charset val="134"/>
        <scheme val="minor"/>
      </rPr>
      <t>96-102；</t>
    </r>
    <r>
      <rPr>
        <sz val="11"/>
        <color rgb="FFFF0000"/>
        <rFont val="宋体"/>
        <charset val="134"/>
        <scheme val="minor"/>
      </rPr>
      <t>14时降盘90；8时100；</t>
    </r>
  </si>
  <si>
    <t>周一102</t>
  </si>
  <si>
    <t>不变高下突慎</t>
  </si>
  <si>
    <r>
      <rPr>
        <sz val="11"/>
        <color theme="1"/>
        <rFont val="宋体"/>
        <charset val="134"/>
        <scheme val="minor"/>
      </rPr>
      <t>77；</t>
    </r>
    <r>
      <rPr>
        <sz val="11"/>
        <color rgb="FFFF0000"/>
        <rFont val="宋体"/>
        <charset val="134"/>
        <scheme val="minor"/>
      </rPr>
      <t>16时90；13时98</t>
    </r>
    <r>
      <rPr>
        <sz val="11"/>
        <color theme="1"/>
        <rFont val="宋体"/>
        <charset val="134"/>
        <scheme val="minor"/>
      </rPr>
      <t>；5时96；</t>
    </r>
  </si>
  <si>
    <t>周二103</t>
  </si>
  <si>
    <r>
      <rPr>
        <sz val="11"/>
        <color theme="1"/>
        <rFont val="宋体"/>
        <charset val="134"/>
        <scheme val="minor"/>
      </rPr>
      <t>98-102；</t>
    </r>
    <r>
      <rPr>
        <sz val="11"/>
        <color rgb="FFFF0000"/>
        <rFont val="宋体"/>
        <charset val="134"/>
        <scheme val="minor"/>
      </rPr>
      <t>18时降盘82</t>
    </r>
    <r>
      <rPr>
        <sz val="11"/>
        <color theme="1"/>
        <rFont val="宋体"/>
        <charset val="134"/>
        <scheme val="minor"/>
      </rPr>
      <t>；10时86-88；5时82-80；</t>
    </r>
  </si>
  <si>
    <t>周三109</t>
  </si>
  <si>
    <r>
      <rPr>
        <sz val="11"/>
        <color theme="1"/>
        <rFont val="宋体"/>
        <charset val="134"/>
        <scheme val="minor"/>
      </rPr>
      <t>65-84；</t>
    </r>
    <r>
      <rPr>
        <sz val="11"/>
        <color rgb="FFFF0000"/>
        <rFont val="宋体"/>
        <charset val="134"/>
        <scheme val="minor"/>
      </rPr>
      <t>16时升盘92-88</t>
    </r>
    <r>
      <rPr>
        <sz val="11"/>
        <color theme="1"/>
        <rFont val="宋体"/>
        <charset val="134"/>
        <scheme val="minor"/>
      </rPr>
      <t>；6时86；</t>
    </r>
  </si>
  <si>
    <t>周四105</t>
  </si>
  <si>
    <t>3异常；中立场</t>
  </si>
  <si>
    <t>94；8时100；</t>
  </si>
  <si>
    <t>周四101</t>
  </si>
  <si>
    <t>86；14时88；12时92；</t>
  </si>
  <si>
    <t>周五101</t>
  </si>
  <si>
    <r>
      <rPr>
        <sz val="11"/>
        <color theme="1"/>
        <rFont val="宋体"/>
        <charset val="134"/>
        <scheme val="minor"/>
      </rPr>
      <t>97-100；</t>
    </r>
    <r>
      <rPr>
        <sz val="11"/>
        <color rgb="FFFF0000"/>
        <rFont val="宋体"/>
        <charset val="134"/>
        <scheme val="minor"/>
      </rPr>
      <t>14时80；</t>
    </r>
  </si>
  <si>
    <t>94；19时88；13时80；7时78；</t>
  </si>
  <si>
    <t>周五103</t>
  </si>
  <si>
    <t>升盘3档过分</t>
  </si>
  <si>
    <t>升盘3档</t>
  </si>
  <si>
    <r>
      <rPr>
        <sz val="11"/>
        <color theme="1"/>
        <rFont val="宋体"/>
        <charset val="134"/>
        <scheme val="minor"/>
      </rPr>
      <t>77-60；</t>
    </r>
    <r>
      <rPr>
        <sz val="11"/>
        <color rgb="FFFF0000"/>
        <rFont val="宋体"/>
        <charset val="134"/>
        <scheme val="minor"/>
      </rPr>
      <t>19时升盘70；15时升盘96</t>
    </r>
    <r>
      <rPr>
        <sz val="11"/>
        <color theme="1"/>
        <rFont val="宋体"/>
        <charset val="134"/>
        <scheme val="minor"/>
      </rPr>
      <t>；6时94；5时86；</t>
    </r>
  </si>
  <si>
    <t>周五104</t>
  </si>
  <si>
    <r>
      <rPr>
        <sz val="11"/>
        <color theme="1"/>
        <rFont val="宋体"/>
        <charset val="134"/>
        <scheme val="minor"/>
      </rPr>
      <t>90-98-92；</t>
    </r>
    <r>
      <rPr>
        <sz val="11"/>
        <color rgb="FFFF0000"/>
        <rFont val="宋体"/>
        <charset val="134"/>
        <scheme val="minor"/>
      </rPr>
      <t>16时86</t>
    </r>
    <r>
      <rPr>
        <sz val="11"/>
        <color theme="1"/>
        <rFont val="宋体"/>
        <charset val="134"/>
        <scheme val="minor"/>
      </rPr>
      <t>；14时96；</t>
    </r>
  </si>
  <si>
    <t>周六109</t>
  </si>
  <si>
    <r>
      <rPr>
        <sz val="11"/>
        <color rgb="FFFF0000"/>
        <rFont val="宋体"/>
        <charset val="134"/>
        <scheme val="minor"/>
      </rPr>
      <t>100-110；</t>
    </r>
    <r>
      <rPr>
        <sz val="11"/>
        <color rgb="FFFF0000"/>
        <rFont val="宋体"/>
        <charset val="134"/>
        <scheme val="minor"/>
      </rPr>
      <t>19时降盘74；5时升盘100；</t>
    </r>
  </si>
  <si>
    <t>周六110</t>
  </si>
  <si>
    <t>96；</t>
  </si>
  <si>
    <t>周六111</t>
  </si>
  <si>
    <t>2.25实力高舍</t>
  </si>
  <si>
    <r>
      <rPr>
        <sz val="11"/>
        <color theme="1"/>
        <rFont val="宋体"/>
        <charset val="134"/>
        <scheme val="minor"/>
      </rPr>
      <t>90-94-90；20时82；</t>
    </r>
    <r>
      <rPr>
        <sz val="11"/>
        <color rgb="FFFF0000"/>
        <rFont val="宋体"/>
        <charset val="134"/>
        <scheme val="minor"/>
      </rPr>
      <t>10时90</t>
    </r>
    <r>
      <rPr>
        <sz val="11"/>
        <color theme="1"/>
        <rFont val="宋体"/>
        <charset val="134"/>
        <scheme val="minor"/>
      </rPr>
      <t>；</t>
    </r>
  </si>
  <si>
    <t>1</t>
  </si>
  <si>
    <t>94；10时96；</t>
  </si>
  <si>
    <t>欧洲杯预选赛</t>
  </si>
  <si>
    <t>95-90；9时94；</t>
  </si>
  <si>
    <r>
      <rPr>
        <sz val="11"/>
        <color theme="1"/>
        <rFont val="宋体"/>
        <charset val="134"/>
        <scheme val="minor"/>
      </rPr>
      <t>84-90-85；</t>
    </r>
    <r>
      <rPr>
        <sz val="11"/>
        <color rgb="FFFF0000"/>
        <rFont val="宋体"/>
        <charset val="134"/>
        <scheme val="minor"/>
      </rPr>
      <t>7时70；</t>
    </r>
  </si>
  <si>
    <t>93-88；17时82；</t>
  </si>
  <si>
    <t>94；6时98；</t>
  </si>
  <si>
    <t>102-100；</t>
  </si>
  <si>
    <t>96；5时100；</t>
  </si>
  <si>
    <t>92；9时82；</t>
  </si>
  <si>
    <t>79-86；17时90；7时98；</t>
  </si>
  <si>
    <t>120（100）（90）</t>
  </si>
  <si>
    <t>106-118降盘100；15时降盘90；12时100；</t>
  </si>
  <si>
    <r>
      <rPr>
        <sz val="11"/>
        <color theme="1"/>
        <rFont val="宋体"/>
        <charset val="134"/>
        <scheme val="minor"/>
      </rPr>
      <t>96；</t>
    </r>
    <r>
      <rPr>
        <sz val="11"/>
        <color rgb="FFFF0000"/>
        <rFont val="宋体"/>
        <charset val="134"/>
        <scheme val="minor"/>
      </rPr>
      <t>6时降盘85</t>
    </r>
    <r>
      <rPr>
        <sz val="11"/>
        <color theme="1"/>
        <rFont val="宋体"/>
        <charset val="134"/>
        <scheme val="minor"/>
      </rPr>
      <t>；5时80；</t>
    </r>
  </si>
  <si>
    <t>86；</t>
  </si>
  <si>
    <t>84</t>
  </si>
  <si>
    <r>
      <rPr>
        <sz val="11"/>
        <color theme="1"/>
        <rFont val="宋体"/>
        <charset val="134"/>
        <scheme val="minor"/>
      </rPr>
      <t>98；</t>
    </r>
    <r>
      <rPr>
        <sz val="11"/>
        <color rgb="FFFF0000"/>
        <rFont val="宋体"/>
        <charset val="134"/>
        <scheme val="minor"/>
      </rPr>
      <t>15时94；9时92；</t>
    </r>
  </si>
  <si>
    <t>102；21时94；19时88；</t>
  </si>
  <si>
    <r>
      <rPr>
        <sz val="11"/>
        <color theme="1"/>
        <rFont val="宋体"/>
        <charset val="134"/>
        <scheme val="minor"/>
      </rPr>
      <t>80；</t>
    </r>
    <r>
      <rPr>
        <sz val="11"/>
        <color rgb="FFFF0000"/>
        <rFont val="宋体"/>
        <charset val="134"/>
        <scheme val="minor"/>
      </rPr>
      <t>21时90；15时94</t>
    </r>
    <r>
      <rPr>
        <sz val="11"/>
        <color theme="1"/>
        <rFont val="宋体"/>
        <charset val="134"/>
        <scheme val="minor"/>
      </rPr>
      <t>；</t>
    </r>
  </si>
  <si>
    <t>106降盘86；15时92；10时86；</t>
  </si>
  <si>
    <t>82-76；15时升盘80；9时90；</t>
  </si>
  <si>
    <t>98-106；16时降盘76；</t>
  </si>
  <si>
    <t>84-102；</t>
  </si>
  <si>
    <t>马耳他</t>
  </si>
  <si>
    <t>102；</t>
  </si>
  <si>
    <t>102（80）</t>
  </si>
  <si>
    <t>96-100；</t>
  </si>
  <si>
    <t>94-90；21时106；</t>
  </si>
  <si>
    <t>80升盘94；18时92；</t>
  </si>
  <si>
    <t>106（85）</t>
  </si>
  <si>
    <t>89-84；</t>
  </si>
  <si>
    <t>77-66；</t>
  </si>
  <si>
    <t>104（90）</t>
  </si>
  <si>
    <t>90；16时100；</t>
  </si>
  <si>
    <t>108；</t>
  </si>
  <si>
    <t>高水*客斯洛伐克慎</t>
  </si>
  <si>
    <t>99；16时96；</t>
  </si>
  <si>
    <t>高看客绿舍</t>
  </si>
  <si>
    <t>84；13时78；</t>
  </si>
  <si>
    <t>79-80；</t>
  </si>
  <si>
    <r>
      <rPr>
        <sz val="11"/>
        <color theme="1"/>
        <rFont val="宋体"/>
        <charset val="134"/>
        <scheme val="minor"/>
      </rPr>
      <t>90；</t>
    </r>
    <r>
      <rPr>
        <sz val="11"/>
        <color rgb="FFFF0000"/>
        <rFont val="宋体"/>
        <charset val="134"/>
        <scheme val="minor"/>
      </rPr>
      <t>12时升盘96</t>
    </r>
    <r>
      <rPr>
        <sz val="11"/>
        <color theme="1"/>
        <rFont val="宋体"/>
        <charset val="134"/>
        <scheme val="minor"/>
      </rPr>
      <t>；</t>
    </r>
  </si>
  <si>
    <t>81；13时78；</t>
  </si>
  <si>
    <t>欧国联</t>
  </si>
  <si>
    <t>中立场70（100）</t>
  </si>
  <si>
    <t>104-108；</t>
  </si>
  <si>
    <r>
      <rPr>
        <sz val="11"/>
        <color theme="1"/>
        <rFont val="宋体"/>
        <charset val="134"/>
        <scheme val="minor"/>
      </rPr>
      <t>102-</t>
    </r>
    <r>
      <rPr>
        <sz val="11"/>
        <color rgb="FFFF0000"/>
        <rFont val="宋体"/>
        <charset val="134"/>
        <scheme val="minor"/>
      </rPr>
      <t>100；</t>
    </r>
  </si>
  <si>
    <t>102；7时降盘78</t>
  </si>
  <si>
    <t>100-106；</t>
  </si>
  <si>
    <t>75（105）</t>
  </si>
  <si>
    <t>74-70；</t>
  </si>
  <si>
    <t>99-100；</t>
  </si>
  <si>
    <t>94-106降盘82-74；</t>
  </si>
  <si>
    <t>62（100）</t>
  </si>
  <si>
    <t>89-78；</t>
  </si>
  <si>
    <r>
      <rPr>
        <sz val="11"/>
        <color theme="1"/>
        <rFont val="宋体"/>
        <charset val="134"/>
        <scheme val="minor"/>
      </rPr>
      <t>90-10</t>
    </r>
    <r>
      <rPr>
        <sz val="11"/>
        <color rgb="FFFF0000"/>
        <rFont val="宋体"/>
        <charset val="134"/>
        <scheme val="minor"/>
      </rPr>
      <t>6降盘104-82；</t>
    </r>
  </si>
  <si>
    <t>100-96；</t>
  </si>
  <si>
    <r>
      <rPr>
        <sz val="11"/>
        <color theme="1"/>
        <rFont val="宋体"/>
        <charset val="134"/>
        <scheme val="minor"/>
      </rPr>
      <t>88</t>
    </r>
    <r>
      <rPr>
        <sz val="11"/>
        <color rgb="FFFF0000"/>
        <rFont val="宋体"/>
        <charset val="134"/>
        <scheme val="minor"/>
      </rPr>
      <t>降盘95；</t>
    </r>
  </si>
  <si>
    <t>96-94；</t>
  </si>
  <si>
    <t>70（110）主让</t>
  </si>
  <si>
    <t>78升盘90；</t>
  </si>
  <si>
    <t>102-94-106；</t>
  </si>
  <si>
    <t>107-106；</t>
  </si>
  <si>
    <t>108；10时88；4时102</t>
  </si>
  <si>
    <r>
      <rPr>
        <sz val="11"/>
        <color theme="1"/>
        <rFont val="宋体"/>
        <charset val="134"/>
        <scheme val="minor"/>
      </rPr>
      <t>82；</t>
    </r>
    <r>
      <rPr>
        <sz val="11"/>
        <color rgb="FFFF0000"/>
        <rFont val="宋体"/>
        <charset val="134"/>
        <scheme val="minor"/>
      </rPr>
      <t>9时升盘96</t>
    </r>
    <r>
      <rPr>
        <sz val="11"/>
        <color theme="1"/>
        <rFont val="宋体"/>
        <charset val="134"/>
        <scheme val="minor"/>
      </rPr>
      <t>；7时88；</t>
    </r>
    <r>
      <rPr>
        <sz val="11"/>
        <color rgb="FFFF0000"/>
        <rFont val="宋体"/>
        <charset val="134"/>
        <scheme val="minor"/>
      </rPr>
      <t>5时78升盘100；</t>
    </r>
  </si>
  <si>
    <r>
      <rPr>
        <sz val="11"/>
        <color theme="1"/>
        <rFont val="宋体"/>
        <charset val="134"/>
        <scheme val="minor"/>
      </rPr>
      <t>94；</t>
    </r>
    <r>
      <rPr>
        <sz val="11"/>
        <color rgb="FFFF0000"/>
        <rFont val="宋体"/>
        <charset val="134"/>
        <scheme val="minor"/>
      </rPr>
      <t>19时100；</t>
    </r>
  </si>
  <si>
    <r>
      <rPr>
        <sz val="11"/>
        <color theme="1"/>
        <rFont val="宋体"/>
        <charset val="134"/>
        <scheme val="minor"/>
      </rPr>
      <t>88；21时100；</t>
    </r>
    <r>
      <rPr>
        <sz val="11"/>
        <color rgb="FFFF0000"/>
        <rFont val="宋体"/>
        <charset val="134"/>
        <scheme val="minor"/>
      </rPr>
      <t>7时降盘80；</t>
    </r>
  </si>
  <si>
    <t>100；5时94；</t>
  </si>
  <si>
    <t>87；9时80；5时76；</t>
  </si>
  <si>
    <t>92；8时96；6时100；</t>
  </si>
  <si>
    <r>
      <rPr>
        <sz val="11"/>
        <color theme="1"/>
        <rFont val="宋体"/>
        <charset val="134"/>
        <scheme val="minor"/>
      </rPr>
      <t>98；</t>
    </r>
    <r>
      <rPr>
        <sz val="11"/>
        <color rgb="FFFF0000"/>
        <rFont val="宋体"/>
        <charset val="134"/>
        <scheme val="minor"/>
      </rPr>
      <t>21时90；11时86；6时80；</t>
    </r>
  </si>
  <si>
    <r>
      <rPr>
        <sz val="11"/>
        <color theme="1"/>
        <rFont val="宋体"/>
        <charset val="134"/>
        <scheme val="minor"/>
      </rPr>
      <t>79-66；</t>
    </r>
    <r>
      <rPr>
        <sz val="11"/>
        <color rgb="FFFF0000"/>
        <rFont val="宋体"/>
        <charset val="134"/>
        <scheme val="minor"/>
      </rPr>
      <t>19时升盘82；5时升盘82；</t>
    </r>
  </si>
  <si>
    <t>89；8时92；</t>
  </si>
  <si>
    <t>0-5</t>
  </si>
  <si>
    <r>
      <rPr>
        <sz val="11"/>
        <color theme="1"/>
        <rFont val="宋体"/>
        <charset val="134"/>
        <scheme val="minor"/>
      </rPr>
      <t>81；</t>
    </r>
    <r>
      <rPr>
        <sz val="11"/>
        <color rgb="FFFF0000"/>
        <rFont val="宋体"/>
        <charset val="134"/>
        <scheme val="minor"/>
      </rPr>
      <t>20时升盘100</t>
    </r>
    <r>
      <rPr>
        <sz val="11"/>
        <color theme="1"/>
        <rFont val="宋体"/>
        <charset val="134"/>
        <scheme val="minor"/>
      </rPr>
      <t>；9时98；</t>
    </r>
  </si>
  <si>
    <t>103；</t>
  </si>
  <si>
    <t>86；7时80；5时升盘90；1时升盘90</t>
  </si>
  <si>
    <r>
      <rPr>
        <sz val="11"/>
        <color theme="1"/>
        <rFont val="宋体"/>
        <charset val="134"/>
        <scheme val="minor"/>
      </rPr>
      <t>78</t>
    </r>
    <r>
      <rPr>
        <sz val="11"/>
        <color rgb="FFFF0000"/>
        <rFont val="宋体"/>
        <charset val="134"/>
        <scheme val="minor"/>
      </rPr>
      <t>；20时升盘90</t>
    </r>
    <r>
      <rPr>
        <sz val="11"/>
        <color theme="1"/>
        <rFont val="宋体"/>
        <charset val="134"/>
        <scheme val="minor"/>
      </rPr>
      <t>；13时84；</t>
    </r>
  </si>
  <si>
    <t>100；9时降盘82；</t>
  </si>
  <si>
    <t>75；12时升盘86；9时70-66；</t>
  </si>
  <si>
    <t>客86；20时82；</t>
  </si>
  <si>
    <t>92；18时88；9时96；3时94</t>
  </si>
  <si>
    <t>客82；1时80；</t>
  </si>
  <si>
    <t>108（80）</t>
  </si>
  <si>
    <r>
      <rPr>
        <sz val="11"/>
        <color rgb="FFFF0000"/>
        <rFont val="宋体"/>
        <charset val="134"/>
        <scheme val="minor"/>
      </rPr>
      <t>客77；</t>
    </r>
    <r>
      <rPr>
        <sz val="11"/>
        <color rgb="FFFF0000"/>
        <rFont val="宋体"/>
        <charset val="134"/>
        <scheme val="minor"/>
      </rPr>
      <t>20时升盘108；6时104；</t>
    </r>
  </si>
  <si>
    <t>88；12时80；</t>
  </si>
  <si>
    <t>94；20时86；11时90；</t>
  </si>
  <si>
    <r>
      <rPr>
        <sz val="11"/>
        <color theme="1"/>
        <rFont val="宋体"/>
        <charset val="134"/>
        <scheme val="minor"/>
      </rPr>
      <t>84；20时75；</t>
    </r>
    <r>
      <rPr>
        <sz val="11"/>
        <color rgb="FFFF0000"/>
        <rFont val="宋体"/>
        <charset val="134"/>
        <scheme val="minor"/>
      </rPr>
      <t>8时升盘88-80；</t>
    </r>
  </si>
  <si>
    <t>90；22时75；20时升盘95；8时降盘84；</t>
  </si>
  <si>
    <r>
      <rPr>
        <sz val="11"/>
        <color theme="1"/>
        <rFont val="宋体"/>
        <charset val="134"/>
        <scheme val="minor"/>
      </rPr>
      <t>81；</t>
    </r>
    <r>
      <rPr>
        <sz val="11"/>
        <color rgb="FFFF0000"/>
        <rFont val="宋体"/>
        <charset val="134"/>
        <scheme val="minor"/>
      </rPr>
      <t>8时92；</t>
    </r>
  </si>
  <si>
    <t>菲律宾</t>
  </si>
  <si>
    <t>2-5</t>
  </si>
  <si>
    <t>80；</t>
  </si>
  <si>
    <t>巴林</t>
  </si>
  <si>
    <t>104降盘80；</t>
  </si>
  <si>
    <t>塔吉克斯坦</t>
  </si>
  <si>
    <t>吉尔吉斯斯坦</t>
  </si>
  <si>
    <t>越南</t>
  </si>
  <si>
    <r>
      <rPr>
        <sz val="11"/>
        <color theme="1"/>
        <rFont val="宋体"/>
        <charset val="134"/>
        <scheme val="minor"/>
      </rPr>
      <t>96-</t>
    </r>
    <r>
      <rPr>
        <sz val="11"/>
        <color rgb="FFFF0000"/>
        <rFont val="宋体"/>
        <charset val="134"/>
        <scheme val="minor"/>
      </rPr>
      <t>84</t>
    </r>
    <r>
      <rPr>
        <sz val="11"/>
        <color theme="1"/>
        <rFont val="宋体"/>
        <charset val="134"/>
        <scheme val="minor"/>
      </rPr>
      <t>-100；20时105；</t>
    </r>
  </si>
  <si>
    <t>朝鲜</t>
  </si>
  <si>
    <t>黎巴嫩</t>
  </si>
  <si>
    <t>92-100；</t>
  </si>
  <si>
    <t>96-90；6时100；</t>
  </si>
  <si>
    <t>3异常106（80）</t>
  </si>
  <si>
    <t>79升盘106；</t>
  </si>
  <si>
    <t>88-70；</t>
  </si>
  <si>
    <t>80（105）</t>
  </si>
  <si>
    <t>98降盘74；</t>
  </si>
  <si>
    <t>101-100；</t>
  </si>
  <si>
    <t>升盘中水，主非金慎</t>
  </si>
  <si>
    <r>
      <rPr>
        <sz val="11"/>
        <color theme="1"/>
        <rFont val="宋体"/>
        <charset val="134"/>
        <scheme val="minor"/>
      </rPr>
      <t>88-82-88；</t>
    </r>
    <r>
      <rPr>
        <sz val="11"/>
        <color rgb="FFFF0000"/>
        <rFont val="宋体"/>
        <charset val="134"/>
        <scheme val="minor"/>
      </rPr>
      <t>20时升盘110</t>
    </r>
  </si>
  <si>
    <t>-2.75</t>
  </si>
  <si>
    <t>88-78；11时86</t>
  </si>
  <si>
    <t>105（80）</t>
  </si>
  <si>
    <t>79升盘104；</t>
  </si>
  <si>
    <t>-4.5</t>
  </si>
  <si>
    <t>-3.5</t>
  </si>
  <si>
    <t>65（85）</t>
  </si>
  <si>
    <t>86-80；9时72；</t>
  </si>
  <si>
    <t>82-86；</t>
  </si>
  <si>
    <t>-6.25</t>
  </si>
  <si>
    <t>-6</t>
  </si>
  <si>
    <t>76（90）</t>
  </si>
  <si>
    <t>70；4时升盘84；</t>
  </si>
  <si>
    <t>106（75）</t>
  </si>
  <si>
    <t>客82；</t>
  </si>
  <si>
    <t>91；</t>
  </si>
  <si>
    <t>升盘2档可信</t>
  </si>
  <si>
    <t>100升盘108-100；12时90</t>
  </si>
  <si>
    <t>客绿*Z升盘舍</t>
  </si>
  <si>
    <t>98（85）</t>
  </si>
  <si>
    <t>89-86；14时82；</t>
  </si>
  <si>
    <t>103降盘82；</t>
  </si>
  <si>
    <t>95；</t>
  </si>
  <si>
    <t>84-72；</t>
  </si>
  <si>
    <t>75（100）</t>
  </si>
  <si>
    <t>82-78升盘104；</t>
  </si>
  <si>
    <t>85；</t>
  </si>
  <si>
    <t>78（98）</t>
  </si>
  <si>
    <t>86；13时84；</t>
  </si>
  <si>
    <t>安道尔客龙例外；升盘4档</t>
  </si>
  <si>
    <t>升盘4档</t>
  </si>
  <si>
    <t>92（80）</t>
  </si>
  <si>
    <t>72-66；</t>
  </si>
  <si>
    <t>95-100；</t>
  </si>
  <si>
    <t>6</t>
  </si>
  <si>
    <t>主场虫，降盘不利</t>
  </si>
  <si>
    <t>75；</t>
  </si>
  <si>
    <t>91；20时94；</t>
  </si>
  <si>
    <t>升盘2档不利上盘</t>
  </si>
  <si>
    <t>5.25</t>
  </si>
  <si>
    <t>60（88）</t>
  </si>
  <si>
    <r>
      <rPr>
        <sz val="11"/>
        <color theme="1"/>
        <rFont val="宋体"/>
        <charset val="134"/>
        <scheme val="minor"/>
      </rPr>
      <t>100-95；20时90；13时82；</t>
    </r>
    <r>
      <rPr>
        <sz val="11"/>
        <color rgb="FFFF0000"/>
        <rFont val="宋体"/>
        <charset val="134"/>
        <scheme val="minor"/>
      </rPr>
      <t>9时升盘90；7时降盘80；</t>
    </r>
  </si>
  <si>
    <r>
      <rPr>
        <sz val="11"/>
        <color theme="1"/>
        <rFont val="宋体"/>
        <charset val="134"/>
        <scheme val="minor"/>
      </rPr>
      <t>102-92</t>
    </r>
    <r>
      <rPr>
        <sz val="11"/>
        <color rgb="FFFF0000"/>
        <rFont val="宋体"/>
        <charset val="134"/>
        <scheme val="minor"/>
      </rPr>
      <t>；8时82</t>
    </r>
  </si>
  <si>
    <t>-3.25</t>
  </si>
  <si>
    <r>
      <rPr>
        <sz val="11"/>
        <color theme="1"/>
        <rFont val="宋体"/>
        <charset val="134"/>
        <scheme val="minor"/>
      </rPr>
      <t>89-92；22时98-102；</t>
    </r>
    <r>
      <rPr>
        <sz val="11"/>
        <color rgb="FFFF0000"/>
        <rFont val="宋体"/>
        <charset val="134"/>
        <scheme val="minor"/>
      </rPr>
      <t>13时112降盘102</t>
    </r>
    <r>
      <rPr>
        <sz val="11"/>
        <color theme="1"/>
        <rFont val="宋体"/>
        <charset val="134"/>
        <scheme val="minor"/>
      </rPr>
      <t>；8时110</t>
    </r>
  </si>
  <si>
    <r>
      <rPr>
        <sz val="11"/>
        <color theme="1"/>
        <rFont val="宋体"/>
        <charset val="134"/>
        <scheme val="minor"/>
      </rPr>
      <t>92-96；</t>
    </r>
    <r>
      <rPr>
        <sz val="11"/>
        <color rgb="FFFF0000"/>
        <rFont val="宋体"/>
        <charset val="134"/>
        <scheme val="minor"/>
      </rPr>
      <t>8时降盘86-78；</t>
    </r>
  </si>
  <si>
    <t>-2.5</t>
  </si>
  <si>
    <r>
      <rPr>
        <sz val="11"/>
        <color theme="1"/>
        <rFont val="宋体"/>
        <charset val="134"/>
        <scheme val="minor"/>
      </rPr>
      <t>72；</t>
    </r>
    <r>
      <rPr>
        <sz val="11"/>
        <color rgb="FFFF0000"/>
        <rFont val="宋体"/>
        <charset val="134"/>
        <scheme val="minor"/>
      </rPr>
      <t>20时升盘84；9时96；9时降2盘74</t>
    </r>
    <r>
      <rPr>
        <sz val="11"/>
        <color theme="1"/>
        <rFont val="宋体"/>
        <charset val="134"/>
        <scheme val="minor"/>
      </rPr>
      <t>；</t>
    </r>
  </si>
  <si>
    <r>
      <rPr>
        <sz val="11"/>
        <color theme="1"/>
        <rFont val="宋体"/>
        <charset val="134"/>
        <scheme val="minor"/>
      </rPr>
      <t>98-90；18时84；</t>
    </r>
    <r>
      <rPr>
        <sz val="11"/>
        <color rgb="FFFF0000"/>
        <rFont val="宋体"/>
        <charset val="134"/>
        <scheme val="minor"/>
      </rPr>
      <t>8时升盘92</t>
    </r>
    <r>
      <rPr>
        <sz val="11"/>
        <color theme="1"/>
        <rFont val="宋体"/>
        <charset val="134"/>
        <scheme val="minor"/>
      </rPr>
      <t>；4时96</t>
    </r>
  </si>
  <si>
    <t>105；20时100；</t>
  </si>
  <si>
    <t>客两极分化</t>
  </si>
  <si>
    <r>
      <rPr>
        <sz val="11"/>
        <color rgb="FFFF0000"/>
        <rFont val="宋体"/>
        <charset val="134"/>
        <scheme val="minor"/>
      </rPr>
      <t>100-94；</t>
    </r>
    <r>
      <rPr>
        <sz val="11"/>
        <color rgb="FFFF0000"/>
        <rFont val="宋体"/>
        <charset val="134"/>
        <scheme val="minor"/>
      </rPr>
      <t>9时84；</t>
    </r>
  </si>
  <si>
    <t>83；20时78；</t>
  </si>
  <si>
    <r>
      <rPr>
        <sz val="11"/>
        <color theme="1"/>
        <rFont val="宋体"/>
        <charset val="134"/>
        <scheme val="minor"/>
      </rPr>
      <t>98；</t>
    </r>
    <r>
      <rPr>
        <sz val="11"/>
        <color rgb="FFFF0000"/>
        <rFont val="宋体"/>
        <charset val="134"/>
        <scheme val="minor"/>
      </rPr>
      <t>8时降盘86</t>
    </r>
  </si>
  <si>
    <r>
      <rPr>
        <sz val="11"/>
        <color theme="1"/>
        <rFont val="宋体"/>
        <charset val="134"/>
        <scheme val="minor"/>
      </rPr>
      <t>98-100；</t>
    </r>
    <r>
      <rPr>
        <sz val="11"/>
        <color rgb="FFFF0000"/>
        <rFont val="宋体"/>
        <charset val="134"/>
        <scheme val="minor"/>
      </rPr>
      <t>20时降盘80</t>
    </r>
  </si>
  <si>
    <t>5-3</t>
  </si>
  <si>
    <t>降盘4档</t>
  </si>
  <si>
    <t>110降盘94-110，再降盘85；20时92；12时104降盘100；</t>
  </si>
  <si>
    <t>90-102；20时降盘90；12时100</t>
  </si>
  <si>
    <t>84升盘100-98；</t>
  </si>
  <si>
    <t>60（80）</t>
  </si>
  <si>
    <t>80；14时90</t>
  </si>
  <si>
    <t>84升盘100-74；</t>
  </si>
  <si>
    <t>客82升盘94-96；</t>
  </si>
  <si>
    <t>马尔代夫</t>
  </si>
  <si>
    <t>68；12时升盘72，再升盘96-92；9时80-78</t>
  </si>
  <si>
    <t>关岛</t>
  </si>
  <si>
    <t>7</t>
  </si>
  <si>
    <t>78（90）</t>
  </si>
  <si>
    <t>90升盘到5.5盘口85；</t>
  </si>
  <si>
    <t>也门</t>
  </si>
  <si>
    <t>马来西亚</t>
  </si>
  <si>
    <t>83-90-82；</t>
  </si>
  <si>
    <t>75（95）升盘5档；中立场</t>
  </si>
  <si>
    <t>55升盘至2.75盘口75；</t>
  </si>
  <si>
    <t>缅甸</t>
  </si>
  <si>
    <r>
      <rPr>
        <sz val="11"/>
        <color theme="1"/>
        <rFont val="宋体"/>
        <charset val="134"/>
        <scheme val="minor"/>
      </rPr>
      <t>97-92-98；</t>
    </r>
    <r>
      <rPr>
        <sz val="11"/>
        <color rgb="FFFF0000"/>
        <rFont val="宋体"/>
        <charset val="134"/>
        <scheme val="minor"/>
      </rPr>
      <t>8时82；5时74</t>
    </r>
    <r>
      <rPr>
        <sz val="11"/>
        <color theme="1"/>
        <rFont val="宋体"/>
        <charset val="134"/>
        <scheme val="minor"/>
      </rPr>
      <t>；</t>
    </r>
  </si>
  <si>
    <t>阿曼</t>
  </si>
  <si>
    <t>阿富汗</t>
  </si>
  <si>
    <t>土库曼斯坦</t>
  </si>
  <si>
    <t>115（95）</t>
  </si>
  <si>
    <t>106；12时降盘96</t>
  </si>
  <si>
    <t>约旦</t>
  </si>
  <si>
    <t>科威特</t>
  </si>
  <si>
    <t>印度尼西亚</t>
  </si>
  <si>
    <t>60（80）（100）</t>
  </si>
  <si>
    <t>70-75；</t>
  </si>
  <si>
    <t>中国香港</t>
  </si>
  <si>
    <t>高开*客绿舍</t>
  </si>
  <si>
    <t>60（70）（100）</t>
  </si>
  <si>
    <t>88；8时76</t>
  </si>
  <si>
    <t>98-105降盘85；</t>
  </si>
  <si>
    <t>88-90；2时80；</t>
  </si>
  <si>
    <t>93；10时91；</t>
  </si>
  <si>
    <t>6.75</t>
  </si>
  <si>
    <t>7.25</t>
  </si>
  <si>
    <t>90（100）</t>
  </si>
  <si>
    <t>90-100降盘84；11时96；</t>
  </si>
  <si>
    <t>客64升盘90；</t>
  </si>
  <si>
    <t>100-90；5时92；</t>
  </si>
  <si>
    <r>
      <rPr>
        <sz val="11"/>
        <color rgb="FFFF0000"/>
        <rFont val="宋体"/>
        <charset val="134"/>
        <scheme val="minor"/>
      </rPr>
      <t>100；</t>
    </r>
    <r>
      <rPr>
        <sz val="11"/>
        <color rgb="FFFF0000"/>
        <rFont val="宋体"/>
        <charset val="134"/>
        <scheme val="minor"/>
      </rPr>
      <t>11时降盘80；</t>
    </r>
  </si>
  <si>
    <r>
      <rPr>
        <sz val="11"/>
        <color theme="1"/>
        <rFont val="宋体"/>
        <charset val="134"/>
        <scheme val="minor"/>
      </rPr>
      <t>84-80；</t>
    </r>
    <r>
      <rPr>
        <sz val="11"/>
        <color rgb="FFFF0000"/>
        <rFont val="宋体"/>
        <charset val="134"/>
        <scheme val="minor"/>
      </rPr>
      <t>15时升盘100；10时降盘90</t>
    </r>
    <r>
      <rPr>
        <sz val="11"/>
        <color theme="1"/>
        <rFont val="宋体"/>
        <charset val="134"/>
        <scheme val="minor"/>
      </rPr>
      <t>；</t>
    </r>
  </si>
  <si>
    <r>
      <rPr>
        <sz val="11"/>
        <color theme="1"/>
        <rFont val="宋体"/>
        <charset val="134"/>
        <scheme val="minor"/>
      </rPr>
      <t>78-92；</t>
    </r>
    <r>
      <rPr>
        <sz val="11"/>
        <color rgb="FFFF0000"/>
        <rFont val="宋体"/>
        <charset val="134"/>
        <scheme val="minor"/>
      </rPr>
      <t>12时降盘82</t>
    </r>
    <r>
      <rPr>
        <sz val="11"/>
        <color theme="1"/>
        <rFont val="宋体"/>
        <charset val="134"/>
        <scheme val="minor"/>
      </rPr>
      <t>；10时88；</t>
    </r>
  </si>
  <si>
    <t>78-76升盘104；</t>
  </si>
  <si>
    <t>93-100降盘90；</t>
  </si>
  <si>
    <t>84-106；</t>
  </si>
  <si>
    <t>108（90）</t>
  </si>
  <si>
    <r>
      <rPr>
        <sz val="11"/>
        <color theme="1"/>
        <rFont val="宋体"/>
        <charset val="134"/>
        <scheme val="minor"/>
      </rPr>
      <t>92-84；</t>
    </r>
    <r>
      <rPr>
        <sz val="11"/>
        <color rgb="FFFF0000"/>
        <rFont val="宋体"/>
        <charset val="134"/>
        <scheme val="minor"/>
      </rPr>
      <t>20时升盘98；14时升盘98；</t>
    </r>
  </si>
  <si>
    <t>105（90）</t>
  </si>
  <si>
    <r>
      <rPr>
        <sz val="11"/>
        <color theme="1"/>
        <rFont val="宋体"/>
        <charset val="134"/>
        <scheme val="minor"/>
      </rPr>
      <t>96-90；</t>
    </r>
    <r>
      <rPr>
        <sz val="11"/>
        <color rgb="FFFF0000"/>
        <rFont val="宋体"/>
        <charset val="134"/>
        <scheme val="minor"/>
      </rPr>
      <t>20时升盘106；</t>
    </r>
  </si>
  <si>
    <t>102（85）</t>
  </si>
  <si>
    <t>108-105；</t>
  </si>
  <si>
    <t>77-84；</t>
  </si>
  <si>
    <t>90-85-95；</t>
  </si>
  <si>
    <t>93；18时88；</t>
  </si>
  <si>
    <t>102降盘80；8时100；</t>
  </si>
  <si>
    <r>
      <rPr>
        <sz val="11"/>
        <color theme="1"/>
        <rFont val="宋体"/>
        <charset val="134"/>
        <scheme val="minor"/>
      </rPr>
      <t>78-80；</t>
    </r>
    <r>
      <rPr>
        <sz val="11"/>
        <color rgb="FFFF0000"/>
        <rFont val="宋体"/>
        <charset val="134"/>
        <scheme val="minor"/>
      </rPr>
      <t>21时90</t>
    </r>
    <r>
      <rPr>
        <sz val="11"/>
        <color theme="1"/>
        <rFont val="宋体"/>
        <charset val="134"/>
        <scheme val="minor"/>
      </rPr>
      <t>；</t>
    </r>
    <r>
      <rPr>
        <sz val="11"/>
        <color rgb="FFFF0000"/>
        <rFont val="宋体"/>
        <charset val="134"/>
        <scheme val="minor"/>
      </rPr>
      <t>13时100</t>
    </r>
    <r>
      <rPr>
        <sz val="11"/>
        <color theme="1"/>
        <rFont val="宋体"/>
        <charset val="134"/>
        <scheme val="minor"/>
      </rPr>
      <t>；</t>
    </r>
    <r>
      <rPr>
        <sz val="11"/>
        <color rgb="FFFF0000"/>
        <rFont val="宋体"/>
        <charset val="134"/>
        <scheme val="minor"/>
      </rPr>
      <t>10时降盘80</t>
    </r>
  </si>
  <si>
    <t>85-90；</t>
  </si>
  <si>
    <t>中盘降盘*Z不变慎；客宜舍</t>
  </si>
  <si>
    <t>105降盘80；</t>
  </si>
  <si>
    <t>98-108降盘90；11时降盘84；8时98；2时升盘90</t>
  </si>
  <si>
    <t>84；14时78；</t>
  </si>
  <si>
    <r>
      <rPr>
        <sz val="11"/>
        <color theme="1"/>
        <rFont val="宋体"/>
        <charset val="134"/>
        <scheme val="minor"/>
      </rPr>
      <t>76；</t>
    </r>
    <r>
      <rPr>
        <sz val="11"/>
        <color rgb="FFFF0000"/>
        <rFont val="宋体"/>
        <charset val="134"/>
        <scheme val="minor"/>
      </rPr>
      <t>14时升盘102；7时105；4时降盘92；1时96</t>
    </r>
  </si>
  <si>
    <t>降盘3档</t>
  </si>
  <si>
    <r>
      <rPr>
        <sz val="11"/>
        <color theme="1"/>
        <rFont val="宋体"/>
        <charset val="134"/>
        <scheme val="minor"/>
      </rPr>
      <t>102；</t>
    </r>
    <r>
      <rPr>
        <sz val="11"/>
        <color rgb="FFFF0000"/>
        <rFont val="宋体"/>
        <charset val="134"/>
        <scheme val="minor"/>
      </rPr>
      <t>14时降盘80</t>
    </r>
    <r>
      <rPr>
        <sz val="11"/>
        <color theme="1"/>
        <rFont val="宋体"/>
        <charset val="134"/>
        <scheme val="minor"/>
      </rPr>
      <t>；</t>
    </r>
  </si>
  <si>
    <r>
      <rPr>
        <sz val="11"/>
        <color theme="1"/>
        <rFont val="宋体"/>
        <charset val="134"/>
        <scheme val="minor"/>
      </rPr>
      <t>100-110；</t>
    </r>
    <r>
      <rPr>
        <sz val="11"/>
        <color rgb="FFFF0000"/>
        <rFont val="宋体"/>
        <charset val="134"/>
        <scheme val="minor"/>
      </rPr>
      <t>20时降盘90；13时95；12时降盘80；</t>
    </r>
  </si>
  <si>
    <t>客绿*降盘舍</t>
  </si>
  <si>
    <t>90；17时100；9时降盘85；</t>
  </si>
  <si>
    <t>106；13时104；</t>
  </si>
  <si>
    <r>
      <rPr>
        <sz val="11"/>
        <color theme="1"/>
        <rFont val="宋体"/>
        <charset val="134"/>
        <scheme val="minor"/>
      </rPr>
      <t>95-100；</t>
    </r>
    <r>
      <rPr>
        <sz val="11"/>
        <color rgb="FFFF0000"/>
        <rFont val="宋体"/>
        <charset val="134"/>
        <scheme val="minor"/>
      </rPr>
      <t>18时降盘80；7时100；</t>
    </r>
  </si>
  <si>
    <t>98（96）</t>
  </si>
  <si>
    <r>
      <rPr>
        <sz val="11"/>
        <color theme="1"/>
        <rFont val="宋体"/>
        <charset val="134"/>
        <scheme val="minor"/>
      </rPr>
      <t>90；14时88；</t>
    </r>
    <r>
      <rPr>
        <sz val="11"/>
        <color rgb="FFFF0000"/>
        <rFont val="宋体"/>
        <charset val="134"/>
        <scheme val="minor"/>
      </rPr>
      <t>8时升盘80；7时升盘75</t>
    </r>
    <r>
      <rPr>
        <sz val="11"/>
        <color theme="1"/>
        <rFont val="宋体"/>
        <charset val="134"/>
        <scheme val="minor"/>
      </rPr>
      <t>；</t>
    </r>
  </si>
  <si>
    <t>106；20时降盘82；12时85；5时82；</t>
  </si>
  <si>
    <r>
      <rPr>
        <sz val="11"/>
        <color rgb="FFFF0000"/>
        <rFont val="宋体"/>
        <charset val="134"/>
        <scheme val="minor"/>
      </rPr>
      <t>100；</t>
    </r>
    <r>
      <rPr>
        <sz val="11"/>
        <color rgb="FFFF0000"/>
        <rFont val="宋体"/>
        <charset val="134"/>
        <scheme val="minor"/>
      </rPr>
      <t>23时降盘90；12时100-105；5时降盘99-94</t>
    </r>
  </si>
  <si>
    <r>
      <rPr>
        <sz val="11"/>
        <color theme="1"/>
        <rFont val="宋体"/>
        <charset val="134"/>
        <scheme val="minor"/>
      </rPr>
      <t>78；</t>
    </r>
    <r>
      <rPr>
        <sz val="11"/>
        <color rgb="FFFF0000"/>
        <rFont val="宋体"/>
        <charset val="134"/>
        <scheme val="minor"/>
      </rPr>
      <t>20时升盘100</t>
    </r>
    <r>
      <rPr>
        <sz val="11"/>
        <color theme="1"/>
        <rFont val="宋体"/>
        <charset val="134"/>
        <scheme val="minor"/>
      </rPr>
      <t>；</t>
    </r>
    <r>
      <rPr>
        <sz val="11"/>
        <color rgb="FFFF0000"/>
        <rFont val="宋体"/>
        <charset val="134"/>
        <scheme val="minor"/>
      </rPr>
      <t>10时降盘90；5时88-86；</t>
    </r>
  </si>
  <si>
    <t>安道尔客龙例外</t>
  </si>
  <si>
    <r>
      <rPr>
        <sz val="11"/>
        <color theme="1"/>
        <rFont val="宋体"/>
        <charset val="134"/>
        <scheme val="minor"/>
      </rPr>
      <t>84；</t>
    </r>
    <r>
      <rPr>
        <sz val="11"/>
        <color rgb="FFFF0000"/>
        <rFont val="宋体"/>
        <charset val="134"/>
        <scheme val="minor"/>
      </rPr>
      <t>23时降盘90-104；14时降盘82</t>
    </r>
    <r>
      <rPr>
        <sz val="11"/>
        <color theme="1"/>
        <rFont val="宋体"/>
        <charset val="134"/>
        <scheme val="minor"/>
      </rPr>
      <t>；</t>
    </r>
    <r>
      <rPr>
        <sz val="11"/>
        <color theme="1"/>
        <rFont val="宋体"/>
        <charset val="134"/>
        <scheme val="minor"/>
      </rPr>
      <t>5时 升盘82；</t>
    </r>
  </si>
  <si>
    <t>不变高上突舍</t>
  </si>
  <si>
    <r>
      <rPr>
        <sz val="11"/>
        <color rgb="FFFF0000"/>
        <rFont val="宋体"/>
        <charset val="134"/>
        <scheme val="minor"/>
      </rPr>
      <t>84；20时90；</t>
    </r>
    <r>
      <rPr>
        <sz val="11"/>
        <color rgb="FFFF0000"/>
        <rFont val="宋体"/>
        <charset val="134"/>
        <scheme val="minor"/>
      </rPr>
      <t>12时94；9时96；6时94；</t>
    </r>
  </si>
  <si>
    <r>
      <rPr>
        <sz val="11"/>
        <color theme="1"/>
        <rFont val="宋体"/>
        <charset val="134"/>
        <scheme val="minor"/>
      </rPr>
      <t>83；17时80；</t>
    </r>
    <r>
      <rPr>
        <sz val="11"/>
        <color rgb="FFFF0000"/>
        <rFont val="宋体"/>
        <charset val="134"/>
        <scheme val="minor"/>
      </rPr>
      <t>3时升盘102</t>
    </r>
  </si>
  <si>
    <t>86；20时80；12时88-90</t>
  </si>
  <si>
    <r>
      <rPr>
        <sz val="11"/>
        <color theme="1"/>
        <rFont val="宋体"/>
        <charset val="134"/>
        <scheme val="minor"/>
      </rPr>
      <t>81；</t>
    </r>
    <r>
      <rPr>
        <sz val="11"/>
        <color rgb="FFFF0000"/>
        <rFont val="宋体"/>
        <charset val="134"/>
        <scheme val="minor"/>
      </rPr>
      <t>4时升盘100；</t>
    </r>
  </si>
  <si>
    <t>-3.75</t>
  </si>
  <si>
    <r>
      <rPr>
        <sz val="11"/>
        <color theme="1"/>
        <rFont val="宋体"/>
        <charset val="134"/>
        <scheme val="minor"/>
      </rPr>
      <t>98；14时102；10时94；8时98；</t>
    </r>
    <r>
      <rPr>
        <sz val="11"/>
        <color rgb="FFFF0000"/>
        <rFont val="宋体"/>
        <charset val="134"/>
        <scheme val="minor"/>
      </rPr>
      <t>6时升盘104；4时降盘96；</t>
    </r>
  </si>
  <si>
    <t>94；20时86；7时92；</t>
  </si>
  <si>
    <r>
      <rPr>
        <sz val="11"/>
        <color theme="1"/>
        <rFont val="宋体"/>
        <charset val="134"/>
        <scheme val="minor"/>
      </rPr>
      <t>83；</t>
    </r>
    <r>
      <rPr>
        <sz val="11"/>
        <color rgb="FFFF0000"/>
        <rFont val="宋体"/>
        <charset val="134"/>
        <scheme val="minor"/>
      </rPr>
      <t>20时88</t>
    </r>
    <r>
      <rPr>
        <sz val="11"/>
        <color theme="1"/>
        <rFont val="宋体"/>
        <charset val="134"/>
        <scheme val="minor"/>
      </rPr>
      <t>；5时86-80；</t>
    </r>
  </si>
  <si>
    <r>
      <rPr>
        <sz val="11"/>
        <color theme="1"/>
        <rFont val="宋体"/>
        <charset val="134"/>
        <scheme val="minor"/>
      </rPr>
      <t>102；</t>
    </r>
    <r>
      <rPr>
        <sz val="11"/>
        <color rgb="FFFF0000"/>
        <rFont val="宋体"/>
        <charset val="134"/>
        <scheme val="minor"/>
      </rPr>
      <t>20时降盘78；6时升盘94</t>
    </r>
    <r>
      <rPr>
        <sz val="11"/>
        <color theme="1"/>
        <rFont val="宋体"/>
        <charset val="134"/>
        <scheme val="minor"/>
      </rPr>
      <t>；5时80；</t>
    </r>
  </si>
  <si>
    <r>
      <rPr>
        <sz val="11"/>
        <color theme="1"/>
        <rFont val="宋体"/>
        <charset val="134"/>
        <scheme val="minor"/>
      </rPr>
      <t>82；</t>
    </r>
    <r>
      <rPr>
        <sz val="11"/>
        <color rgb="FFFF0000"/>
        <rFont val="宋体"/>
        <charset val="134"/>
        <scheme val="minor"/>
      </rPr>
      <t>12时100；8时降盘82</t>
    </r>
    <r>
      <rPr>
        <sz val="11"/>
        <color theme="1"/>
        <rFont val="宋体"/>
        <charset val="134"/>
        <scheme val="minor"/>
      </rPr>
      <t>；</t>
    </r>
  </si>
  <si>
    <t>102；14时98；10时94；</t>
  </si>
  <si>
    <t>100；10时110；</t>
  </si>
  <si>
    <t>蒙古</t>
  </si>
  <si>
    <t>客绿舍</t>
  </si>
  <si>
    <t>90；10时84；</t>
  </si>
  <si>
    <t>主绿*降盘类慎</t>
  </si>
  <si>
    <r>
      <rPr>
        <sz val="11"/>
        <color theme="1"/>
        <rFont val="宋体"/>
        <charset val="134"/>
        <scheme val="minor"/>
      </rPr>
      <t>94；</t>
    </r>
    <r>
      <rPr>
        <sz val="11"/>
        <color rgb="FFFF0000"/>
        <rFont val="宋体"/>
        <charset val="134"/>
        <scheme val="minor"/>
      </rPr>
      <t>10时106降盘7</t>
    </r>
    <r>
      <rPr>
        <sz val="11"/>
        <color theme="1"/>
        <rFont val="宋体"/>
        <charset val="134"/>
        <scheme val="minor"/>
      </rPr>
      <t>8；5时90-96；</t>
    </r>
  </si>
  <si>
    <t>92；10时84；</t>
  </si>
  <si>
    <t>柬埔寨</t>
  </si>
  <si>
    <t>-4.25</t>
  </si>
  <si>
    <t>110（90）</t>
  </si>
  <si>
    <r>
      <rPr>
        <sz val="11"/>
        <color theme="1"/>
        <rFont val="宋体"/>
        <charset val="134"/>
        <scheme val="minor"/>
      </rPr>
      <t>74；</t>
    </r>
    <r>
      <rPr>
        <sz val="11"/>
        <color rgb="FFFF0000"/>
        <rFont val="宋体"/>
        <charset val="134"/>
        <scheme val="minor"/>
      </rPr>
      <t>11时升盘86；</t>
    </r>
  </si>
  <si>
    <t>中国台北</t>
  </si>
  <si>
    <t>1-7</t>
  </si>
  <si>
    <t>-4.75</t>
  </si>
  <si>
    <t>-4</t>
  </si>
  <si>
    <t>78；12时72</t>
  </si>
  <si>
    <t>客绿不可信</t>
  </si>
  <si>
    <t>74；10时升盘76-66；</t>
  </si>
  <si>
    <t>90；14时98；11时90；10时升盘100</t>
  </si>
  <si>
    <r>
      <rPr>
        <sz val="11"/>
        <color theme="1"/>
        <rFont val="宋体"/>
        <charset val="134"/>
        <scheme val="minor"/>
      </rPr>
      <t>80；</t>
    </r>
    <r>
      <rPr>
        <sz val="11"/>
        <color rgb="FFFF0000"/>
        <rFont val="宋体"/>
        <charset val="134"/>
        <scheme val="minor"/>
      </rPr>
      <t>13时升盘100；</t>
    </r>
  </si>
  <si>
    <t>巴勒斯坦</t>
  </si>
  <si>
    <t>80；15时75；</t>
  </si>
  <si>
    <t>印度</t>
  </si>
  <si>
    <t>孟加拉国亚足</t>
  </si>
  <si>
    <t>均绿舍</t>
  </si>
  <si>
    <t>斯里兰卡</t>
  </si>
  <si>
    <r>
      <rPr>
        <sz val="11"/>
        <color theme="1"/>
        <rFont val="宋体"/>
        <charset val="134"/>
        <scheme val="minor"/>
      </rPr>
      <t>86；</t>
    </r>
    <r>
      <rPr>
        <sz val="11"/>
        <color rgb="FFFF0000"/>
        <rFont val="宋体"/>
        <charset val="134"/>
        <scheme val="minor"/>
      </rPr>
      <t>16时升盘98；</t>
    </r>
  </si>
  <si>
    <t>尼泊尔</t>
  </si>
  <si>
    <t>升盘1档低不升不利</t>
  </si>
  <si>
    <t>62（80）</t>
  </si>
  <si>
    <t>90；18时85；12时78；</t>
  </si>
  <si>
    <t>65；18时升2盘100；</t>
  </si>
  <si>
    <t>主绿*低低高峰期降盘升盘不利</t>
  </si>
  <si>
    <t>65；18时升盘80；</t>
  </si>
  <si>
    <t>80-68；6时降盘86；4时80；</t>
  </si>
  <si>
    <t>101-110；3时降盘100；1时降盘90</t>
  </si>
  <si>
    <t>122；12时降盘94；7时76；</t>
  </si>
  <si>
    <t>70(100)</t>
  </si>
  <si>
    <t>97；12时86；</t>
  </si>
  <si>
    <t>100；12时86；6时80</t>
  </si>
  <si>
    <t>88-92；7时升盘112</t>
  </si>
  <si>
    <t>105(90)</t>
  </si>
  <si>
    <t>88-98；8时92</t>
  </si>
  <si>
    <t>客100-88；15时92；</t>
  </si>
  <si>
    <t>100（95）</t>
  </si>
  <si>
    <t>90；15时84；</t>
  </si>
  <si>
    <t>68（100）中立场</t>
  </si>
  <si>
    <t>86-76；</t>
  </si>
  <si>
    <t>客94；4时102；</t>
  </si>
  <si>
    <t>91；4时80；</t>
  </si>
  <si>
    <t>81（100）</t>
  </si>
  <si>
    <t>110(90)中立场</t>
  </si>
  <si>
    <t>70（80）</t>
  </si>
  <si>
    <t>80；12时升盘80；</t>
  </si>
  <si>
    <t>70（96）</t>
  </si>
  <si>
    <t>91降盘84；7时70</t>
  </si>
  <si>
    <t>107-110；10时92；8时98</t>
  </si>
  <si>
    <t>90-84；7时78</t>
  </si>
  <si>
    <r>
      <rPr>
        <sz val="11"/>
        <color rgb="FFFF0000"/>
        <rFont val="宋体"/>
        <charset val="134"/>
        <scheme val="minor"/>
      </rPr>
      <t>98-74；</t>
    </r>
    <r>
      <rPr>
        <sz val="11"/>
        <color rgb="FFFF0000"/>
        <rFont val="宋体"/>
        <charset val="134"/>
        <scheme val="minor"/>
      </rPr>
      <t>9时升盘90；</t>
    </r>
  </si>
  <si>
    <r>
      <rPr>
        <sz val="11"/>
        <color theme="1"/>
        <rFont val="宋体"/>
        <charset val="134"/>
        <scheme val="minor"/>
      </rPr>
      <t>99-85；</t>
    </r>
    <r>
      <rPr>
        <sz val="11"/>
        <color rgb="FFFF0000"/>
        <rFont val="宋体"/>
        <charset val="134"/>
        <scheme val="minor"/>
      </rPr>
      <t>15时升盘98；5时86；</t>
    </r>
  </si>
  <si>
    <r>
      <rPr>
        <sz val="11"/>
        <color theme="1"/>
        <rFont val="宋体"/>
        <charset val="134"/>
        <scheme val="minor"/>
      </rPr>
      <t>99-95；</t>
    </r>
    <r>
      <rPr>
        <sz val="11"/>
        <color rgb="FFFF0000"/>
        <rFont val="宋体"/>
        <charset val="134"/>
        <scheme val="minor"/>
      </rPr>
      <t>12时92；5时80；</t>
    </r>
  </si>
  <si>
    <t>91-92；</t>
  </si>
  <si>
    <t>102降盘96-102；12时110；9时降盘95；5时90</t>
  </si>
  <si>
    <t>87；18时100-92；7时降盘90</t>
  </si>
  <si>
    <t>客84升盘82，再升盘90-96；18时100；10时降盘88</t>
  </si>
  <si>
    <t>82-80；11时84；8时降盘74；</t>
  </si>
  <si>
    <t>75（90）</t>
  </si>
  <si>
    <t>84-76；12时86-94；10时降盘84</t>
  </si>
  <si>
    <r>
      <rPr>
        <sz val="11"/>
        <color theme="1"/>
        <rFont val="宋体"/>
        <charset val="134"/>
        <scheme val="minor"/>
      </rPr>
      <t>客76-80；</t>
    </r>
    <r>
      <rPr>
        <sz val="11"/>
        <color rgb="FFFF0000"/>
        <rFont val="宋体"/>
        <charset val="134"/>
        <scheme val="minor"/>
      </rPr>
      <t>15时升盘102；</t>
    </r>
  </si>
  <si>
    <t>84-90；</t>
  </si>
  <si>
    <t>100-80-94；21时102；15时88-82；10时92</t>
  </si>
  <si>
    <t>88-94；18时90；13时86；</t>
  </si>
  <si>
    <t>78-100；</t>
  </si>
  <si>
    <t>97-76；</t>
  </si>
  <si>
    <t>91-100-92；18时100；12时112</t>
  </si>
  <si>
    <t>99-94；</t>
  </si>
  <si>
    <r>
      <rPr>
        <sz val="11"/>
        <color theme="1"/>
        <rFont val="宋体"/>
        <charset val="134"/>
        <scheme val="minor"/>
      </rPr>
      <t>89-82；</t>
    </r>
    <r>
      <rPr>
        <sz val="11"/>
        <color rgb="FFFF0000"/>
        <rFont val="宋体"/>
        <charset val="134"/>
        <scheme val="minor"/>
      </rPr>
      <t>8时升盘88-84</t>
    </r>
    <r>
      <rPr>
        <sz val="11"/>
        <color theme="1"/>
        <rFont val="宋体"/>
        <charset val="134"/>
        <scheme val="minor"/>
      </rPr>
      <t>；</t>
    </r>
  </si>
  <si>
    <t>104-110降盘78；12时升盘102；</t>
  </si>
  <si>
    <t>89-84升盘90-76；12时升盘92；7时90</t>
  </si>
  <si>
    <t>客金*降盘舍</t>
  </si>
  <si>
    <t>101-90-96；15时降盘96；13时92</t>
  </si>
  <si>
    <t>80升盘96；16时92；12时80；</t>
  </si>
  <si>
    <t>89-80升盘104；</t>
  </si>
  <si>
    <t>87；12时94；6时98</t>
  </si>
  <si>
    <r>
      <rPr>
        <sz val="11"/>
        <color theme="1"/>
        <rFont val="宋体"/>
        <charset val="134"/>
        <scheme val="minor"/>
      </rPr>
      <t>97；</t>
    </r>
    <r>
      <rPr>
        <sz val="11"/>
        <color rgb="FFFF0000"/>
        <rFont val="宋体"/>
        <charset val="134"/>
        <scheme val="minor"/>
      </rPr>
      <t>16时90；9时88；5时78；</t>
    </r>
  </si>
  <si>
    <t>101；12时94；9时90；</t>
  </si>
  <si>
    <t>98；12时92；</t>
  </si>
  <si>
    <t>89；14时84；</t>
  </si>
  <si>
    <t>80；13时90；</t>
  </si>
  <si>
    <r>
      <rPr>
        <sz val="11"/>
        <color theme="1"/>
        <rFont val="宋体"/>
        <charset val="134"/>
        <scheme val="minor"/>
      </rPr>
      <t>106；</t>
    </r>
    <r>
      <rPr>
        <sz val="11"/>
        <color rgb="FFFF0000"/>
        <rFont val="宋体"/>
        <charset val="134"/>
        <scheme val="minor"/>
      </rPr>
      <t>21时降盘76；12时升盘94；</t>
    </r>
  </si>
  <si>
    <t>90；21时102；</t>
  </si>
  <si>
    <t>9-1</t>
  </si>
  <si>
    <t>89；21时94；16时88；7时84；</t>
  </si>
  <si>
    <r>
      <rPr>
        <sz val="11"/>
        <color theme="1"/>
        <rFont val="宋体"/>
        <charset val="134"/>
        <scheme val="minor"/>
      </rPr>
      <t>98；21时92；15时104；</t>
    </r>
    <r>
      <rPr>
        <sz val="11"/>
        <color rgb="FFFF0000"/>
        <rFont val="宋体"/>
        <charset val="134"/>
        <scheme val="minor"/>
      </rPr>
      <t>13时降盘84-98；9时降盘85</t>
    </r>
  </si>
  <si>
    <r>
      <rPr>
        <sz val="11"/>
        <color theme="1"/>
        <rFont val="宋体"/>
        <charset val="134"/>
        <scheme val="minor"/>
      </rPr>
      <t>86；21时104；</t>
    </r>
    <r>
      <rPr>
        <sz val="11"/>
        <color rgb="FFFF0000"/>
        <rFont val="宋体"/>
        <charset val="134"/>
        <scheme val="minor"/>
      </rPr>
      <t>13时降盘80；9时72</t>
    </r>
  </si>
  <si>
    <r>
      <rPr>
        <sz val="11"/>
        <color theme="1"/>
        <rFont val="宋体"/>
        <charset val="134"/>
        <scheme val="minor"/>
      </rPr>
      <t>98；</t>
    </r>
    <r>
      <rPr>
        <sz val="11"/>
        <color rgb="FFFF0000"/>
        <rFont val="宋体"/>
        <charset val="134"/>
        <scheme val="minor"/>
      </rPr>
      <t>21时降盘90</t>
    </r>
    <r>
      <rPr>
        <sz val="11"/>
        <color theme="1"/>
        <rFont val="宋体"/>
        <charset val="134"/>
        <scheme val="minor"/>
      </rPr>
      <t>；13时88；</t>
    </r>
  </si>
  <si>
    <t>105（78）</t>
  </si>
  <si>
    <t>92；21时96</t>
  </si>
  <si>
    <t>62（85）</t>
  </si>
  <si>
    <t>75；14时68；</t>
  </si>
  <si>
    <r>
      <rPr>
        <sz val="11"/>
        <color theme="1"/>
        <rFont val="宋体"/>
        <charset val="134"/>
        <scheme val="minor"/>
      </rPr>
      <t>110；15时100；</t>
    </r>
    <r>
      <rPr>
        <sz val="11"/>
        <color rgb="FFFF0000"/>
        <rFont val="宋体"/>
        <charset val="134"/>
        <scheme val="minor"/>
      </rPr>
      <t>7时90；</t>
    </r>
  </si>
  <si>
    <t>63（90）</t>
  </si>
  <si>
    <t>80；12时74；</t>
  </si>
  <si>
    <t>89；12时84；10时76；</t>
  </si>
  <si>
    <t>81；15时76；8时60；</t>
  </si>
  <si>
    <t>89；21时88；</t>
  </si>
  <si>
    <t>82；12时78-66；</t>
  </si>
  <si>
    <t>102；21时100；</t>
  </si>
  <si>
    <r>
      <rPr>
        <sz val="11"/>
        <color theme="1"/>
        <rFont val="宋体"/>
        <charset val="134"/>
        <scheme val="minor"/>
      </rPr>
      <t>84；15时74；</t>
    </r>
    <r>
      <rPr>
        <sz val="11"/>
        <color rgb="FFFF0000"/>
        <rFont val="宋体"/>
        <charset val="134"/>
        <scheme val="minor"/>
      </rPr>
      <t>12时升盘76；</t>
    </r>
  </si>
  <si>
    <t>-5.25</t>
  </si>
  <si>
    <t>104；7时102；</t>
  </si>
  <si>
    <r>
      <rPr>
        <sz val="11"/>
        <color theme="1"/>
        <rFont val="宋体"/>
        <charset val="134"/>
        <scheme val="minor"/>
      </rPr>
      <t>86；21时82；</t>
    </r>
    <r>
      <rPr>
        <sz val="11"/>
        <color rgb="FFFF0000"/>
        <rFont val="宋体"/>
        <charset val="134"/>
        <scheme val="minor"/>
      </rPr>
      <t>12时94-104；</t>
    </r>
  </si>
  <si>
    <t>78；5时降盘90-76；</t>
  </si>
  <si>
    <t>100；8时降盘82；2时降盘72；</t>
  </si>
  <si>
    <t>均绿，实力过弱，升盘低不升舍</t>
  </si>
  <si>
    <t>62(80)</t>
  </si>
  <si>
    <t>78；13时升盘102-80；1时升盘88；</t>
  </si>
  <si>
    <t>84；7时88降盘78-80；</t>
  </si>
  <si>
    <t>84；8时90；4时100-110；</t>
  </si>
  <si>
    <t>70（100）中立场</t>
  </si>
  <si>
    <t>88；9时82；4时92；</t>
  </si>
  <si>
    <t>116（90）中立场</t>
  </si>
  <si>
    <t>102；8时92；</t>
  </si>
  <si>
    <t>84；7时86；4时降盘88；</t>
  </si>
  <si>
    <t>86；17时升盘85；8时90；5时110；</t>
  </si>
  <si>
    <t>86；7时84；</t>
  </si>
  <si>
    <t>68（80）</t>
  </si>
  <si>
    <t>90；19时80；7时86；</t>
  </si>
  <si>
    <t>82；8时86；4时80</t>
  </si>
  <si>
    <t>94；9时升盘92；</t>
  </si>
  <si>
    <t>84；11时77；</t>
  </si>
  <si>
    <t>半决赛</t>
  </si>
  <si>
    <t>95-86；</t>
  </si>
  <si>
    <t>74升盘104；7时98；</t>
  </si>
  <si>
    <t>74升盘100；</t>
  </si>
  <si>
    <t>91-106降盘94-102；10时96；</t>
  </si>
  <si>
    <t>92；13时82；10时升盘100</t>
  </si>
  <si>
    <t>106降盘80；12时98-104；</t>
  </si>
  <si>
    <t>99-108；11时降盘88；</t>
  </si>
  <si>
    <t>106降盘78；10时升盘100；</t>
  </si>
  <si>
    <t>74升盘105；</t>
  </si>
  <si>
    <t>世南美预 </t>
  </si>
  <si>
    <t>68（95）</t>
  </si>
  <si>
    <t>80升盘2档98-92；</t>
  </si>
  <si>
    <r>
      <rPr>
        <sz val="11"/>
        <color theme="1"/>
        <rFont val="宋体"/>
        <charset val="134"/>
        <scheme val="minor"/>
      </rPr>
      <t>82；</t>
    </r>
    <r>
      <rPr>
        <sz val="11"/>
        <color rgb="FFFF0000"/>
        <rFont val="宋体"/>
        <charset val="134"/>
        <scheme val="minor"/>
      </rPr>
      <t>14时90；6时92</t>
    </r>
  </si>
  <si>
    <t>109降盘80；10时升盘100；</t>
  </si>
  <si>
    <t>72（98）</t>
  </si>
  <si>
    <t>90；14时80；</t>
  </si>
  <si>
    <t>96-90-100；8时升盘100；</t>
  </si>
  <si>
    <t>103-120；17时降盘100；8时降盘90-100；</t>
  </si>
  <si>
    <t>104-125；20时降盘100；18时90；</t>
  </si>
  <si>
    <t>96-92；14时88；</t>
  </si>
  <si>
    <t>91-85；</t>
  </si>
  <si>
    <t>80升盘95-76；再升盘82；13时85-100；12时降盘90-88；</t>
  </si>
  <si>
    <t>84-70；</t>
  </si>
  <si>
    <t>106；</t>
  </si>
  <si>
    <t>86-88；13时100；</t>
  </si>
  <si>
    <t>81；4时升盘96；</t>
  </si>
  <si>
    <t>86；17时92；</t>
  </si>
  <si>
    <t>106-95；16时80；</t>
  </si>
  <si>
    <t>98-92；17时升盘100；</t>
  </si>
  <si>
    <t>90-96-90；17时86；</t>
  </si>
  <si>
    <t>108(80)</t>
  </si>
  <si>
    <t>95-90；</t>
  </si>
  <si>
    <t>87-66；</t>
  </si>
  <si>
    <t>106(80)</t>
  </si>
  <si>
    <t>100-90；</t>
  </si>
  <si>
    <t>72(100)</t>
  </si>
  <si>
    <t>88-94；</t>
  </si>
  <si>
    <t>94-112；</t>
  </si>
  <si>
    <t>102-110；</t>
  </si>
  <si>
    <t>77-78；18时升盘100；</t>
  </si>
  <si>
    <t>96-110-100；</t>
  </si>
  <si>
    <t>91-94升盘95；18时90；</t>
  </si>
  <si>
    <t>100-106；20时降盘86；</t>
  </si>
  <si>
    <t>92-70升盘80；20时86；</t>
  </si>
  <si>
    <t>97-86；20时82；</t>
  </si>
  <si>
    <t>98；20时106；9时110</t>
  </si>
  <si>
    <t>76；12时90-100；10时降盘78</t>
  </si>
  <si>
    <t>76；20时86；10时88</t>
  </si>
  <si>
    <t>1.25客拉不利</t>
  </si>
  <si>
    <t>86升盘96；10时降盘86；5时升盘98；</t>
  </si>
  <si>
    <t>72升盘86-78；20时升盘100</t>
  </si>
  <si>
    <t>96；8时88；</t>
  </si>
  <si>
    <t>90-95；</t>
  </si>
  <si>
    <t>110；</t>
  </si>
  <si>
    <t>103（80）</t>
  </si>
  <si>
    <r>
      <rPr>
        <sz val="11"/>
        <color theme="1"/>
        <rFont val="宋体"/>
        <charset val="134"/>
        <scheme val="minor"/>
      </rPr>
      <t>75；</t>
    </r>
    <r>
      <rPr>
        <sz val="11"/>
        <color rgb="FFFF0000"/>
        <rFont val="宋体"/>
        <charset val="134"/>
        <scheme val="minor"/>
      </rPr>
      <t>20时升盘104；2时降盘86</t>
    </r>
  </si>
  <si>
    <t>75；20时升盘108；</t>
  </si>
  <si>
    <t>客场龙*升盘2档舍</t>
  </si>
  <si>
    <t>82；4时升盘94</t>
  </si>
  <si>
    <t>89；20时88</t>
  </si>
  <si>
    <t>74（110）客让</t>
  </si>
  <si>
    <t>102降盘78；5时104；</t>
  </si>
  <si>
    <t>100-92；20时90；12时88；8时100</t>
  </si>
  <si>
    <t>93；6时86</t>
  </si>
  <si>
    <t>80；20时76；10时升盘98；</t>
  </si>
  <si>
    <t>90-94降盘92；20时82</t>
  </si>
  <si>
    <t>92；5时88</t>
  </si>
  <si>
    <t>89；15时80；</t>
  </si>
  <si>
    <t>98-102；</t>
  </si>
  <si>
    <t>98；8时96；</t>
  </si>
  <si>
    <t>88；16时86；</t>
  </si>
  <si>
    <t>90-70升盘90；14时降盘80</t>
  </si>
  <si>
    <t>99-94；9时86；</t>
  </si>
  <si>
    <t>102-100；17时94；</t>
  </si>
  <si>
    <t>89-96；</t>
  </si>
  <si>
    <t>87-80；21时升盘84；10时升盘95；</t>
  </si>
  <si>
    <t>89；13时88；</t>
  </si>
  <si>
    <t>89-70；21时升盘98；</t>
  </si>
  <si>
    <t>99-95；</t>
  </si>
  <si>
    <t>A类</t>
  </si>
  <si>
    <t>89-104；11时降盘80；9时88</t>
  </si>
  <si>
    <t>86-100；12时96；</t>
  </si>
  <si>
    <t>93-80；</t>
  </si>
  <si>
    <t>78；14时升盘105；</t>
  </si>
  <si>
    <t>81-80；</t>
  </si>
  <si>
    <t>78(100)</t>
  </si>
  <si>
    <t>91-95；</t>
  </si>
  <si>
    <t>100-105；</t>
  </si>
  <si>
    <t>95-84；11时92-94；</t>
  </si>
  <si>
    <t>101；</t>
  </si>
  <si>
    <t>98-78；16时升盘86；</t>
  </si>
  <si>
    <t>77-60升盘80；16时升盘88；</t>
  </si>
  <si>
    <t>100-90-100；16时90；</t>
  </si>
  <si>
    <t>90-75升盘95-86；</t>
  </si>
  <si>
    <t>91-85；15时80；15时升盘100；</t>
  </si>
  <si>
    <t>100；21时80；</t>
  </si>
  <si>
    <t>86；21时80；</t>
  </si>
  <si>
    <t>100；11时降盘80；</t>
  </si>
  <si>
    <t>88-82；10时74；</t>
  </si>
  <si>
    <t>80-70；21时升盘100；</t>
  </si>
  <si>
    <t>84-72；21时升盘98；</t>
  </si>
  <si>
    <t>95；23时102；</t>
  </si>
  <si>
    <t>74；21时升盘100；9时降盘80；</t>
  </si>
  <si>
    <t>82(100)</t>
  </si>
  <si>
    <t>74；17时升盘105；11时降盘75；3时94</t>
  </si>
  <si>
    <t>85；7时降盘85；</t>
  </si>
  <si>
    <t>106；9时84；8时升盘94-100；</t>
  </si>
  <si>
    <t>高水升盘模式</t>
  </si>
  <si>
    <t>90；14时100；</t>
  </si>
  <si>
    <t>86-80；21时升盘100；</t>
  </si>
  <si>
    <t>80升盘90；21时85；8时90；</t>
  </si>
  <si>
    <t>84；12时90；</t>
  </si>
  <si>
    <t>60升盘76；21时升盘100；16时95</t>
  </si>
  <si>
    <t>81；16时90；9时降盘90；8时96</t>
  </si>
  <si>
    <t>105；</t>
  </si>
  <si>
    <t>81；21时85；</t>
  </si>
  <si>
    <t>78（100）客让</t>
  </si>
  <si>
    <t>87；21时80；8时86；</t>
  </si>
  <si>
    <t>84（100）</t>
  </si>
  <si>
    <t>70；21时升盘100；12时94-90；</t>
  </si>
  <si>
    <t>92；7时降盘80；</t>
  </si>
  <si>
    <t>90；11时98；9时降盘80；</t>
  </si>
  <si>
    <t>91；21时96；11时102；</t>
  </si>
  <si>
    <t>102；16时降盘95；12时96；</t>
  </si>
  <si>
    <t>91；9时降盘86；</t>
  </si>
  <si>
    <t>94-88；16时80；</t>
  </si>
  <si>
    <t>98；18时82；</t>
  </si>
  <si>
    <t>78-72升盘92；21时80；15时升盘96</t>
  </si>
  <si>
    <t>94；14时降盘80；</t>
  </si>
  <si>
    <t>80；16时升盘90；</t>
  </si>
  <si>
    <t>95降盘76；</t>
  </si>
  <si>
    <t>74-76；</t>
  </si>
  <si>
    <t>72升盘80；15时78；</t>
  </si>
  <si>
    <t>82-80；18时升盘100；</t>
  </si>
  <si>
    <t>90-88；</t>
  </si>
  <si>
    <t>82-80；7时85；5时90；</t>
  </si>
  <si>
    <t>降盘1档舍；</t>
  </si>
  <si>
    <t>中立场110（100）</t>
  </si>
  <si>
    <t>100降盘95-88；</t>
  </si>
  <si>
    <t>82连升3盘60；13时升盘3.0盘口85；</t>
  </si>
  <si>
    <t>96（80）</t>
  </si>
  <si>
    <t>78升盘100；</t>
  </si>
  <si>
    <t>90-80；</t>
  </si>
  <si>
    <t>76升盘95；</t>
  </si>
  <si>
    <t>76；14时升盘110；</t>
  </si>
  <si>
    <t>114（80）</t>
  </si>
  <si>
    <t>升盘降盘最终升盘阻上</t>
  </si>
  <si>
    <t>76升盘104-100；7时降盘80；6时升盘104</t>
  </si>
  <si>
    <t>100-84；14时90；10时降盘90</t>
  </si>
  <si>
    <t>中低*高水慎</t>
  </si>
  <si>
    <t>90-82；12时100；</t>
  </si>
  <si>
    <t>106降盘80-90；14时96；12时降盘82；9时96</t>
  </si>
  <si>
    <t>110（80,90）</t>
  </si>
  <si>
    <t>65-70；8时98</t>
  </si>
  <si>
    <t>80升盘106-104；</t>
  </si>
  <si>
    <t>95升盘110；23时降盘80；5时90</t>
  </si>
  <si>
    <t>89降盘70；21时升盘90；10时100</t>
  </si>
  <si>
    <t>78-84；13时96-100；</t>
  </si>
  <si>
    <t>85-86；21时升盘100；10时降盘84；6时94</t>
  </si>
  <si>
    <t>85；11时升盘90；</t>
  </si>
  <si>
    <t>94；18时90；</t>
  </si>
  <si>
    <t>中立场客升盘让球</t>
  </si>
  <si>
    <t>104；9时降盘80；</t>
  </si>
  <si>
    <t>80；18时90；11时100；</t>
  </si>
  <si>
    <t>84；13时100；5时90</t>
  </si>
  <si>
    <t>90；12时降盘82；5时90</t>
  </si>
  <si>
    <t>82；22时升盘110；9时降盘90-96；8时100；</t>
  </si>
  <si>
    <t>94；12时92；6时86</t>
  </si>
  <si>
    <t>110（85,90）</t>
  </si>
  <si>
    <t>104降盘90；</t>
  </si>
  <si>
    <t>78-90；</t>
  </si>
  <si>
    <t>83；</t>
  </si>
  <si>
    <t>降盘1档，高水阻上不足</t>
  </si>
  <si>
    <t>86-94；</t>
  </si>
  <si>
    <t>客让</t>
  </si>
  <si>
    <t>100（85）</t>
  </si>
  <si>
    <t>93-92；</t>
  </si>
  <si>
    <t>降盘慎</t>
  </si>
  <si>
    <t>100-110；12时降盘88；</t>
  </si>
  <si>
    <t>84-88；</t>
  </si>
  <si>
    <t>93-98；</t>
  </si>
  <si>
    <t>90-82；14时升盘102；</t>
  </si>
  <si>
    <t>94-100；10时降盘82；8时降盘88；</t>
  </si>
  <si>
    <t>88-70；14时升盘86；8时92；</t>
  </si>
  <si>
    <t>80-76；13时90；</t>
  </si>
  <si>
    <t>80；10时86；</t>
  </si>
  <si>
    <t>85-98；</t>
  </si>
  <si>
    <t>低中慎</t>
  </si>
  <si>
    <t>84-88；12时降盘80；</t>
  </si>
  <si>
    <t>96-82；11时升盘90；9时升盘92</t>
  </si>
  <si>
    <t>80-70升盘80；11时105-84；</t>
  </si>
  <si>
    <t>78-70升盘90-96；</t>
  </si>
  <si>
    <t>81-76；13时90；11时降盘90-86；</t>
  </si>
  <si>
    <t>81升盘90-88；</t>
  </si>
  <si>
    <t>90-100；19时降盘80；10时92；</t>
  </si>
  <si>
    <t>83-70升盘80-70；19时升盘100；9时84</t>
  </si>
  <si>
    <t>88-100；19时降盘80；10时90</t>
  </si>
  <si>
    <t>100-73升盘92；10时106；</t>
  </si>
  <si>
    <t>76（85,90）</t>
  </si>
  <si>
    <t>81-70-80；17时降盘70；10时78</t>
  </si>
  <si>
    <t>93降盘85-90；11时98；</t>
  </si>
  <si>
    <t>99降盘108；11时降盘84-90；</t>
  </si>
  <si>
    <t>84；12时98；</t>
  </si>
  <si>
    <t>93-82；13时84；10时82</t>
  </si>
  <si>
    <r>
      <rPr>
        <sz val="11"/>
        <color rgb="FFFF0000"/>
        <rFont val="宋体"/>
        <charset val="134"/>
        <scheme val="minor"/>
      </rPr>
      <t>92-86；</t>
    </r>
    <r>
      <rPr>
        <sz val="11"/>
        <color rgb="FFFF0000"/>
        <rFont val="宋体"/>
        <charset val="134"/>
        <scheme val="minor"/>
      </rPr>
      <t>20时升盘112；</t>
    </r>
  </si>
  <si>
    <t>83升盘100；</t>
  </si>
  <si>
    <t>95；22时100；</t>
  </si>
  <si>
    <t>92-82；15时升盘92；</t>
  </si>
  <si>
    <t>100；14时客队升盘104；</t>
  </si>
  <si>
    <t>82升盘100；14时90；</t>
  </si>
  <si>
    <t>89；</t>
  </si>
  <si>
    <t>86；7时80；</t>
  </si>
  <si>
    <t>-4.0</t>
  </si>
  <si>
    <t>中立场78（100）</t>
  </si>
  <si>
    <t>70；3时80</t>
  </si>
  <si>
    <t>中立场76（100）</t>
  </si>
  <si>
    <t>90-80；13时78；8时68；</t>
  </si>
  <si>
    <t>中立场102（80,90）</t>
  </si>
  <si>
    <t>中立场56（110）</t>
  </si>
  <si>
    <t>中立场100（90）</t>
  </si>
  <si>
    <t>102；18时106；</t>
  </si>
  <si>
    <r>
      <rPr>
        <sz val="11"/>
        <color theme="1"/>
        <rFont val="宋体"/>
        <charset val="134"/>
        <scheme val="minor"/>
      </rPr>
      <t>77；</t>
    </r>
    <r>
      <rPr>
        <sz val="11"/>
        <color rgb="FFFF0000"/>
        <rFont val="宋体"/>
        <charset val="134"/>
        <scheme val="minor"/>
      </rPr>
      <t>18时94；</t>
    </r>
  </si>
  <si>
    <t>中立场65（100）</t>
  </si>
  <si>
    <t>低中舍</t>
  </si>
  <si>
    <t>76-94-86；16时80</t>
  </si>
  <si>
    <t>近</t>
  </si>
  <si>
    <t>86-70；14时升盘92</t>
  </si>
  <si>
    <t>77-75升盘104；</t>
  </si>
  <si>
    <t>101-90-105；14时降盘86-80；5时升盘102-82；</t>
  </si>
  <si>
    <t>101-90；18时84；11时升盘100-92；</t>
  </si>
  <si>
    <t>84；10时升盘84</t>
  </si>
  <si>
    <t>90-98；12时降盘82</t>
  </si>
  <si>
    <t>93-82-90；11时降盘78</t>
  </si>
  <si>
    <t>92-86；11时降盘84-90；</t>
  </si>
  <si>
    <t>78-84；18时92</t>
  </si>
  <si>
    <t>92-100；19时90；11时升盘104</t>
  </si>
  <si>
    <t>83-90-80；19时78</t>
  </si>
  <si>
    <t>升盘中水慎</t>
  </si>
  <si>
    <t>81升盘85；14时升盘96-90</t>
  </si>
  <si>
    <t>78-88；17时100；</t>
  </si>
  <si>
    <t>85-98；11时104</t>
  </si>
  <si>
    <t>低不升不利</t>
  </si>
  <si>
    <t>82（100）</t>
  </si>
  <si>
    <t>98-94升盘106；19时降盘92-86</t>
  </si>
  <si>
    <t>均虫慎</t>
  </si>
  <si>
    <t>100-92-102；</t>
  </si>
  <si>
    <t>100-94；14时82；10时84</t>
  </si>
  <si>
    <t>110；19时降盘90；11时94；9时降盘76</t>
  </si>
  <si>
    <t>104-100；</t>
  </si>
  <si>
    <t>100-90-100；11时90；9时96</t>
  </si>
  <si>
    <t>87-80；19时88；</t>
  </si>
  <si>
    <t>中立场98（80）</t>
  </si>
  <si>
    <t>80；11时84</t>
  </si>
  <si>
    <t>92-86-92；11时80</t>
  </si>
  <si>
    <t>81-78；</t>
  </si>
  <si>
    <t>76升盘85-95；</t>
  </si>
  <si>
    <t>68；</t>
  </si>
  <si>
    <t>92(80)</t>
  </si>
  <si>
    <t>78升盘90-80；11时降盘74</t>
  </si>
  <si>
    <t>90-80升盘85；</t>
  </si>
  <si>
    <t>70-88；6时86</t>
  </si>
  <si>
    <t>100（80)</t>
  </si>
  <si>
    <t>81；</t>
  </si>
  <si>
    <t>99-92；19时82</t>
  </si>
  <si>
    <t>84-74；11时升盘102；</t>
  </si>
  <si>
    <t>80-76；16时升盘98-94；</t>
  </si>
  <si>
    <t>75-68；18时升盘96；12时84-100；8时90</t>
  </si>
  <si>
    <t>92；13时88；8时98-92；</t>
  </si>
  <si>
    <t>92；16时78；6时94；</t>
  </si>
  <si>
    <t>85；14时80；6时88</t>
  </si>
  <si>
    <t>87-80升盘94；16时84</t>
  </si>
  <si>
    <t>93-86；13时升盘94；8时96</t>
  </si>
  <si>
    <t>96（90）</t>
  </si>
  <si>
    <t>92；16时100；11时降盘80；6时94</t>
  </si>
  <si>
    <t>92-96；13时降盘84；9时96</t>
  </si>
  <si>
    <t>95；12时85；6时94；</t>
  </si>
  <si>
    <t>98降盘88-100；19时降盘80；10时94；8时98</t>
  </si>
  <si>
    <t>98-90；</t>
  </si>
  <si>
    <t>78-74；14时升盘100；</t>
  </si>
  <si>
    <t>92；18时88；8时96</t>
  </si>
  <si>
    <t>82；10时88；</t>
  </si>
  <si>
    <t>94-84；17时升盘98；9时降盘86-90；</t>
  </si>
  <si>
    <t>85；10时100；</t>
  </si>
  <si>
    <t>84-96；14时102；1时降盘78</t>
  </si>
  <si>
    <t>92降盘92-94；20时降盘86-80；12时升盘88-78；</t>
  </si>
  <si>
    <t>86；11时96；6时106</t>
  </si>
  <si>
    <t>86-96；18时90</t>
  </si>
  <si>
    <t>78；10时升盘96；7时94；</t>
  </si>
  <si>
    <t>94-90；</t>
  </si>
  <si>
    <t>62升盘85-96；18时92；</t>
  </si>
  <si>
    <t>80（105,110）</t>
  </si>
  <si>
    <t>88-78升盘102；11时92</t>
  </si>
  <si>
    <t>86；10时96；</t>
  </si>
  <si>
    <t>106降盘80；16时升盘94；</t>
  </si>
  <si>
    <t>82；12时78；</t>
  </si>
  <si>
    <t>98-90；14时84；</t>
  </si>
  <si>
    <t>中立场；96（90）</t>
  </si>
  <si>
    <t>85-82；9时降盘86-94；</t>
  </si>
  <si>
    <t>85；18时降盘72；8时88</t>
  </si>
  <si>
    <t>90（85）</t>
  </si>
  <si>
    <t>94；8时82；</t>
  </si>
  <si>
    <t>78；11时升盘86</t>
  </si>
  <si>
    <t>80；15时90</t>
  </si>
  <si>
    <t>91-85；12时76</t>
  </si>
  <si>
    <t>103-100；21时降盘80；13时98</t>
  </si>
  <si>
    <t>78-70升盘82-78；</t>
  </si>
  <si>
    <t>76升盘90-94；</t>
  </si>
  <si>
    <t>牙买加</t>
  </si>
  <si>
    <t>80-75；</t>
  </si>
  <si>
    <t>萨尔瓦多</t>
  </si>
  <si>
    <t>74-78；15时82；</t>
  </si>
  <si>
    <t>82-76；</t>
  </si>
  <si>
    <t>93降盘78；</t>
  </si>
  <si>
    <t>95降盘80，再降盘65；</t>
  </si>
  <si>
    <t>68（105）</t>
  </si>
  <si>
    <t>80；23时升盘75；</t>
  </si>
  <si>
    <t>83-104降盘88；17时98</t>
  </si>
  <si>
    <t>96-92-98；11时降盘84-90；</t>
  </si>
  <si>
    <t>94-84；20时升盘100-90；</t>
  </si>
  <si>
    <t>96-92；11时82</t>
  </si>
  <si>
    <t>94-98；19时降盘80；</t>
  </si>
  <si>
    <t>96降盘80；</t>
  </si>
  <si>
    <t>92；18时82；</t>
  </si>
  <si>
    <t>86-96；18时98；</t>
  </si>
  <si>
    <t>86-98；18时降盘78；12时90；</t>
  </si>
  <si>
    <t>78；18时升盘90；</t>
  </si>
  <si>
    <t>91-95；19时85；</t>
  </si>
  <si>
    <t>90-78；12时85；</t>
  </si>
  <si>
    <t>90-96；</t>
  </si>
  <si>
    <t>降盘2档不利上盘</t>
  </si>
  <si>
    <t>94降盘90-100；18时降盘86；13时90</t>
  </si>
  <si>
    <t>90-84；</t>
  </si>
  <si>
    <t>89-80；</t>
  </si>
  <si>
    <t>86-84；9时升盘92</t>
  </si>
  <si>
    <t>96-90；9时升盘102</t>
  </si>
  <si>
    <t>80升盘96；</t>
  </si>
  <si>
    <t>98-96；</t>
  </si>
  <si>
    <t>72（90）</t>
  </si>
  <si>
    <t>87-80；</t>
  </si>
  <si>
    <t>80-78；14时升盘90</t>
  </si>
  <si>
    <t>97-104；16时降盘82</t>
  </si>
  <si>
    <t>主非绿*-1.25+实力舍</t>
  </si>
  <si>
    <t>80-85；17时90；</t>
  </si>
  <si>
    <t>107-94；</t>
  </si>
  <si>
    <t>中立场74（110）</t>
  </si>
  <si>
    <t>107降盘80；</t>
  </si>
  <si>
    <t>降盘低不升慎</t>
  </si>
  <si>
    <t>93-95；</t>
  </si>
  <si>
    <t>71-82；</t>
  </si>
  <si>
    <t>76-85-75；18时升盘100；3时升盘96</t>
  </si>
  <si>
    <t>90-78-90升盘110；</t>
  </si>
  <si>
    <t>95-94降盘75-70；</t>
  </si>
  <si>
    <t>中立场82（100）</t>
  </si>
  <si>
    <t>73；</t>
  </si>
  <si>
    <t>91；19时80；</t>
  </si>
  <si>
    <t>84-70升盘94；13时104；</t>
  </si>
  <si>
    <t>55升盘65，再升盘84；</t>
  </si>
  <si>
    <t>82；18时88；</t>
  </si>
  <si>
    <t>93（90）</t>
  </si>
  <si>
    <t>75；22时升盘100；</t>
  </si>
  <si>
    <t>70（105）主让</t>
  </si>
  <si>
    <t>100降盘80-94；19时100；</t>
  </si>
  <si>
    <t>89；18时降盘80；</t>
  </si>
  <si>
    <t>100；12时降盘80；</t>
  </si>
  <si>
    <t>94-98-94；18时88；</t>
  </si>
  <si>
    <t>104降盘100-116，再降盘86；</t>
  </si>
  <si>
    <t>83-88降盘84；</t>
  </si>
  <si>
    <t>92-100；20时90；14时96；</t>
  </si>
  <si>
    <t>96-84升盘100；11时105；</t>
  </si>
  <si>
    <t>100-88；18时82；</t>
  </si>
  <si>
    <t>104-88；</t>
  </si>
  <si>
    <t>81-80；12时90；</t>
  </si>
  <si>
    <t>高看不利</t>
  </si>
  <si>
    <t>97-104；14时110；</t>
  </si>
  <si>
    <t>81-108；19时100；</t>
  </si>
  <si>
    <t>81升盘104；</t>
  </si>
  <si>
    <t>78-98-96；</t>
  </si>
  <si>
    <t>100-86；8时90</t>
  </si>
  <si>
    <t>82（110）</t>
  </si>
  <si>
    <t>83；13时86</t>
  </si>
  <si>
    <t>90-106；6时降盘86</t>
  </si>
  <si>
    <t>92升盘115；</t>
  </si>
  <si>
    <t>104降盘80-70；8时升盘86；4时升盘100</t>
  </si>
  <si>
    <t>93-84-90；</t>
  </si>
  <si>
    <t>92-94；</t>
  </si>
  <si>
    <t>80升盘98，再升盘104；</t>
  </si>
  <si>
    <t>87-95；</t>
  </si>
  <si>
    <t>91-98；</t>
  </si>
  <si>
    <t>季军赛</t>
  </si>
  <si>
    <t>88-80；21时升盘94-96；13时102；</t>
  </si>
  <si>
    <t>决赛</t>
  </si>
  <si>
    <t>112-108；</t>
  </si>
  <si>
    <t>主队102-80升盘100；</t>
  </si>
  <si>
    <t>100；11时110</t>
  </si>
  <si>
    <t>104；12时98</t>
  </si>
  <si>
    <t>88-80；4时升盘105</t>
  </si>
  <si>
    <t>95；17时100；12时82</t>
  </si>
  <si>
    <t>71；7时升盘82；</t>
  </si>
  <si>
    <t>98；22时降盘90；18时80；</t>
  </si>
  <si>
    <t>74升盘85；17时80；</t>
  </si>
  <si>
    <t>101；19时降盘80；14时88；</t>
  </si>
  <si>
    <t>77；16时升盘104；10时降盘80；6时升盘100</t>
  </si>
  <si>
    <t>103；6时降盘82；</t>
  </si>
  <si>
    <t>101；8时降盘100；</t>
  </si>
  <si>
    <t>100；12时95；6时110；</t>
  </si>
  <si>
    <t>80；20时升盘100；14时94；10时106；</t>
  </si>
  <si>
    <t>85；14时96；</t>
  </si>
  <si>
    <t>5.75</t>
  </si>
  <si>
    <t>102；14时90；12时80；</t>
  </si>
  <si>
    <t>104；18时降盘76；10时升盘85；7时降盘74；</t>
  </si>
  <si>
    <t>79-84；</t>
  </si>
  <si>
    <t>99；7时92</t>
  </si>
  <si>
    <t>83；14时升盘100；</t>
  </si>
  <si>
    <t>92-86；22时80；4时60；</t>
  </si>
  <si>
    <t>88；8时98；6时降盘80；</t>
  </si>
  <si>
    <t>84；6时100；</t>
  </si>
  <si>
    <t>96；20时86；14时80；</t>
  </si>
  <si>
    <t>87；14时80；10时升盘92；</t>
  </si>
  <si>
    <t>96降盘82；</t>
  </si>
  <si>
    <t>98-92；11时80；7时88；</t>
  </si>
  <si>
    <t>89-82；8时92；</t>
  </si>
  <si>
    <t>86；11时84；5时升盘98；</t>
  </si>
  <si>
    <t>81；7时升盘88；</t>
  </si>
  <si>
    <t>94；6时90</t>
  </si>
  <si>
    <t>96；10时降盘85；</t>
  </si>
  <si>
    <t>74；15时80；</t>
  </si>
  <si>
    <t>客龙*主非慎</t>
  </si>
  <si>
    <t>73；18时升盘86；</t>
  </si>
  <si>
    <t>60（100）</t>
  </si>
  <si>
    <t>92-76；</t>
  </si>
  <si>
    <t>60（85）</t>
  </si>
  <si>
    <t>78；14时72；</t>
  </si>
  <si>
    <t>92-85；</t>
  </si>
  <si>
    <t>78-65；</t>
  </si>
  <si>
    <t>96；10时110；</t>
  </si>
  <si>
    <t>升盘低不升下盘</t>
  </si>
  <si>
    <t>80升盘98-94；11时82；</t>
  </si>
  <si>
    <t>100-76升盘90；15时升盘100；</t>
  </si>
  <si>
    <t>80-75升盘100；16时94；</t>
  </si>
  <si>
    <t>80-82；</t>
  </si>
  <si>
    <t>高不降慎</t>
  </si>
  <si>
    <t>90（80）</t>
  </si>
  <si>
    <t>78-76；</t>
  </si>
  <si>
    <t>88-92降盘75-80；16时升盘92；</t>
  </si>
  <si>
    <t>74-80；</t>
  </si>
  <si>
    <t>104降盘74；</t>
  </si>
  <si>
    <t>客金*低水舍</t>
  </si>
  <si>
    <t>86-78升盘104；8时降盘94；</t>
  </si>
  <si>
    <t>72升盘90；8时80</t>
  </si>
  <si>
    <t>93-90；16时82；8时88</t>
  </si>
  <si>
    <t>86；15时90</t>
  </si>
  <si>
    <t>90-104；</t>
  </si>
  <si>
    <t>85；22时升盘95；13时降盘94；9时降盘92；</t>
  </si>
  <si>
    <t>升盘高不降慎</t>
  </si>
  <si>
    <t>77；21时升盘102</t>
  </si>
  <si>
    <t>91-85；8时升盘95；5时升盘100</t>
  </si>
  <si>
    <t>120（100）（80）</t>
  </si>
  <si>
    <t>86；22时94；5时110；</t>
  </si>
  <si>
    <t>客金舍</t>
  </si>
  <si>
    <t>76；14时74；</t>
  </si>
  <si>
    <t>77-75；</t>
  </si>
  <si>
    <t>77升盘96；8时降盘100；</t>
  </si>
  <si>
    <t>91；6时降盘88再降盘84-75；</t>
  </si>
  <si>
    <t>85；13时升盘80；6时升盘86</t>
  </si>
  <si>
    <t>上盘1档高不降不利</t>
  </si>
  <si>
    <t>102（95）</t>
  </si>
  <si>
    <t>89；7时80</t>
  </si>
  <si>
    <t>98（90）</t>
  </si>
  <si>
    <t>88；6时降盘90；</t>
  </si>
  <si>
    <t>89-95；11时降盘90；</t>
  </si>
  <si>
    <t>85（100）</t>
  </si>
  <si>
    <t>82；19时88；15时升盘84；8时降盘98</t>
  </si>
  <si>
    <t>82（105）</t>
  </si>
  <si>
    <t>81-78；13时升盘96；6时降盘84</t>
  </si>
  <si>
    <t>72升盘98-90；</t>
  </si>
  <si>
    <t>81；12时升盘90</t>
  </si>
  <si>
    <t>101-98；8时90</t>
  </si>
  <si>
    <t>98-80；17时升盘100-90；</t>
  </si>
  <si>
    <t>103-90；22时升盘110；9时100；</t>
  </si>
  <si>
    <t>97；17时92；11时升盘105；</t>
  </si>
  <si>
    <t>100；21时90；14时升盘98；</t>
  </si>
  <si>
    <t>95；13时90；</t>
  </si>
  <si>
    <t>68（110）客让</t>
  </si>
  <si>
    <t>95；12时108；7时降盘95</t>
  </si>
  <si>
    <t>93；</t>
  </si>
  <si>
    <t>97；12时降盘84；</t>
  </si>
  <si>
    <t>93-105；20时降盘80；</t>
  </si>
  <si>
    <t>0-10</t>
  </si>
  <si>
    <t>95-102；</t>
  </si>
  <si>
    <t>80；15时升盘92；</t>
  </si>
  <si>
    <t>95；9时94</t>
  </si>
  <si>
    <t>95；14时90；</t>
  </si>
  <si>
    <t>91-80；9时降盘86</t>
  </si>
  <si>
    <t>87-80；21时75；9时98；</t>
  </si>
  <si>
    <t>101降盘90；9时降盘80</t>
  </si>
  <si>
    <t>107降盘88；</t>
  </si>
  <si>
    <t>100降盘90；</t>
  </si>
  <si>
    <t>110降盘100；12时降盘90</t>
  </si>
  <si>
    <t>91-90；</t>
  </si>
  <si>
    <t>103；23时降盘74；</t>
  </si>
  <si>
    <t>76-80；</t>
  </si>
  <si>
    <t>94降盘75；</t>
  </si>
  <si>
    <t>75；14时80；</t>
  </si>
  <si>
    <t>92；23时90；</t>
  </si>
  <si>
    <t>71；18时升盘100；</t>
  </si>
  <si>
    <t>87；17时85；</t>
  </si>
  <si>
    <t>91-76；</t>
  </si>
  <si>
    <t>96-86；12时降盘74；</t>
  </si>
  <si>
    <t>降盘舍；</t>
  </si>
  <si>
    <t>74-84；</t>
  </si>
  <si>
    <t>70升盘95-86；9时90</t>
  </si>
  <si>
    <t>68升盘100；</t>
  </si>
  <si>
    <t>85-95；</t>
  </si>
  <si>
    <t>升盘低水慎</t>
  </si>
  <si>
    <t>79-70升盘75；</t>
  </si>
  <si>
    <t>90；10时95；</t>
  </si>
  <si>
    <t>80升盘94；</t>
  </si>
  <si>
    <t>105降盘70；</t>
  </si>
  <si>
    <t>104降盘72；</t>
  </si>
  <si>
    <t>88-80；13时86；9时96；7时升盘100</t>
  </si>
  <si>
    <t>102</t>
  </si>
  <si>
    <t>76升盘102-82；</t>
  </si>
  <si>
    <t>90；12时98；7时降盘80；</t>
  </si>
  <si>
    <t>98-96；7时82；</t>
  </si>
  <si>
    <t>80；16时升盘95；</t>
  </si>
  <si>
    <t>78；8时升盘90；</t>
  </si>
  <si>
    <t>98-90；10时84；</t>
  </si>
  <si>
    <t>97-102；</t>
  </si>
  <si>
    <t>100（110）</t>
  </si>
  <si>
    <t>78；23升盘100；</t>
  </si>
  <si>
    <t>80升盘90-80；</t>
  </si>
  <si>
    <t>82；20时92；</t>
  </si>
  <si>
    <t>100-80；</t>
  </si>
  <si>
    <t>75升盘100-80；22时90；9时升盘100</t>
  </si>
  <si>
    <t>85-95；5时降盘80</t>
  </si>
  <si>
    <t>95-104-95；8时88</t>
  </si>
  <si>
    <t>84-70；8时升盘94</t>
  </si>
  <si>
    <t>100-88升盘106；8时降盘82；</t>
  </si>
  <si>
    <t>90-98降盘78-70；13时80；</t>
  </si>
  <si>
    <t>86-84；15时升盘100；</t>
  </si>
  <si>
    <t>98；9时94；</t>
  </si>
  <si>
    <t>93-80升盘90-100；</t>
  </si>
  <si>
    <t>76升盘90；</t>
  </si>
  <si>
    <t>88-82；16时74；</t>
  </si>
  <si>
    <t>76升盘84；</t>
  </si>
  <si>
    <t>升盘94</t>
  </si>
  <si>
    <t>70升盘90-100；</t>
  </si>
  <si>
    <t>97-108；</t>
  </si>
  <si>
    <t>91-102；15时88；</t>
  </si>
  <si>
    <t>96-84升盘100；16时94；</t>
  </si>
  <si>
    <t>81-65；17时升盘98；</t>
  </si>
  <si>
    <t>87-86升盘80-86；</t>
  </si>
  <si>
    <t>80-74；11时升盘92；</t>
  </si>
  <si>
    <t>75升盘95-92；</t>
  </si>
  <si>
    <t>93降盘70；</t>
  </si>
  <si>
    <t>86-70升盘95；</t>
  </si>
  <si>
    <t>100-95；</t>
  </si>
  <si>
    <t>102降盘80-90；2时降盘84；</t>
  </si>
  <si>
    <t>76</t>
  </si>
  <si>
    <t>升盘90</t>
  </si>
  <si>
    <t>69升盘100-80；</t>
  </si>
  <si>
    <t>90；21时76；</t>
  </si>
  <si>
    <t>88；16时92；</t>
  </si>
  <si>
    <t>96；18时降盘80；</t>
  </si>
  <si>
    <t>77；</t>
  </si>
  <si>
    <t>101降盘75；8时升盘92；</t>
  </si>
  <si>
    <t>92；7时90</t>
  </si>
  <si>
    <t>均绿不可信</t>
  </si>
  <si>
    <t>93；14时85；10时90</t>
  </si>
  <si>
    <t>93-80升盘94；</t>
  </si>
  <si>
    <t>79-90；</t>
  </si>
  <si>
    <t>84-78；</t>
  </si>
  <si>
    <t>103-116；</t>
  </si>
  <si>
    <t>95-84；10时升盘95；8时100</t>
  </si>
  <si>
    <t>93-94；</t>
  </si>
  <si>
    <t>84；14时88；5时82</t>
  </si>
  <si>
    <t>99；6时96</t>
  </si>
  <si>
    <t>87升盘110；</t>
  </si>
  <si>
    <t>80；10时86；7时降盘76</t>
  </si>
  <si>
    <t>98降盘78；14时升盘98</t>
  </si>
  <si>
    <t>90-82；12时76</t>
  </si>
  <si>
    <t>90；12时92；7时98</t>
  </si>
  <si>
    <t>中立场72（100）</t>
  </si>
  <si>
    <t>79；6时72</t>
  </si>
  <si>
    <t>98；20时84；</t>
  </si>
  <si>
    <t>99-84；</t>
  </si>
  <si>
    <t>89；9时76；</t>
  </si>
  <si>
    <t>103；13时94；10时96</t>
  </si>
  <si>
    <t>96-90；5时100</t>
  </si>
  <si>
    <t>78-105；16时客队升盘94；</t>
  </si>
  <si>
    <t>99；8时94</t>
  </si>
  <si>
    <t>104降盘90；6时100</t>
  </si>
  <si>
    <t>83-92；</t>
  </si>
  <si>
    <t>84（110）</t>
  </si>
  <si>
    <t>78-88；6时80</t>
  </si>
  <si>
    <t>80升盘86；再升盘100；</t>
  </si>
  <si>
    <t>80-95；20时降盘70；12时80</t>
  </si>
  <si>
    <t>101-96；</t>
  </si>
  <si>
    <t>94；11时98</t>
  </si>
  <si>
    <t>75（110）</t>
  </si>
  <si>
    <t>78升盘104；</t>
  </si>
  <si>
    <t>100降盘86；19时90；13时降盘78</t>
  </si>
  <si>
    <t>81升盘90；12时80</t>
  </si>
  <si>
    <t>94；8时92</t>
  </si>
  <si>
    <t>74；7时100</t>
  </si>
  <si>
    <t>96-88；13时78；</t>
  </si>
  <si>
    <t>86-80；15时升盘102；5时降盘80</t>
  </si>
  <si>
    <t>78-88；14时降盘70；</t>
  </si>
  <si>
    <t>96-102；12时降盘84-96；</t>
  </si>
  <si>
    <t>103；8时95；</t>
  </si>
  <si>
    <t>91-86；12时升盘100；</t>
  </si>
  <si>
    <t>86-74；</t>
  </si>
  <si>
    <t>103-90；8时88</t>
  </si>
  <si>
    <t>97-88；22时98；18时降盘80；</t>
  </si>
  <si>
    <t>澳马均不变赔</t>
  </si>
  <si>
    <t>94-90；12时80</t>
  </si>
  <si>
    <t>100-98；10时108；</t>
  </si>
  <si>
    <t>86-82；10时升盘95,6时100</t>
  </si>
  <si>
    <t>中盘升盘慎</t>
  </si>
  <si>
    <t>85-70升盘95；12时80；</t>
  </si>
  <si>
    <t>99；9时84；6时98；</t>
  </si>
  <si>
    <t>86；6时升盘102；</t>
  </si>
  <si>
    <t>附加赛</t>
  </si>
  <si>
    <t>77升盘94；5时92</t>
  </si>
  <si>
    <t>170体系</t>
  </si>
  <si>
    <t>80-84；</t>
  </si>
  <si>
    <t>84（105）</t>
  </si>
  <si>
    <t>95；12时82；8时升盘90；</t>
  </si>
  <si>
    <t>88；12时84；9时94；</t>
  </si>
  <si>
    <t>96；12时94；7时80</t>
  </si>
  <si>
    <t>85-88；20时96；14时降盘76；</t>
  </si>
  <si>
    <t>89-100；21时降盘72；8时86；6时80</t>
  </si>
  <si>
    <t>80-90；7时降盘60；</t>
  </si>
  <si>
    <t>94-108；23时94；</t>
  </si>
  <si>
    <t>103-85；5时升盘106</t>
  </si>
  <si>
    <t>95降盘75；10时85</t>
  </si>
  <si>
    <t>89-100；</t>
  </si>
  <si>
    <t>101；20时96；</t>
  </si>
  <si>
    <t>98降盘80；10时升盘90；6时86</t>
  </si>
  <si>
    <t>101-90；11时88</t>
  </si>
  <si>
    <t>98-85升盘90；20时100；17时90</t>
  </si>
  <si>
    <t>100-94；15时升盘100；6时降盘80；</t>
  </si>
  <si>
    <t>104-105；</t>
  </si>
  <si>
    <t>90-100；21时降盘70-76；</t>
  </si>
  <si>
    <t>110降盘84；12时88</t>
  </si>
  <si>
    <t>94降盘76；21时84；8时88</t>
  </si>
  <si>
    <t>102-90；</t>
  </si>
  <si>
    <t>110-86；20时升盘102；7时94</t>
  </si>
  <si>
    <t>84；12时90；6时80</t>
  </si>
  <si>
    <t>78升盘108；14时106</t>
  </si>
  <si>
    <t>110降盘85；11时96；7时降盘80</t>
  </si>
  <si>
    <t>2022.3.30</t>
  </si>
  <si>
    <t>65（100）</t>
  </si>
  <si>
    <t>100降盘84；</t>
  </si>
  <si>
    <t>2019.3.27</t>
  </si>
  <si>
    <t>110（100）</t>
  </si>
  <si>
    <t>2017.11.10</t>
  </si>
  <si>
    <t>64；9时升盘86</t>
  </si>
  <si>
    <t>2020.9.7</t>
  </si>
  <si>
    <t>2018.11.18</t>
  </si>
  <si>
    <t>73升盘88-80；</t>
  </si>
  <si>
    <t>2018.9.11</t>
  </si>
  <si>
    <t>80；9时升盘82；</t>
  </si>
  <si>
    <t>70</t>
  </si>
  <si>
    <t>2017.10.6</t>
  </si>
  <si>
    <t>74升盘94-96；</t>
  </si>
  <si>
    <t>2015.9.7</t>
  </si>
  <si>
    <t>112（80）</t>
  </si>
  <si>
    <t>2018.11.16</t>
  </si>
  <si>
    <t>94-96；</t>
  </si>
  <si>
    <t>2018.9.8</t>
  </si>
  <si>
    <t>86-84；7时升盘108；</t>
  </si>
  <si>
    <t>2020.9.1</t>
  </si>
  <si>
    <t>81-98；16时86；13时96；8时90；</t>
  </si>
  <si>
    <t>2018.10.15</t>
  </si>
  <si>
    <t>2018.10.12</t>
  </si>
  <si>
    <t>116（80）</t>
  </si>
  <si>
    <t>2020.9.8</t>
  </si>
  <si>
    <t>78升盘85；9时升盘102；</t>
  </si>
  <si>
    <t>75升盘86；12时80；9时76</t>
  </si>
  <si>
    <t>90；23时110；12时降盘82；4时95</t>
  </si>
  <si>
    <t>96-110；15时100；</t>
  </si>
  <si>
    <t>96-88；</t>
  </si>
  <si>
    <t>85-75；6时90</t>
  </si>
  <si>
    <t>74-70；6时升盘100</t>
  </si>
  <si>
    <t>104（95）</t>
  </si>
  <si>
    <t>80升盘90；13时85；9时90</t>
  </si>
  <si>
    <t>60（105）</t>
  </si>
  <si>
    <t>79-95；</t>
  </si>
  <si>
    <t>95-85；12时80</t>
  </si>
  <si>
    <t>70升盘90；14时86；</t>
  </si>
  <si>
    <t>84；17时88；7时94</t>
  </si>
  <si>
    <t>102降盘76；7时82</t>
  </si>
  <si>
    <t>76；9时86-72</t>
  </si>
  <si>
    <t>83降盘78；4时升盘90</t>
  </si>
  <si>
    <t>85-80；13时75；9时80</t>
  </si>
  <si>
    <t>92；9时降盘80</t>
  </si>
  <si>
    <t>96；12时降盘90-102；2时降盘90</t>
  </si>
  <si>
    <t>94-104；20时降盘86；10时94</t>
  </si>
  <si>
    <t>99降盘80；</t>
  </si>
  <si>
    <t>90；13时100；5时94</t>
  </si>
  <si>
    <t>82-85；</t>
  </si>
  <si>
    <t>85；8时82；5时96</t>
  </si>
  <si>
    <t>101降盘82；</t>
  </si>
  <si>
    <t>80升盘95；</t>
  </si>
  <si>
    <t>91-84；</t>
  </si>
  <si>
    <t>110（75）</t>
  </si>
  <si>
    <t>90降盘80；10时94；6时98</t>
  </si>
  <si>
    <t>81-84；</t>
  </si>
  <si>
    <t>97-92；</t>
  </si>
  <si>
    <t>88-98；</t>
  </si>
  <si>
    <t>91-94；9时降盘80；</t>
  </si>
  <si>
    <t>86-80；</t>
  </si>
  <si>
    <t>80升盘100；</t>
  </si>
  <si>
    <t>91-100；</t>
  </si>
  <si>
    <t>81-90；</t>
  </si>
  <si>
    <t>80-75；12时86；6时84；</t>
  </si>
  <si>
    <t>升盘88</t>
  </si>
  <si>
    <t>95-85；5时82</t>
  </si>
  <si>
    <t>99-88；</t>
  </si>
  <si>
    <t>100；9时90</t>
  </si>
  <si>
    <t>100降盘96；8时降盘80</t>
  </si>
  <si>
    <t>90；7时96；</t>
  </si>
  <si>
    <t>78-86；5时82；</t>
  </si>
  <si>
    <t>75-80；</t>
  </si>
  <si>
    <t>78；9时86；</t>
  </si>
  <si>
    <t>70；13时升盘90；</t>
  </si>
  <si>
    <t>93；12时102；</t>
  </si>
  <si>
    <t>97-82；</t>
  </si>
  <si>
    <t>95-82；</t>
  </si>
  <si>
    <t>95-88；</t>
  </si>
  <si>
    <t>82升盘103；</t>
  </si>
  <si>
    <t>高不降*无变化慎</t>
  </si>
  <si>
    <t>100（75）</t>
  </si>
  <si>
    <t>96；12时88；</t>
  </si>
  <si>
    <t>93；12时100；</t>
  </si>
  <si>
    <t>103；12时降盘80；6时升盘100</t>
  </si>
  <si>
    <t>81；10时90；7时升盘100；</t>
  </si>
  <si>
    <t>103-94；</t>
  </si>
  <si>
    <t>91</t>
  </si>
  <si>
    <t>96；20时94；4时96</t>
  </si>
  <si>
    <t>84-80；6时92</t>
  </si>
  <si>
    <t>98-90；11时82；</t>
  </si>
  <si>
    <t>升盘96</t>
  </si>
  <si>
    <t>3上盘；维持升盘</t>
  </si>
  <si>
    <t>S</t>
  </si>
  <si>
    <t>110（95）</t>
  </si>
  <si>
    <t>79升盘104；10时降盘88；1时升盘100</t>
  </si>
  <si>
    <t>93-102；</t>
  </si>
  <si>
    <t>3上盘，维持升盘</t>
  </si>
  <si>
    <t>81升盘102；8时降盘94</t>
  </si>
  <si>
    <t>80-92；9时100；</t>
  </si>
  <si>
    <t>106</t>
  </si>
  <si>
    <t>降盘86</t>
  </si>
  <si>
    <t>81；12时升盘96；</t>
  </si>
  <si>
    <t>84（95）</t>
  </si>
  <si>
    <t>78-64；20时升盘88；</t>
  </si>
  <si>
    <t>31偏3</t>
  </si>
  <si>
    <t>80；10时86；3时96；</t>
  </si>
  <si>
    <t>——上盘</t>
  </si>
  <si>
    <t>80；17时升盘100；</t>
  </si>
  <si>
    <t>81升盘98；10时86；7时82</t>
  </si>
  <si>
    <t>10——</t>
  </si>
  <si>
    <t>74升盘110；</t>
  </si>
  <si>
    <t>110</t>
  </si>
  <si>
    <t>96；16时100；5时86；</t>
  </si>
  <si>
    <t>96-90；5时82</t>
  </si>
  <si>
    <t>31——</t>
  </si>
  <si>
    <t>78-86；6时84；</t>
  </si>
  <si>
    <t>升盘2档过分</t>
  </si>
  <si>
    <t>95-85；12时升盘85；</t>
  </si>
  <si>
    <t>84升盘96；3时升盘90</t>
  </si>
  <si>
    <t>95-100；3时94</t>
  </si>
  <si>
    <t>68-65；19时升盘2档100；</t>
  </si>
  <si>
    <t>81-86；11时96；</t>
  </si>
  <si>
    <t>95</t>
  </si>
  <si>
    <t>96-76升盘100；8时降盘82；6时90</t>
  </si>
  <si>
    <t>104降盘76；21时升盘96；10时升盘104</t>
  </si>
  <si>
    <t>83-70；4时86；</t>
  </si>
  <si>
    <t>高水降盘升盘舍</t>
  </si>
  <si>
    <t>99降盘75；16时升盘100；8时84</t>
  </si>
  <si>
    <t>83；8时升盘84；</t>
  </si>
  <si>
    <t>97降盘84；21时升盘100；1时降盘84</t>
  </si>
  <si>
    <t>102降盘80；14时94；12时82；6时升盘96</t>
  </si>
  <si>
    <t>90-78；10时升盘102</t>
  </si>
  <si>
    <t>93-80；19时升盘90；</t>
  </si>
  <si>
    <t>降盘80-100；</t>
  </si>
  <si>
    <t>81升盘102；</t>
  </si>
  <si>
    <t>70升盘2档86；20时升盘102；5时降盘84</t>
  </si>
  <si>
    <t>82降盘70；14时升盘100；12时90；</t>
  </si>
  <si>
    <t>83升盘2档98；20时降盘76；5时升盘90</t>
  </si>
  <si>
    <t>81-98；11时90；</t>
  </si>
  <si>
    <t>102降盘78；20时升盘94；6时78</t>
  </si>
  <si>
    <t>86升盘100-85；8时升盘104；</t>
  </si>
  <si>
    <t>78-76；7时升盘90；6时降盘82</t>
  </si>
  <si>
    <t>95-82升盘104；5时降盘84</t>
  </si>
  <si>
    <t>82-90；1时98</t>
  </si>
  <si>
    <t>91；6时降盘80</t>
  </si>
  <si>
    <t>90-82；8时90；</t>
  </si>
  <si>
    <t>94升盘2档104；6时降盘86；3时升盘94</t>
  </si>
  <si>
    <t>96升盘100-90；14时85；2时升盘96；1时降盘90</t>
  </si>
  <si>
    <t>80；10时升盘80；</t>
  </si>
  <si>
    <t>97-105；9时90；5时84；</t>
  </si>
  <si>
    <t>101-94；</t>
  </si>
  <si>
    <t>84；4时88；</t>
  </si>
  <si>
    <t>72升盘96-90；10时升盘100；3时降盘86；再升盘105降盘赔80</t>
  </si>
  <si>
    <t>72-84；</t>
  </si>
  <si>
    <t>85；6时降盘90；</t>
  </si>
  <si>
    <t>100；20时降盘92</t>
  </si>
  <si>
    <t>93；2时升盘94</t>
  </si>
  <si>
    <t>101-96；4时94；</t>
  </si>
  <si>
    <t>2.75降盘慎</t>
  </si>
  <si>
    <t>101；9时降盘85</t>
  </si>
  <si>
    <t>85；18时升盘100；</t>
  </si>
  <si>
    <t>降盘84</t>
  </si>
  <si>
    <t>93；9时100；</t>
  </si>
  <si>
    <t>99；无变化</t>
  </si>
  <si>
    <t>99</t>
  </si>
  <si>
    <t>95；3时82</t>
  </si>
  <si>
    <t>85；5时80；</t>
  </si>
  <si>
    <t>93-82；12时94；</t>
  </si>
  <si>
    <t>92；12时降盘80；8时90；</t>
  </si>
  <si>
    <t>降盘2档舍</t>
  </si>
  <si>
    <t>90-80；12时降盘80；1时降盘90</t>
  </si>
  <si>
    <t>85</t>
  </si>
  <si>
    <t>降盘84；</t>
  </si>
  <si>
    <t>100降盘86；14时80；</t>
  </si>
  <si>
    <t>降盘88</t>
  </si>
  <si>
    <t>77升盘104；3时90；</t>
  </si>
  <si>
    <t>108降盘82-90；10时降盘88；</t>
  </si>
  <si>
    <t>76-80；10时86；3时96；</t>
  </si>
  <si>
    <t>降盘70</t>
  </si>
  <si>
    <t>88；21时降盘80；1时升盘95；</t>
  </si>
  <si>
    <t>85；12时升盘100降盘80；2时升盘104</t>
  </si>
  <si>
    <t>降盘85</t>
  </si>
  <si>
    <t>105；1时降盘80</t>
  </si>
  <si>
    <t>93；2时80</t>
  </si>
  <si>
    <t>94（85）</t>
  </si>
  <si>
    <t>77升盘92-86；12时98；</t>
  </si>
  <si>
    <t>降盘94</t>
  </si>
  <si>
    <t>86；3时100；</t>
  </si>
  <si>
    <t>97；17时降盘67-72；</t>
  </si>
  <si>
    <t>103-102；12时降盘76；</t>
  </si>
  <si>
    <t>中立场100（85）</t>
  </si>
  <si>
    <t>102-100；11时降盘84</t>
  </si>
  <si>
    <t>89；5时96；</t>
  </si>
  <si>
    <t>100；16时降盘80；7时90</t>
  </si>
  <si>
    <t>98；16时90；</t>
  </si>
  <si>
    <t>79升盘100-94；</t>
  </si>
  <si>
    <t>74升盘84；6时96；</t>
  </si>
  <si>
    <t>降盘82</t>
  </si>
  <si>
    <t>87；</t>
  </si>
  <si>
    <t>89</t>
  </si>
  <si>
    <t>90-80；8时90；</t>
  </si>
  <si>
    <t>96-102；14时94；3时82</t>
  </si>
  <si>
    <t>95-92；9时96；</t>
  </si>
  <si>
    <t>降盘偏客赢1球2球；防1稳</t>
  </si>
  <si>
    <t>78升盘106；</t>
  </si>
  <si>
    <t>SSS</t>
  </si>
  <si>
    <t>94；7时92；</t>
  </si>
  <si>
    <t>出冷概率大，舍</t>
  </si>
  <si>
    <t>93-100；3时降盘86</t>
  </si>
  <si>
    <t>83升盘90；6时84</t>
  </si>
  <si>
    <t>下盘——</t>
  </si>
  <si>
    <t>102-98；9时96；</t>
  </si>
  <si>
    <t>76升盘100；10时90；</t>
  </si>
  <si>
    <t>99-94；18时升盘100；8时降盘80；5时98</t>
  </si>
  <si>
    <t>下盘</t>
  </si>
  <si>
    <t>95（85）</t>
  </si>
  <si>
    <t>80；12时95；5时85</t>
  </si>
  <si>
    <t>81；7时90</t>
  </si>
  <si>
    <t>主拉力</t>
  </si>
  <si>
    <t>客场虫</t>
  </si>
  <si>
    <t>90；18时100；8时94；4时降盘86；1时升盘92</t>
  </si>
  <si>
    <t>客拉力</t>
  </si>
  <si>
    <t>94-90；2时降盘88</t>
  </si>
  <si>
    <t>均佳</t>
  </si>
  <si>
    <t>95-85；3时82</t>
  </si>
  <si>
    <t>3偏上盘——</t>
  </si>
  <si>
    <t>97降盘80-90；</t>
  </si>
  <si>
    <t>主虫客非慎</t>
  </si>
  <si>
    <t>88；3时76；</t>
  </si>
  <si>
    <t>86-88；</t>
  </si>
  <si>
    <t>升盘降盘不利上盘</t>
  </si>
  <si>
    <t>78升盘100；6时降盘80</t>
  </si>
  <si>
    <t>82升盘104；11时降盘90</t>
  </si>
  <si>
    <t>76升盘104-94；7时92</t>
  </si>
  <si>
    <t>中盘升盘舍；</t>
  </si>
  <si>
    <t>均差</t>
  </si>
  <si>
    <t>主场虫</t>
  </si>
  <si>
    <t>91升盘96-86；12时100</t>
  </si>
  <si>
    <t>下盘31</t>
  </si>
  <si>
    <t>79-88；</t>
  </si>
  <si>
    <t>10；防住小胜客两极分化宜舍</t>
  </si>
  <si>
    <t>主非绿*-1.25+实力舍；中低下盘</t>
  </si>
  <si>
    <t>G1</t>
  </si>
  <si>
    <t>85-80；12时90；</t>
  </si>
  <si>
    <t>94；14时76；8时96</t>
  </si>
  <si>
    <t>上盘</t>
  </si>
  <si>
    <t>80升盘95-102；</t>
  </si>
  <si>
    <t>客虫降盘不利上盘</t>
  </si>
  <si>
    <t>91-106；14时降盘92；</t>
  </si>
  <si>
    <t>升盘102</t>
  </si>
  <si>
    <t>87-86；10时76；5时升盘80</t>
  </si>
  <si>
    <t>88（105）</t>
  </si>
  <si>
    <t>85-92；18时降盘94；</t>
  </si>
  <si>
    <t>10偏0；非确定性出冷概率大</t>
  </si>
  <si>
    <t>82；2时86</t>
  </si>
  <si>
    <t>升盘100</t>
  </si>
  <si>
    <t>103（85）</t>
  </si>
  <si>
    <t>103；无变化</t>
  </si>
  <si>
    <t>103</t>
  </si>
  <si>
    <t>85-86；12时100；</t>
  </si>
  <si>
    <t>99；14时降盘80；</t>
  </si>
  <si>
    <t>下盘，不稳看水位宜舍</t>
  </si>
  <si>
    <t>93-84；</t>
  </si>
  <si>
    <t>84-82；</t>
  </si>
  <si>
    <t>升盘92</t>
  </si>
  <si>
    <t>最多输4球</t>
  </si>
  <si>
    <t>75-65；14时升盘80；5时降盘74</t>
  </si>
  <si>
    <t>74</t>
  </si>
  <si>
    <t>78-84；10时90；3时80；</t>
  </si>
  <si>
    <t>0小胜概率大</t>
  </si>
  <si>
    <t>82升盘102；14时降盘74；</t>
  </si>
  <si>
    <t>至少2球，过程中小注</t>
  </si>
  <si>
    <t>110-112；14时降盘100</t>
  </si>
  <si>
    <t>3——赢1球2球</t>
  </si>
  <si>
    <t>100-96；12时升盘100</t>
  </si>
  <si>
    <t>至少2球</t>
  </si>
  <si>
    <t>80；14升盘80-70；</t>
  </si>
  <si>
    <t>双1；</t>
  </si>
  <si>
    <t>103降盘80；</t>
  </si>
  <si>
    <t>留意欧赔0</t>
  </si>
  <si>
    <t>85；12时100；</t>
  </si>
  <si>
    <t>升盘1档，利好上盘</t>
  </si>
  <si>
    <t>84升盘100；</t>
  </si>
  <si>
    <t>104-96；9时降盘80；</t>
  </si>
  <si>
    <t>3防1</t>
  </si>
  <si>
    <t>均一般</t>
  </si>
  <si>
    <t>3；未必上盘，可能小胜</t>
  </si>
  <si>
    <t>95升盘102；7时降盘90-96；</t>
  </si>
  <si>
    <t>高原主场，让31</t>
  </si>
  <si>
    <t>100降盘75；18时升盘90；14时80；</t>
  </si>
  <si>
    <t>88；9时升盘104；</t>
  </si>
  <si>
    <t>92-80；12时升盘100</t>
  </si>
  <si>
    <t>78升盘100</t>
  </si>
  <si>
    <t>85；11时82</t>
  </si>
  <si>
    <t>96升盘96；</t>
  </si>
  <si>
    <t>81升盘92-84；</t>
  </si>
  <si>
    <t>31，不升盘可信</t>
  </si>
  <si>
    <t>85升盘100；</t>
  </si>
  <si>
    <t>87-90；</t>
  </si>
  <si>
    <t>103-100；</t>
  </si>
  <si>
    <t>高原主场31</t>
  </si>
  <si>
    <t>83-98；</t>
  </si>
  <si>
    <t>3；上盘防小胜</t>
  </si>
  <si>
    <t>至少2球偏上盘</t>
  </si>
  <si>
    <t>101-85；</t>
  </si>
  <si>
    <t>83-90；5时96</t>
  </si>
  <si>
    <t>106降盘90-96；</t>
  </si>
  <si>
    <t>79升盘100；</t>
  </si>
  <si>
    <t>主虫客龙主队不可信</t>
  </si>
  <si>
    <t>103；10时降盘78；</t>
  </si>
  <si>
    <t>99-96；</t>
  </si>
  <si>
    <t>81升盘90；</t>
  </si>
  <si>
    <t>3，客进球走主队</t>
  </si>
  <si>
    <t>中立场74（105）</t>
  </si>
  <si>
    <t>80；8时78</t>
  </si>
  <si>
    <t>96-70；13时升盘85</t>
  </si>
  <si>
    <t>100降盘76；10时92；</t>
  </si>
  <si>
    <t>98；23时降盘76</t>
  </si>
  <si>
    <t>31；客队升盘舍</t>
  </si>
  <si>
    <t>99-94；12时86；3时升盘100</t>
  </si>
  <si>
    <t>102-92-100；13时94</t>
  </si>
  <si>
    <t>94-100；</t>
  </si>
  <si>
    <t>3上盘</t>
  </si>
  <si>
    <t>70；15时升盘84；</t>
  </si>
  <si>
    <t>91；16时89；</t>
  </si>
  <si>
    <t>至少2球；看情况</t>
  </si>
  <si>
    <t>87；12时升盘100；</t>
  </si>
  <si>
    <t>赢1球2球；</t>
  </si>
  <si>
    <t>112；20时降盘80；13时90；</t>
  </si>
  <si>
    <t>至少2球；</t>
  </si>
  <si>
    <t>81；20时升盘100；</t>
  </si>
  <si>
    <t>101-88；20时92；</t>
  </si>
  <si>
    <t>99-90；</t>
  </si>
  <si>
    <t>78；12时升盘96</t>
  </si>
  <si>
    <t>86-78；</t>
  </si>
  <si>
    <t>96；19时88；14时82</t>
  </si>
  <si>
    <t>3，小胜，看后续</t>
  </si>
  <si>
    <t>86-112；13时降盘80</t>
  </si>
  <si>
    <t>87；12时升盘108</t>
  </si>
  <si>
    <t>0（上盘防小胜）</t>
  </si>
  <si>
    <t>84；14时90；13时96</t>
  </si>
  <si>
    <t>104-82；15时升盘86</t>
  </si>
  <si>
    <t>115；21时降盘85</t>
  </si>
  <si>
    <t>98-105；</t>
  </si>
  <si>
    <t>降盘可信10，其他舍</t>
  </si>
  <si>
    <t>101-95；</t>
  </si>
  <si>
    <t>110降盘86；</t>
  </si>
  <si>
    <t>准确率</t>
  </si>
  <si>
    <t>本月胜率</t>
  </si>
  <si>
    <t>9月</t>
  </si>
  <si>
    <t>无欧赔支持</t>
  </si>
  <si>
    <t>封存，保留一点自由时间给自己和家人；</t>
  </si>
  <si>
    <t>10月</t>
  </si>
  <si>
    <t>确定性投注，胜率提升较大</t>
  </si>
  <si>
    <t>以盘口+球队表现为判断标准</t>
  </si>
  <si>
    <t>非H确定性盘口，必须放弃；</t>
  </si>
  <si>
    <t>排冷项舍弃；</t>
  </si>
  <si>
    <t>不合理投注会导致输钱</t>
  </si>
  <si>
    <t>注码统一减至100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</si>
</sst>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\ h:mm;@"/>
    <numFmt numFmtId="177" formatCode="0.0_);[Red]\(0.0\)"/>
    <numFmt numFmtId="178" formatCode="0.0_ ;[Red]\-0.0\ "/>
  </numFmts>
  <fonts count="1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FF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FF00FF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00FFFF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B0F0"/>
      <name val="宋体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rgb="FFFF00FF"/>
        <bgColor theme="0" tint="-0.14996795556505021"/>
      </patternFill>
    </fill>
    <fill>
      <patternFill patternType="solid">
        <fgColor rgb="FF00B0F0"/>
        <bgColor theme="0" tint="-0.14996795556505021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/>
    <xf numFmtId="176" fontId="0" fillId="0" borderId="0" xfId="0" applyNumberFormat="1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Fill="1" applyAlignment="1">
      <alignment horizontal="left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right" vertical="center"/>
    </xf>
    <xf numFmtId="0" fontId="0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2" borderId="0" xfId="0" applyNumberForma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177" fontId="0" fillId="0" borderId="0" xfId="0" applyNumberFormat="1"/>
    <xf numFmtId="178" fontId="0" fillId="0" borderId="0" xfId="0" applyNumberFormat="1"/>
    <xf numFmtId="0" fontId="0" fillId="0" borderId="0" xfId="0" applyFill="1" applyAlignment="1">
      <alignment horizontal="right"/>
    </xf>
    <xf numFmtId="49" fontId="0" fillId="0" borderId="0" xfId="0" applyNumberFormat="1" applyAlignment="1">
      <alignment horizontal="right"/>
    </xf>
    <xf numFmtId="0" fontId="5" fillId="0" borderId="0" xfId="0" applyFont="1"/>
    <xf numFmtId="49" fontId="0" fillId="0" borderId="0" xfId="0" applyNumberFormat="1"/>
    <xf numFmtId="49" fontId="0" fillId="2" borderId="0" xfId="0" applyNumberFormat="1" applyFill="1"/>
    <xf numFmtId="0" fontId="0" fillId="2" borderId="0" xfId="0" applyFill="1" applyAlignment="1">
      <alignment wrapText="1"/>
    </xf>
    <xf numFmtId="49" fontId="0" fillId="5" borderId="0" xfId="0" applyNumberFormat="1" applyFill="1"/>
    <xf numFmtId="49" fontId="0" fillId="0" borderId="0" xfId="0" applyNumberFormat="1" applyFill="1" applyAlignment="1">
      <alignment horizontal="left"/>
    </xf>
    <xf numFmtId="49" fontId="0" fillId="6" borderId="0" xfId="0" applyNumberFormat="1" applyFill="1" applyAlignment="1">
      <alignment horizontal="center" vertical="center"/>
    </xf>
    <xf numFmtId="177" fontId="0" fillId="0" borderId="0" xfId="0" applyNumberFormat="1" applyBorder="1"/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left"/>
    </xf>
    <xf numFmtId="0" fontId="6" fillId="0" borderId="0" xfId="0" applyFont="1" applyFill="1" applyAlignment="1">
      <alignment horizontal="left" vertical="center"/>
    </xf>
    <xf numFmtId="49" fontId="0" fillId="3" borderId="0" xfId="0" applyNumberFormat="1" applyFill="1" applyBorder="1" applyAlignment="1">
      <alignment wrapText="1"/>
    </xf>
    <xf numFmtId="49" fontId="0" fillId="7" borderId="0" xfId="0" applyNumberFormat="1" applyFill="1" applyBorder="1"/>
    <xf numFmtId="49" fontId="0" fillId="7" borderId="0" xfId="0" applyNumberFormat="1" applyFill="1" applyAlignment="1">
      <alignment horizontal="center" vertical="center"/>
    </xf>
    <xf numFmtId="49" fontId="0" fillId="2" borderId="0" xfId="0" applyNumberFormat="1" applyFill="1" applyBorder="1" applyAlignment="1">
      <alignment wrapText="1"/>
    </xf>
    <xf numFmtId="49" fontId="0" fillId="2" borderId="0" xfId="0" applyNumberFormat="1" applyFill="1" applyBorder="1"/>
    <xf numFmtId="49" fontId="0" fillId="5" borderId="0" xfId="0" applyNumberFormat="1" applyFill="1" applyBorder="1"/>
    <xf numFmtId="0" fontId="8" fillId="0" borderId="0" xfId="0" applyFont="1"/>
    <xf numFmtId="0" fontId="0" fillId="2" borderId="0" xfId="0" applyFill="1" applyBorder="1"/>
    <xf numFmtId="0" fontId="0" fillId="3" borderId="0" xfId="0" applyFill="1" applyBorder="1"/>
    <xf numFmtId="49" fontId="0" fillId="3" borderId="0" xfId="0" applyNumberFormat="1" applyFill="1" applyBorder="1"/>
    <xf numFmtId="0" fontId="5" fillId="0" borderId="0" xfId="0" applyFont="1" applyFill="1" applyAlignment="1">
      <alignment horizontal="left" vertical="center"/>
    </xf>
    <xf numFmtId="49" fontId="1" fillId="0" borderId="1" xfId="0" applyNumberFormat="1" applyFont="1" applyFill="1" applyBorder="1"/>
    <xf numFmtId="49" fontId="0" fillId="0" borderId="0" xfId="0" applyNumberFormat="1" applyAlignment="1">
      <alignment horizontal="left"/>
    </xf>
    <xf numFmtId="178" fontId="0" fillId="8" borderId="0" xfId="0" applyNumberFormat="1" applyFill="1"/>
    <xf numFmtId="0" fontId="0" fillId="2" borderId="0" xfId="0" applyFill="1" applyAlignment="1">
      <alignment horizontal="left"/>
    </xf>
    <xf numFmtId="0" fontId="0" fillId="7" borderId="0" xfId="0" applyFill="1" applyBorder="1"/>
    <xf numFmtId="0" fontId="0" fillId="6" borderId="0" xfId="0" applyFill="1" applyAlignment="1">
      <alignment horizontal="left" vertical="center"/>
    </xf>
    <xf numFmtId="0" fontId="5" fillId="3" borderId="0" xfId="0" applyFont="1" applyFill="1" applyBorder="1"/>
    <xf numFmtId="0" fontId="9" fillId="2" borderId="0" xfId="0" applyFont="1" applyFill="1" applyBorder="1"/>
    <xf numFmtId="0" fontId="0" fillId="0" borderId="0" xfId="0" applyFill="1" applyAlignment="1">
      <alignment horizontal="left" vertical="center" wrapText="1"/>
    </xf>
    <xf numFmtId="0" fontId="0" fillId="2" borderId="0" xfId="0" applyFont="1" applyFill="1" applyAlignment="1">
      <alignment horizontal="center" vertical="center"/>
    </xf>
    <xf numFmtId="176" fontId="0" fillId="3" borderId="0" xfId="0" applyNumberFormat="1" applyFill="1"/>
    <xf numFmtId="49" fontId="0" fillId="3" borderId="0" xfId="0" applyNumberFormat="1" applyFill="1" applyBorder="1" applyAlignment="1">
      <alignment horizontal="left"/>
    </xf>
    <xf numFmtId="0" fontId="0" fillId="3" borderId="0" xfId="0" applyFill="1" applyAlignment="1">
      <alignment horizontal="left"/>
    </xf>
    <xf numFmtId="49" fontId="0" fillId="3" borderId="0" xfId="0" applyNumberFormat="1" applyFill="1"/>
    <xf numFmtId="0" fontId="0" fillId="6" borderId="0" xfId="0" applyFont="1" applyFill="1" applyAlignment="1">
      <alignment horizontal="left" vertical="center"/>
    </xf>
    <xf numFmtId="49" fontId="0" fillId="0" borderId="0" xfId="0" applyNumberFormat="1" applyFill="1" applyAlignment="1">
      <alignment horizontal="right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/>
    <xf numFmtId="49" fontId="9" fillId="3" borderId="0" xfId="0" applyNumberFormat="1" applyFont="1" applyFill="1" applyBorder="1" applyAlignment="1">
      <alignment wrapText="1"/>
    </xf>
    <xf numFmtId="49" fontId="0" fillId="2" borderId="0" xfId="0" applyNumberFormat="1" applyFill="1" applyBorder="1" applyAlignment="1">
      <alignment horizontal="left"/>
    </xf>
    <xf numFmtId="0" fontId="0" fillId="5" borderId="0" xfId="0" applyFont="1" applyFill="1" applyBorder="1"/>
    <xf numFmtId="49" fontId="4" fillId="0" borderId="0" xfId="0" applyNumberFormat="1" applyFont="1" applyFill="1" applyAlignment="1">
      <alignment horizontal="center" vertical="center"/>
    </xf>
    <xf numFmtId="0" fontId="0" fillId="5" borderId="0" xfId="0" applyFill="1" applyBorder="1"/>
    <xf numFmtId="0" fontId="1" fillId="0" borderId="0" xfId="0" applyFont="1" applyFill="1" applyBorder="1" applyAlignment="1">
      <alignment horizontal="left" vertical="center"/>
    </xf>
    <xf numFmtId="0" fontId="1" fillId="2" borderId="0" xfId="0" applyFont="1" applyFill="1"/>
    <xf numFmtId="49" fontId="0" fillId="3" borderId="0" xfId="0" applyNumberFormat="1" applyFill="1" applyAlignment="1">
      <alignment wrapText="1"/>
    </xf>
    <xf numFmtId="0" fontId="0" fillId="5" borderId="0" xfId="0" applyFill="1"/>
    <xf numFmtId="0" fontId="0" fillId="3" borderId="0" xfId="0" applyFill="1"/>
    <xf numFmtId="49" fontId="0" fillId="0" borderId="0" xfId="0" applyNumberFormat="1" applyFill="1"/>
    <xf numFmtId="49" fontId="0" fillId="7" borderId="0" xfId="0" applyNumberFormat="1" applyFill="1"/>
    <xf numFmtId="49" fontId="0" fillId="6" borderId="0" xfId="0" applyNumberFormat="1" applyFill="1" applyAlignment="1">
      <alignment horizontal="center"/>
    </xf>
    <xf numFmtId="0" fontId="5" fillId="3" borderId="0" xfId="0" applyFont="1" applyFill="1"/>
    <xf numFmtId="49" fontId="0" fillId="2" borderId="0" xfId="0" applyNumberFormat="1" applyFill="1" applyAlignment="1">
      <alignment horizontal="left"/>
    </xf>
    <xf numFmtId="0" fontId="0" fillId="5" borderId="0" xfId="0" applyFont="1" applyFill="1"/>
    <xf numFmtId="0" fontId="10" fillId="2" borderId="0" xfId="0" applyFont="1" applyFill="1" applyAlignment="1">
      <alignment horizontal="center" vertical="center"/>
    </xf>
    <xf numFmtId="49" fontId="0" fillId="3" borderId="0" xfId="0" applyNumberFormat="1" applyFill="1" applyAlignment="1">
      <alignment horizontal="left"/>
    </xf>
    <xf numFmtId="0" fontId="0" fillId="7" borderId="0" xfId="0" applyFill="1"/>
    <xf numFmtId="0" fontId="9" fillId="2" borderId="0" xfId="0" applyFont="1" applyFill="1"/>
    <xf numFmtId="176" fontId="0" fillId="9" borderId="0" xfId="0" applyNumberFormat="1" applyFill="1"/>
    <xf numFmtId="176" fontId="0" fillId="0" borderId="0" xfId="0" applyNumberFormat="1" applyFill="1"/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9" fillId="3" borderId="0" xfId="0" applyFont="1" applyFill="1"/>
    <xf numFmtId="49" fontId="4" fillId="6" borderId="0" xfId="0" applyNumberFormat="1" applyFont="1" applyFill="1" applyAlignment="1">
      <alignment horizontal="center" vertical="center"/>
    </xf>
    <xf numFmtId="0" fontId="1" fillId="3" borderId="0" xfId="0" applyFont="1" applyFill="1"/>
    <xf numFmtId="49" fontId="9" fillId="0" borderId="0" xfId="0" applyNumberFormat="1" applyFont="1" applyFill="1" applyAlignment="1">
      <alignment horizontal="left"/>
    </xf>
    <xf numFmtId="0" fontId="0" fillId="0" borderId="0" xfId="0" applyFont="1"/>
    <xf numFmtId="0" fontId="5" fillId="3" borderId="0" xfId="0" applyFont="1" applyFill="1" applyAlignment="1">
      <alignment horizontal="left"/>
    </xf>
    <xf numFmtId="49" fontId="12" fillId="7" borderId="2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Alignment="1">
      <alignment horizontal="left" vertical="center"/>
    </xf>
    <xf numFmtId="49" fontId="6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49" fontId="9" fillId="2" borderId="0" xfId="0" applyNumberFormat="1" applyFont="1" applyFill="1" applyAlignment="1">
      <alignment wrapText="1"/>
    </xf>
    <xf numFmtId="49" fontId="13" fillId="3" borderId="0" xfId="0" applyNumberFormat="1" applyFont="1" applyFill="1" applyAlignment="1">
      <alignment wrapText="1"/>
    </xf>
    <xf numFmtId="49" fontId="0" fillId="0" borderId="0" xfId="0" applyNumberForma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49" fontId="0" fillId="2" borderId="0" xfId="0" applyNumberForma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57" fontId="6" fillId="0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57" fontId="1" fillId="0" borderId="0" xfId="0" applyNumberFormat="1" applyFont="1" applyFill="1" applyAlignment="1">
      <alignment horizontal="left" vertical="center"/>
    </xf>
    <xf numFmtId="49" fontId="0" fillId="3" borderId="0" xfId="0" applyNumberFormat="1" applyFill="1" applyAlignment="1">
      <alignment horizontal="left" vertical="center"/>
    </xf>
    <xf numFmtId="49" fontId="0" fillId="0" borderId="0" xfId="0" applyNumberFormat="1" applyFont="1" applyFill="1" applyAlignment="1">
      <alignment horizontal="center" vertical="center"/>
    </xf>
    <xf numFmtId="176" fontId="0" fillId="0" borderId="0" xfId="0" applyNumberFormat="1" applyFill="1" applyBorder="1"/>
    <xf numFmtId="49" fontId="0" fillId="2" borderId="0" xfId="0" applyNumberFormat="1" applyFont="1" applyFill="1" applyAlignment="1">
      <alignment horizontal="center" vertical="center"/>
    </xf>
    <xf numFmtId="176" fontId="0" fillId="3" borderId="0" xfId="0" applyNumberFormat="1" applyFill="1" applyBorder="1"/>
    <xf numFmtId="0" fontId="0" fillId="6" borderId="0" xfId="0" applyFill="1" applyAlignment="1">
      <alignment horizontal="left" vertical="center" wrapText="1"/>
    </xf>
    <xf numFmtId="0" fontId="0" fillId="7" borderId="0" xfId="0" applyFill="1" applyAlignment="1">
      <alignment horizontal="left"/>
    </xf>
    <xf numFmtId="0" fontId="9" fillId="7" borderId="0" xfId="0" applyFont="1" applyFill="1"/>
    <xf numFmtId="0" fontId="0" fillId="3" borderId="0" xfId="0" applyFill="1" applyAlignment="1">
      <alignment wrapText="1"/>
    </xf>
    <xf numFmtId="49" fontId="0" fillId="0" borderId="0" xfId="0" applyNumberFormat="1" applyAlignment="1">
      <alignment horizontal="left" vertical="center"/>
    </xf>
    <xf numFmtId="0" fontId="0" fillId="3" borderId="0" xfId="0" applyFill="1" applyAlignment="1"/>
    <xf numFmtId="49" fontId="0" fillId="0" borderId="0" xfId="0" applyNumberFormat="1" applyBorder="1" applyAlignment="1">
      <alignment horizontal="left"/>
    </xf>
    <xf numFmtId="49" fontId="0" fillId="0" borderId="0" xfId="0" applyNumberFormat="1" applyFill="1" applyAlignment="1">
      <alignment horizontal="left" wrapText="1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/>
    </xf>
    <xf numFmtId="49" fontId="0" fillId="2" borderId="0" xfId="0" applyNumberFormat="1" applyFill="1" applyBorder="1" applyAlignment="1">
      <alignment horizontal="center" vertical="center"/>
    </xf>
    <xf numFmtId="49" fontId="0" fillId="0" borderId="0" xfId="0" applyNumberFormat="1" applyBorder="1"/>
    <xf numFmtId="49" fontId="0" fillId="0" borderId="0" xfId="0" applyNumberFormat="1" applyBorder="1" applyAlignment="1">
      <alignment horizontal="center" vertical="center"/>
    </xf>
    <xf numFmtId="49" fontId="0" fillId="3" borderId="0" xfId="0" applyNumberFormat="1" applyFill="1" applyBorder="1" applyAlignment="1">
      <alignment horizontal="center" vertical="center"/>
    </xf>
    <xf numFmtId="49" fontId="5" fillId="2" borderId="0" xfId="0" applyNumberFormat="1" applyFont="1" applyFill="1" applyBorder="1"/>
    <xf numFmtId="49" fontId="0" fillId="5" borderId="0" xfId="0" applyNumberFormat="1" applyFont="1" applyFill="1" applyBorder="1"/>
    <xf numFmtId="49" fontId="0" fillId="0" borderId="0" xfId="0" applyNumberFormat="1" applyFont="1" applyFill="1" applyBorder="1" applyAlignment="1">
      <alignment horizontal="left"/>
    </xf>
    <xf numFmtId="49" fontId="0" fillId="0" borderId="0" xfId="0" applyNumberFormat="1" applyFill="1" applyBorder="1" applyAlignment="1">
      <alignment horizontal="center" vertical="center"/>
    </xf>
    <xf numFmtId="176" fontId="0" fillId="0" borderId="0" xfId="0" applyNumberFormat="1" applyBorder="1"/>
    <xf numFmtId="0" fontId="0" fillId="0" borderId="0" xfId="0" applyFont="1" applyFill="1" applyBorder="1" applyAlignment="1">
      <alignment horizontal="left"/>
    </xf>
    <xf numFmtId="49" fontId="0" fillId="2" borderId="0" xfId="0" applyNumberFormat="1" applyFont="1" applyFill="1" applyAlignment="1">
      <alignment wrapText="1"/>
    </xf>
    <xf numFmtId="49" fontId="0" fillId="3" borderId="0" xfId="0" applyNumberFormat="1" applyFont="1" applyFill="1" applyBorder="1"/>
    <xf numFmtId="49" fontId="0" fillId="5" borderId="0" xfId="0" applyNumberFormat="1" applyFill="1" applyAlignment="1">
      <alignment wrapText="1"/>
    </xf>
    <xf numFmtId="49" fontId="6" fillId="0" borderId="1" xfId="0" applyNumberFormat="1" applyFont="1" applyFill="1" applyBorder="1"/>
    <xf numFmtId="0" fontId="0" fillId="7" borderId="0" xfId="0" applyFont="1" applyFill="1" applyBorder="1"/>
    <xf numFmtId="0" fontId="14" fillId="0" borderId="0" xfId="0" applyFont="1" applyFill="1" applyAlignment="1">
      <alignment horizontal="left" vertical="center"/>
    </xf>
    <xf numFmtId="49" fontId="1" fillId="0" borderId="0" xfId="0" applyNumberFormat="1" applyFont="1" applyFill="1" applyBorder="1" applyAlignment="1">
      <alignment horizontal="left"/>
    </xf>
    <xf numFmtId="49" fontId="0" fillId="6" borderId="0" xfId="0" applyNumberFormat="1" applyFill="1" applyAlignment="1">
      <alignment horizontal="right"/>
    </xf>
    <xf numFmtId="49" fontId="1" fillId="3" borderId="0" xfId="0" applyNumberFormat="1" applyFont="1" applyFill="1" applyAlignment="1">
      <alignment wrapText="1"/>
    </xf>
    <xf numFmtId="49" fontId="1" fillId="0" borderId="0" xfId="0" applyNumberFormat="1" applyFont="1" applyFill="1" applyAlignment="1">
      <alignment horizontal="left" wrapText="1"/>
    </xf>
    <xf numFmtId="49" fontId="1" fillId="2" borderId="0" xfId="0" applyNumberFormat="1" applyFont="1" applyFill="1" applyAlignment="1">
      <alignment wrapText="1"/>
    </xf>
    <xf numFmtId="0" fontId="1" fillId="5" borderId="0" xfId="0" applyFont="1" applyFill="1" applyBorder="1"/>
    <xf numFmtId="0" fontId="0" fillId="5" borderId="0" xfId="0" applyFill="1" applyAlignment="1">
      <alignment horizontal="left"/>
    </xf>
    <xf numFmtId="49" fontId="0" fillId="7" borderId="0" xfId="0" applyNumberFormat="1" applyFill="1" applyBorder="1" applyAlignment="1">
      <alignment horizontal="left"/>
    </xf>
    <xf numFmtId="49" fontId="5" fillId="7" borderId="0" xfId="0" applyNumberFormat="1" applyFont="1" applyFill="1" applyBorder="1"/>
    <xf numFmtId="49" fontId="0" fillId="7" borderId="0" xfId="0" applyNumberFormat="1" applyFill="1" applyAlignment="1">
      <alignment wrapText="1"/>
    </xf>
    <xf numFmtId="49" fontId="0" fillId="3" borderId="0" xfId="0" applyNumberFormat="1" applyFill="1" applyAlignment="1">
      <alignment horizontal="left" wrapText="1"/>
    </xf>
    <xf numFmtId="0" fontId="0" fillId="5" borderId="0" xfId="0" applyFill="1" applyAlignment="1">
      <alignment horizontal="left" vertical="center"/>
    </xf>
    <xf numFmtId="49" fontId="10" fillId="2" borderId="0" xfId="0" applyNumberFormat="1" applyFont="1" applyFill="1" applyBorder="1" applyAlignment="1">
      <alignment horizontal="left"/>
    </xf>
    <xf numFmtId="49" fontId="10" fillId="3" borderId="0" xfId="0" applyNumberFormat="1" applyFont="1" applyFill="1" applyAlignment="1">
      <alignment wrapText="1"/>
    </xf>
    <xf numFmtId="0" fontId="10" fillId="3" borderId="0" xfId="0" applyFont="1" applyFill="1" applyBorder="1"/>
    <xf numFmtId="176" fontId="0" fillId="9" borderId="0" xfId="0" applyNumberFormat="1" applyFill="1" applyBorder="1"/>
    <xf numFmtId="49" fontId="1" fillId="5" borderId="1" xfId="0" applyNumberFormat="1" applyFont="1" applyFill="1" applyBorder="1"/>
    <xf numFmtId="49" fontId="1" fillId="7" borderId="1" xfId="0" applyNumberFormat="1" applyFont="1" applyFill="1" applyBorder="1"/>
    <xf numFmtId="0" fontId="0" fillId="5" borderId="0" xfId="0" applyFont="1" applyFill="1" applyAlignment="1">
      <alignment horizontal="left" vertical="center"/>
    </xf>
    <xf numFmtId="49" fontId="1" fillId="10" borderId="1" xfId="0" applyNumberFormat="1" applyFont="1" applyFill="1" applyBorder="1"/>
    <xf numFmtId="49" fontId="1" fillId="11" borderId="1" xfId="0" applyNumberFormat="1" applyFont="1" applyFill="1" applyBorder="1"/>
    <xf numFmtId="0" fontId="10" fillId="5" borderId="0" xfId="0" applyFont="1" applyFill="1" applyBorder="1"/>
    <xf numFmtId="49" fontId="1" fillId="12" borderId="1" xfId="0" applyNumberFormat="1" applyFont="1" applyFill="1" applyBorder="1"/>
    <xf numFmtId="49" fontId="0" fillId="0" borderId="0" xfId="0" applyNumberFormat="1" applyFill="1" applyAlignment="1">
      <alignment wrapText="1"/>
    </xf>
    <xf numFmtId="0" fontId="0" fillId="0" borderId="0" xfId="0" applyBorder="1"/>
    <xf numFmtId="177" fontId="0" fillId="0" borderId="0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0" fontId="0" fillId="0" borderId="0" xfId="0" applyNumberFormat="1" applyFill="1" applyAlignment="1">
      <alignment horizontal="center"/>
    </xf>
    <xf numFmtId="0" fontId="0" fillId="0" borderId="0" xfId="0" applyAlignment="1">
      <alignment horizontal="center" wrapText="1"/>
    </xf>
    <xf numFmtId="10" fontId="0" fillId="5" borderId="0" xfId="0" applyNumberFormat="1" applyFill="1" applyAlignment="1">
      <alignment horizontal="center"/>
    </xf>
    <xf numFmtId="10" fontId="0" fillId="5" borderId="0" xfId="0" applyNumberFormat="1" applyFont="1" applyFill="1" applyAlignment="1">
      <alignment horizontal="center"/>
    </xf>
    <xf numFmtId="10" fontId="0" fillId="0" borderId="0" xfId="0" applyNumberFormat="1" applyFont="1" applyFill="1" applyAlignment="1">
      <alignment horizontal="left"/>
    </xf>
    <xf numFmtId="10" fontId="0" fillId="6" borderId="0" xfId="0" applyNumberFormat="1" applyFont="1" applyFill="1" applyAlignment="1">
      <alignment horizontal="center"/>
    </xf>
    <xf numFmtId="0" fontId="0" fillId="0" borderId="1" xfId="0" applyFont="1" applyFill="1" applyBorder="1" applyAlignment="1">
      <alignment horizontal="left" vertical="center"/>
    </xf>
    <xf numFmtId="0" fontId="0" fillId="6" borderId="0" xfId="0" applyFill="1"/>
    <xf numFmtId="49" fontId="9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Alignment="1">
      <alignment horizontal="left"/>
    </xf>
    <xf numFmtId="0" fontId="9" fillId="0" borderId="0" xfId="0" applyFont="1" applyFill="1"/>
    <xf numFmtId="0" fontId="9" fillId="0" borderId="0" xfId="0" applyFont="1" applyFill="1" applyAlignment="1">
      <alignment horizontal="left"/>
    </xf>
    <xf numFmtId="22" fontId="0" fillId="0" borderId="0" xfId="0" applyNumberFormat="1" applyFill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0" fillId="0" borderId="0" xfId="0" applyNumberFormat="1" applyFill="1"/>
    <xf numFmtId="0" fontId="11" fillId="0" borderId="0" xfId="0" applyFont="1" applyFill="1" applyAlignment="1">
      <alignment horizontal="left" vertical="center"/>
    </xf>
    <xf numFmtId="0" fontId="15" fillId="2" borderId="3" xfId="0" applyFont="1" applyFill="1" applyBorder="1" applyAlignment="1">
      <alignment horizontal="center" vertical="top" wrapText="1"/>
    </xf>
    <xf numFmtId="0" fontId="15" fillId="7" borderId="3" xfId="0" applyFont="1" applyFill="1" applyBorder="1" applyAlignment="1">
      <alignment horizontal="center" vertical="top" wrapText="1"/>
    </xf>
    <xf numFmtId="0" fontId="3" fillId="2" borderId="0" xfId="0" applyNumberFormat="1" applyFont="1" applyFill="1" applyAlignment="1">
      <alignment horizontal="center" vertical="center" wrapText="1"/>
    </xf>
    <xf numFmtId="0" fontId="0" fillId="0" borderId="0" xfId="0" applyNumberFormat="1"/>
    <xf numFmtId="0" fontId="0" fillId="0" borderId="0" xfId="0" applyNumberFormat="1" applyFill="1" applyBorder="1"/>
    <xf numFmtId="49" fontId="0" fillId="6" borderId="0" xfId="0" applyNumberFormat="1" applyFill="1"/>
    <xf numFmtId="49" fontId="0" fillId="6" borderId="0" xfId="0" applyNumberFormat="1" applyFill="1" applyBorder="1"/>
    <xf numFmtId="0" fontId="0" fillId="3" borderId="0" xfId="0" applyNumberFormat="1" applyFill="1" applyBorder="1"/>
    <xf numFmtId="0" fontId="0" fillId="6" borderId="0" xfId="0" applyNumberFormat="1" applyFill="1" applyBorder="1"/>
    <xf numFmtId="49" fontId="0" fillId="0" borderId="0" xfId="0" applyNumberFormat="1" applyFont="1" applyFill="1"/>
    <xf numFmtId="0" fontId="1" fillId="0" borderId="0" xfId="0" applyNumberFormat="1" applyFont="1" applyFill="1"/>
    <xf numFmtId="58" fontId="0" fillId="0" borderId="0" xfId="0" applyNumberFormat="1"/>
    <xf numFmtId="10" fontId="0" fillId="0" borderId="0" xfId="0" applyNumberFormat="1" applyFont="1" applyFill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6" fillId="0" borderId="0" xfId="0" applyNumberFormat="1" applyFont="1" applyFill="1"/>
    <xf numFmtId="0" fontId="9" fillId="0" borderId="0" xfId="0" applyNumberFormat="1" applyFont="1" applyFill="1"/>
    <xf numFmtId="0" fontId="10" fillId="0" borderId="0" xfId="0" applyFont="1" applyFill="1" applyAlignment="1">
      <alignment horizontal="left" vertical="center"/>
    </xf>
    <xf numFmtId="0" fontId="5" fillId="0" borderId="0" xfId="0" applyNumberFormat="1" applyFont="1" applyFill="1"/>
    <xf numFmtId="0" fontId="5" fillId="0" borderId="0" xfId="0" applyNumberFormat="1" applyFont="1" applyFill="1" applyBorder="1"/>
    <xf numFmtId="49" fontId="10" fillId="0" borderId="0" xfId="0" applyNumberFormat="1" applyFont="1" applyFill="1" applyBorder="1"/>
    <xf numFmtId="0" fontId="10" fillId="0" borderId="0" xfId="0" applyNumberFormat="1" applyFont="1" applyFill="1" applyBorder="1"/>
    <xf numFmtId="0" fontId="6" fillId="0" borderId="0" xfId="0" applyNumberFormat="1" applyFont="1" applyFill="1" applyBorder="1"/>
    <xf numFmtId="49" fontId="10" fillId="0" borderId="0" xfId="0" applyNumberFormat="1" applyFont="1" applyFill="1" applyAlignment="1">
      <alignment horizontal="left" vertical="center"/>
    </xf>
    <xf numFmtId="49" fontId="10" fillId="0" borderId="0" xfId="0" applyNumberFormat="1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49" fontId="5" fillId="0" borderId="0" xfId="0" applyNumberFormat="1" applyFont="1" applyFill="1" applyBorder="1"/>
    <xf numFmtId="49" fontId="5" fillId="0" borderId="0" xfId="0" applyNumberFormat="1" applyFont="1" applyFill="1"/>
    <xf numFmtId="0" fontId="10" fillId="0" borderId="0" xfId="0" applyFont="1" applyFill="1"/>
    <xf numFmtId="0" fontId="10" fillId="0" borderId="0" xfId="0" applyFont="1" applyFill="1" applyBorder="1" applyAlignment="1">
      <alignment horizontal="left" vertical="center"/>
    </xf>
    <xf numFmtId="49" fontId="0" fillId="15" borderId="0" xfId="0" applyNumberFormat="1" applyFill="1" applyBorder="1" applyAlignment="1">
      <alignment wrapText="1"/>
    </xf>
    <xf numFmtId="0" fontId="0" fillId="15" borderId="0" xfId="0" applyFill="1" applyBorder="1"/>
    <xf numFmtId="49" fontId="7" fillId="14" borderId="0" xfId="0" applyNumberFormat="1" applyFont="1" applyFill="1"/>
    <xf numFmtId="49" fontId="5" fillId="2" borderId="0" xfId="0" applyNumberFormat="1" applyFont="1" applyFill="1" applyBorder="1" applyAlignment="1">
      <alignment wrapText="1"/>
    </xf>
    <xf numFmtId="0" fontId="5" fillId="15" borderId="0" xfId="0" applyFont="1" applyFill="1" applyBorder="1"/>
    <xf numFmtId="49" fontId="5" fillId="0" borderId="0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3" borderId="0" xfId="0" applyNumberFormat="1" applyFont="1" applyFill="1" applyBorder="1" applyAlignment="1">
      <alignment wrapText="1"/>
    </xf>
    <xf numFmtId="49" fontId="0" fillId="15" borderId="0" xfId="0" applyNumberFormat="1" applyFill="1" applyBorder="1" applyAlignment="1">
      <alignment horizontal="left"/>
    </xf>
    <xf numFmtId="49" fontId="5" fillId="15" borderId="0" xfId="0" applyNumberFormat="1" applyFont="1" applyFill="1" applyBorder="1" applyAlignment="1">
      <alignment wrapText="1"/>
    </xf>
    <xf numFmtId="0" fontId="0" fillId="13" borderId="0" xfId="0" applyFill="1" applyAlignment="1">
      <alignment horizontal="left"/>
    </xf>
    <xf numFmtId="49" fontId="0" fillId="15" borderId="0" xfId="0" applyNumberFormat="1" applyFill="1" applyBorder="1"/>
    <xf numFmtId="0" fontId="5" fillId="2" borderId="0" xfId="0" applyFont="1" applyFill="1" applyBorder="1"/>
    <xf numFmtId="0" fontId="6" fillId="5" borderId="0" xfId="0" applyFont="1" applyFill="1" applyBorder="1"/>
    <xf numFmtId="49" fontId="0" fillId="15" borderId="0" xfId="0" applyNumberFormat="1" applyFill="1"/>
    <xf numFmtId="0" fontId="6" fillId="5" borderId="0" xfId="0" applyFont="1" applyFill="1"/>
    <xf numFmtId="49" fontId="0" fillId="15" borderId="0" xfId="0" applyNumberFormat="1" applyFill="1" applyAlignment="1">
      <alignment wrapText="1"/>
    </xf>
    <xf numFmtId="0" fontId="0" fillId="15" borderId="0" xfId="0" applyFill="1"/>
    <xf numFmtId="49" fontId="9" fillId="3" borderId="0" xfId="0" applyNumberFormat="1" applyFont="1" applyFill="1" applyAlignment="1">
      <alignment wrapText="1"/>
    </xf>
    <xf numFmtId="49" fontId="0" fillId="15" borderId="0" xfId="0" applyNumberFormat="1" applyFill="1" applyAlignment="1">
      <alignment horizontal="left"/>
    </xf>
    <xf numFmtId="0" fontId="0" fillId="15" borderId="0" xfId="0" applyFill="1" applyAlignment="1">
      <alignment horizontal="left"/>
    </xf>
    <xf numFmtId="0" fontId="5" fillId="15" borderId="0" xfId="0" applyFont="1" applyFill="1"/>
    <xf numFmtId="0" fontId="5" fillId="7" borderId="0" xfId="0" applyFont="1" applyFill="1"/>
    <xf numFmtId="49" fontId="9" fillId="15" borderId="0" xfId="0" applyNumberFormat="1" applyFont="1" applyFill="1" applyAlignment="1">
      <alignment wrapText="1"/>
    </xf>
    <xf numFmtId="49" fontId="5" fillId="3" borderId="0" xfId="0" applyNumberFormat="1" applyFont="1" applyFill="1" applyAlignment="1">
      <alignment wrapText="1"/>
    </xf>
    <xf numFmtId="49" fontId="5" fillId="2" borderId="0" xfId="0" applyNumberFormat="1" applyFont="1" applyFill="1" applyAlignment="1">
      <alignment wrapText="1"/>
    </xf>
    <xf numFmtId="49" fontId="4" fillId="7" borderId="0" xfId="0" applyNumberFormat="1" applyFont="1" applyFill="1" applyAlignment="1">
      <alignment horizontal="center" vertical="center"/>
    </xf>
    <xf numFmtId="49" fontId="5" fillId="15" borderId="0" xfId="0" applyNumberFormat="1" applyFont="1" applyFill="1" applyAlignment="1">
      <alignment wrapText="1"/>
    </xf>
    <xf numFmtId="0" fontId="9" fillId="15" borderId="0" xfId="0" applyFont="1" applyFill="1"/>
    <xf numFmtId="49" fontId="9" fillId="15" borderId="0" xfId="0" applyNumberFormat="1" applyFont="1" applyFill="1"/>
    <xf numFmtId="49" fontId="0" fillId="13" borderId="0" xfId="0" applyNumberFormat="1" applyFill="1" applyBorder="1"/>
    <xf numFmtId="49" fontId="5" fillId="3" borderId="0" xfId="0" applyNumberFormat="1" applyFont="1" applyFill="1" applyAlignment="1">
      <alignment horizontal="left"/>
    </xf>
    <xf numFmtId="0" fontId="6" fillId="2" borderId="0" xfId="0" applyFont="1" applyFill="1"/>
    <xf numFmtId="0" fontId="10" fillId="0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5" borderId="0" xfId="0" applyFill="1" applyAlignment="1">
      <alignment wrapText="1"/>
    </xf>
    <xf numFmtId="49" fontId="0" fillId="13" borderId="0" xfId="0" applyNumberFormat="1" applyFill="1" applyAlignment="1">
      <alignment horizontal="center" vertical="center"/>
    </xf>
    <xf numFmtId="49" fontId="0" fillId="13" borderId="0" xfId="0" applyNumberFormat="1" applyFill="1" applyAlignment="1">
      <alignment horizontal="left"/>
    </xf>
    <xf numFmtId="49" fontId="5" fillId="5" borderId="0" xfId="0" applyNumberFormat="1" applyFont="1" applyFill="1"/>
    <xf numFmtId="49" fontId="5" fillId="0" borderId="0" xfId="0" applyNumberFormat="1" applyFont="1" applyFill="1" applyAlignment="1">
      <alignment horizontal="left"/>
    </xf>
    <xf numFmtId="49" fontId="6" fillId="2" borderId="0" xfId="0" applyNumberFormat="1" applyFont="1" applyFill="1" applyAlignment="1">
      <alignment wrapText="1"/>
    </xf>
    <xf numFmtId="0" fontId="6" fillId="7" borderId="0" xfId="0" applyFont="1" applyFill="1"/>
    <xf numFmtId="49" fontId="6" fillId="2" borderId="0" xfId="0" applyNumberFormat="1" applyFont="1" applyFill="1" applyAlignment="1">
      <alignment horizontal="center" vertical="center"/>
    </xf>
    <xf numFmtId="49" fontId="0" fillId="13" borderId="0" xfId="0" applyNumberFormat="1" applyFill="1"/>
    <xf numFmtId="49" fontId="0" fillId="15" borderId="0" xfId="0" applyNumberFormat="1" applyFill="1" applyAlignment="1">
      <alignment horizontal="left" vertical="center"/>
    </xf>
    <xf numFmtId="49" fontId="0" fillId="13" borderId="0" xfId="0" applyNumberFormat="1" applyFill="1" applyBorder="1" applyAlignment="1">
      <alignment horizontal="left"/>
    </xf>
    <xf numFmtId="0" fontId="6" fillId="2" borderId="0" xfId="0" applyFont="1" applyFill="1" applyBorder="1"/>
    <xf numFmtId="49" fontId="10" fillId="0" borderId="1" xfId="0" applyNumberFormat="1" applyFont="1" applyFill="1" applyBorder="1"/>
    <xf numFmtId="0" fontId="6" fillId="7" borderId="0" xfId="0" applyFont="1" applyFill="1" applyBorder="1"/>
    <xf numFmtId="49" fontId="0" fillId="13" borderId="0" xfId="0" applyNumberFormat="1" applyFill="1" applyBorder="1" applyAlignment="1">
      <alignment horizontal="center" vertical="center"/>
    </xf>
    <xf numFmtId="49" fontId="0" fillId="15" borderId="0" xfId="0" applyNumberFormat="1" applyFont="1" applyFill="1" applyAlignment="1">
      <alignment wrapText="1"/>
    </xf>
    <xf numFmtId="49" fontId="1" fillId="15" borderId="0" xfId="0" applyNumberFormat="1" applyFont="1" applyFill="1" applyBorder="1"/>
    <xf numFmtId="0" fontId="5" fillId="7" borderId="0" xfId="0" applyFont="1" applyFill="1" applyBorder="1"/>
    <xf numFmtId="0" fontId="0" fillId="15" borderId="0" xfId="0" applyFont="1" applyFill="1" applyBorder="1"/>
    <xf numFmtId="49" fontId="10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left" vertical="center"/>
    </xf>
    <xf numFmtId="0" fontId="1" fillId="15" borderId="0" xfId="0" applyFont="1" applyFill="1" applyBorder="1"/>
    <xf numFmtId="49" fontId="1" fillId="15" borderId="0" xfId="0" applyNumberFormat="1" applyFont="1" applyFill="1" applyAlignment="1">
      <alignment wrapText="1"/>
    </xf>
    <xf numFmtId="49" fontId="5" fillId="3" borderId="0" xfId="0" applyNumberFormat="1" applyFont="1" applyFill="1" applyBorder="1"/>
    <xf numFmtId="49" fontId="5" fillId="7" borderId="0" xfId="0" applyNumberFormat="1" applyFont="1" applyFill="1" applyAlignment="1">
      <alignment wrapText="1"/>
    </xf>
    <xf numFmtId="49" fontId="6" fillId="7" borderId="0" xfId="0" applyNumberFormat="1" applyFont="1" applyFill="1" applyBorder="1"/>
    <xf numFmtId="49" fontId="6" fillId="0" borderId="0" xfId="0" applyNumberFormat="1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49" fontId="5" fillId="2" borderId="0" xfId="0" applyNumberFormat="1" applyFont="1" applyFill="1" applyBorder="1" applyAlignment="1">
      <alignment horizontal="left"/>
    </xf>
    <xf numFmtId="49" fontId="10" fillId="2" borderId="0" xfId="0" applyNumberFormat="1" applyFont="1" applyFill="1" applyBorder="1" applyAlignment="1">
      <alignment horizontal="center" vertical="center"/>
    </xf>
    <xf numFmtId="0" fontId="9" fillId="0" borderId="0" xfId="0" applyFont="1"/>
  </cellXfs>
  <cellStyles count="1">
    <cellStyle name="常规" xfId="0" builtinId="0"/>
  </cellStyles>
  <dxfs count="1900">
    <dxf>
      <alignment horizontal="left"/>
    </dxf>
    <dxf>
      <numFmt numFmtId="30" formatCode="@"/>
      <fill>
        <patternFill patternType="none"/>
      </fill>
      <alignment horizontal="left"/>
    </dxf>
    <dxf>
      <numFmt numFmtId="30" formatCode="@"/>
      <fill>
        <patternFill patternType="none"/>
      </fill>
    </dxf>
    <dxf>
      <numFmt numFmtId="30" formatCode="@"/>
      <fill>
        <patternFill patternType="none"/>
      </fill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none"/>
      </fill>
      <alignment horizontal="left" vertical="center"/>
    </dxf>
    <dxf>
      <fill>
        <patternFill patternType="none"/>
      </fill>
      <alignment horizontal="left" vertical="center"/>
    </dxf>
    <dxf>
      <font>
        <strike val="0"/>
        <u val="none"/>
        <sz val="11"/>
        <color theme="1"/>
        <name val="宋体"/>
        <scheme val="none"/>
      </font>
      <fill>
        <patternFill patternType="none"/>
      </fill>
      <alignment horizontal="left" vertical="center"/>
    </dxf>
    <dxf>
      <font>
        <strike val="0"/>
        <u val="none"/>
        <sz val="11"/>
        <color theme="1"/>
        <name val="宋体"/>
        <scheme val="none"/>
      </font>
      <fill>
        <patternFill patternType="none"/>
      </fill>
      <alignment horizontal="left" vertical="center"/>
    </dxf>
    <dxf>
      <alignment horizontal="left" vertical="center"/>
    </dxf>
    <dxf>
      <font>
        <b val="0"/>
        <i val="0"/>
        <strike val="0"/>
        <u val="none"/>
        <sz val="11"/>
        <color rgb="FFFF0000"/>
        <name val="宋体"/>
        <scheme val="none"/>
      </font>
    </dxf>
    <dxf>
      <numFmt numFmtId="30" formatCode="@"/>
      <alignment horizontal="right"/>
    </dxf>
    <dxf>
      <alignment horizontal="right"/>
    </dxf>
    <dxf>
      <numFmt numFmtId="178" formatCode="0.0_ ;[Red]\-0.0\ "/>
    </dxf>
    <dxf>
      <numFmt numFmtId="177" formatCode="0.0_);[Red]\(0.0\)"/>
    </dxf>
    <dxf>
      <numFmt numFmtId="177" formatCode="0.0_);[Red]\(0.0\)"/>
    </dxf>
    <dxf>
      <numFmt numFmtId="30" formatCode="@"/>
    </dxf>
    <dxf>
      <numFmt numFmtId="30" formatCode="@"/>
      <alignment horizontal="center" vertical="center"/>
    </dxf>
    <dxf>
      <numFmt numFmtId="30" formatCode="@"/>
      <alignment horizontal="left"/>
    </dxf>
    <dxf>
      <numFmt numFmtId="30" formatCode="@"/>
      <alignment horizontal="center" vertical="center"/>
    </dxf>
    <dxf>
      <numFmt numFmtId="176" formatCode="yyyy/m/d\ h:mm;@"/>
    </dxf>
    <dxf>
      <font>
        <b val="0"/>
        <i val="0"/>
        <strike val="0"/>
        <u val="none"/>
        <sz val="11"/>
        <color theme="1"/>
        <name val="宋体"/>
        <scheme val="none"/>
      </font>
      <numFmt numFmtId="30" formatCode="@"/>
      <fill>
        <patternFill patternType="solid">
          <fgColor theme="0" tint="-0.14996795556505021"/>
          <bgColor theme="0" tint="-0.1499679555650502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bgColor rgb="FF92D05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theme="8" tint="0.79995117038483843"/>
        </patternFill>
      </fill>
    </dxf>
    <dxf>
      <font>
        <color rgb="FFFF0000"/>
      </font>
      <fill>
        <patternFill patternType="solid">
          <bgColor rgb="FF92D050"/>
        </patternFill>
      </fill>
    </dxf>
    <dxf>
      <font>
        <color rgb="FFFF00FF"/>
      </font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ont>
        <color rgb="FFFF00FF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9" tint="0.59996337778862885"/>
        </patternFill>
      </fill>
    </dxf>
    <dxf>
      <font>
        <color theme="1"/>
      </font>
      <fill>
        <patternFill patternType="solid">
          <bgColor rgb="FFFF00FF"/>
        </patternFill>
      </fill>
    </dxf>
    <dxf>
      <font>
        <color rgb="FFFF0000"/>
      </font>
      <fill>
        <patternFill patternType="solid">
          <bgColor theme="6" tint="0.3999145481734672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39991454817346722"/>
        </patternFill>
      </fill>
    </dxf>
    <dxf>
      <font>
        <color rgb="FFFFFF00"/>
      </font>
      <fill>
        <patternFill patternType="solid">
          <bgColor rgb="FF7030A0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FF00FF"/>
      </font>
      <fill>
        <patternFill patternType="solid">
          <bgColor theme="6" tint="0.39991454817346722"/>
        </patternFill>
      </fill>
    </dxf>
    <dxf>
      <font>
        <color rgb="FFFF00FF"/>
      </font>
      <fill>
        <patternFill patternType="solid">
          <bgColor theme="6" tint="0.79995117038483843"/>
        </patternFill>
      </fill>
    </dxf>
    <dxf>
      <font>
        <color rgb="FFFF0000"/>
      </font>
      <fill>
        <patternFill patternType="solid">
          <bgColor rgb="FF92D050"/>
        </patternFill>
      </fill>
    </dxf>
    <dxf>
      <font>
        <color rgb="FF0000CC"/>
      </font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-0.2499465926084170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b val="0"/>
        <i val="0"/>
        <strike val="0"/>
        <u val="none"/>
        <sz val="11"/>
        <color theme="1"/>
        <name val="宋体"/>
        <scheme val="none"/>
      </font>
      <fill>
        <patternFill patternType="none"/>
      </fill>
      <alignment horizontal="left" vertical="center"/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30" formatCode="@"/>
      <fill>
        <patternFill patternType="none"/>
      </fill>
    </dxf>
    <dxf>
      <numFmt numFmtId="0" formatCode="General"/>
      <alignment horizontal="right"/>
    </dxf>
    <dxf>
      <numFmt numFmtId="0" formatCode="General"/>
      <alignment horizontal="right"/>
    </dxf>
    <dxf>
      <numFmt numFmtId="0" formatCode="General"/>
      <alignment horizontal="right"/>
    </dxf>
    <dxf>
      <numFmt numFmtId="0" formatCode="General"/>
      <alignment horizontal="right"/>
    </dxf>
    <dxf>
      <numFmt numFmtId="0" formatCode="General"/>
      <alignment horizontal="right"/>
    </dxf>
    <dxf>
      <numFmt numFmtId="0" formatCode="General"/>
      <alignment horizontal="right"/>
    </dxf>
    <dxf>
      <numFmt numFmtId="0" formatCode="General"/>
      <alignment horizontal="right"/>
    </dxf>
    <dxf>
      <numFmt numFmtId="0" formatCode="General"/>
      <alignment horizontal="right"/>
    </dxf>
    <dxf>
      <numFmt numFmtId="0" formatCode="General"/>
      <alignment horizontal="right"/>
    </dxf>
    <dxf>
      <numFmt numFmtId="0" formatCode="General"/>
      <alignment horizontal="right"/>
    </dxf>
    <dxf>
      <numFmt numFmtId="0" formatCode="General"/>
      <alignment horizontal="right"/>
    </dxf>
    <dxf>
      <numFmt numFmtId="0" formatCode="General"/>
      <alignment horizontal="right"/>
    </dxf>
    <dxf>
      <numFmt numFmtId="0" formatCode="General"/>
      <alignment horizontal="right"/>
    </dxf>
    <dxf>
      <numFmt numFmtId="0" formatCode="General"/>
      <alignment horizontal="right"/>
    </dxf>
    <dxf>
      <numFmt numFmtId="0" formatCode="General"/>
      <alignment horizontal="right"/>
    </dxf>
    <dxf>
      <numFmt numFmtId="30" formatCode="@"/>
      <alignment horizontal="center" vertical="center"/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theme="8" tint="0.79995117038483843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79995117038483843"/>
        </patternFill>
      </fill>
    </dxf>
  </dxfs>
  <tableStyles count="0" defaultTableStyle="TableStyleMedium2" defaultPivotStyle="PivotStyleMedium9"/>
  <colors>
    <mruColors>
      <color rgb="FFFF00FF"/>
      <color rgb="FF00FFFF"/>
      <color rgb="FFFF66FF"/>
      <color rgb="FFD8188A"/>
      <color rgb="FF0000CC"/>
      <color rgb="FF00FF00"/>
      <color rgb="FFFF0066"/>
      <color rgb="FF00CC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1_423" displayName="表1_423" ref="A1:V1193" totalsRowShown="0">
  <autoFilter ref="A1:V1193" xr:uid="{00000000-0009-0000-0100-000002000000}"/>
  <tableColumns count="22">
    <tableColumn id="5" xr3:uid="{00000000-0010-0000-0000-000005000000}" name="比分" dataDxfId="956"/>
    <tableColumn id="38" xr3:uid="{00000000-0010-0000-0000-000026000000}" name="基础概率" dataDxfId="955"/>
    <tableColumn id="61" xr3:uid="{00000000-0010-0000-0000-00003D000000}" name="盘口概率" dataDxfId="954"/>
    <tableColumn id="62" xr3:uid="{00000000-0010-0000-0000-00003E000000}" name="同类概率" dataDxfId="953"/>
    <tableColumn id="66" xr3:uid="{00000000-0010-0000-0000-000042000000}" name="同主实力1" dataDxfId="952"/>
    <tableColumn id="68" xr3:uid="{00000000-0010-0000-0000-000044000000}" name="同主实力1修正" dataDxfId="951"/>
    <tableColumn id="63" xr3:uid="{00000000-0010-0000-0000-00003F000000}" name="同主实力2" dataDxfId="950"/>
    <tableColumn id="59" xr3:uid="{00000000-0010-0000-0000-00003B000000}" name="同主实力2修正" dataDxfId="949"/>
    <tableColumn id="50" xr3:uid="{00000000-0010-0000-0000-000032000000}" name="同主指数" dataDxfId="948"/>
    <tableColumn id="52" xr3:uid="{00000000-0010-0000-0000-000034000000}" name="同主指数修正" dataDxfId="947"/>
    <tableColumn id="54" xr3:uid="{00000000-0010-0000-0000-000036000000}" name="同客实力1" dataDxfId="946"/>
    <tableColumn id="56" xr3:uid="{00000000-0010-0000-0000-000038000000}" name="同客实力1修正" dataDxfId="945"/>
    <tableColumn id="46" xr3:uid="{00000000-0010-0000-0000-00002E000000}" name="同客实力2" dataDxfId="944"/>
    <tableColumn id="48" xr3:uid="{00000000-0010-0000-0000-000030000000}" name="同客实力2修正" dataDxfId="943"/>
    <tableColumn id="44" xr3:uid="{00000000-0010-0000-0000-00002C000000}" name="同客指数" dataDxfId="942"/>
    <tableColumn id="39" xr3:uid="{00000000-0010-0000-0000-000027000000}" name="同客指数修正" dataDxfId="941"/>
    <tableColumn id="25" xr3:uid="{00000000-0010-0000-0000-000019000000}" name="初盘大" dataDxfId="940"/>
    <tableColumn id="26" xr3:uid="{00000000-0010-0000-0000-00001A000000}" name="水位" dataDxfId="939"/>
    <tableColumn id="24" xr3:uid="{00000000-0010-0000-0000-000018000000}" name="终盘水位" dataDxfId="938"/>
    <tableColumn id="40" xr3:uid="{00000000-0010-0000-0000-000028000000}" name="澳盘比对" dataDxfId="937"/>
    <tableColumn id="41" xr3:uid="{00000000-0010-0000-0000-000029000000}" name="马会终盘"/>
    <tableColumn id="42" xr3:uid="{00000000-0010-0000-0000-00002A000000}" name="马会水位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表1_4" displayName="表1_4" ref="A1:Y1645" totalsRowShown="0">
  <autoFilter ref="A1:Y1645" xr:uid="{00000000-0009-0000-0100-000003000000}"/>
  <tableColumns count="25">
    <tableColumn id="2" xr3:uid="{00000000-0010-0000-0100-000002000000}" name="联赛" dataDxfId="22"/>
    <tableColumn id="3" xr3:uid="{00000000-0010-0000-0100-000003000000}" name="日期" dataDxfId="21"/>
    <tableColumn id="21" xr3:uid="{00000000-0010-0000-0100-000015000000}" name="轮次" dataDxfId="20"/>
    <tableColumn id="4" xr3:uid="{00000000-0010-0000-0100-000004000000}" name="主" dataDxfId="19"/>
    <tableColumn id="5" xr3:uid="{00000000-0010-0000-0100-000005000000}" name="比分" dataDxfId="18"/>
    <tableColumn id="6" xr3:uid="{00000000-0010-0000-0100-000006000000}" name="客队" dataDxfId="17"/>
    <tableColumn id="7" xr3:uid="{00000000-0010-0000-0100-000007000000}" name="主队2" dataDxfId="16"/>
    <tableColumn id="8" xr3:uid="{00000000-0010-0000-0100-000008000000}" name="客队2" dataDxfId="15"/>
    <tableColumn id="9" xr3:uid="{00000000-0010-0000-0100-000009000000}" name="实力差" dataDxfId="14">
      <calculatedColumnFormula>表1_4[[#This Row],[主队2]]-表1_4[[#This Row],[客队2]]</calculatedColumnFormula>
    </tableColumn>
    <tableColumn id="10" xr3:uid="{00000000-0010-0000-0100-00000A000000}" name="实力盘" dataDxfId="13"/>
    <tableColumn id="11" xr3:uid="{00000000-0010-0000-0100-00000B000000}" name="澳盘" dataDxfId="12"/>
    <tableColumn id="14" xr3:uid="{00000000-0010-0000-0100-00000E000000}" name="亚合" dataDxfId="11"/>
    <tableColumn id="15" xr3:uid="{00000000-0010-0000-0100-00000F000000}" name="典型特征&amp;预判" dataDxfId="10"/>
    <tableColumn id="1" xr3:uid="{00000000-0010-0000-0100-000001000000}" name="临场竞价" dataDxfId="9"/>
    <tableColumn id="20" xr3:uid="{00000000-0010-0000-0100-000014000000}" name="终盘竞价" dataDxfId="8"/>
    <tableColumn id="12" xr3:uid="{00000000-0010-0000-0100-00000C000000}" name="热度" dataDxfId="7"/>
    <tableColumn id="19" xr3:uid="{00000000-0010-0000-0100-000013000000}" name="域" dataDxfId="6"/>
    <tableColumn id="16" xr3:uid="{00000000-0010-0000-0100-000010000000}" name="预测"/>
    <tableColumn id="24" xr3:uid="{00000000-0010-0000-0100-000018000000}" name="拉力" dataDxfId="5"/>
    <tableColumn id="25" xr3:uid="{00000000-0010-0000-0100-000019000000}" name="特点" dataDxfId="4"/>
    <tableColumn id="18" xr3:uid="{00000000-0010-0000-0100-000012000000}" name="初盘" dataDxfId="3"/>
    <tableColumn id="17" xr3:uid="{00000000-0010-0000-0100-000011000000}" name="亚盘变化（澳彩）"/>
    <tableColumn id="13" xr3:uid="{00000000-0010-0000-0100-00000D000000}" name="高峰期变化 " dataDxfId="2"/>
    <tableColumn id="23" xr3:uid="{00000000-0010-0000-0100-000017000000}" name="1小时水位" dataDxfId="1"/>
    <tableColumn id="22" xr3:uid="{00000000-0010-0000-0100-000016000000}" name="终盘变化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22"/>
  <sheetViews>
    <sheetView tabSelected="1" zoomScale="130" zoomScaleNormal="130" workbookViewId="0">
      <pane ySplit="1" topLeftCell="A2" activePane="bottomLeft" state="frozen"/>
      <selection pane="bottomLeft" activeCell="X9" sqref="X9"/>
    </sheetView>
  </sheetViews>
  <sheetFormatPr defaultColWidth="9" defaultRowHeight="13.5" customHeight="1"/>
  <cols>
    <col min="1" max="1" width="8.75" style="7" customWidth="1"/>
    <col min="2" max="16" width="7.75" customWidth="1"/>
    <col min="17" max="17" width="5.5" style="3" hidden="1" customWidth="1"/>
    <col min="18" max="18" width="4.75" style="199" hidden="1" customWidth="1"/>
    <col min="19" max="19" width="4.25" style="199" hidden="1" customWidth="1"/>
    <col min="20" max="20" width="12.375" style="200" hidden="1" customWidth="1"/>
    <col min="21" max="22" width="9" hidden="1" customWidth="1"/>
    <col min="23" max="24" width="9" customWidth="1"/>
  </cols>
  <sheetData>
    <row r="1" spans="1:22" s="1" customFormat="1" ht="26.25" customHeight="1">
      <c r="A1" s="16" t="s">
        <v>0</v>
      </c>
      <c r="B1" s="201" t="s">
        <v>1</v>
      </c>
      <c r="C1" s="201" t="s">
        <v>2</v>
      </c>
      <c r="D1" s="201" t="s">
        <v>3</v>
      </c>
      <c r="E1" s="201" t="s">
        <v>4</v>
      </c>
      <c r="F1" s="201" t="s">
        <v>5</v>
      </c>
      <c r="G1" s="201" t="s">
        <v>6</v>
      </c>
      <c r="H1" s="201" t="s">
        <v>7</v>
      </c>
      <c r="I1" s="201" t="s">
        <v>8</v>
      </c>
      <c r="J1" s="201" t="s">
        <v>9</v>
      </c>
      <c r="K1" s="202" t="s">
        <v>10</v>
      </c>
      <c r="L1" s="202" t="s">
        <v>11</v>
      </c>
      <c r="M1" s="202" t="s">
        <v>12</v>
      </c>
      <c r="N1" s="202" t="s">
        <v>13</v>
      </c>
      <c r="O1" s="202" t="s">
        <v>14</v>
      </c>
      <c r="P1" s="202" t="s">
        <v>15</v>
      </c>
      <c r="Q1" s="27" t="s">
        <v>16</v>
      </c>
      <c r="R1" s="203" t="s">
        <v>17</v>
      </c>
      <c r="S1" s="165" t="s">
        <v>18</v>
      </c>
      <c r="T1" s="16" t="s">
        <v>19</v>
      </c>
      <c r="U1" s="14" t="s">
        <v>20</v>
      </c>
      <c r="V1" s="14" t="s">
        <v>21</v>
      </c>
    </row>
    <row r="2" spans="1:22" ht="13.5" customHeight="1">
      <c r="A2" s="42" t="s">
        <v>22</v>
      </c>
      <c r="B2" s="204">
        <v>55.6</v>
      </c>
      <c r="C2" s="204">
        <v>76.2</v>
      </c>
      <c r="D2" s="204">
        <v>100</v>
      </c>
      <c r="E2" s="204">
        <v>100</v>
      </c>
      <c r="F2" s="204">
        <v>100</v>
      </c>
      <c r="G2" s="204">
        <v>100</v>
      </c>
      <c r="H2" s="204">
        <v>100</v>
      </c>
      <c r="I2" s="204">
        <v>57.1</v>
      </c>
      <c r="J2" s="204">
        <v>60</v>
      </c>
      <c r="K2" s="204">
        <v>100</v>
      </c>
      <c r="L2" s="204">
        <v>100</v>
      </c>
      <c r="M2" s="204">
        <v>100</v>
      </c>
      <c r="N2" s="204">
        <v>100</v>
      </c>
      <c r="O2" s="204">
        <v>40</v>
      </c>
      <c r="P2" s="204">
        <v>40</v>
      </c>
      <c r="Q2" s="44" t="s">
        <v>23</v>
      </c>
      <c r="R2" s="205">
        <v>85</v>
      </c>
      <c r="S2" s="205">
        <v>92</v>
      </c>
      <c r="T2" s="10" t="s">
        <v>24</v>
      </c>
    </row>
    <row r="3" spans="1:22" ht="13.5" customHeight="1">
      <c r="A3" s="31" t="s">
        <v>25</v>
      </c>
      <c r="B3" s="204">
        <v>67.7</v>
      </c>
      <c r="C3" s="204">
        <v>38.1</v>
      </c>
      <c r="D3" s="204">
        <v>25</v>
      </c>
      <c r="E3" s="204">
        <v>16.7</v>
      </c>
      <c r="F3" s="204">
        <v>20</v>
      </c>
      <c r="G3" s="204">
        <v>20</v>
      </c>
      <c r="H3" s="204">
        <v>25</v>
      </c>
      <c r="I3" s="204">
        <v>50</v>
      </c>
      <c r="J3" s="204">
        <v>40</v>
      </c>
      <c r="K3" s="204">
        <v>0</v>
      </c>
      <c r="L3" s="204">
        <v>0</v>
      </c>
      <c r="M3" s="204">
        <v>0</v>
      </c>
      <c r="N3" s="204">
        <v>0</v>
      </c>
      <c r="O3" s="204">
        <v>0</v>
      </c>
      <c r="P3" s="204">
        <v>0</v>
      </c>
      <c r="Q3" s="44" t="s">
        <v>26</v>
      </c>
      <c r="R3" s="205">
        <v>95</v>
      </c>
      <c r="S3" s="205">
        <v>90</v>
      </c>
      <c r="T3" s="10" t="s">
        <v>27</v>
      </c>
    </row>
    <row r="4" spans="1:22" ht="13.5" customHeight="1">
      <c r="A4" s="42" t="s">
        <v>22</v>
      </c>
      <c r="B4" s="204">
        <v>63.6</v>
      </c>
      <c r="C4" s="204">
        <v>50.8</v>
      </c>
      <c r="D4" s="204">
        <v>62.5</v>
      </c>
      <c r="E4" s="204">
        <v>100</v>
      </c>
      <c r="F4" s="204">
        <v>100</v>
      </c>
      <c r="G4" s="204">
        <v>100</v>
      </c>
      <c r="H4" s="204">
        <v>100</v>
      </c>
      <c r="I4" s="204">
        <v>66.7</v>
      </c>
      <c r="J4" s="204">
        <v>50</v>
      </c>
      <c r="K4" s="204">
        <v>100</v>
      </c>
      <c r="L4" s="204">
        <v>100</v>
      </c>
      <c r="M4" s="204">
        <v>100</v>
      </c>
      <c r="N4" s="204">
        <v>100</v>
      </c>
      <c r="O4" s="204">
        <v>100</v>
      </c>
      <c r="P4" s="204">
        <v>100</v>
      </c>
      <c r="Q4" s="44" t="s">
        <v>26</v>
      </c>
      <c r="R4" s="205">
        <v>80</v>
      </c>
      <c r="S4" s="205">
        <v>85</v>
      </c>
      <c r="T4" s="10" t="s">
        <v>28</v>
      </c>
    </row>
    <row r="5" spans="1:22" ht="13.5" customHeight="1">
      <c r="A5" s="42" t="s">
        <v>29</v>
      </c>
      <c r="B5" s="204">
        <v>66.7</v>
      </c>
      <c r="C5" s="204">
        <v>73.3</v>
      </c>
      <c r="D5" s="204">
        <v>77.8</v>
      </c>
      <c r="E5" s="204">
        <v>60</v>
      </c>
      <c r="F5" s="204">
        <v>66.7</v>
      </c>
      <c r="G5" s="204">
        <v>66.7</v>
      </c>
      <c r="H5" s="204">
        <v>100</v>
      </c>
      <c r="I5" s="204">
        <v>64.7</v>
      </c>
      <c r="J5" s="204">
        <v>66.7</v>
      </c>
      <c r="K5" s="204">
        <v>100</v>
      </c>
      <c r="L5" s="204">
        <v>100</v>
      </c>
      <c r="M5" s="204">
        <v>100</v>
      </c>
      <c r="N5" s="204">
        <v>100</v>
      </c>
      <c r="O5" s="204">
        <v>100</v>
      </c>
      <c r="P5" s="204">
        <v>100</v>
      </c>
      <c r="Q5" s="44" t="s">
        <v>30</v>
      </c>
      <c r="R5" s="205">
        <v>80</v>
      </c>
      <c r="S5" s="205">
        <v>86</v>
      </c>
      <c r="T5" s="10" t="s">
        <v>28</v>
      </c>
    </row>
    <row r="6" spans="1:22" ht="13.5" customHeight="1">
      <c r="A6" s="49" t="s">
        <v>31</v>
      </c>
      <c r="B6" s="204">
        <v>72.7</v>
      </c>
      <c r="C6" s="204">
        <v>38.1</v>
      </c>
      <c r="D6" s="204">
        <v>56.2</v>
      </c>
      <c r="E6" s="204">
        <v>100</v>
      </c>
      <c r="F6" s="204">
        <v>100</v>
      </c>
      <c r="G6" s="204">
        <v>100</v>
      </c>
      <c r="H6" s="204">
        <v>100</v>
      </c>
      <c r="I6" s="204">
        <v>50</v>
      </c>
      <c r="J6" s="204">
        <v>40</v>
      </c>
      <c r="K6" s="204">
        <v>50</v>
      </c>
      <c r="L6" s="204">
        <v>50</v>
      </c>
      <c r="M6" s="204">
        <v>50</v>
      </c>
      <c r="N6" s="204">
        <v>50</v>
      </c>
      <c r="O6" s="204">
        <v>33.299999999999997</v>
      </c>
      <c r="P6" s="204">
        <v>50</v>
      </c>
      <c r="Q6" s="44" t="s">
        <v>26</v>
      </c>
      <c r="R6" s="205">
        <v>90</v>
      </c>
      <c r="S6" s="205">
        <v>105</v>
      </c>
      <c r="T6" s="10" t="s">
        <v>32</v>
      </c>
    </row>
    <row r="7" spans="1:22" ht="13.5" customHeight="1">
      <c r="A7" s="42" t="s">
        <v>33</v>
      </c>
      <c r="B7" s="204">
        <v>59.1</v>
      </c>
      <c r="C7" s="204">
        <v>84.6</v>
      </c>
      <c r="D7" s="204">
        <v>83.3</v>
      </c>
      <c r="E7" s="204">
        <v>40</v>
      </c>
      <c r="F7" s="204">
        <v>100</v>
      </c>
      <c r="G7" s="204">
        <v>50</v>
      </c>
      <c r="H7" s="204">
        <v>100</v>
      </c>
      <c r="I7" s="204">
        <v>66.7</v>
      </c>
      <c r="J7" s="204">
        <v>80</v>
      </c>
      <c r="K7" s="204">
        <v>50</v>
      </c>
      <c r="L7" s="204">
        <v>50</v>
      </c>
      <c r="M7" s="204">
        <v>50</v>
      </c>
      <c r="N7" s="204">
        <v>50</v>
      </c>
      <c r="O7" s="204">
        <v>40</v>
      </c>
      <c r="P7" s="204">
        <v>40</v>
      </c>
      <c r="Q7" s="44" t="s">
        <v>34</v>
      </c>
      <c r="R7" s="205">
        <v>90</v>
      </c>
      <c r="S7" s="205">
        <v>100</v>
      </c>
      <c r="T7" s="10" t="s">
        <v>35</v>
      </c>
    </row>
    <row r="8" spans="1:22" ht="13.5" customHeight="1">
      <c r="A8" s="31" t="s">
        <v>36</v>
      </c>
      <c r="B8" s="204">
        <v>0</v>
      </c>
      <c r="C8" s="204">
        <v>36.9</v>
      </c>
      <c r="D8" s="204">
        <v>25</v>
      </c>
      <c r="E8" s="204">
        <v>0</v>
      </c>
      <c r="F8" s="204">
        <v>0</v>
      </c>
      <c r="G8" s="204">
        <v>0</v>
      </c>
      <c r="H8" s="204">
        <v>0</v>
      </c>
      <c r="I8" s="204">
        <v>0</v>
      </c>
      <c r="J8" s="204">
        <v>0</v>
      </c>
      <c r="K8" s="204">
        <v>0</v>
      </c>
      <c r="L8" s="204">
        <v>0</v>
      </c>
      <c r="M8" s="204">
        <v>0</v>
      </c>
      <c r="N8" s="204">
        <v>0</v>
      </c>
      <c r="O8" s="204">
        <v>0</v>
      </c>
      <c r="P8" s="204">
        <v>0</v>
      </c>
      <c r="Q8" s="44" t="s">
        <v>23</v>
      </c>
      <c r="R8" s="205">
        <v>100</v>
      </c>
      <c r="S8" s="205">
        <v>95</v>
      </c>
      <c r="T8" s="10" t="s">
        <v>27</v>
      </c>
    </row>
    <row r="9" spans="1:22" ht="13.5" customHeight="1">
      <c r="A9" s="31" t="s">
        <v>36</v>
      </c>
      <c r="B9" s="204">
        <v>0</v>
      </c>
      <c r="C9" s="204">
        <v>38.799999999999997</v>
      </c>
      <c r="D9" s="204">
        <v>37.5</v>
      </c>
      <c r="E9" s="204">
        <v>0</v>
      </c>
      <c r="F9" s="204">
        <v>0</v>
      </c>
      <c r="G9" s="204">
        <v>0</v>
      </c>
      <c r="H9" s="204">
        <v>0</v>
      </c>
      <c r="I9" s="204">
        <v>0</v>
      </c>
      <c r="J9" s="204">
        <v>0</v>
      </c>
      <c r="K9" s="204">
        <v>0</v>
      </c>
      <c r="L9" s="204">
        <v>0</v>
      </c>
      <c r="M9" s="204">
        <v>0</v>
      </c>
      <c r="N9" s="204">
        <v>0</v>
      </c>
      <c r="O9" s="204">
        <v>0</v>
      </c>
      <c r="P9" s="204">
        <v>0</v>
      </c>
      <c r="Q9" s="44" t="s">
        <v>34</v>
      </c>
      <c r="R9" s="205">
        <v>100</v>
      </c>
      <c r="S9" s="205">
        <v>92</v>
      </c>
      <c r="T9" s="100" t="s">
        <v>27</v>
      </c>
    </row>
    <row r="10" spans="1:22" ht="13.5" customHeight="1">
      <c r="A10" s="49" t="s">
        <v>33</v>
      </c>
      <c r="B10" s="204">
        <v>28.2</v>
      </c>
      <c r="C10" s="204">
        <v>36.9</v>
      </c>
      <c r="D10" s="204">
        <v>22.2</v>
      </c>
      <c r="E10" s="204">
        <v>60</v>
      </c>
      <c r="F10" s="204">
        <v>100</v>
      </c>
      <c r="G10" s="204">
        <v>60</v>
      </c>
      <c r="H10" s="204">
        <v>100</v>
      </c>
      <c r="I10" s="204">
        <v>40</v>
      </c>
      <c r="J10" s="204">
        <v>50</v>
      </c>
      <c r="K10" s="204">
        <v>100</v>
      </c>
      <c r="L10" s="204">
        <v>100</v>
      </c>
      <c r="M10" s="204">
        <v>100</v>
      </c>
      <c r="N10" s="204">
        <v>100</v>
      </c>
      <c r="O10" s="204">
        <v>100</v>
      </c>
      <c r="P10" s="204">
        <v>100</v>
      </c>
      <c r="Q10" s="44" t="s">
        <v>23</v>
      </c>
      <c r="R10" s="205">
        <v>100</v>
      </c>
      <c r="S10" s="205">
        <v>86</v>
      </c>
      <c r="T10" s="10" t="s">
        <v>28</v>
      </c>
    </row>
    <row r="11" spans="1:22" ht="13.5" customHeight="1">
      <c r="A11" s="42" t="s">
        <v>37</v>
      </c>
      <c r="B11" s="204">
        <v>84.2</v>
      </c>
      <c r="C11" s="204">
        <v>100</v>
      </c>
      <c r="D11" s="204">
        <v>100</v>
      </c>
      <c r="E11" s="204">
        <v>66.7</v>
      </c>
      <c r="F11" s="204">
        <v>100</v>
      </c>
      <c r="G11" s="204">
        <v>66.7</v>
      </c>
      <c r="H11" s="204">
        <v>100</v>
      </c>
      <c r="I11" s="204">
        <v>100</v>
      </c>
      <c r="J11" s="204">
        <v>100</v>
      </c>
      <c r="K11" s="204">
        <v>100</v>
      </c>
      <c r="L11" s="204">
        <v>100</v>
      </c>
      <c r="M11" s="204">
        <v>100</v>
      </c>
      <c r="N11" s="204">
        <v>100</v>
      </c>
      <c r="O11" s="204">
        <v>100</v>
      </c>
      <c r="P11" s="204">
        <v>100</v>
      </c>
      <c r="Q11" s="44" t="s">
        <v>38</v>
      </c>
      <c r="R11" s="205">
        <v>80</v>
      </c>
      <c r="S11" s="205">
        <v>82</v>
      </c>
      <c r="T11" s="10" t="s">
        <v>39</v>
      </c>
    </row>
    <row r="12" spans="1:22" ht="13.5" customHeight="1">
      <c r="A12" s="31" t="s">
        <v>36</v>
      </c>
      <c r="B12" s="204">
        <v>84.2</v>
      </c>
      <c r="C12" s="204">
        <v>60.6</v>
      </c>
      <c r="D12" s="204">
        <v>50</v>
      </c>
      <c r="E12" s="204">
        <v>50</v>
      </c>
      <c r="F12" s="204">
        <v>0</v>
      </c>
      <c r="G12" s="204">
        <v>66.7</v>
      </c>
      <c r="H12" s="204">
        <v>0</v>
      </c>
      <c r="I12" s="204">
        <v>66.7</v>
      </c>
      <c r="J12" s="204">
        <v>50</v>
      </c>
      <c r="K12" s="204">
        <v>66.7</v>
      </c>
      <c r="L12" s="204">
        <v>66.7</v>
      </c>
      <c r="M12" s="204">
        <v>75</v>
      </c>
      <c r="N12" s="204">
        <v>75</v>
      </c>
      <c r="O12" s="204">
        <v>0</v>
      </c>
      <c r="P12" s="204">
        <v>0</v>
      </c>
      <c r="Q12" s="44" t="s">
        <v>30</v>
      </c>
      <c r="R12" s="205">
        <v>80</v>
      </c>
      <c r="S12" s="205">
        <v>80</v>
      </c>
      <c r="T12" s="46" t="s">
        <v>40</v>
      </c>
    </row>
    <row r="13" spans="1:22" ht="27" customHeight="1">
      <c r="A13" s="42" t="s">
        <v>41</v>
      </c>
      <c r="B13" s="204">
        <v>52.6</v>
      </c>
      <c r="C13" s="204">
        <v>73.3</v>
      </c>
      <c r="D13" s="204">
        <v>50</v>
      </c>
      <c r="E13" s="204">
        <v>60</v>
      </c>
      <c r="F13" s="204">
        <v>66.7</v>
      </c>
      <c r="G13" s="204">
        <v>40</v>
      </c>
      <c r="H13" s="204">
        <v>25</v>
      </c>
      <c r="I13" s="204">
        <v>40</v>
      </c>
      <c r="J13" s="204">
        <v>33.299999999999997</v>
      </c>
      <c r="K13" s="204">
        <v>100</v>
      </c>
      <c r="L13" s="204">
        <v>100</v>
      </c>
      <c r="M13" s="204">
        <v>100</v>
      </c>
      <c r="N13" s="204">
        <v>100</v>
      </c>
      <c r="O13" s="204">
        <v>66.7</v>
      </c>
      <c r="P13" s="204">
        <v>66.7</v>
      </c>
      <c r="Q13" s="44" t="s">
        <v>34</v>
      </c>
      <c r="R13" s="205">
        <v>100</v>
      </c>
      <c r="S13" s="205">
        <v>105</v>
      </c>
      <c r="T13" s="57" t="s">
        <v>35</v>
      </c>
    </row>
    <row r="14" spans="1:22" ht="13.5" customHeight="1">
      <c r="A14" s="31" t="s">
        <v>42</v>
      </c>
      <c r="B14" s="204">
        <v>33.299999999999997</v>
      </c>
      <c r="C14" s="204">
        <v>36.9</v>
      </c>
      <c r="D14" s="204">
        <v>33.299999999999997</v>
      </c>
      <c r="E14" s="204">
        <v>33.299999999999997</v>
      </c>
      <c r="F14" s="204">
        <v>0</v>
      </c>
      <c r="G14" s="204">
        <v>25</v>
      </c>
      <c r="H14" s="204">
        <v>0</v>
      </c>
      <c r="I14" s="204">
        <v>33.299999999999997</v>
      </c>
      <c r="J14" s="204">
        <v>33.299999999999997</v>
      </c>
      <c r="K14" s="204">
        <v>0</v>
      </c>
      <c r="L14" s="204">
        <v>0</v>
      </c>
      <c r="M14" s="204">
        <v>0</v>
      </c>
      <c r="N14" s="204">
        <v>0</v>
      </c>
      <c r="O14" s="204">
        <v>0</v>
      </c>
      <c r="P14" s="204">
        <v>0</v>
      </c>
      <c r="Q14" s="44" t="s">
        <v>26</v>
      </c>
      <c r="R14" s="205">
        <v>95</v>
      </c>
      <c r="S14" s="205">
        <v>95</v>
      </c>
      <c r="T14" s="10" t="s">
        <v>28</v>
      </c>
    </row>
    <row r="15" spans="1:22" ht="13.5" customHeight="1">
      <c r="A15" s="42" t="s">
        <v>43</v>
      </c>
      <c r="B15" s="204">
        <v>73.3</v>
      </c>
      <c r="C15" s="204">
        <v>38.1</v>
      </c>
      <c r="D15" s="204">
        <v>40</v>
      </c>
      <c r="E15" s="204">
        <v>57.1</v>
      </c>
      <c r="F15" s="204">
        <v>100</v>
      </c>
      <c r="G15" s="204">
        <v>60</v>
      </c>
      <c r="H15" s="204">
        <v>100</v>
      </c>
      <c r="I15" s="204">
        <v>64.7</v>
      </c>
      <c r="J15" s="204">
        <v>66.7</v>
      </c>
      <c r="K15" s="204">
        <v>100</v>
      </c>
      <c r="L15" s="204">
        <v>100</v>
      </c>
      <c r="M15" s="204">
        <v>100</v>
      </c>
      <c r="N15" s="204">
        <v>100</v>
      </c>
      <c r="O15" s="204">
        <v>71.400000000000006</v>
      </c>
      <c r="P15" s="204">
        <v>71.400000000000006</v>
      </c>
      <c r="Q15" s="44" t="s">
        <v>23</v>
      </c>
      <c r="R15" s="205">
        <v>85</v>
      </c>
      <c r="S15" s="205">
        <v>90</v>
      </c>
      <c r="T15" s="10" t="s">
        <v>28</v>
      </c>
    </row>
    <row r="16" spans="1:22" ht="13.5" customHeight="1">
      <c r="A16" s="31" t="s">
        <v>36</v>
      </c>
      <c r="B16" s="204">
        <v>45.7</v>
      </c>
      <c r="C16" s="204">
        <v>39.1</v>
      </c>
      <c r="D16" s="204">
        <v>33.299999999999997</v>
      </c>
      <c r="E16" s="204">
        <v>16.7</v>
      </c>
      <c r="F16" s="204">
        <v>20</v>
      </c>
      <c r="G16" s="204">
        <v>50</v>
      </c>
      <c r="H16" s="204">
        <v>50</v>
      </c>
      <c r="I16" s="204">
        <v>50</v>
      </c>
      <c r="J16" s="204">
        <v>40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44" t="s">
        <v>30</v>
      </c>
      <c r="R16" s="205">
        <v>80</v>
      </c>
      <c r="S16" s="205">
        <v>95</v>
      </c>
      <c r="T16" s="100" t="s">
        <v>27</v>
      </c>
    </row>
    <row r="17" spans="1:20" ht="13.5" customHeight="1">
      <c r="A17" s="42" t="s">
        <v>31</v>
      </c>
      <c r="B17" s="204">
        <v>50</v>
      </c>
      <c r="C17" s="204">
        <v>38.799999999999997</v>
      </c>
      <c r="D17" s="204">
        <v>60</v>
      </c>
      <c r="E17" s="204">
        <v>80</v>
      </c>
      <c r="F17" s="204">
        <v>75</v>
      </c>
      <c r="G17" s="204">
        <v>80</v>
      </c>
      <c r="H17" s="204">
        <v>75</v>
      </c>
      <c r="I17" s="204">
        <v>50</v>
      </c>
      <c r="J17" s="204">
        <v>100</v>
      </c>
      <c r="K17" s="204">
        <v>50</v>
      </c>
      <c r="L17" s="204">
        <v>100</v>
      </c>
      <c r="M17" s="204">
        <v>50</v>
      </c>
      <c r="N17" s="204">
        <v>100</v>
      </c>
      <c r="O17" s="204">
        <v>40</v>
      </c>
      <c r="P17" s="204">
        <v>66.7</v>
      </c>
      <c r="Q17" s="44" t="s">
        <v>26</v>
      </c>
      <c r="R17" s="205">
        <v>80</v>
      </c>
      <c r="S17" s="205">
        <v>95</v>
      </c>
      <c r="T17" s="10" t="s">
        <v>35</v>
      </c>
    </row>
    <row r="18" spans="1:20" s="2" customFormat="1" ht="27" customHeight="1">
      <c r="A18" s="7" t="s">
        <v>44</v>
      </c>
      <c r="B18" s="204">
        <v>62.5</v>
      </c>
      <c r="C18" s="204">
        <v>66.7</v>
      </c>
      <c r="D18" s="204">
        <v>100</v>
      </c>
      <c r="E18" s="204">
        <v>100</v>
      </c>
      <c r="F18" s="204">
        <v>100</v>
      </c>
      <c r="G18" s="204">
        <v>100</v>
      </c>
      <c r="H18" s="204">
        <v>100</v>
      </c>
      <c r="I18" s="204">
        <v>75</v>
      </c>
      <c r="J18" s="204">
        <v>66.7</v>
      </c>
      <c r="K18" s="204">
        <v>100</v>
      </c>
      <c r="L18" s="204">
        <v>100</v>
      </c>
      <c r="M18" s="204">
        <v>100</v>
      </c>
      <c r="N18" s="204">
        <v>100</v>
      </c>
      <c r="O18" s="204">
        <v>100</v>
      </c>
      <c r="P18" s="204">
        <v>100</v>
      </c>
      <c r="Q18" s="86" t="s">
        <v>30</v>
      </c>
      <c r="R18" s="199">
        <v>75</v>
      </c>
      <c r="S18" s="199">
        <v>86</v>
      </c>
      <c r="T18" s="57" t="s">
        <v>28</v>
      </c>
    </row>
    <row r="19" spans="1:20" s="2" customFormat="1" ht="13.5" customHeight="1">
      <c r="A19" s="7" t="s">
        <v>42</v>
      </c>
      <c r="B19" s="204">
        <v>29.3</v>
      </c>
      <c r="C19" s="204">
        <v>36.9</v>
      </c>
      <c r="D19" s="204">
        <v>36.4</v>
      </c>
      <c r="E19" s="204">
        <v>50</v>
      </c>
      <c r="F19" s="204">
        <v>50</v>
      </c>
      <c r="G19" s="204">
        <v>50</v>
      </c>
      <c r="H19" s="204">
        <v>50</v>
      </c>
      <c r="I19" s="204">
        <v>80</v>
      </c>
      <c r="J19" s="204">
        <v>75</v>
      </c>
      <c r="K19" s="204">
        <v>50</v>
      </c>
      <c r="L19" s="204">
        <v>50</v>
      </c>
      <c r="M19" s="204">
        <v>50</v>
      </c>
      <c r="N19" s="204">
        <v>50</v>
      </c>
      <c r="O19" s="204">
        <v>33.299999999999997</v>
      </c>
      <c r="P19" s="204">
        <v>33.299999999999997</v>
      </c>
      <c r="Q19" s="86" t="s">
        <v>45</v>
      </c>
      <c r="R19" s="199">
        <v>90</v>
      </c>
      <c r="S19" s="199">
        <v>84</v>
      </c>
      <c r="T19" s="10" t="s">
        <v>46</v>
      </c>
    </row>
    <row r="20" spans="1:20" s="2" customFormat="1" ht="13.5" customHeight="1">
      <c r="A20" s="7" t="s">
        <v>47</v>
      </c>
      <c r="B20" s="204">
        <v>0</v>
      </c>
      <c r="C20" s="204">
        <v>49.4</v>
      </c>
      <c r="D20" s="204">
        <v>57.1</v>
      </c>
      <c r="E20" s="204">
        <v>25</v>
      </c>
      <c r="F20" s="204">
        <v>33.299999999999997</v>
      </c>
      <c r="G20" s="204">
        <v>20</v>
      </c>
      <c r="H20" s="204">
        <v>25</v>
      </c>
      <c r="I20" s="204">
        <v>50</v>
      </c>
      <c r="J20" s="204">
        <v>50</v>
      </c>
      <c r="K20" s="204">
        <v>0</v>
      </c>
      <c r="L20" s="204">
        <v>0</v>
      </c>
      <c r="M20" s="204">
        <v>0</v>
      </c>
      <c r="N20" s="204">
        <v>0</v>
      </c>
      <c r="O20" s="204">
        <v>25</v>
      </c>
      <c r="P20" s="204">
        <v>33.299999999999997</v>
      </c>
      <c r="Q20" s="86" t="s">
        <v>26</v>
      </c>
      <c r="R20" s="199">
        <v>100</v>
      </c>
      <c r="S20" s="199">
        <v>78</v>
      </c>
      <c r="T20" s="217" t="s">
        <v>40</v>
      </c>
    </row>
    <row r="21" spans="1:20" s="2" customFormat="1" ht="13.5" customHeight="1">
      <c r="A21" s="7" t="s">
        <v>25</v>
      </c>
      <c r="B21" s="204">
        <v>55.6</v>
      </c>
      <c r="C21" s="204">
        <v>50.8</v>
      </c>
      <c r="D21" s="204">
        <v>20</v>
      </c>
      <c r="E21" s="204">
        <v>66.7</v>
      </c>
      <c r="F21" s="204">
        <v>50</v>
      </c>
      <c r="G21" s="204">
        <v>50</v>
      </c>
      <c r="H21" s="204">
        <v>50</v>
      </c>
      <c r="I21" s="204">
        <v>40</v>
      </c>
      <c r="J21" s="204">
        <v>50</v>
      </c>
      <c r="K21" s="204">
        <v>0</v>
      </c>
      <c r="L21" s="204">
        <v>0</v>
      </c>
      <c r="M21" s="204">
        <v>0</v>
      </c>
      <c r="N21" s="204">
        <v>0</v>
      </c>
      <c r="O21" s="204">
        <v>40</v>
      </c>
      <c r="P21" s="204">
        <v>0</v>
      </c>
      <c r="Q21" s="86" t="s">
        <v>45</v>
      </c>
      <c r="R21" s="199">
        <v>86</v>
      </c>
      <c r="S21" s="199">
        <v>104</v>
      </c>
      <c r="T21" s="10" t="s">
        <v>48</v>
      </c>
    </row>
    <row r="22" spans="1:20" s="2" customFormat="1" ht="13.5" customHeight="1">
      <c r="A22" s="7" t="s">
        <v>37</v>
      </c>
      <c r="B22" s="204">
        <v>67.7</v>
      </c>
      <c r="C22" s="204">
        <v>46.5</v>
      </c>
      <c r="D22" s="204">
        <v>60</v>
      </c>
      <c r="E22" s="204">
        <v>33.299999999999997</v>
      </c>
      <c r="F22" s="204">
        <v>50</v>
      </c>
      <c r="G22" s="204">
        <v>33.299999999999997</v>
      </c>
      <c r="H22" s="204">
        <v>50</v>
      </c>
      <c r="I22" s="204">
        <v>50</v>
      </c>
      <c r="J22" s="204">
        <v>50</v>
      </c>
      <c r="K22" s="204">
        <v>50</v>
      </c>
      <c r="L22" s="204">
        <v>100</v>
      </c>
      <c r="M22" s="204">
        <v>50</v>
      </c>
      <c r="N22" s="204">
        <v>100</v>
      </c>
      <c r="O22" s="204">
        <v>66.7</v>
      </c>
      <c r="P22" s="204">
        <v>100</v>
      </c>
      <c r="Q22" s="86" t="s">
        <v>45</v>
      </c>
      <c r="R22" s="199">
        <v>82</v>
      </c>
      <c r="S22" s="199">
        <v>84</v>
      </c>
      <c r="T22" s="10" t="s">
        <v>46</v>
      </c>
    </row>
    <row r="23" spans="1:20" s="2" customFormat="1" ht="13.5" customHeight="1">
      <c r="A23" s="7" t="s">
        <v>37</v>
      </c>
      <c r="B23" s="204">
        <v>29.3</v>
      </c>
      <c r="C23" s="204">
        <v>74.400000000000006</v>
      </c>
      <c r="D23" s="204">
        <v>75</v>
      </c>
      <c r="E23" s="204">
        <v>80</v>
      </c>
      <c r="F23" s="204">
        <v>80</v>
      </c>
      <c r="G23" s="204">
        <v>100</v>
      </c>
      <c r="H23" s="204">
        <v>100</v>
      </c>
      <c r="I23" s="204">
        <v>50</v>
      </c>
      <c r="J23" s="204">
        <v>33.299999999999997</v>
      </c>
      <c r="K23" s="204">
        <v>33.299999999999997</v>
      </c>
      <c r="L23" s="204">
        <v>100</v>
      </c>
      <c r="M23" s="204">
        <v>33.299999999999997</v>
      </c>
      <c r="N23" s="204">
        <v>100</v>
      </c>
      <c r="O23" s="204">
        <v>28.6</v>
      </c>
      <c r="P23" s="204">
        <v>50</v>
      </c>
      <c r="Q23" s="86" t="s">
        <v>26</v>
      </c>
      <c r="R23" s="199">
        <v>104</v>
      </c>
      <c r="S23" s="199">
        <v>92</v>
      </c>
      <c r="T23" s="10" t="s">
        <v>24</v>
      </c>
    </row>
    <row r="24" spans="1:20" s="2" customFormat="1" ht="13.5" customHeight="1">
      <c r="A24" s="7" t="s">
        <v>37</v>
      </c>
      <c r="B24" s="204">
        <v>50</v>
      </c>
      <c r="C24" s="204">
        <v>59.6</v>
      </c>
      <c r="D24" s="204">
        <v>50</v>
      </c>
      <c r="E24" s="204">
        <v>100</v>
      </c>
      <c r="F24" s="204">
        <v>100</v>
      </c>
      <c r="G24" s="204">
        <v>100</v>
      </c>
      <c r="H24" s="204">
        <v>100</v>
      </c>
      <c r="I24" s="204">
        <v>66.7</v>
      </c>
      <c r="J24" s="204">
        <v>66.7</v>
      </c>
      <c r="K24" s="204">
        <v>100</v>
      </c>
      <c r="L24" s="204">
        <v>100</v>
      </c>
      <c r="M24" s="204">
        <v>100</v>
      </c>
      <c r="N24" s="204">
        <v>100</v>
      </c>
      <c r="O24" s="204">
        <v>100</v>
      </c>
      <c r="P24" s="204">
        <v>100</v>
      </c>
      <c r="Q24" s="86" t="s">
        <v>23</v>
      </c>
      <c r="R24" s="199">
        <v>88</v>
      </c>
      <c r="S24" s="199">
        <v>100</v>
      </c>
      <c r="T24" s="10" t="s">
        <v>35</v>
      </c>
    </row>
    <row r="25" spans="1:20" s="2" customFormat="1" ht="13.5" customHeight="1">
      <c r="A25" s="42" t="s">
        <v>49</v>
      </c>
      <c r="B25" s="204">
        <v>100</v>
      </c>
      <c r="C25" s="204">
        <v>100</v>
      </c>
      <c r="D25" s="204">
        <v>100</v>
      </c>
      <c r="E25" s="204">
        <v>100</v>
      </c>
      <c r="F25" s="204">
        <v>100</v>
      </c>
      <c r="G25" s="204">
        <v>100</v>
      </c>
      <c r="H25" s="204">
        <v>100</v>
      </c>
      <c r="I25" s="204">
        <v>100</v>
      </c>
      <c r="J25" s="204">
        <v>100</v>
      </c>
      <c r="K25" s="204">
        <v>100</v>
      </c>
      <c r="L25" s="204">
        <v>100</v>
      </c>
      <c r="M25" s="204">
        <v>100</v>
      </c>
      <c r="N25" s="204">
        <v>100</v>
      </c>
      <c r="O25" s="204">
        <v>100</v>
      </c>
      <c r="P25" s="204">
        <v>100</v>
      </c>
      <c r="Q25" s="86" t="s">
        <v>50</v>
      </c>
      <c r="R25" s="199">
        <v>75</v>
      </c>
      <c r="S25" s="199">
        <v>100</v>
      </c>
      <c r="T25" s="10" t="s">
        <v>35</v>
      </c>
    </row>
    <row r="26" spans="1:20" s="2" customFormat="1" ht="13.5" customHeight="1">
      <c r="A26" s="7" t="s">
        <v>33</v>
      </c>
      <c r="B26" s="204">
        <v>71.400000000000006</v>
      </c>
      <c r="C26" s="204">
        <v>73.3</v>
      </c>
      <c r="D26" s="204">
        <v>100</v>
      </c>
      <c r="E26" s="204">
        <v>100</v>
      </c>
      <c r="F26" s="204">
        <v>100</v>
      </c>
      <c r="G26" s="204">
        <v>100</v>
      </c>
      <c r="H26" s="204">
        <v>100</v>
      </c>
      <c r="I26" s="204">
        <v>100</v>
      </c>
      <c r="J26" s="204">
        <v>100</v>
      </c>
      <c r="K26" s="204">
        <v>100</v>
      </c>
      <c r="L26" s="204">
        <v>100</v>
      </c>
      <c r="M26" s="204">
        <v>100</v>
      </c>
      <c r="N26" s="204">
        <v>100</v>
      </c>
      <c r="O26" s="204">
        <v>100</v>
      </c>
      <c r="P26" s="204">
        <v>100</v>
      </c>
      <c r="Q26" s="86" t="s">
        <v>23</v>
      </c>
      <c r="R26" s="199">
        <v>80</v>
      </c>
      <c r="S26" s="199">
        <v>84</v>
      </c>
      <c r="T26" s="217" t="s">
        <v>40</v>
      </c>
    </row>
    <row r="27" spans="1:20" s="2" customFormat="1" ht="13.5" customHeight="1">
      <c r="A27" s="7" t="s">
        <v>37</v>
      </c>
      <c r="B27" s="204">
        <v>71.400000000000006</v>
      </c>
      <c r="C27" s="204">
        <v>87.5</v>
      </c>
      <c r="D27" s="204">
        <v>75</v>
      </c>
      <c r="E27" s="204">
        <v>100</v>
      </c>
      <c r="F27" s="204">
        <v>100</v>
      </c>
      <c r="G27" s="204">
        <v>100</v>
      </c>
      <c r="H27" s="204">
        <v>100</v>
      </c>
      <c r="I27" s="204">
        <v>100</v>
      </c>
      <c r="J27" s="204">
        <v>100</v>
      </c>
      <c r="K27" s="204">
        <v>100</v>
      </c>
      <c r="L27" s="204">
        <v>100</v>
      </c>
      <c r="M27" s="204">
        <v>100</v>
      </c>
      <c r="N27" s="204">
        <v>100</v>
      </c>
      <c r="O27" s="204">
        <v>100</v>
      </c>
      <c r="P27" s="204">
        <v>100</v>
      </c>
      <c r="Q27" s="86" t="s">
        <v>30</v>
      </c>
      <c r="R27" s="199">
        <v>82</v>
      </c>
      <c r="S27" s="199">
        <v>100</v>
      </c>
      <c r="T27" s="217" t="s">
        <v>32</v>
      </c>
    </row>
    <row r="28" spans="1:20" s="2" customFormat="1" ht="13.5" customHeight="1">
      <c r="A28" s="7" t="s">
        <v>31</v>
      </c>
      <c r="B28" s="204">
        <v>71.400000000000006</v>
      </c>
      <c r="C28" s="204">
        <v>39.1</v>
      </c>
      <c r="D28" s="204">
        <v>70</v>
      </c>
      <c r="E28" s="204">
        <v>100</v>
      </c>
      <c r="F28" s="204">
        <v>100</v>
      </c>
      <c r="G28" s="204">
        <v>100</v>
      </c>
      <c r="H28" s="204">
        <v>100</v>
      </c>
      <c r="I28" s="204">
        <v>100</v>
      </c>
      <c r="J28" s="204">
        <v>100</v>
      </c>
      <c r="K28" s="204">
        <v>100</v>
      </c>
      <c r="L28" s="204">
        <v>100</v>
      </c>
      <c r="M28" s="204">
        <v>100</v>
      </c>
      <c r="N28" s="204">
        <v>100</v>
      </c>
      <c r="O28" s="204">
        <v>100</v>
      </c>
      <c r="P28" s="204">
        <v>100</v>
      </c>
      <c r="Q28" s="86" t="s">
        <v>26</v>
      </c>
      <c r="R28" s="199">
        <v>100</v>
      </c>
      <c r="S28" s="199">
        <v>104</v>
      </c>
      <c r="T28" s="217" t="s">
        <v>35</v>
      </c>
    </row>
    <row r="29" spans="1:20" s="2" customFormat="1" ht="13.5" customHeight="1">
      <c r="A29" s="7" t="s">
        <v>29</v>
      </c>
      <c r="B29" s="204">
        <v>42.9</v>
      </c>
      <c r="C29" s="204">
        <v>39.1</v>
      </c>
      <c r="D29" s="204">
        <v>75</v>
      </c>
      <c r="E29" s="204">
        <v>100</v>
      </c>
      <c r="F29" s="204">
        <v>100</v>
      </c>
      <c r="G29" s="204">
        <v>100</v>
      </c>
      <c r="H29" s="204">
        <v>100</v>
      </c>
      <c r="I29" s="204">
        <v>100</v>
      </c>
      <c r="J29" s="204">
        <v>100</v>
      </c>
      <c r="K29" s="204">
        <v>100</v>
      </c>
      <c r="L29" s="204">
        <v>100</v>
      </c>
      <c r="M29" s="204">
        <v>100</v>
      </c>
      <c r="N29" s="204">
        <v>100</v>
      </c>
      <c r="O29" s="204">
        <v>50</v>
      </c>
      <c r="P29" s="204">
        <v>50</v>
      </c>
      <c r="Q29" s="86" t="s">
        <v>26</v>
      </c>
      <c r="R29" s="199">
        <v>104</v>
      </c>
      <c r="S29" s="199">
        <v>70</v>
      </c>
      <c r="T29" s="217" t="s">
        <v>46</v>
      </c>
    </row>
    <row r="30" spans="1:20" s="2" customFormat="1" ht="13.5" customHeight="1">
      <c r="A30" s="7" t="s">
        <v>22</v>
      </c>
      <c r="B30" s="204">
        <v>50</v>
      </c>
      <c r="C30" s="204">
        <v>38.1</v>
      </c>
      <c r="D30" s="204">
        <v>35.700000000000003</v>
      </c>
      <c r="E30" s="204">
        <v>100</v>
      </c>
      <c r="F30" s="204">
        <v>100</v>
      </c>
      <c r="G30" s="204">
        <v>100</v>
      </c>
      <c r="H30" s="204">
        <v>100</v>
      </c>
      <c r="I30" s="204">
        <v>83.3</v>
      </c>
      <c r="J30" s="204">
        <v>83.3</v>
      </c>
      <c r="K30" s="204">
        <v>50</v>
      </c>
      <c r="L30" s="204">
        <v>50</v>
      </c>
      <c r="M30" s="204">
        <v>50</v>
      </c>
      <c r="N30" s="204">
        <v>50</v>
      </c>
      <c r="O30" s="204">
        <v>66.7</v>
      </c>
      <c r="P30" s="204">
        <v>66.7</v>
      </c>
      <c r="Q30" s="86" t="s">
        <v>45</v>
      </c>
      <c r="R30" s="199">
        <v>88</v>
      </c>
      <c r="S30" s="199">
        <v>82</v>
      </c>
      <c r="T30" s="217" t="s">
        <v>51</v>
      </c>
    </row>
    <row r="31" spans="1:20" s="2" customFormat="1" ht="13.5" customHeight="1">
      <c r="A31" s="7" t="s">
        <v>37</v>
      </c>
      <c r="B31" s="204">
        <v>100</v>
      </c>
      <c r="C31" s="204">
        <v>100</v>
      </c>
      <c r="D31" s="204">
        <v>100</v>
      </c>
      <c r="E31" s="204">
        <v>100</v>
      </c>
      <c r="F31" s="204">
        <v>100</v>
      </c>
      <c r="G31" s="204">
        <v>100</v>
      </c>
      <c r="H31" s="204">
        <v>100</v>
      </c>
      <c r="I31" s="204">
        <v>100</v>
      </c>
      <c r="J31" s="204">
        <v>100</v>
      </c>
      <c r="K31" s="204">
        <v>100</v>
      </c>
      <c r="L31" s="204">
        <v>100</v>
      </c>
      <c r="M31" s="204">
        <v>100</v>
      </c>
      <c r="N31" s="204">
        <v>100</v>
      </c>
      <c r="O31" s="204">
        <v>100</v>
      </c>
      <c r="P31" s="204">
        <v>100</v>
      </c>
      <c r="Q31" s="86" t="s">
        <v>52</v>
      </c>
      <c r="R31" s="199">
        <v>90</v>
      </c>
      <c r="S31" s="199">
        <v>75</v>
      </c>
      <c r="T31" s="217" t="s">
        <v>40</v>
      </c>
    </row>
    <row r="32" spans="1:20" s="2" customFormat="1" ht="13.5" customHeight="1">
      <c r="A32" s="7" t="s">
        <v>41</v>
      </c>
      <c r="B32" s="204">
        <v>59.1</v>
      </c>
      <c r="C32" s="204">
        <v>68</v>
      </c>
      <c r="D32" s="204">
        <v>71.400000000000006</v>
      </c>
      <c r="E32" s="204">
        <v>100</v>
      </c>
      <c r="F32" s="204">
        <v>100</v>
      </c>
      <c r="G32" s="204">
        <v>100</v>
      </c>
      <c r="H32" s="204">
        <v>100</v>
      </c>
      <c r="I32" s="204">
        <v>100</v>
      </c>
      <c r="J32" s="204">
        <v>100</v>
      </c>
      <c r="K32" s="204">
        <v>66.7</v>
      </c>
      <c r="L32" s="204">
        <v>66.7</v>
      </c>
      <c r="M32" s="204">
        <v>66.7</v>
      </c>
      <c r="N32" s="204">
        <v>66.7</v>
      </c>
      <c r="O32" s="204">
        <v>80</v>
      </c>
      <c r="P32" s="204">
        <v>80</v>
      </c>
      <c r="Q32" s="86" t="s">
        <v>26</v>
      </c>
      <c r="R32" s="199">
        <v>88</v>
      </c>
      <c r="S32" s="199">
        <v>82</v>
      </c>
      <c r="T32" s="114" t="s">
        <v>46</v>
      </c>
    </row>
    <row r="33" spans="1:20" s="2" customFormat="1" ht="13.5" customHeight="1">
      <c r="A33" s="7" t="s">
        <v>42</v>
      </c>
      <c r="B33" s="204">
        <v>54.8</v>
      </c>
      <c r="C33" s="204">
        <v>62.5</v>
      </c>
      <c r="D33" s="204">
        <v>33.299999999999997</v>
      </c>
      <c r="E33" s="204">
        <v>80</v>
      </c>
      <c r="F33" s="204">
        <v>77.8</v>
      </c>
      <c r="G33" s="204">
        <v>77.8</v>
      </c>
      <c r="H33" s="204">
        <v>83.3</v>
      </c>
      <c r="I33" s="204">
        <v>62.5</v>
      </c>
      <c r="J33" s="204">
        <v>57.1</v>
      </c>
      <c r="K33" s="204">
        <v>66.7</v>
      </c>
      <c r="L33" s="204">
        <v>66.7</v>
      </c>
      <c r="M33" s="204">
        <v>33.299999999999997</v>
      </c>
      <c r="N33" s="204">
        <v>33.299999999999997</v>
      </c>
      <c r="O33" s="204">
        <v>50</v>
      </c>
      <c r="P33" s="204">
        <v>50</v>
      </c>
      <c r="Q33" s="86" t="s">
        <v>34</v>
      </c>
      <c r="R33" s="199">
        <v>90</v>
      </c>
      <c r="S33" s="199">
        <v>90</v>
      </c>
      <c r="T33" s="57" t="s">
        <v>28</v>
      </c>
    </row>
    <row r="34" spans="1:20" s="2" customFormat="1" ht="13.5" customHeight="1">
      <c r="A34" s="7" t="s">
        <v>44</v>
      </c>
      <c r="B34" s="204">
        <v>55.6</v>
      </c>
      <c r="C34" s="204">
        <v>55.6</v>
      </c>
      <c r="D34" s="204">
        <v>85.7</v>
      </c>
      <c r="E34" s="204">
        <v>100</v>
      </c>
      <c r="F34" s="204">
        <v>100</v>
      </c>
      <c r="G34" s="204">
        <v>100</v>
      </c>
      <c r="H34" s="204">
        <v>100</v>
      </c>
      <c r="I34" s="204">
        <v>100</v>
      </c>
      <c r="J34" s="204">
        <v>100</v>
      </c>
      <c r="K34" s="204">
        <v>50</v>
      </c>
      <c r="L34" s="204">
        <v>50</v>
      </c>
      <c r="M34" s="204">
        <v>100</v>
      </c>
      <c r="N34" s="204">
        <v>100</v>
      </c>
      <c r="O34" s="204">
        <v>80</v>
      </c>
      <c r="P34" s="204">
        <v>80</v>
      </c>
      <c r="Q34" s="86" t="s">
        <v>26</v>
      </c>
      <c r="R34" s="199">
        <v>90</v>
      </c>
      <c r="S34" s="199">
        <v>80</v>
      </c>
      <c r="T34" s="10" t="s">
        <v>51</v>
      </c>
    </row>
    <row r="35" spans="1:20" s="2" customFormat="1" ht="13.5" customHeight="1">
      <c r="A35" s="7" t="s">
        <v>41</v>
      </c>
      <c r="B35" s="204">
        <v>47.1</v>
      </c>
      <c r="C35" s="204">
        <v>86.4</v>
      </c>
      <c r="D35" s="204">
        <v>76.900000000000006</v>
      </c>
      <c r="E35" s="204">
        <v>85.7</v>
      </c>
      <c r="F35" s="204">
        <v>100</v>
      </c>
      <c r="G35" s="204">
        <v>62.5</v>
      </c>
      <c r="H35" s="204">
        <v>83.3</v>
      </c>
      <c r="I35" s="204">
        <v>66.7</v>
      </c>
      <c r="J35" s="204">
        <v>64.7</v>
      </c>
      <c r="K35" s="204">
        <v>33.299999999999997</v>
      </c>
      <c r="L35" s="204">
        <v>50</v>
      </c>
      <c r="M35" s="204">
        <v>100</v>
      </c>
      <c r="N35" s="204">
        <v>100</v>
      </c>
      <c r="O35" s="204">
        <v>33.299999999999997</v>
      </c>
      <c r="P35" s="204">
        <v>33.299999999999997</v>
      </c>
      <c r="Q35" s="86" t="s">
        <v>34</v>
      </c>
      <c r="R35" s="199">
        <v>100</v>
      </c>
      <c r="S35" s="199">
        <v>80</v>
      </c>
      <c r="T35" s="10" t="s">
        <v>46</v>
      </c>
    </row>
    <row r="36" spans="1:20" s="2" customFormat="1" ht="13.5" customHeight="1">
      <c r="A36" s="7" t="s">
        <v>22</v>
      </c>
      <c r="B36" s="204">
        <v>53.8</v>
      </c>
      <c r="C36" s="204">
        <v>57.9</v>
      </c>
      <c r="D36" s="204">
        <v>66.7</v>
      </c>
      <c r="E36" s="204">
        <v>100</v>
      </c>
      <c r="F36" s="204">
        <v>100</v>
      </c>
      <c r="G36" s="204">
        <v>100</v>
      </c>
      <c r="H36" s="204">
        <v>100</v>
      </c>
      <c r="I36" s="204">
        <v>100</v>
      </c>
      <c r="J36" s="204">
        <v>100</v>
      </c>
      <c r="K36" s="204">
        <v>100</v>
      </c>
      <c r="L36" s="204">
        <v>100</v>
      </c>
      <c r="M36" s="204">
        <v>100</v>
      </c>
      <c r="N36" s="204">
        <v>100</v>
      </c>
      <c r="O36" s="204">
        <v>100</v>
      </c>
      <c r="P36" s="204">
        <v>100</v>
      </c>
      <c r="Q36" s="86" t="s">
        <v>23</v>
      </c>
      <c r="R36" s="199">
        <v>86</v>
      </c>
      <c r="S36" s="199">
        <v>80</v>
      </c>
      <c r="T36" s="217" t="s">
        <v>46</v>
      </c>
    </row>
    <row r="37" spans="1:20" s="2" customFormat="1" ht="13.5" customHeight="1">
      <c r="A37" s="7" t="s">
        <v>33</v>
      </c>
      <c r="B37" s="204">
        <v>100</v>
      </c>
      <c r="C37" s="204">
        <v>100</v>
      </c>
      <c r="D37" s="204">
        <v>100</v>
      </c>
      <c r="E37" s="204">
        <v>100</v>
      </c>
      <c r="F37" s="204">
        <v>100</v>
      </c>
      <c r="G37" s="204">
        <v>100</v>
      </c>
      <c r="H37" s="204">
        <v>100</v>
      </c>
      <c r="I37" s="204">
        <v>100</v>
      </c>
      <c r="J37" s="204">
        <v>100</v>
      </c>
      <c r="K37" s="204">
        <v>100</v>
      </c>
      <c r="L37" s="204">
        <v>100</v>
      </c>
      <c r="M37" s="204">
        <v>100</v>
      </c>
      <c r="N37" s="204">
        <v>100</v>
      </c>
      <c r="O37" s="204">
        <v>100</v>
      </c>
      <c r="P37" s="204">
        <v>100</v>
      </c>
      <c r="Q37" s="86" t="s">
        <v>50</v>
      </c>
      <c r="R37" s="199">
        <v>94</v>
      </c>
      <c r="S37" s="199">
        <v>86</v>
      </c>
      <c r="T37" s="217" t="s">
        <v>28</v>
      </c>
    </row>
    <row r="38" spans="1:20" s="2" customFormat="1" ht="13.5" customHeight="1">
      <c r="A38" s="7" t="s">
        <v>42</v>
      </c>
      <c r="B38" s="204">
        <v>60</v>
      </c>
      <c r="C38" s="204">
        <v>49</v>
      </c>
      <c r="D38" s="204">
        <v>33.299999999999997</v>
      </c>
      <c r="E38" s="204">
        <v>0</v>
      </c>
      <c r="F38" s="204">
        <v>0</v>
      </c>
      <c r="G38" s="204">
        <v>0</v>
      </c>
      <c r="H38" s="204">
        <v>0</v>
      </c>
      <c r="I38" s="204">
        <v>66.7</v>
      </c>
      <c r="J38" s="204">
        <v>66.7</v>
      </c>
      <c r="K38" s="204">
        <v>25</v>
      </c>
      <c r="L38" s="204">
        <v>25</v>
      </c>
      <c r="M38" s="204">
        <v>25</v>
      </c>
      <c r="N38" s="204">
        <v>25</v>
      </c>
      <c r="O38" s="204">
        <v>28.6</v>
      </c>
      <c r="P38" s="204">
        <v>28.6</v>
      </c>
      <c r="Q38" s="86" t="s">
        <v>45</v>
      </c>
      <c r="R38" s="199">
        <v>96</v>
      </c>
      <c r="S38" s="199">
        <v>80</v>
      </c>
      <c r="T38" s="217" t="s">
        <v>39</v>
      </c>
    </row>
    <row r="39" spans="1:20" s="2" customFormat="1" ht="13.5" customHeight="1">
      <c r="A39" s="7" t="s">
        <v>53</v>
      </c>
      <c r="B39" s="204">
        <v>54.5</v>
      </c>
      <c r="C39" s="204">
        <v>49</v>
      </c>
      <c r="D39" s="204">
        <v>33.299999999999997</v>
      </c>
      <c r="E39" s="204">
        <v>0</v>
      </c>
      <c r="F39" s="204">
        <v>0</v>
      </c>
      <c r="G39" s="204">
        <v>0</v>
      </c>
      <c r="H39" s="204">
        <v>0</v>
      </c>
      <c r="I39" s="204">
        <v>33.299999999999997</v>
      </c>
      <c r="J39" s="204">
        <v>33.299999999999997</v>
      </c>
      <c r="K39" s="204">
        <v>33.299999999999997</v>
      </c>
      <c r="L39" s="204">
        <v>33.299999999999997</v>
      </c>
      <c r="M39" s="204">
        <v>0</v>
      </c>
      <c r="N39" s="204">
        <v>0</v>
      </c>
      <c r="O39" s="204">
        <v>0</v>
      </c>
      <c r="P39" s="204">
        <v>0</v>
      </c>
      <c r="Q39" s="86" t="s">
        <v>26</v>
      </c>
      <c r="R39" s="199">
        <v>90</v>
      </c>
      <c r="S39" s="199">
        <v>88</v>
      </c>
      <c r="T39" s="217" t="s">
        <v>27</v>
      </c>
    </row>
    <row r="40" spans="1:20" s="2" customFormat="1" ht="13.5" customHeight="1">
      <c r="A40" s="7" t="s">
        <v>54</v>
      </c>
      <c r="B40" s="204">
        <v>100</v>
      </c>
      <c r="C40" s="204">
        <v>62.5</v>
      </c>
      <c r="D40" s="204">
        <v>100</v>
      </c>
      <c r="E40" s="204">
        <v>100</v>
      </c>
      <c r="F40" s="204">
        <v>100</v>
      </c>
      <c r="G40" s="204">
        <v>100</v>
      </c>
      <c r="H40" s="204">
        <v>100</v>
      </c>
      <c r="I40" s="204">
        <v>100</v>
      </c>
      <c r="J40" s="204">
        <v>100</v>
      </c>
      <c r="K40" s="204">
        <v>100</v>
      </c>
      <c r="L40" s="204">
        <v>100</v>
      </c>
      <c r="M40" s="204">
        <v>100</v>
      </c>
      <c r="N40" s="204">
        <v>100</v>
      </c>
      <c r="O40" s="204">
        <v>100</v>
      </c>
      <c r="P40" s="204">
        <v>100</v>
      </c>
      <c r="Q40" s="206" t="s">
        <v>34</v>
      </c>
      <c r="R40" s="199">
        <v>86</v>
      </c>
      <c r="S40" s="199">
        <v>75</v>
      </c>
      <c r="T40" s="217" t="s">
        <v>40</v>
      </c>
    </row>
    <row r="41" spans="1:20" s="2" customFormat="1" ht="13.5" customHeight="1">
      <c r="A41" s="7" t="s">
        <v>55</v>
      </c>
      <c r="B41" s="204">
        <v>76.900000000000006</v>
      </c>
      <c r="C41" s="204">
        <v>100</v>
      </c>
      <c r="D41" s="204">
        <v>100</v>
      </c>
      <c r="E41" s="204">
        <v>80</v>
      </c>
      <c r="F41" s="204">
        <v>75</v>
      </c>
      <c r="G41" s="204">
        <v>83.3</v>
      </c>
      <c r="H41" s="204">
        <v>80</v>
      </c>
      <c r="I41" s="204">
        <v>100</v>
      </c>
      <c r="J41" s="204">
        <v>100</v>
      </c>
      <c r="K41" s="204">
        <v>100</v>
      </c>
      <c r="L41" s="204">
        <v>100</v>
      </c>
      <c r="M41" s="204">
        <v>100</v>
      </c>
      <c r="N41" s="204">
        <v>100</v>
      </c>
      <c r="O41" s="204">
        <v>50</v>
      </c>
      <c r="P41" s="204">
        <v>50</v>
      </c>
      <c r="Q41" s="86" t="s">
        <v>56</v>
      </c>
      <c r="R41" s="199">
        <v>90</v>
      </c>
      <c r="S41" s="199">
        <v>88</v>
      </c>
      <c r="T41" s="217" t="s">
        <v>28</v>
      </c>
    </row>
    <row r="42" spans="1:20" s="2" customFormat="1" ht="13.5" customHeight="1">
      <c r="A42" s="7" t="s">
        <v>31</v>
      </c>
      <c r="B42" s="204">
        <v>84.2</v>
      </c>
      <c r="C42" s="204">
        <v>73.3</v>
      </c>
      <c r="D42" s="204">
        <v>81.8</v>
      </c>
      <c r="E42" s="204">
        <v>100</v>
      </c>
      <c r="F42" s="204">
        <v>100</v>
      </c>
      <c r="G42" s="204">
        <v>100</v>
      </c>
      <c r="H42" s="204">
        <v>100</v>
      </c>
      <c r="I42" s="204">
        <v>50</v>
      </c>
      <c r="J42" s="204">
        <v>66.7</v>
      </c>
      <c r="K42" s="204">
        <v>100</v>
      </c>
      <c r="L42" s="204">
        <v>100</v>
      </c>
      <c r="M42" s="204">
        <v>100</v>
      </c>
      <c r="N42" s="204">
        <v>100</v>
      </c>
      <c r="O42" s="204">
        <v>100</v>
      </c>
      <c r="P42" s="204">
        <v>100</v>
      </c>
      <c r="Q42" s="86" t="s">
        <v>23</v>
      </c>
      <c r="R42" s="199">
        <v>90</v>
      </c>
      <c r="S42" s="199">
        <v>78</v>
      </c>
      <c r="T42" s="57" t="s">
        <v>39</v>
      </c>
    </row>
    <row r="43" spans="1:20" s="2" customFormat="1" ht="13.5" customHeight="1">
      <c r="A43" s="7" t="s">
        <v>36</v>
      </c>
      <c r="B43" s="204">
        <v>72.7</v>
      </c>
      <c r="C43" s="204">
        <v>59.6</v>
      </c>
      <c r="D43" s="204">
        <v>54.5</v>
      </c>
      <c r="E43" s="204">
        <v>75</v>
      </c>
      <c r="F43" s="204">
        <v>66.7</v>
      </c>
      <c r="G43" s="204">
        <v>75</v>
      </c>
      <c r="H43" s="204">
        <v>66.7</v>
      </c>
      <c r="I43" s="204">
        <v>75</v>
      </c>
      <c r="J43" s="204">
        <v>66.7</v>
      </c>
      <c r="K43" s="204">
        <v>80</v>
      </c>
      <c r="L43" s="204">
        <v>75</v>
      </c>
      <c r="M43" s="204">
        <v>66.7</v>
      </c>
      <c r="N43" s="204">
        <v>60</v>
      </c>
      <c r="O43" s="204">
        <v>71.400000000000006</v>
      </c>
      <c r="P43" s="204">
        <v>83.3</v>
      </c>
      <c r="Q43" s="86" t="s">
        <v>23</v>
      </c>
      <c r="R43" s="199">
        <v>94</v>
      </c>
      <c r="S43" s="199">
        <v>90</v>
      </c>
      <c r="T43" s="10" t="s">
        <v>28</v>
      </c>
    </row>
    <row r="44" spans="1:20" s="2" customFormat="1" ht="13.5" customHeight="1">
      <c r="A44" s="7" t="s">
        <v>25</v>
      </c>
      <c r="B44" s="204">
        <v>45.7</v>
      </c>
      <c r="C44" s="204">
        <v>76.5</v>
      </c>
      <c r="D44" s="204">
        <v>66.7</v>
      </c>
      <c r="E44" s="204">
        <v>42.9</v>
      </c>
      <c r="F44" s="204">
        <v>0</v>
      </c>
      <c r="G44" s="204">
        <v>33.299999999999997</v>
      </c>
      <c r="H44" s="204">
        <v>0</v>
      </c>
      <c r="I44" s="204">
        <v>50</v>
      </c>
      <c r="J44" s="204">
        <v>50</v>
      </c>
      <c r="K44" s="204">
        <v>0</v>
      </c>
      <c r="L44" s="204">
        <v>0</v>
      </c>
      <c r="M44" s="204">
        <v>0</v>
      </c>
      <c r="N44" s="204">
        <v>0</v>
      </c>
      <c r="O44" s="204">
        <v>33.299999999999997</v>
      </c>
      <c r="P44" s="204">
        <v>0</v>
      </c>
      <c r="Q44" s="86" t="s">
        <v>23</v>
      </c>
      <c r="R44" s="199">
        <v>80</v>
      </c>
      <c r="S44" s="199">
        <v>90</v>
      </c>
      <c r="T44" s="57" t="s">
        <v>27</v>
      </c>
    </row>
    <row r="45" spans="1:20" s="2" customFormat="1" ht="13.5" customHeight="1">
      <c r="A45" s="7" t="s">
        <v>33</v>
      </c>
      <c r="B45" s="204">
        <v>28.2</v>
      </c>
      <c r="C45" s="204">
        <v>49</v>
      </c>
      <c r="D45" s="204">
        <v>41.7</v>
      </c>
      <c r="E45" s="204">
        <v>80</v>
      </c>
      <c r="F45" s="204">
        <v>80</v>
      </c>
      <c r="G45" s="204">
        <v>100</v>
      </c>
      <c r="H45" s="204">
        <v>100</v>
      </c>
      <c r="I45" s="204">
        <v>50</v>
      </c>
      <c r="J45" s="204">
        <v>33.299999999999997</v>
      </c>
      <c r="K45" s="204">
        <v>66.7</v>
      </c>
      <c r="L45" s="204">
        <v>66.7</v>
      </c>
      <c r="M45" s="204">
        <v>50</v>
      </c>
      <c r="N45" s="204">
        <v>100</v>
      </c>
      <c r="O45" s="204">
        <v>50</v>
      </c>
      <c r="P45" s="204">
        <v>33.299999999999997</v>
      </c>
      <c r="Q45" s="86" t="s">
        <v>26</v>
      </c>
      <c r="R45" s="199">
        <v>98</v>
      </c>
      <c r="S45" s="199">
        <v>74</v>
      </c>
      <c r="T45" s="10" t="s">
        <v>46</v>
      </c>
    </row>
    <row r="46" spans="1:20" s="2" customFormat="1" ht="13.5" customHeight="1">
      <c r="A46" s="7" t="s">
        <v>57</v>
      </c>
      <c r="B46" s="204">
        <v>66.7</v>
      </c>
      <c r="C46" s="204">
        <v>60.6</v>
      </c>
      <c r="D46" s="204">
        <v>50</v>
      </c>
      <c r="E46" s="204">
        <v>62.5</v>
      </c>
      <c r="F46" s="204">
        <v>60</v>
      </c>
      <c r="G46" s="204">
        <v>71.400000000000006</v>
      </c>
      <c r="H46" s="204">
        <v>100</v>
      </c>
      <c r="I46" s="204">
        <v>62.5</v>
      </c>
      <c r="J46" s="204">
        <v>57.1</v>
      </c>
      <c r="K46" s="204">
        <v>50</v>
      </c>
      <c r="L46" s="204">
        <v>50</v>
      </c>
      <c r="M46" s="204">
        <v>100</v>
      </c>
      <c r="N46" s="204">
        <v>100</v>
      </c>
      <c r="O46" s="204">
        <v>85.7</v>
      </c>
      <c r="P46" s="204">
        <v>85.7</v>
      </c>
      <c r="Q46" s="86" t="s">
        <v>30</v>
      </c>
      <c r="R46" s="199">
        <v>101</v>
      </c>
      <c r="S46" s="199">
        <v>90</v>
      </c>
      <c r="T46" s="10" t="s">
        <v>24</v>
      </c>
    </row>
    <row r="47" spans="1:20" s="2" customFormat="1" ht="13.5" customHeight="1">
      <c r="A47" s="7" t="s">
        <v>41</v>
      </c>
      <c r="B47" s="204">
        <v>57.7</v>
      </c>
      <c r="C47" s="204">
        <v>68</v>
      </c>
      <c r="D47" s="204">
        <v>100</v>
      </c>
      <c r="E47" s="204">
        <v>100</v>
      </c>
      <c r="F47" s="204">
        <v>100</v>
      </c>
      <c r="G47" s="204">
        <v>100</v>
      </c>
      <c r="H47" s="204">
        <v>100</v>
      </c>
      <c r="I47" s="204">
        <v>100</v>
      </c>
      <c r="J47" s="204">
        <v>100</v>
      </c>
      <c r="K47" s="204">
        <v>66.7</v>
      </c>
      <c r="L47" s="204">
        <v>66.7</v>
      </c>
      <c r="M47" s="204">
        <v>66.7</v>
      </c>
      <c r="N47" s="204">
        <v>66.7</v>
      </c>
      <c r="O47" s="204">
        <v>80</v>
      </c>
      <c r="P47" s="204">
        <v>80</v>
      </c>
      <c r="Q47" s="86" t="s">
        <v>23</v>
      </c>
      <c r="R47" s="199">
        <v>89</v>
      </c>
      <c r="S47" s="199">
        <v>94</v>
      </c>
      <c r="T47" s="57" t="s">
        <v>24</v>
      </c>
    </row>
    <row r="48" spans="1:20" s="2" customFormat="1" ht="13.5" customHeight="1">
      <c r="A48" s="7" t="s">
        <v>22</v>
      </c>
      <c r="B48" s="204">
        <v>50</v>
      </c>
      <c r="C48" s="204">
        <v>86.4</v>
      </c>
      <c r="D48" s="204">
        <v>100</v>
      </c>
      <c r="E48" s="204">
        <v>85.7</v>
      </c>
      <c r="F48" s="204">
        <v>100</v>
      </c>
      <c r="G48" s="204">
        <v>85.7</v>
      </c>
      <c r="H48" s="204">
        <v>100</v>
      </c>
      <c r="I48" s="204">
        <v>100</v>
      </c>
      <c r="J48" s="204">
        <v>100</v>
      </c>
      <c r="K48" s="204">
        <v>100</v>
      </c>
      <c r="L48" s="204">
        <v>100</v>
      </c>
      <c r="M48" s="204">
        <v>100</v>
      </c>
      <c r="N48" s="204">
        <v>100</v>
      </c>
      <c r="O48" s="204">
        <v>100</v>
      </c>
      <c r="P48" s="204">
        <v>100</v>
      </c>
      <c r="Q48" s="206" t="s">
        <v>30</v>
      </c>
      <c r="R48" s="199">
        <v>92</v>
      </c>
      <c r="S48" s="218">
        <v>74</v>
      </c>
      <c r="T48" s="46" t="s">
        <v>40</v>
      </c>
    </row>
    <row r="49" spans="1:20" s="2" customFormat="1" ht="27" customHeight="1">
      <c r="A49" s="7" t="s">
        <v>31</v>
      </c>
      <c r="B49" s="204">
        <v>45.7</v>
      </c>
      <c r="C49" s="204">
        <v>38.1</v>
      </c>
      <c r="D49" s="204">
        <v>56.2</v>
      </c>
      <c r="E49" s="204">
        <v>66.7</v>
      </c>
      <c r="F49" s="204">
        <v>50</v>
      </c>
      <c r="G49" s="204">
        <v>57.1</v>
      </c>
      <c r="H49" s="204">
        <v>50</v>
      </c>
      <c r="I49" s="204">
        <v>70.599999999999994</v>
      </c>
      <c r="J49" s="204">
        <v>54.5</v>
      </c>
      <c r="K49" s="204">
        <v>80</v>
      </c>
      <c r="L49" s="204">
        <v>75</v>
      </c>
      <c r="M49" s="204">
        <v>60</v>
      </c>
      <c r="N49" s="204">
        <v>60</v>
      </c>
      <c r="O49" s="204">
        <v>71.400000000000006</v>
      </c>
      <c r="P49" s="204">
        <v>83.3</v>
      </c>
      <c r="Q49" s="86" t="s">
        <v>23</v>
      </c>
      <c r="R49" s="199">
        <v>96</v>
      </c>
      <c r="S49" s="199">
        <v>86</v>
      </c>
      <c r="T49" s="10" t="s">
        <v>28</v>
      </c>
    </row>
    <row r="50" spans="1:20" s="2" customFormat="1" ht="13.5" customHeight="1">
      <c r="A50" s="7" t="s">
        <v>31</v>
      </c>
      <c r="B50" s="204">
        <v>72.7</v>
      </c>
      <c r="C50" s="204">
        <v>38.1</v>
      </c>
      <c r="D50" s="204">
        <v>56.2</v>
      </c>
      <c r="E50" s="204">
        <v>50</v>
      </c>
      <c r="F50" s="204">
        <v>50</v>
      </c>
      <c r="G50" s="204">
        <v>50</v>
      </c>
      <c r="H50" s="204">
        <v>50</v>
      </c>
      <c r="I50" s="204">
        <v>50</v>
      </c>
      <c r="J50" s="204">
        <v>50</v>
      </c>
      <c r="K50" s="204">
        <v>50</v>
      </c>
      <c r="L50" s="204">
        <v>50</v>
      </c>
      <c r="M50" s="204">
        <v>40</v>
      </c>
      <c r="N50" s="204">
        <v>33.299999999999997</v>
      </c>
      <c r="O50" s="204">
        <v>40</v>
      </c>
      <c r="P50" s="204">
        <v>40</v>
      </c>
      <c r="Q50" s="86" t="s">
        <v>26</v>
      </c>
      <c r="R50" s="199">
        <v>87</v>
      </c>
      <c r="S50" s="199">
        <v>82</v>
      </c>
      <c r="T50" s="10" t="s">
        <v>40</v>
      </c>
    </row>
    <row r="51" spans="1:20" s="2" customFormat="1" ht="13.5" customHeight="1">
      <c r="A51" s="7" t="s">
        <v>36</v>
      </c>
      <c r="B51" s="204">
        <v>50</v>
      </c>
      <c r="C51" s="204">
        <v>49.4</v>
      </c>
      <c r="D51" s="204">
        <v>50</v>
      </c>
      <c r="E51" s="204">
        <v>0</v>
      </c>
      <c r="F51" s="204">
        <v>0</v>
      </c>
      <c r="G51" s="204">
        <v>0</v>
      </c>
      <c r="H51" s="204">
        <v>0</v>
      </c>
      <c r="I51" s="204">
        <v>0</v>
      </c>
      <c r="J51" s="204">
        <v>0</v>
      </c>
      <c r="K51" s="204">
        <v>0</v>
      </c>
      <c r="L51" s="204">
        <v>0</v>
      </c>
      <c r="M51" s="204">
        <v>0</v>
      </c>
      <c r="N51" s="204">
        <v>0</v>
      </c>
      <c r="O51" s="204">
        <v>28.6</v>
      </c>
      <c r="P51" s="204">
        <v>50</v>
      </c>
      <c r="Q51" s="86" t="s">
        <v>23</v>
      </c>
      <c r="R51" s="199">
        <v>103</v>
      </c>
      <c r="S51" s="199">
        <v>74</v>
      </c>
      <c r="T51" s="10" t="s">
        <v>40</v>
      </c>
    </row>
    <row r="52" spans="1:20" s="2" customFormat="1" ht="13.5" customHeight="1">
      <c r="A52" s="42" t="s">
        <v>49</v>
      </c>
      <c r="B52" s="204">
        <v>100</v>
      </c>
      <c r="C52" s="204">
        <v>100</v>
      </c>
      <c r="D52" s="204">
        <v>100</v>
      </c>
      <c r="E52" s="204">
        <v>100</v>
      </c>
      <c r="F52" s="204">
        <v>100</v>
      </c>
      <c r="G52" s="204">
        <v>100</v>
      </c>
      <c r="H52" s="204">
        <v>100</v>
      </c>
      <c r="I52" s="204">
        <v>100</v>
      </c>
      <c r="J52" s="204">
        <v>100</v>
      </c>
      <c r="K52" s="204">
        <v>100</v>
      </c>
      <c r="L52" s="204">
        <v>100</v>
      </c>
      <c r="M52" s="204">
        <v>100</v>
      </c>
      <c r="N52" s="204">
        <v>100</v>
      </c>
      <c r="O52" s="204">
        <v>100</v>
      </c>
      <c r="P52" s="204">
        <v>100</v>
      </c>
      <c r="Q52" s="86" t="s">
        <v>58</v>
      </c>
      <c r="R52" s="199">
        <v>78</v>
      </c>
      <c r="S52" s="199">
        <v>88</v>
      </c>
      <c r="T52" s="10" t="s">
        <v>28</v>
      </c>
    </row>
    <row r="53" spans="1:20" s="2" customFormat="1" ht="13.5" customHeight="1">
      <c r="A53" s="7" t="s">
        <v>29</v>
      </c>
      <c r="B53" s="204">
        <v>76.900000000000006</v>
      </c>
      <c r="C53" s="204">
        <v>100</v>
      </c>
      <c r="D53" s="204">
        <v>100</v>
      </c>
      <c r="E53" s="204">
        <v>66.7</v>
      </c>
      <c r="F53" s="204">
        <v>66.7</v>
      </c>
      <c r="G53" s="204">
        <v>75</v>
      </c>
      <c r="H53" s="204">
        <v>75</v>
      </c>
      <c r="I53" s="204">
        <v>60</v>
      </c>
      <c r="J53" s="204">
        <v>60</v>
      </c>
      <c r="K53" s="204">
        <v>100</v>
      </c>
      <c r="L53" s="204">
        <v>100</v>
      </c>
      <c r="M53" s="204">
        <v>100</v>
      </c>
      <c r="N53" s="204">
        <v>100</v>
      </c>
      <c r="O53" s="204">
        <v>100</v>
      </c>
      <c r="P53" s="204">
        <v>100</v>
      </c>
      <c r="Q53" s="86" t="s">
        <v>59</v>
      </c>
      <c r="R53" s="199">
        <v>96</v>
      </c>
      <c r="S53" s="199">
        <v>55</v>
      </c>
      <c r="T53" s="46" t="s">
        <v>40</v>
      </c>
    </row>
    <row r="54" spans="1:20" s="2" customFormat="1" ht="13.5" customHeight="1">
      <c r="A54" s="7" t="s">
        <v>47</v>
      </c>
      <c r="B54" s="204">
        <v>50</v>
      </c>
      <c r="C54" s="204">
        <v>36.9</v>
      </c>
      <c r="D54" s="204">
        <v>0</v>
      </c>
      <c r="E54" s="204">
        <v>0</v>
      </c>
      <c r="F54" s="204">
        <v>0</v>
      </c>
      <c r="G54" s="204">
        <v>0</v>
      </c>
      <c r="H54" s="204">
        <v>0</v>
      </c>
      <c r="I54" s="204">
        <v>0</v>
      </c>
      <c r="J54" s="204">
        <v>0</v>
      </c>
      <c r="K54" s="204">
        <v>0</v>
      </c>
      <c r="L54" s="204">
        <v>0</v>
      </c>
      <c r="M54" s="204">
        <v>0</v>
      </c>
      <c r="N54" s="204">
        <v>0</v>
      </c>
      <c r="O54" s="204">
        <v>0</v>
      </c>
      <c r="P54" s="204">
        <v>0</v>
      </c>
      <c r="Q54" s="86" t="s">
        <v>23</v>
      </c>
      <c r="R54" s="199">
        <v>98</v>
      </c>
      <c r="S54" s="199">
        <v>70</v>
      </c>
      <c r="T54" s="217" t="s">
        <v>40</v>
      </c>
    </row>
    <row r="55" spans="1:20" s="2" customFormat="1" ht="13.5" customHeight="1">
      <c r="A55" s="7" t="s">
        <v>60</v>
      </c>
      <c r="B55" s="204">
        <v>60</v>
      </c>
      <c r="C55" s="204">
        <v>54.7</v>
      </c>
      <c r="D55" s="204">
        <v>60</v>
      </c>
      <c r="E55" s="204">
        <v>0</v>
      </c>
      <c r="F55" s="204">
        <v>0</v>
      </c>
      <c r="G55" s="204">
        <v>0</v>
      </c>
      <c r="H55" s="204">
        <v>0</v>
      </c>
      <c r="I55" s="204">
        <v>60</v>
      </c>
      <c r="J55" s="204">
        <v>60</v>
      </c>
      <c r="K55" s="204">
        <v>33.299999999999997</v>
      </c>
      <c r="L55" s="204">
        <v>33.299999999999997</v>
      </c>
      <c r="M55" s="204">
        <v>33.299999999999997</v>
      </c>
      <c r="N55" s="204">
        <v>33.299999999999997</v>
      </c>
      <c r="O55" s="204">
        <v>33.299999999999997</v>
      </c>
      <c r="P55" s="204">
        <v>33.299999999999997</v>
      </c>
      <c r="Q55" s="86" t="s">
        <v>23</v>
      </c>
      <c r="R55" s="199">
        <v>94</v>
      </c>
      <c r="S55" s="199">
        <v>92</v>
      </c>
      <c r="T55" s="217" t="s">
        <v>28</v>
      </c>
    </row>
    <row r="56" spans="1:20" s="2" customFormat="1" ht="13.5" customHeight="1">
      <c r="A56" s="7" t="s">
        <v>36</v>
      </c>
      <c r="B56" s="204">
        <v>71.400000000000006</v>
      </c>
      <c r="C56" s="204">
        <v>57.9</v>
      </c>
      <c r="D56" s="204">
        <v>33.299999999999997</v>
      </c>
      <c r="E56" s="204">
        <v>66.7</v>
      </c>
      <c r="F56" s="204">
        <v>66.7</v>
      </c>
      <c r="G56" s="204">
        <v>66.7</v>
      </c>
      <c r="H56" s="204">
        <v>66.7</v>
      </c>
      <c r="I56" s="204">
        <v>66.7</v>
      </c>
      <c r="J56" s="204">
        <v>66.7</v>
      </c>
      <c r="K56" s="204">
        <v>33.299999999999997</v>
      </c>
      <c r="L56" s="204">
        <v>33.299999999999997</v>
      </c>
      <c r="M56" s="204">
        <v>33.299999999999997</v>
      </c>
      <c r="N56" s="204">
        <v>33.299999999999997</v>
      </c>
      <c r="O56" s="204">
        <v>0</v>
      </c>
      <c r="P56" s="204">
        <v>0</v>
      </c>
      <c r="Q56" s="86" t="s">
        <v>26</v>
      </c>
      <c r="R56" s="199">
        <v>92</v>
      </c>
      <c r="S56" s="199">
        <v>84</v>
      </c>
      <c r="T56" s="217" t="s">
        <v>51</v>
      </c>
    </row>
    <row r="57" spans="1:20" s="2" customFormat="1" ht="13.5" customHeight="1">
      <c r="A57" s="7" t="s">
        <v>61</v>
      </c>
      <c r="B57" s="204">
        <v>0</v>
      </c>
      <c r="C57" s="204">
        <v>36.9</v>
      </c>
      <c r="D57" s="204">
        <v>50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50</v>
      </c>
      <c r="N57" s="204">
        <v>50</v>
      </c>
      <c r="O57" s="204">
        <v>0</v>
      </c>
      <c r="P57" s="204">
        <v>0</v>
      </c>
      <c r="Q57" s="86" t="s">
        <v>45</v>
      </c>
      <c r="R57" s="199">
        <v>82</v>
      </c>
      <c r="S57" s="199">
        <v>90</v>
      </c>
      <c r="T57" s="217" t="s">
        <v>27</v>
      </c>
    </row>
    <row r="58" spans="1:20" s="2" customFormat="1" ht="13.5" customHeight="1">
      <c r="A58" s="7" t="s">
        <v>36</v>
      </c>
      <c r="B58" s="204">
        <v>55.6</v>
      </c>
      <c r="C58" s="204">
        <v>76.2</v>
      </c>
      <c r="D58" s="204">
        <v>0</v>
      </c>
      <c r="E58" s="204">
        <v>50</v>
      </c>
      <c r="F58" s="204">
        <v>50</v>
      </c>
      <c r="G58" s="204">
        <v>0</v>
      </c>
      <c r="H58" s="204">
        <v>0</v>
      </c>
      <c r="I58" s="204">
        <v>66.7</v>
      </c>
      <c r="J58" s="204">
        <v>66.7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86" t="s">
        <v>30</v>
      </c>
      <c r="R58" s="199">
        <v>86</v>
      </c>
      <c r="S58" s="199">
        <v>100</v>
      </c>
      <c r="T58" s="217" t="s">
        <v>35</v>
      </c>
    </row>
    <row r="59" spans="1:20" s="2" customFormat="1" ht="13.5" customHeight="1">
      <c r="A59" s="7" t="s">
        <v>31</v>
      </c>
      <c r="B59" s="204">
        <v>47.1</v>
      </c>
      <c r="C59" s="204">
        <v>59.6</v>
      </c>
      <c r="D59" s="204">
        <v>58.8</v>
      </c>
      <c r="E59" s="204">
        <v>50</v>
      </c>
      <c r="F59" s="204">
        <v>50</v>
      </c>
      <c r="G59" s="204">
        <v>100</v>
      </c>
      <c r="H59" s="204">
        <v>100</v>
      </c>
      <c r="I59" s="204">
        <v>52.9</v>
      </c>
      <c r="J59" s="204">
        <v>53.8</v>
      </c>
      <c r="K59" s="204">
        <v>60</v>
      </c>
      <c r="L59" s="204">
        <v>66.7</v>
      </c>
      <c r="M59" s="204">
        <v>100</v>
      </c>
      <c r="N59" s="204">
        <v>100</v>
      </c>
      <c r="O59" s="204">
        <v>44.4</v>
      </c>
      <c r="P59" s="204">
        <v>42.9</v>
      </c>
      <c r="Q59" s="86" t="s">
        <v>23</v>
      </c>
      <c r="R59" s="199">
        <v>95</v>
      </c>
      <c r="S59" s="199">
        <v>94</v>
      </c>
      <c r="T59" s="217" t="s">
        <v>35</v>
      </c>
    </row>
    <row r="60" spans="1:20" s="2" customFormat="1" ht="13.5" customHeight="1">
      <c r="A60" s="7" t="s">
        <v>42</v>
      </c>
      <c r="B60" s="204">
        <v>54.8</v>
      </c>
      <c r="C60" s="204">
        <v>71.400000000000006</v>
      </c>
      <c r="D60" s="204">
        <v>57.1</v>
      </c>
      <c r="E60" s="204">
        <v>80</v>
      </c>
      <c r="F60" s="204">
        <v>77.8</v>
      </c>
      <c r="G60" s="204">
        <v>66.7</v>
      </c>
      <c r="H60" s="204">
        <v>66.7</v>
      </c>
      <c r="I60" s="204">
        <v>62.5</v>
      </c>
      <c r="J60" s="204">
        <v>57.1</v>
      </c>
      <c r="K60" s="204">
        <v>50</v>
      </c>
      <c r="L60" s="204">
        <v>50</v>
      </c>
      <c r="M60" s="204">
        <v>50</v>
      </c>
      <c r="N60" s="204">
        <v>50</v>
      </c>
      <c r="O60" s="204">
        <v>50</v>
      </c>
      <c r="P60" s="204">
        <v>40</v>
      </c>
      <c r="Q60" s="86" t="s">
        <v>30</v>
      </c>
      <c r="R60" s="199">
        <v>77</v>
      </c>
      <c r="S60" s="199">
        <v>94</v>
      </c>
      <c r="T60" s="114" t="s">
        <v>28</v>
      </c>
    </row>
    <row r="61" spans="1:20" s="2" customFormat="1" ht="13.5" customHeight="1">
      <c r="A61" s="7" t="s">
        <v>22</v>
      </c>
      <c r="B61" s="204">
        <v>67.7</v>
      </c>
      <c r="C61" s="204">
        <v>68</v>
      </c>
      <c r="D61" s="204">
        <v>60</v>
      </c>
      <c r="E61" s="204">
        <v>66.7</v>
      </c>
      <c r="F61" s="204">
        <v>66.7</v>
      </c>
      <c r="G61" s="204">
        <v>66.7</v>
      </c>
      <c r="H61" s="204">
        <v>60</v>
      </c>
      <c r="I61" s="204">
        <v>75</v>
      </c>
      <c r="J61" s="204">
        <v>66.7</v>
      </c>
      <c r="K61" s="204">
        <v>100</v>
      </c>
      <c r="L61" s="204">
        <v>100</v>
      </c>
      <c r="M61" s="204">
        <v>100</v>
      </c>
      <c r="N61" s="204">
        <v>100</v>
      </c>
      <c r="O61" s="204">
        <v>50</v>
      </c>
      <c r="P61" s="204">
        <v>50</v>
      </c>
      <c r="Q61" s="86" t="s">
        <v>23</v>
      </c>
      <c r="R61" s="199">
        <v>102</v>
      </c>
      <c r="S61" s="199">
        <v>90</v>
      </c>
      <c r="T61" s="46" t="s">
        <v>28</v>
      </c>
    </row>
    <row r="62" spans="1:20" s="2" customFormat="1" ht="13.5" customHeight="1">
      <c r="A62" s="7" t="s">
        <v>42</v>
      </c>
      <c r="B62" s="204">
        <v>45.7</v>
      </c>
      <c r="C62" s="204">
        <v>39.1</v>
      </c>
      <c r="D62" s="204">
        <v>33.299999999999997</v>
      </c>
      <c r="E62" s="204">
        <v>66.7</v>
      </c>
      <c r="F62" s="204">
        <v>50</v>
      </c>
      <c r="G62" s="204">
        <v>80</v>
      </c>
      <c r="H62" s="204">
        <v>50</v>
      </c>
      <c r="I62" s="204">
        <v>70.599999999999994</v>
      </c>
      <c r="J62" s="204">
        <v>54.5</v>
      </c>
      <c r="K62" s="204">
        <v>50</v>
      </c>
      <c r="L62" s="204">
        <v>33.299999999999997</v>
      </c>
      <c r="M62" s="204">
        <v>50</v>
      </c>
      <c r="N62" s="204">
        <v>33.299999999999997</v>
      </c>
      <c r="O62" s="204">
        <v>40</v>
      </c>
      <c r="P62" s="204">
        <v>40</v>
      </c>
      <c r="Q62" s="86" t="s">
        <v>45</v>
      </c>
      <c r="R62" s="199">
        <v>77</v>
      </c>
      <c r="S62" s="199">
        <v>70</v>
      </c>
      <c r="T62" s="217" t="s">
        <v>40</v>
      </c>
    </row>
    <row r="63" spans="1:20" s="2" customFormat="1" ht="13.5" customHeight="1">
      <c r="A63" s="7" t="s">
        <v>42</v>
      </c>
      <c r="B63" s="204">
        <v>45.7</v>
      </c>
      <c r="C63" s="204">
        <v>50.8</v>
      </c>
      <c r="D63" s="204">
        <v>25</v>
      </c>
      <c r="E63" s="204">
        <v>33.299999999999997</v>
      </c>
      <c r="F63" s="204">
        <v>50</v>
      </c>
      <c r="G63" s="204">
        <v>33.299999999999997</v>
      </c>
      <c r="H63" s="204">
        <v>50</v>
      </c>
      <c r="I63" s="204">
        <v>50</v>
      </c>
      <c r="J63" s="204">
        <v>50</v>
      </c>
      <c r="K63" s="204">
        <v>33.299999999999997</v>
      </c>
      <c r="L63" s="204">
        <v>33.299999999999997</v>
      </c>
      <c r="M63" s="204">
        <v>50</v>
      </c>
      <c r="N63" s="204">
        <v>33.299999999999997</v>
      </c>
      <c r="O63" s="204">
        <v>42.9</v>
      </c>
      <c r="P63" s="204">
        <v>33.299999999999997</v>
      </c>
      <c r="Q63" s="86" t="s">
        <v>26</v>
      </c>
      <c r="R63" s="199">
        <v>101</v>
      </c>
      <c r="S63" s="199">
        <v>96</v>
      </c>
      <c r="T63" s="57" t="s">
        <v>32</v>
      </c>
    </row>
    <row r="64" spans="1:20" s="2" customFormat="1" ht="13.5" customHeight="1">
      <c r="A64" s="7" t="s">
        <v>62</v>
      </c>
      <c r="B64" s="204">
        <v>28.6</v>
      </c>
      <c r="C64" s="204">
        <v>55.6</v>
      </c>
      <c r="D64" s="204">
        <v>20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33.299999999999997</v>
      </c>
      <c r="P64" s="204">
        <v>33.299999999999997</v>
      </c>
      <c r="Q64" s="86" t="s">
        <v>26</v>
      </c>
      <c r="R64" s="199">
        <v>92</v>
      </c>
      <c r="S64" s="199">
        <v>86</v>
      </c>
      <c r="T64" s="217" t="s">
        <v>27</v>
      </c>
    </row>
    <row r="65" spans="1:22" s="2" customFormat="1" ht="13.5" customHeight="1">
      <c r="A65" s="7" t="s">
        <v>36</v>
      </c>
      <c r="B65" s="204">
        <v>57.7</v>
      </c>
      <c r="C65" s="204">
        <v>59.6</v>
      </c>
      <c r="D65" s="204">
        <v>60</v>
      </c>
      <c r="E65" s="204">
        <v>71.400000000000006</v>
      </c>
      <c r="F65" s="204">
        <v>75</v>
      </c>
      <c r="G65" s="204">
        <v>71.400000000000006</v>
      </c>
      <c r="H65" s="204">
        <v>75</v>
      </c>
      <c r="I65" s="204">
        <v>66.7</v>
      </c>
      <c r="J65" s="204">
        <v>64.7</v>
      </c>
      <c r="K65" s="204">
        <v>0</v>
      </c>
      <c r="L65" s="204">
        <v>0</v>
      </c>
      <c r="M65" s="204">
        <v>0</v>
      </c>
      <c r="N65" s="204">
        <v>0</v>
      </c>
      <c r="O65" s="204">
        <v>25</v>
      </c>
      <c r="P65" s="204">
        <v>25</v>
      </c>
      <c r="Q65" s="86" t="s">
        <v>23</v>
      </c>
      <c r="R65" s="199">
        <v>104</v>
      </c>
      <c r="S65" s="199">
        <v>92</v>
      </c>
      <c r="T65" s="217" t="s">
        <v>28</v>
      </c>
    </row>
    <row r="66" spans="1:22" s="2" customFormat="1" ht="13.5" customHeight="1">
      <c r="A66" s="7" t="s">
        <v>53</v>
      </c>
      <c r="B66" s="204">
        <v>42.9</v>
      </c>
      <c r="C66" s="204">
        <v>38.799999999999997</v>
      </c>
      <c r="D66" s="204">
        <v>33.299999999999997</v>
      </c>
      <c r="E66" s="204">
        <v>33.299999999999997</v>
      </c>
      <c r="F66" s="204">
        <v>33.299999999999997</v>
      </c>
      <c r="G66" s="204">
        <v>0</v>
      </c>
      <c r="H66" s="204">
        <v>0</v>
      </c>
      <c r="I66" s="204">
        <v>62.5</v>
      </c>
      <c r="J66" s="204">
        <v>50</v>
      </c>
      <c r="K66" s="204">
        <v>50</v>
      </c>
      <c r="L66" s="204">
        <v>33.299999999999997</v>
      </c>
      <c r="M66" s="204">
        <v>66.7</v>
      </c>
      <c r="N66" s="204">
        <v>50</v>
      </c>
      <c r="O66" s="204">
        <v>60</v>
      </c>
      <c r="P66" s="204">
        <v>50</v>
      </c>
      <c r="Q66" s="86" t="s">
        <v>63</v>
      </c>
      <c r="R66" s="199">
        <v>76</v>
      </c>
      <c r="S66" s="199">
        <v>88</v>
      </c>
      <c r="T66" s="217" t="s">
        <v>27</v>
      </c>
    </row>
    <row r="67" spans="1:22" s="2" customFormat="1" ht="13.5" customHeight="1">
      <c r="A67" s="7" t="s">
        <v>31</v>
      </c>
      <c r="B67" s="204">
        <v>92.3</v>
      </c>
      <c r="C67" s="204">
        <v>100</v>
      </c>
      <c r="D67" s="204">
        <v>100</v>
      </c>
      <c r="E67" s="204">
        <v>100</v>
      </c>
      <c r="F67" s="204">
        <v>100</v>
      </c>
      <c r="G67" s="204">
        <v>100</v>
      </c>
      <c r="H67" s="204">
        <v>100</v>
      </c>
      <c r="I67" s="204">
        <v>100</v>
      </c>
      <c r="J67" s="204">
        <v>100</v>
      </c>
      <c r="K67" s="204">
        <v>100</v>
      </c>
      <c r="L67" s="204">
        <v>100</v>
      </c>
      <c r="M67" s="204">
        <v>100</v>
      </c>
      <c r="N67" s="204">
        <v>100</v>
      </c>
      <c r="O67" s="204">
        <v>100</v>
      </c>
      <c r="P67" s="204">
        <v>100</v>
      </c>
      <c r="Q67" s="86" t="s">
        <v>34</v>
      </c>
      <c r="R67" s="199">
        <v>88</v>
      </c>
      <c r="S67" s="199">
        <v>86</v>
      </c>
      <c r="T67" s="217" t="s">
        <v>28</v>
      </c>
    </row>
    <row r="68" spans="1:22" s="2" customFormat="1" ht="13.5" customHeight="1">
      <c r="A68" s="7" t="s">
        <v>42</v>
      </c>
      <c r="B68" s="204">
        <v>34.6</v>
      </c>
      <c r="C68" s="204">
        <v>86.4</v>
      </c>
      <c r="D68" s="204">
        <v>76.900000000000006</v>
      </c>
      <c r="E68" s="204">
        <v>40</v>
      </c>
      <c r="F68" s="204">
        <v>0</v>
      </c>
      <c r="G68" s="204">
        <v>40</v>
      </c>
      <c r="H68" s="204">
        <v>0</v>
      </c>
      <c r="I68" s="204">
        <v>66.7</v>
      </c>
      <c r="J68" s="204">
        <v>64.7</v>
      </c>
      <c r="K68" s="204">
        <v>66.7</v>
      </c>
      <c r="L68" s="204">
        <v>50</v>
      </c>
      <c r="M68" s="204">
        <v>50</v>
      </c>
      <c r="N68" s="204">
        <v>0</v>
      </c>
      <c r="O68" s="204">
        <v>75</v>
      </c>
      <c r="P68" s="204">
        <v>75</v>
      </c>
      <c r="Q68" s="86" t="s">
        <v>23</v>
      </c>
      <c r="R68" s="199">
        <v>80</v>
      </c>
      <c r="S68" s="199">
        <v>86</v>
      </c>
      <c r="T68" s="217" t="s">
        <v>28</v>
      </c>
    </row>
    <row r="69" spans="1:22" s="2" customFormat="1" ht="27" customHeight="1">
      <c r="A69" s="7" t="s">
        <v>22</v>
      </c>
      <c r="B69" s="204">
        <v>80</v>
      </c>
      <c r="C69" s="204">
        <v>55.6</v>
      </c>
      <c r="D69" s="204">
        <v>42.9</v>
      </c>
      <c r="E69" s="204">
        <v>40</v>
      </c>
      <c r="F69" s="204">
        <v>25</v>
      </c>
      <c r="G69" s="204">
        <v>25</v>
      </c>
      <c r="H69" s="204">
        <v>33.299999999999997</v>
      </c>
      <c r="I69" s="204">
        <v>37.5</v>
      </c>
      <c r="J69" s="204">
        <v>50</v>
      </c>
      <c r="K69" s="204">
        <v>100</v>
      </c>
      <c r="L69" s="204">
        <v>100</v>
      </c>
      <c r="M69" s="204">
        <v>50</v>
      </c>
      <c r="N69" s="204">
        <v>50</v>
      </c>
      <c r="O69" s="204">
        <v>100</v>
      </c>
      <c r="P69" s="204">
        <v>100</v>
      </c>
      <c r="Q69" s="86" t="s">
        <v>45</v>
      </c>
      <c r="R69" s="199">
        <v>84</v>
      </c>
      <c r="S69" s="199">
        <v>102</v>
      </c>
      <c r="T69" s="10" t="s">
        <v>35</v>
      </c>
    </row>
    <row r="70" spans="1:22" s="2" customFormat="1" ht="13.5" customHeight="1">
      <c r="A70" s="7" t="s">
        <v>64</v>
      </c>
      <c r="B70" s="204">
        <v>29.3</v>
      </c>
      <c r="C70" s="204">
        <v>49</v>
      </c>
      <c r="D70" s="204">
        <v>20</v>
      </c>
      <c r="E70" s="204">
        <v>20</v>
      </c>
      <c r="F70" s="204">
        <v>0</v>
      </c>
      <c r="G70" s="204">
        <v>50</v>
      </c>
      <c r="H70" s="204">
        <v>40</v>
      </c>
      <c r="I70" s="204">
        <v>50</v>
      </c>
      <c r="J70" s="204">
        <v>33.299999999999997</v>
      </c>
      <c r="K70" s="204">
        <v>25</v>
      </c>
      <c r="L70" s="204">
        <v>0</v>
      </c>
      <c r="M70" s="204">
        <v>33.299999999999997</v>
      </c>
      <c r="N70" s="204">
        <v>0</v>
      </c>
      <c r="O70" s="204">
        <v>28.6</v>
      </c>
      <c r="P70" s="204">
        <v>16.7</v>
      </c>
      <c r="Q70" s="86" t="s">
        <v>45</v>
      </c>
      <c r="R70" s="199">
        <v>87</v>
      </c>
      <c r="S70" s="199">
        <v>98</v>
      </c>
      <c r="T70" s="10" t="s">
        <v>65</v>
      </c>
    </row>
    <row r="71" spans="1:22" s="2" customFormat="1" ht="27" customHeight="1">
      <c r="A71" s="7" t="s">
        <v>41</v>
      </c>
      <c r="B71" s="204">
        <v>47.1</v>
      </c>
      <c r="C71" s="204">
        <v>68</v>
      </c>
      <c r="D71" s="204">
        <v>50</v>
      </c>
      <c r="E71" s="204">
        <v>50</v>
      </c>
      <c r="F71" s="204">
        <v>50</v>
      </c>
      <c r="G71" s="204">
        <v>100</v>
      </c>
      <c r="H71" s="204">
        <v>100</v>
      </c>
      <c r="I71" s="204">
        <v>52.9</v>
      </c>
      <c r="J71" s="204">
        <v>53.8</v>
      </c>
      <c r="K71" s="204">
        <v>75</v>
      </c>
      <c r="L71" s="204">
        <v>60</v>
      </c>
      <c r="M71" s="204">
        <v>100</v>
      </c>
      <c r="N71" s="204">
        <v>100</v>
      </c>
      <c r="O71" s="204">
        <v>68.8</v>
      </c>
      <c r="P71" s="204">
        <v>50</v>
      </c>
      <c r="Q71" s="86" t="s">
        <v>26</v>
      </c>
      <c r="R71" s="199">
        <v>94</v>
      </c>
      <c r="S71" s="199">
        <v>80</v>
      </c>
      <c r="T71" s="217" t="s">
        <v>40</v>
      </c>
    </row>
    <row r="72" spans="1:22" s="2" customFormat="1" ht="13.5" customHeight="1">
      <c r="A72" s="7" t="s">
        <v>33</v>
      </c>
      <c r="B72" s="204">
        <v>72.7</v>
      </c>
      <c r="C72" s="204">
        <v>55.6</v>
      </c>
      <c r="D72" s="204">
        <v>55.6</v>
      </c>
      <c r="E72" s="204">
        <v>33.299999999999997</v>
      </c>
      <c r="F72" s="204">
        <v>33.299999999999997</v>
      </c>
      <c r="G72" s="204">
        <v>33.299999999999997</v>
      </c>
      <c r="H72" s="204">
        <v>33.299999999999997</v>
      </c>
      <c r="I72" s="204">
        <v>75</v>
      </c>
      <c r="J72" s="204">
        <v>66.7</v>
      </c>
      <c r="K72" s="204">
        <v>50</v>
      </c>
      <c r="L72" s="204">
        <v>33.299999999999997</v>
      </c>
      <c r="M72" s="204">
        <v>50</v>
      </c>
      <c r="N72" s="204">
        <v>33.299999999999997</v>
      </c>
      <c r="O72" s="204">
        <v>40</v>
      </c>
      <c r="P72" s="204">
        <v>40</v>
      </c>
      <c r="Q72" s="86" t="s">
        <v>23</v>
      </c>
      <c r="R72" s="199">
        <v>80</v>
      </c>
      <c r="S72" s="199">
        <v>96</v>
      </c>
      <c r="T72" s="10" t="s">
        <v>35</v>
      </c>
    </row>
    <row r="73" spans="1:22" s="2" customFormat="1" ht="13.5" customHeight="1">
      <c r="A73" s="7" t="s">
        <v>41</v>
      </c>
      <c r="B73" s="204">
        <v>73.3</v>
      </c>
      <c r="C73" s="204">
        <v>63.6</v>
      </c>
      <c r="D73" s="204">
        <v>50</v>
      </c>
      <c r="E73" s="204">
        <v>62.5</v>
      </c>
      <c r="F73" s="204">
        <v>60</v>
      </c>
      <c r="G73" s="204">
        <v>75</v>
      </c>
      <c r="H73" s="204">
        <v>100</v>
      </c>
      <c r="I73" s="204">
        <v>62.5</v>
      </c>
      <c r="J73" s="204">
        <v>57.1</v>
      </c>
      <c r="K73" s="204">
        <v>50</v>
      </c>
      <c r="L73" s="204">
        <v>50</v>
      </c>
      <c r="M73" s="204">
        <v>100</v>
      </c>
      <c r="N73" s="204">
        <v>100</v>
      </c>
      <c r="O73" s="204">
        <v>85.7</v>
      </c>
      <c r="P73" s="204">
        <v>85.7</v>
      </c>
      <c r="Q73" s="86" t="s">
        <v>23</v>
      </c>
      <c r="R73" s="199">
        <v>100</v>
      </c>
      <c r="S73" s="199">
        <v>72</v>
      </c>
      <c r="T73" s="10" t="s">
        <v>46</v>
      </c>
    </row>
    <row r="74" spans="1:22" s="2" customFormat="1" ht="13.5" customHeight="1">
      <c r="A74" s="7" t="s">
        <v>31</v>
      </c>
      <c r="B74" s="204">
        <v>51.7</v>
      </c>
      <c r="C74" s="204">
        <v>39.1</v>
      </c>
      <c r="D74" s="204">
        <v>16.7</v>
      </c>
      <c r="E74" s="204">
        <v>60</v>
      </c>
      <c r="F74" s="204">
        <v>66.7</v>
      </c>
      <c r="G74" s="204">
        <v>40</v>
      </c>
      <c r="H74" s="204">
        <v>33.299999999999997</v>
      </c>
      <c r="I74" s="204">
        <v>40</v>
      </c>
      <c r="J74" s="204">
        <v>60</v>
      </c>
      <c r="K74" s="204">
        <v>50</v>
      </c>
      <c r="L74" s="204">
        <v>50</v>
      </c>
      <c r="M74" s="204">
        <v>50</v>
      </c>
      <c r="N74" s="204">
        <v>50</v>
      </c>
      <c r="O74" s="204">
        <v>28.6</v>
      </c>
      <c r="P74" s="204">
        <v>66.7</v>
      </c>
      <c r="Q74" s="86" t="s">
        <v>26</v>
      </c>
      <c r="R74" s="199">
        <v>94</v>
      </c>
      <c r="S74" s="199">
        <v>94</v>
      </c>
      <c r="T74" s="217" t="s">
        <v>35</v>
      </c>
    </row>
    <row r="75" spans="1:22" ht="27" customHeight="1">
      <c r="A75" s="7" t="s">
        <v>44</v>
      </c>
      <c r="B75" s="204">
        <v>66.7</v>
      </c>
      <c r="C75" s="204">
        <v>71.400000000000006</v>
      </c>
      <c r="D75" s="204">
        <v>75</v>
      </c>
      <c r="E75" s="204">
        <v>80</v>
      </c>
      <c r="F75" s="204">
        <v>77.8</v>
      </c>
      <c r="G75" s="204">
        <v>80</v>
      </c>
      <c r="H75" s="204">
        <v>80</v>
      </c>
      <c r="I75" s="204">
        <v>62.5</v>
      </c>
      <c r="J75" s="204">
        <v>57.1</v>
      </c>
      <c r="K75" s="204">
        <v>66.7</v>
      </c>
      <c r="L75" s="204">
        <v>66.7</v>
      </c>
      <c r="M75" s="204">
        <v>100</v>
      </c>
      <c r="N75" s="204">
        <v>100</v>
      </c>
      <c r="O75" s="204">
        <v>50</v>
      </c>
      <c r="P75" s="204">
        <v>50</v>
      </c>
      <c r="Q75" s="44" t="s">
        <v>30</v>
      </c>
      <c r="R75" s="205">
        <v>92</v>
      </c>
      <c r="S75" s="205">
        <v>96</v>
      </c>
      <c r="T75" s="217" t="s">
        <v>65</v>
      </c>
      <c r="U75">
        <v>3.5</v>
      </c>
      <c r="V75">
        <v>115</v>
      </c>
    </row>
    <row r="76" spans="1:22" ht="13.5" customHeight="1">
      <c r="A76" s="7" t="s">
        <v>31</v>
      </c>
      <c r="B76" s="204">
        <v>67.7</v>
      </c>
      <c r="C76" s="204">
        <v>49</v>
      </c>
      <c r="D76" s="204">
        <v>75</v>
      </c>
      <c r="E76" s="204">
        <v>80</v>
      </c>
      <c r="F76" s="204">
        <v>66.7</v>
      </c>
      <c r="G76" s="204">
        <v>80</v>
      </c>
      <c r="H76" s="204">
        <v>66.7</v>
      </c>
      <c r="I76" s="204">
        <v>70.599999999999994</v>
      </c>
      <c r="J76" s="204">
        <v>54.5</v>
      </c>
      <c r="K76" s="204">
        <v>50</v>
      </c>
      <c r="L76" s="204">
        <v>100</v>
      </c>
      <c r="M76" s="204">
        <v>50</v>
      </c>
      <c r="N76" s="204">
        <v>100</v>
      </c>
      <c r="O76" s="204">
        <v>66.7</v>
      </c>
      <c r="P76" s="204">
        <v>100</v>
      </c>
      <c r="Q76" s="44" t="s">
        <v>26</v>
      </c>
      <c r="R76" s="205">
        <v>85</v>
      </c>
      <c r="S76" s="205">
        <v>100</v>
      </c>
      <c r="T76" s="217" t="s">
        <v>65</v>
      </c>
      <c r="U76">
        <v>2.5</v>
      </c>
      <c r="V76">
        <v>130</v>
      </c>
    </row>
    <row r="77" spans="1:22" ht="13.5" customHeight="1">
      <c r="A77" s="7" t="s">
        <v>36</v>
      </c>
      <c r="B77" s="204">
        <v>67.7</v>
      </c>
      <c r="C77" s="204">
        <v>50.8</v>
      </c>
      <c r="D77" s="204">
        <v>62.5</v>
      </c>
      <c r="E77" s="204">
        <v>66.7</v>
      </c>
      <c r="F77" s="204">
        <v>66.7</v>
      </c>
      <c r="G77" s="204">
        <v>66.7</v>
      </c>
      <c r="H77" s="204">
        <v>60</v>
      </c>
      <c r="I77" s="204">
        <v>75</v>
      </c>
      <c r="J77" s="204">
        <v>66.7</v>
      </c>
      <c r="K77" s="204">
        <v>40</v>
      </c>
      <c r="L77" s="204">
        <v>33.299999999999997</v>
      </c>
      <c r="M77" s="204">
        <v>40</v>
      </c>
      <c r="N77" s="204">
        <v>33.299999999999997</v>
      </c>
      <c r="O77" s="204">
        <v>40</v>
      </c>
      <c r="P77" s="204">
        <v>40</v>
      </c>
      <c r="Q77" s="44" t="s">
        <v>23</v>
      </c>
      <c r="R77" s="205">
        <v>100</v>
      </c>
      <c r="S77" s="205">
        <v>78</v>
      </c>
      <c r="T77" s="217" t="s">
        <v>40</v>
      </c>
      <c r="U77">
        <v>2.5</v>
      </c>
      <c r="V77">
        <v>125</v>
      </c>
    </row>
    <row r="78" spans="1:22" ht="13.5" customHeight="1">
      <c r="A78" s="7" t="s">
        <v>41</v>
      </c>
      <c r="B78" s="204">
        <v>55.6</v>
      </c>
      <c r="C78" s="204">
        <v>57.9</v>
      </c>
      <c r="D78" s="204">
        <v>80</v>
      </c>
      <c r="E78" s="204">
        <v>66.7</v>
      </c>
      <c r="F78" s="204">
        <v>50</v>
      </c>
      <c r="G78" s="204">
        <v>50</v>
      </c>
      <c r="H78" s="204">
        <v>50</v>
      </c>
      <c r="I78" s="204">
        <v>40</v>
      </c>
      <c r="J78" s="204">
        <v>50</v>
      </c>
      <c r="K78" s="204">
        <v>100</v>
      </c>
      <c r="L78" s="204">
        <v>100</v>
      </c>
      <c r="M78" s="204">
        <v>100</v>
      </c>
      <c r="N78" s="204">
        <v>100</v>
      </c>
      <c r="O78" s="204">
        <v>80</v>
      </c>
      <c r="P78" s="204">
        <v>80</v>
      </c>
      <c r="Q78" s="44" t="s">
        <v>26</v>
      </c>
      <c r="R78" s="205">
        <v>89</v>
      </c>
      <c r="S78" s="205">
        <v>90</v>
      </c>
      <c r="T78" s="217" t="s">
        <v>28</v>
      </c>
      <c r="U78">
        <v>2.5</v>
      </c>
      <c r="V78">
        <v>102</v>
      </c>
    </row>
    <row r="79" spans="1:22" ht="13.5" customHeight="1">
      <c r="A79" s="7" t="s">
        <v>42</v>
      </c>
      <c r="B79" s="204">
        <v>45.7</v>
      </c>
      <c r="C79" s="204">
        <v>63.6</v>
      </c>
      <c r="D79" s="204">
        <v>50</v>
      </c>
      <c r="E79" s="204">
        <v>66.7</v>
      </c>
      <c r="F79" s="204">
        <v>50</v>
      </c>
      <c r="G79" s="204">
        <v>25</v>
      </c>
      <c r="H79" s="204">
        <v>0</v>
      </c>
      <c r="I79" s="204">
        <v>70.599999999999994</v>
      </c>
      <c r="J79" s="204">
        <v>54.5</v>
      </c>
      <c r="K79" s="204">
        <v>0</v>
      </c>
      <c r="L79" s="204">
        <v>0</v>
      </c>
      <c r="M79" s="204">
        <v>0</v>
      </c>
      <c r="N79" s="204">
        <v>0</v>
      </c>
      <c r="O79" s="204">
        <v>50</v>
      </c>
      <c r="P79" s="204">
        <v>50</v>
      </c>
      <c r="Q79" s="44" t="s">
        <v>23</v>
      </c>
      <c r="R79" s="205">
        <v>90</v>
      </c>
      <c r="S79" s="205">
        <v>88</v>
      </c>
      <c r="T79" s="217" t="s">
        <v>28</v>
      </c>
      <c r="U79">
        <v>2.5</v>
      </c>
      <c r="V79">
        <v>102</v>
      </c>
    </row>
    <row r="80" spans="1:22" ht="13.5" customHeight="1">
      <c r="A80" s="7" t="s">
        <v>37</v>
      </c>
      <c r="B80" s="204">
        <v>54.8</v>
      </c>
      <c r="C80" s="204">
        <v>76.5</v>
      </c>
      <c r="D80" s="204">
        <v>60</v>
      </c>
      <c r="E80" s="204">
        <v>80</v>
      </c>
      <c r="F80" s="204">
        <v>77.8</v>
      </c>
      <c r="G80" s="204">
        <v>66.7</v>
      </c>
      <c r="H80" s="204">
        <v>66.7</v>
      </c>
      <c r="I80" s="204">
        <v>62.5</v>
      </c>
      <c r="J80" s="204">
        <v>57.1</v>
      </c>
      <c r="K80" s="204">
        <v>100</v>
      </c>
      <c r="L80" s="204">
        <v>100</v>
      </c>
      <c r="M80" s="204">
        <v>100</v>
      </c>
      <c r="N80" s="204">
        <v>100</v>
      </c>
      <c r="O80" s="204">
        <v>85.7</v>
      </c>
      <c r="P80" s="204">
        <v>85.7</v>
      </c>
      <c r="Q80" s="44" t="s">
        <v>30</v>
      </c>
      <c r="R80" s="205">
        <v>100</v>
      </c>
      <c r="S80" s="205">
        <v>98</v>
      </c>
      <c r="T80" s="217" t="s">
        <v>48</v>
      </c>
      <c r="U80">
        <v>2.5</v>
      </c>
      <c r="V80">
        <v>68</v>
      </c>
    </row>
    <row r="81" spans="1:22" ht="13.5" customHeight="1">
      <c r="A81" s="7" t="s">
        <v>31</v>
      </c>
      <c r="B81" s="204">
        <v>57.7</v>
      </c>
      <c r="C81" s="204">
        <v>86.4</v>
      </c>
      <c r="D81" s="204">
        <v>75</v>
      </c>
      <c r="E81" s="204">
        <v>50</v>
      </c>
      <c r="F81" s="204">
        <v>100</v>
      </c>
      <c r="G81" s="204">
        <v>50</v>
      </c>
      <c r="H81" s="204">
        <v>100</v>
      </c>
      <c r="I81" s="204">
        <v>100</v>
      </c>
      <c r="J81" s="204">
        <v>100</v>
      </c>
      <c r="K81" s="204">
        <v>100</v>
      </c>
      <c r="L81" s="204">
        <v>100</v>
      </c>
      <c r="M81" s="204">
        <v>100</v>
      </c>
      <c r="N81" s="204">
        <v>100</v>
      </c>
      <c r="O81" s="204">
        <v>80</v>
      </c>
      <c r="P81" s="204">
        <v>80</v>
      </c>
      <c r="Q81" s="44" t="s">
        <v>23</v>
      </c>
      <c r="R81" s="205">
        <v>85</v>
      </c>
      <c r="S81" s="205">
        <v>95</v>
      </c>
      <c r="T81" s="217" t="s">
        <v>27</v>
      </c>
      <c r="U81">
        <v>2.5</v>
      </c>
      <c r="V81">
        <v>68</v>
      </c>
    </row>
    <row r="82" spans="1:22" ht="13.5" customHeight="1">
      <c r="A82" s="7" t="s">
        <v>31</v>
      </c>
      <c r="B82" s="204">
        <v>71.400000000000006</v>
      </c>
      <c r="C82" s="204">
        <v>49.4</v>
      </c>
      <c r="D82" s="204">
        <v>75</v>
      </c>
      <c r="E82" s="204">
        <v>25</v>
      </c>
      <c r="F82" s="204">
        <v>33.299999999999997</v>
      </c>
      <c r="G82" s="204">
        <v>25</v>
      </c>
      <c r="H82" s="204">
        <v>33.299999999999997</v>
      </c>
      <c r="I82" s="204">
        <v>50</v>
      </c>
      <c r="J82" s="204">
        <v>50</v>
      </c>
      <c r="K82" s="204">
        <v>100</v>
      </c>
      <c r="L82" s="204">
        <v>100</v>
      </c>
      <c r="M82" s="204">
        <v>100</v>
      </c>
      <c r="N82" s="204">
        <v>100</v>
      </c>
      <c r="O82" s="204">
        <v>66.7</v>
      </c>
      <c r="P82" s="204">
        <v>100</v>
      </c>
      <c r="Q82" s="44" t="s">
        <v>23</v>
      </c>
      <c r="R82" s="205">
        <v>109</v>
      </c>
      <c r="S82" s="205">
        <v>90</v>
      </c>
      <c r="T82" s="217" t="s">
        <v>27</v>
      </c>
      <c r="U82">
        <v>2.5</v>
      </c>
      <c r="V82">
        <v>135</v>
      </c>
    </row>
    <row r="83" spans="1:22" ht="13.5" customHeight="1">
      <c r="A83" s="7" t="s">
        <v>25</v>
      </c>
      <c r="B83" s="204">
        <v>51.7</v>
      </c>
      <c r="C83" s="204">
        <v>46.5</v>
      </c>
      <c r="D83" s="204">
        <v>23.1</v>
      </c>
      <c r="E83" s="204">
        <v>0</v>
      </c>
      <c r="F83" s="204">
        <v>0</v>
      </c>
      <c r="G83" s="204">
        <v>0</v>
      </c>
      <c r="H83" s="204">
        <v>0</v>
      </c>
      <c r="I83" s="204">
        <v>0</v>
      </c>
      <c r="J83" s="204">
        <v>0</v>
      </c>
      <c r="K83" s="204">
        <v>33.299999999999997</v>
      </c>
      <c r="L83" s="204">
        <v>33.299999999999997</v>
      </c>
      <c r="M83" s="204">
        <v>33.299999999999997</v>
      </c>
      <c r="N83" s="204">
        <v>33.299999999999997</v>
      </c>
      <c r="O83" s="204">
        <v>33.299999999999997</v>
      </c>
      <c r="P83" s="204">
        <v>33.299999999999997</v>
      </c>
      <c r="Q83" s="44" t="s">
        <v>26</v>
      </c>
      <c r="R83" s="205">
        <v>90</v>
      </c>
      <c r="S83" s="205">
        <v>80</v>
      </c>
      <c r="T83" s="217" t="s">
        <v>46</v>
      </c>
      <c r="U83">
        <v>2.5</v>
      </c>
      <c r="V83">
        <v>129</v>
      </c>
    </row>
    <row r="84" spans="1:22" ht="13.5" customHeight="1">
      <c r="A84" s="7" t="s">
        <v>60</v>
      </c>
      <c r="B84" s="204">
        <v>45.7</v>
      </c>
      <c r="C84" s="204">
        <v>50.8</v>
      </c>
      <c r="D84" s="204">
        <v>25</v>
      </c>
      <c r="E84" s="204">
        <v>66.7</v>
      </c>
      <c r="F84" s="204">
        <v>50</v>
      </c>
      <c r="G84" s="204">
        <v>40</v>
      </c>
      <c r="H84" s="204">
        <v>25</v>
      </c>
      <c r="I84" s="204">
        <v>70.599999999999994</v>
      </c>
      <c r="J84" s="204">
        <v>54.5</v>
      </c>
      <c r="K84" s="204">
        <v>0</v>
      </c>
      <c r="L84" s="204">
        <v>0</v>
      </c>
      <c r="M84" s="204">
        <v>0</v>
      </c>
      <c r="N84" s="204">
        <v>0</v>
      </c>
      <c r="O84" s="204">
        <v>42.9</v>
      </c>
      <c r="P84" s="204">
        <v>33.299999999999997</v>
      </c>
      <c r="Q84" s="44" t="s">
        <v>26</v>
      </c>
      <c r="R84" s="205">
        <v>82</v>
      </c>
      <c r="S84" s="205">
        <v>80</v>
      </c>
      <c r="T84" s="217" t="s">
        <v>39</v>
      </c>
      <c r="U84">
        <v>2.5</v>
      </c>
      <c r="V84">
        <v>135</v>
      </c>
    </row>
    <row r="85" spans="1:22" ht="13.5" customHeight="1">
      <c r="A85" s="7" t="s">
        <v>36</v>
      </c>
      <c r="B85" s="204">
        <v>51.7</v>
      </c>
      <c r="C85" s="204">
        <v>39.1</v>
      </c>
      <c r="D85" s="204">
        <v>16.7</v>
      </c>
      <c r="E85" s="204">
        <v>50</v>
      </c>
      <c r="F85" s="204">
        <v>50</v>
      </c>
      <c r="G85" s="204">
        <v>50</v>
      </c>
      <c r="H85" s="204">
        <v>50</v>
      </c>
      <c r="I85" s="204">
        <v>25</v>
      </c>
      <c r="J85" s="204">
        <v>0</v>
      </c>
      <c r="K85" s="204">
        <v>50</v>
      </c>
      <c r="L85" s="204">
        <v>50</v>
      </c>
      <c r="M85" s="204">
        <v>50</v>
      </c>
      <c r="N85" s="204">
        <v>50</v>
      </c>
      <c r="O85" s="204">
        <v>0</v>
      </c>
      <c r="P85" s="204">
        <v>0</v>
      </c>
      <c r="Q85" s="44" t="s">
        <v>26</v>
      </c>
      <c r="R85" s="205">
        <v>87</v>
      </c>
      <c r="S85" s="205">
        <v>86</v>
      </c>
      <c r="T85" s="217" t="s">
        <v>24</v>
      </c>
      <c r="U85">
        <v>2.5</v>
      </c>
      <c r="V85">
        <v>155</v>
      </c>
    </row>
    <row r="86" spans="1:22" ht="13.5" customHeight="1">
      <c r="A86" s="7" t="s">
        <v>31</v>
      </c>
      <c r="B86" s="204">
        <v>67.7</v>
      </c>
      <c r="C86" s="204">
        <v>74.400000000000006</v>
      </c>
      <c r="D86" s="204">
        <v>100</v>
      </c>
      <c r="E86" s="204">
        <v>66.7</v>
      </c>
      <c r="F86" s="204">
        <v>66.7</v>
      </c>
      <c r="G86" s="204">
        <v>75</v>
      </c>
      <c r="H86" s="204">
        <v>66.7</v>
      </c>
      <c r="I86" s="204">
        <v>75</v>
      </c>
      <c r="J86" s="204">
        <v>66.7</v>
      </c>
      <c r="K86" s="204">
        <v>100</v>
      </c>
      <c r="L86" s="204">
        <v>100</v>
      </c>
      <c r="M86" s="204">
        <v>100</v>
      </c>
      <c r="N86" s="204">
        <v>100</v>
      </c>
      <c r="O86" s="204">
        <v>71.400000000000006</v>
      </c>
      <c r="P86" s="204">
        <v>83.3</v>
      </c>
      <c r="Q86" s="44" t="s">
        <v>23</v>
      </c>
      <c r="R86" s="205">
        <v>87</v>
      </c>
      <c r="S86" s="205">
        <v>104</v>
      </c>
      <c r="T86" s="217" t="s">
        <v>48</v>
      </c>
      <c r="U86">
        <v>2.5</v>
      </c>
      <c r="V86">
        <v>120</v>
      </c>
    </row>
    <row r="87" spans="1:22" ht="13.5" customHeight="1">
      <c r="A87" s="7" t="s">
        <v>25</v>
      </c>
      <c r="B87" s="204">
        <v>51.7</v>
      </c>
      <c r="C87" s="204">
        <v>39.1</v>
      </c>
      <c r="D87" s="204">
        <v>16.7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33.299999999999997</v>
      </c>
      <c r="L87" s="204">
        <v>33.299999999999997</v>
      </c>
      <c r="M87" s="204">
        <v>0</v>
      </c>
      <c r="N87" s="204">
        <v>0</v>
      </c>
      <c r="O87" s="204">
        <v>28.6</v>
      </c>
      <c r="P87" s="204">
        <v>16.7</v>
      </c>
      <c r="Q87" s="44" t="s">
        <v>45</v>
      </c>
      <c r="R87" s="205">
        <v>79</v>
      </c>
      <c r="S87" s="205">
        <v>92</v>
      </c>
      <c r="T87" s="217" t="s">
        <v>27</v>
      </c>
      <c r="U87">
        <v>2.5</v>
      </c>
      <c r="V87">
        <v>130</v>
      </c>
    </row>
    <row r="88" spans="1:22" ht="13.5" customHeight="1">
      <c r="A88" s="7" t="s">
        <v>33</v>
      </c>
      <c r="B88" s="204">
        <v>50</v>
      </c>
      <c r="C88" s="204">
        <v>74.400000000000006</v>
      </c>
      <c r="D88" s="204">
        <v>71.400000000000006</v>
      </c>
      <c r="E88" s="204">
        <v>62.5</v>
      </c>
      <c r="F88" s="204">
        <v>60</v>
      </c>
      <c r="G88" s="204">
        <v>57.1</v>
      </c>
      <c r="H88" s="204">
        <v>60</v>
      </c>
      <c r="I88" s="204">
        <v>37.5</v>
      </c>
      <c r="J88" s="204">
        <v>50</v>
      </c>
      <c r="K88" s="204">
        <v>100</v>
      </c>
      <c r="L88" s="204">
        <v>100</v>
      </c>
      <c r="M88" s="204">
        <v>100</v>
      </c>
      <c r="N88" s="204">
        <v>100</v>
      </c>
      <c r="O88" s="204">
        <v>40</v>
      </c>
      <c r="P88" s="204">
        <v>25</v>
      </c>
      <c r="Q88" s="44" t="s">
        <v>26</v>
      </c>
      <c r="R88" s="205">
        <v>85</v>
      </c>
      <c r="S88" s="205">
        <v>90</v>
      </c>
      <c r="T88" s="217" t="s">
        <v>24</v>
      </c>
      <c r="U88">
        <v>2.5</v>
      </c>
      <c r="V88">
        <v>110</v>
      </c>
    </row>
    <row r="89" spans="1:22" ht="13.5" customHeight="1">
      <c r="A89" s="7" t="s">
        <v>22</v>
      </c>
      <c r="B89" s="204">
        <v>59.1</v>
      </c>
      <c r="C89" s="204">
        <v>86.4</v>
      </c>
      <c r="D89" s="204">
        <v>76.900000000000006</v>
      </c>
      <c r="E89" s="204">
        <v>100</v>
      </c>
      <c r="F89" s="204">
        <v>100</v>
      </c>
      <c r="G89" s="204">
        <v>100</v>
      </c>
      <c r="H89" s="204">
        <v>100</v>
      </c>
      <c r="I89" s="204">
        <v>100</v>
      </c>
      <c r="J89" s="204">
        <v>100</v>
      </c>
      <c r="K89" s="204">
        <v>80</v>
      </c>
      <c r="L89" s="204">
        <v>80</v>
      </c>
      <c r="M89" s="204">
        <v>80</v>
      </c>
      <c r="N89" s="204">
        <v>80</v>
      </c>
      <c r="O89" s="204">
        <v>80</v>
      </c>
      <c r="P89" s="204">
        <v>80</v>
      </c>
      <c r="Q89" s="207" t="s">
        <v>30</v>
      </c>
      <c r="R89" s="205">
        <v>90</v>
      </c>
      <c r="S89" s="205">
        <v>80</v>
      </c>
      <c r="T89" s="217" t="s">
        <v>40</v>
      </c>
      <c r="U89">
        <v>2.5</v>
      </c>
      <c r="V89">
        <v>65</v>
      </c>
    </row>
    <row r="90" spans="1:22" ht="13.5" customHeight="1">
      <c r="A90" s="7" t="s">
        <v>47</v>
      </c>
      <c r="B90" s="204">
        <v>29.3</v>
      </c>
      <c r="C90" s="204">
        <v>39.1</v>
      </c>
      <c r="D90" s="204">
        <v>33.299999999999997</v>
      </c>
      <c r="E90" s="204">
        <v>20</v>
      </c>
      <c r="F90" s="204">
        <v>0</v>
      </c>
      <c r="G90" s="204">
        <v>42.9</v>
      </c>
      <c r="H90" s="204">
        <v>33.299999999999997</v>
      </c>
      <c r="I90" s="204">
        <v>50</v>
      </c>
      <c r="J90" s="204">
        <v>33.299999999999997</v>
      </c>
      <c r="K90" s="204">
        <v>0</v>
      </c>
      <c r="L90" s="204">
        <v>0</v>
      </c>
      <c r="M90" s="204">
        <v>0</v>
      </c>
      <c r="N90" s="204">
        <v>0</v>
      </c>
      <c r="O90" s="204">
        <v>50</v>
      </c>
      <c r="P90" s="204">
        <v>50</v>
      </c>
      <c r="Q90" s="44" t="s">
        <v>26</v>
      </c>
      <c r="R90" s="205">
        <v>105</v>
      </c>
      <c r="S90" s="205">
        <v>100</v>
      </c>
      <c r="T90" s="217" t="s">
        <v>48</v>
      </c>
      <c r="U90">
        <v>2.5</v>
      </c>
      <c r="V90">
        <v>145</v>
      </c>
    </row>
    <row r="91" spans="1:22" ht="13.5" customHeight="1">
      <c r="A91" s="7" t="s">
        <v>31</v>
      </c>
      <c r="B91" s="204">
        <v>28.2</v>
      </c>
      <c r="C91" s="204">
        <v>36.9</v>
      </c>
      <c r="D91" s="204">
        <v>22.2</v>
      </c>
      <c r="E91" s="204">
        <v>100</v>
      </c>
      <c r="F91" s="204">
        <v>100</v>
      </c>
      <c r="G91" s="204">
        <v>100</v>
      </c>
      <c r="H91" s="204">
        <v>100</v>
      </c>
      <c r="I91" s="204">
        <v>80</v>
      </c>
      <c r="J91" s="204">
        <v>75</v>
      </c>
      <c r="K91" s="204">
        <v>33.299999999999997</v>
      </c>
      <c r="L91" s="204">
        <v>33.299999999999997</v>
      </c>
      <c r="M91" s="204">
        <v>33.299999999999997</v>
      </c>
      <c r="N91" s="204">
        <v>33.299999999999997</v>
      </c>
      <c r="O91" s="204">
        <v>33.299999999999997</v>
      </c>
      <c r="P91" s="204">
        <v>33.299999999999997</v>
      </c>
      <c r="Q91" s="207" t="s">
        <v>26</v>
      </c>
      <c r="R91" s="205">
        <v>107</v>
      </c>
      <c r="S91" s="205">
        <v>88</v>
      </c>
      <c r="T91" s="217" t="s">
        <v>24</v>
      </c>
      <c r="U91">
        <v>2.5</v>
      </c>
      <c r="V91">
        <v>138</v>
      </c>
    </row>
    <row r="92" spans="1:22" ht="13.5" customHeight="1">
      <c r="A92" s="7" t="s">
        <v>36</v>
      </c>
      <c r="B92" s="204">
        <v>54.8</v>
      </c>
      <c r="C92" s="204">
        <v>76.5</v>
      </c>
      <c r="D92" s="204">
        <v>60</v>
      </c>
      <c r="E92" s="204">
        <v>0</v>
      </c>
      <c r="F92" s="204">
        <v>0</v>
      </c>
      <c r="G92" s="204">
        <v>33.299999999999997</v>
      </c>
      <c r="H92" s="204">
        <v>33.299999999999997</v>
      </c>
      <c r="I92" s="204">
        <v>62.5</v>
      </c>
      <c r="J92" s="204">
        <v>57.1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44" t="s">
        <v>30</v>
      </c>
      <c r="R92" s="205">
        <v>95</v>
      </c>
      <c r="S92" s="205">
        <v>80</v>
      </c>
      <c r="T92" s="217" t="s">
        <v>46</v>
      </c>
      <c r="U92">
        <v>2.5</v>
      </c>
      <c r="V92">
        <v>93</v>
      </c>
    </row>
    <row r="93" spans="1:22" ht="13.5" customHeight="1">
      <c r="A93" s="7" t="s">
        <v>31</v>
      </c>
      <c r="B93" s="204">
        <v>72.7</v>
      </c>
      <c r="C93" s="204">
        <v>49.4</v>
      </c>
      <c r="D93" s="204">
        <v>75</v>
      </c>
      <c r="E93" s="204">
        <v>66.7</v>
      </c>
      <c r="F93" s="204">
        <v>50</v>
      </c>
      <c r="G93" s="204">
        <v>66.7</v>
      </c>
      <c r="H93" s="204">
        <v>50</v>
      </c>
      <c r="I93" s="204">
        <v>50</v>
      </c>
      <c r="J93" s="204">
        <v>50</v>
      </c>
      <c r="K93" s="204">
        <v>33.299999999999997</v>
      </c>
      <c r="L93" s="204">
        <v>50</v>
      </c>
      <c r="M93" s="204">
        <v>33.299999999999997</v>
      </c>
      <c r="N93" s="204">
        <v>50</v>
      </c>
      <c r="O93" s="204">
        <v>71.400000000000006</v>
      </c>
      <c r="P93" s="204">
        <v>83.3</v>
      </c>
      <c r="Q93" s="44" t="s">
        <v>26</v>
      </c>
      <c r="R93" s="205">
        <v>97</v>
      </c>
      <c r="S93" s="205">
        <v>102</v>
      </c>
      <c r="T93" s="217" t="s">
        <v>35</v>
      </c>
      <c r="U93">
        <v>2.5</v>
      </c>
      <c r="V93">
        <v>145</v>
      </c>
    </row>
    <row r="94" spans="1:22" ht="13.5" customHeight="1">
      <c r="A94" s="7" t="s">
        <v>43</v>
      </c>
      <c r="B94" s="204">
        <v>84.2</v>
      </c>
      <c r="C94" s="204">
        <v>84.6</v>
      </c>
      <c r="D94" s="204">
        <v>100</v>
      </c>
      <c r="E94" s="204">
        <v>100</v>
      </c>
      <c r="F94" s="204">
        <v>100</v>
      </c>
      <c r="G94" s="204">
        <v>100</v>
      </c>
      <c r="H94" s="204">
        <v>100</v>
      </c>
      <c r="I94" s="204">
        <v>100</v>
      </c>
      <c r="J94" s="204">
        <v>100</v>
      </c>
      <c r="K94" s="204">
        <v>100</v>
      </c>
      <c r="L94" s="204">
        <v>100</v>
      </c>
      <c r="M94" s="204">
        <v>100</v>
      </c>
      <c r="N94" s="204">
        <v>100</v>
      </c>
      <c r="O94" s="204">
        <v>100</v>
      </c>
      <c r="P94" s="204">
        <v>100</v>
      </c>
      <c r="Q94" s="44" t="s">
        <v>30</v>
      </c>
      <c r="R94" s="205">
        <v>87</v>
      </c>
      <c r="S94" s="205">
        <v>85</v>
      </c>
      <c r="T94" s="217" t="s">
        <v>51</v>
      </c>
      <c r="U94">
        <v>3.5</v>
      </c>
      <c r="V94">
        <v>110</v>
      </c>
    </row>
    <row r="95" spans="1:22" ht="13.5" customHeight="1">
      <c r="A95" s="7" t="s">
        <v>66</v>
      </c>
      <c r="B95" s="204">
        <v>29.3</v>
      </c>
      <c r="C95" s="204">
        <v>38.799999999999997</v>
      </c>
      <c r="D95" s="204">
        <v>30.8</v>
      </c>
      <c r="E95" s="204">
        <v>0</v>
      </c>
      <c r="F95" s="204">
        <v>0</v>
      </c>
      <c r="G95" s="204">
        <v>0</v>
      </c>
      <c r="H95" s="204">
        <v>0</v>
      </c>
      <c r="I95" s="204">
        <v>25</v>
      </c>
      <c r="J95" s="204">
        <v>0</v>
      </c>
      <c r="K95" s="204">
        <v>33.299999999999997</v>
      </c>
      <c r="L95" s="204">
        <v>33.299999999999997</v>
      </c>
      <c r="M95" s="204">
        <v>0</v>
      </c>
      <c r="N95" s="204">
        <v>0</v>
      </c>
      <c r="O95" s="204">
        <v>28.6</v>
      </c>
      <c r="P95" s="204">
        <v>16.7</v>
      </c>
      <c r="Q95" s="44" t="s">
        <v>45</v>
      </c>
      <c r="R95" s="205">
        <v>88</v>
      </c>
      <c r="S95" s="205">
        <v>90</v>
      </c>
      <c r="T95" s="217" t="s">
        <v>24</v>
      </c>
      <c r="U95">
        <v>2.5</v>
      </c>
      <c r="V95">
        <v>182</v>
      </c>
    </row>
    <row r="96" spans="1:22" ht="13.5" customHeight="1">
      <c r="A96" s="7" t="s">
        <v>31</v>
      </c>
      <c r="B96" s="204">
        <v>54.8</v>
      </c>
      <c r="C96" s="204">
        <v>73.3</v>
      </c>
      <c r="D96" s="204">
        <v>50</v>
      </c>
      <c r="E96" s="204">
        <v>80</v>
      </c>
      <c r="F96" s="204">
        <v>77.8</v>
      </c>
      <c r="G96" s="204">
        <v>77.8</v>
      </c>
      <c r="H96" s="204">
        <v>83.3</v>
      </c>
      <c r="I96" s="204">
        <v>62.5</v>
      </c>
      <c r="J96" s="204">
        <v>57.1</v>
      </c>
      <c r="K96" s="204">
        <v>100</v>
      </c>
      <c r="L96" s="204">
        <v>100</v>
      </c>
      <c r="M96" s="204">
        <v>100</v>
      </c>
      <c r="N96" s="204">
        <v>100</v>
      </c>
      <c r="O96" s="204">
        <v>100</v>
      </c>
      <c r="P96" s="204">
        <v>100</v>
      </c>
      <c r="Q96" s="44" t="s">
        <v>23</v>
      </c>
      <c r="R96" s="205">
        <v>85</v>
      </c>
      <c r="S96" s="205">
        <v>94</v>
      </c>
      <c r="T96" s="217" t="s">
        <v>24</v>
      </c>
      <c r="U96">
        <v>2.5</v>
      </c>
      <c r="V96">
        <v>80</v>
      </c>
    </row>
    <row r="97" spans="1:22" ht="13.5" customHeight="1">
      <c r="A97" s="7" t="s">
        <v>42</v>
      </c>
      <c r="B97" s="204">
        <v>33.299999999999997</v>
      </c>
      <c r="C97" s="204">
        <v>36.9</v>
      </c>
      <c r="D97" s="204">
        <v>33.299999999999997</v>
      </c>
      <c r="E97" s="204">
        <v>0</v>
      </c>
      <c r="F97" s="204">
        <v>0</v>
      </c>
      <c r="G97" s="204">
        <v>0</v>
      </c>
      <c r="H97" s="204">
        <v>0</v>
      </c>
      <c r="I97" s="204">
        <v>0</v>
      </c>
      <c r="J97" s="204">
        <v>0</v>
      </c>
      <c r="K97" s="204">
        <v>0</v>
      </c>
      <c r="L97" s="204">
        <v>0</v>
      </c>
      <c r="M97" s="204">
        <v>0</v>
      </c>
      <c r="N97" s="204">
        <v>0</v>
      </c>
      <c r="O97" s="204">
        <v>25</v>
      </c>
      <c r="P97" s="204">
        <v>33.299999999999997</v>
      </c>
      <c r="Q97" s="44" t="s">
        <v>45</v>
      </c>
      <c r="R97" s="205">
        <v>88</v>
      </c>
      <c r="S97" s="205">
        <v>96</v>
      </c>
      <c r="T97" s="217" t="s">
        <v>48</v>
      </c>
      <c r="U97">
        <v>2.5</v>
      </c>
      <c r="V97">
        <v>150</v>
      </c>
    </row>
    <row r="98" spans="1:22" ht="13.5" customHeight="1">
      <c r="A98" s="7" t="s">
        <v>44</v>
      </c>
      <c r="B98" s="204">
        <v>45.7</v>
      </c>
      <c r="C98" s="204">
        <v>74.400000000000006</v>
      </c>
      <c r="D98" s="204">
        <v>90</v>
      </c>
      <c r="E98" s="204">
        <v>75</v>
      </c>
      <c r="F98" s="204">
        <v>66.7</v>
      </c>
      <c r="G98" s="204">
        <v>71.400000000000006</v>
      </c>
      <c r="H98" s="204">
        <v>60</v>
      </c>
      <c r="I98" s="204">
        <v>75</v>
      </c>
      <c r="J98" s="204">
        <v>66.7</v>
      </c>
      <c r="K98" s="204">
        <v>50</v>
      </c>
      <c r="L98" s="204">
        <v>50</v>
      </c>
      <c r="M98" s="204">
        <v>33.299999999999997</v>
      </c>
      <c r="N98" s="204">
        <v>50</v>
      </c>
      <c r="O98" s="204">
        <v>66.7</v>
      </c>
      <c r="P98" s="204">
        <v>100</v>
      </c>
      <c r="Q98" s="44" t="s">
        <v>23</v>
      </c>
      <c r="R98" s="205">
        <v>98</v>
      </c>
      <c r="S98" s="205">
        <v>88</v>
      </c>
      <c r="T98" s="217" t="s">
        <v>28</v>
      </c>
      <c r="U98">
        <v>2.5</v>
      </c>
      <c r="V98">
        <v>102</v>
      </c>
    </row>
    <row r="99" spans="1:22" ht="13.5" customHeight="1">
      <c r="A99" s="7" t="s">
        <v>31</v>
      </c>
      <c r="B99" s="204">
        <v>54.8</v>
      </c>
      <c r="C99" s="204">
        <v>76.5</v>
      </c>
      <c r="D99" s="204">
        <v>60</v>
      </c>
      <c r="E99" s="204">
        <v>80</v>
      </c>
      <c r="F99" s="204">
        <v>77.8</v>
      </c>
      <c r="G99" s="204">
        <v>72.7</v>
      </c>
      <c r="H99" s="204">
        <v>77.8</v>
      </c>
      <c r="I99" s="204">
        <v>62.5</v>
      </c>
      <c r="J99" s="204">
        <v>57.1</v>
      </c>
      <c r="K99" s="204">
        <v>100</v>
      </c>
      <c r="L99" s="204">
        <v>100</v>
      </c>
      <c r="M99" s="204">
        <v>100</v>
      </c>
      <c r="N99" s="204">
        <v>100</v>
      </c>
      <c r="O99" s="204">
        <v>85.7</v>
      </c>
      <c r="P99" s="204">
        <v>85.7</v>
      </c>
      <c r="Q99" s="44" t="s">
        <v>23</v>
      </c>
      <c r="R99" s="205">
        <v>86</v>
      </c>
      <c r="S99" s="205">
        <v>85</v>
      </c>
      <c r="T99" s="217" t="s">
        <v>28</v>
      </c>
      <c r="U99">
        <v>2.5</v>
      </c>
      <c r="V99">
        <v>62</v>
      </c>
    </row>
    <row r="100" spans="1:22" ht="13.5" customHeight="1">
      <c r="A100" s="7" t="s">
        <v>36</v>
      </c>
      <c r="B100" s="204">
        <v>50</v>
      </c>
      <c r="C100" s="204">
        <v>46.5</v>
      </c>
      <c r="D100" s="204">
        <v>75</v>
      </c>
      <c r="E100" s="204">
        <v>33.299999999999997</v>
      </c>
      <c r="F100" s="204">
        <v>33.299999999999997</v>
      </c>
      <c r="G100" s="204">
        <v>33.299999999999997</v>
      </c>
      <c r="H100" s="204">
        <v>33.299999999999997</v>
      </c>
      <c r="I100" s="204">
        <v>14.3</v>
      </c>
      <c r="J100" s="204">
        <v>0</v>
      </c>
      <c r="K100" s="204">
        <v>25</v>
      </c>
      <c r="L100" s="204">
        <v>0</v>
      </c>
      <c r="M100" s="204">
        <v>25</v>
      </c>
      <c r="N100" s="204">
        <v>0</v>
      </c>
      <c r="O100" s="204">
        <v>40</v>
      </c>
      <c r="P100" s="204">
        <v>25</v>
      </c>
      <c r="Q100" s="44" t="s">
        <v>45</v>
      </c>
      <c r="R100" s="205">
        <v>78</v>
      </c>
      <c r="S100" s="219">
        <v>90</v>
      </c>
      <c r="T100" s="217" t="s">
        <v>24</v>
      </c>
      <c r="U100">
        <v>2.5</v>
      </c>
      <c r="V100">
        <v>135</v>
      </c>
    </row>
    <row r="101" spans="1:22" ht="27" customHeight="1">
      <c r="A101" s="7" t="s">
        <v>36</v>
      </c>
      <c r="B101" s="204">
        <v>44.4</v>
      </c>
      <c r="C101" s="204">
        <v>22.2</v>
      </c>
      <c r="D101" s="204">
        <v>30</v>
      </c>
      <c r="E101" s="204">
        <v>33.299999999999997</v>
      </c>
      <c r="F101" s="204">
        <v>33.299999999999997</v>
      </c>
      <c r="G101" s="204">
        <v>33.299999999999997</v>
      </c>
      <c r="H101" s="204">
        <v>33.299999999999997</v>
      </c>
      <c r="I101" s="204">
        <v>62.5</v>
      </c>
      <c r="J101" s="204">
        <v>50</v>
      </c>
      <c r="K101" s="204">
        <v>0</v>
      </c>
      <c r="L101" s="204">
        <v>0</v>
      </c>
      <c r="M101" s="204">
        <v>0</v>
      </c>
      <c r="N101" s="204">
        <v>0</v>
      </c>
      <c r="O101" s="204">
        <v>50</v>
      </c>
      <c r="P101" s="204">
        <v>50</v>
      </c>
      <c r="Q101" s="44" t="s">
        <v>45</v>
      </c>
      <c r="R101" s="205">
        <v>100</v>
      </c>
      <c r="S101" s="205">
        <v>110</v>
      </c>
      <c r="T101" s="217" t="s">
        <v>35</v>
      </c>
    </row>
    <row r="102" spans="1:22" ht="13.5" customHeight="1">
      <c r="A102" s="7" t="s">
        <v>31</v>
      </c>
      <c r="B102" s="204">
        <v>76.900000000000006</v>
      </c>
      <c r="C102" s="204">
        <v>84.6</v>
      </c>
      <c r="D102" s="204">
        <v>83.3</v>
      </c>
      <c r="E102" s="204">
        <v>100</v>
      </c>
      <c r="F102" s="204">
        <v>100</v>
      </c>
      <c r="G102" s="204">
        <v>100</v>
      </c>
      <c r="H102" s="204">
        <v>100</v>
      </c>
      <c r="I102" s="204">
        <v>100</v>
      </c>
      <c r="J102" s="204">
        <v>100</v>
      </c>
      <c r="K102" s="204">
        <v>100</v>
      </c>
      <c r="L102" s="204">
        <v>100</v>
      </c>
      <c r="M102" s="204">
        <v>100</v>
      </c>
      <c r="N102" s="204">
        <v>100</v>
      </c>
      <c r="O102" s="204">
        <v>100</v>
      </c>
      <c r="P102" s="204">
        <v>100</v>
      </c>
      <c r="Q102" s="44" t="s">
        <v>38</v>
      </c>
      <c r="R102" s="205">
        <v>100</v>
      </c>
      <c r="S102" s="205">
        <v>96</v>
      </c>
      <c r="T102" s="217" t="s">
        <v>35</v>
      </c>
    </row>
    <row r="103" spans="1:22" ht="13.5" customHeight="1">
      <c r="A103" s="7" t="s">
        <v>53</v>
      </c>
      <c r="B103" s="204">
        <v>55.6</v>
      </c>
      <c r="C103" s="204">
        <v>50.8</v>
      </c>
      <c r="D103" s="204">
        <v>58.8</v>
      </c>
      <c r="E103" s="204">
        <v>50</v>
      </c>
      <c r="F103" s="204">
        <v>50</v>
      </c>
      <c r="G103" s="204">
        <v>50</v>
      </c>
      <c r="H103" s="204">
        <v>50</v>
      </c>
      <c r="I103" s="204">
        <v>50</v>
      </c>
      <c r="J103" s="204">
        <v>50</v>
      </c>
      <c r="K103" s="204">
        <v>33.299999999999997</v>
      </c>
      <c r="L103" s="204">
        <v>33.299999999999997</v>
      </c>
      <c r="M103" s="204">
        <v>50</v>
      </c>
      <c r="N103" s="204">
        <v>50</v>
      </c>
      <c r="O103" s="204">
        <v>33.299999999999997</v>
      </c>
      <c r="P103" s="204">
        <v>33.299999999999997</v>
      </c>
      <c r="Q103" s="44" t="s">
        <v>45</v>
      </c>
      <c r="R103" s="205">
        <v>94</v>
      </c>
      <c r="S103" s="205">
        <v>65</v>
      </c>
      <c r="T103" s="217" t="s">
        <v>40</v>
      </c>
    </row>
    <row r="104" spans="1:22" ht="13.5" customHeight="1">
      <c r="A104" s="7" t="s">
        <v>36</v>
      </c>
      <c r="B104" s="204">
        <v>57.7</v>
      </c>
      <c r="C104" s="204">
        <v>74.400000000000006</v>
      </c>
      <c r="D104" s="204">
        <v>85.7</v>
      </c>
      <c r="E104" s="204">
        <v>0</v>
      </c>
      <c r="F104" s="204">
        <v>0</v>
      </c>
      <c r="G104" s="204">
        <v>0</v>
      </c>
      <c r="H104" s="204">
        <v>0</v>
      </c>
      <c r="I104" s="204">
        <v>52.9</v>
      </c>
      <c r="J104" s="204">
        <v>53.8</v>
      </c>
      <c r="K104" s="204">
        <v>0</v>
      </c>
      <c r="L104" s="204">
        <v>0</v>
      </c>
      <c r="M104" s="204">
        <v>0</v>
      </c>
      <c r="N104" s="204">
        <v>0</v>
      </c>
      <c r="O104" s="204">
        <v>44.4</v>
      </c>
      <c r="P104" s="204">
        <v>42.9</v>
      </c>
      <c r="Q104" s="44" t="s">
        <v>23</v>
      </c>
      <c r="R104" s="205">
        <v>86</v>
      </c>
      <c r="S104" s="205">
        <v>110</v>
      </c>
      <c r="T104" s="217" t="s">
        <v>35</v>
      </c>
    </row>
    <row r="105" spans="1:22" ht="13.5" customHeight="1">
      <c r="A105" s="7" t="s">
        <v>25</v>
      </c>
      <c r="B105" s="204">
        <v>55.6</v>
      </c>
      <c r="C105" s="204">
        <v>49</v>
      </c>
      <c r="D105" s="204">
        <v>20</v>
      </c>
      <c r="E105" s="204">
        <v>0</v>
      </c>
      <c r="F105" s="204">
        <v>0</v>
      </c>
      <c r="G105" s="204">
        <v>25</v>
      </c>
      <c r="H105" s="204">
        <v>25</v>
      </c>
      <c r="I105" s="204">
        <v>40</v>
      </c>
      <c r="J105" s="204">
        <v>40</v>
      </c>
      <c r="K105" s="204">
        <v>75</v>
      </c>
      <c r="L105" s="204">
        <v>60</v>
      </c>
      <c r="M105" s="204">
        <v>60</v>
      </c>
      <c r="N105" s="204">
        <v>33.299999999999997</v>
      </c>
      <c r="O105" s="204">
        <v>68.8</v>
      </c>
      <c r="P105" s="204">
        <v>50</v>
      </c>
      <c r="Q105" s="44" t="s">
        <v>45</v>
      </c>
      <c r="R105" s="205">
        <v>94</v>
      </c>
      <c r="S105" s="205">
        <v>105</v>
      </c>
      <c r="T105" s="217" t="s">
        <v>35</v>
      </c>
    </row>
    <row r="106" spans="1:22" ht="13.5" customHeight="1">
      <c r="A106" s="7" t="s">
        <v>42</v>
      </c>
      <c r="B106" s="204">
        <v>50</v>
      </c>
      <c r="C106" s="204">
        <v>38.1</v>
      </c>
      <c r="D106" s="204">
        <v>35.700000000000003</v>
      </c>
      <c r="E106" s="204">
        <v>0</v>
      </c>
      <c r="F106" s="204">
        <v>0</v>
      </c>
      <c r="G106" s="204">
        <v>0</v>
      </c>
      <c r="H106" s="204">
        <v>0</v>
      </c>
      <c r="I106" s="204">
        <v>66.7</v>
      </c>
      <c r="J106" s="204">
        <v>66.7</v>
      </c>
      <c r="K106" s="204">
        <v>25</v>
      </c>
      <c r="L106" s="204">
        <v>25</v>
      </c>
      <c r="M106" s="204">
        <v>25</v>
      </c>
      <c r="N106" s="204">
        <v>25</v>
      </c>
      <c r="O106" s="204">
        <v>28.6</v>
      </c>
      <c r="P106" s="204">
        <v>28.6</v>
      </c>
      <c r="Q106" s="44" t="s">
        <v>45</v>
      </c>
      <c r="R106" s="205">
        <v>100</v>
      </c>
      <c r="S106" s="205">
        <v>106</v>
      </c>
      <c r="T106" s="217" t="s">
        <v>35</v>
      </c>
    </row>
    <row r="107" spans="1:22" ht="13.5" customHeight="1">
      <c r="A107" s="7" t="s">
        <v>31</v>
      </c>
      <c r="B107" s="204">
        <v>45.2</v>
      </c>
      <c r="C107" s="204">
        <v>36.9</v>
      </c>
      <c r="D107" s="204">
        <v>42.9</v>
      </c>
      <c r="E107" s="204">
        <v>100</v>
      </c>
      <c r="F107" s="204">
        <v>100</v>
      </c>
      <c r="G107" s="204">
        <v>100</v>
      </c>
      <c r="H107" s="204">
        <v>100</v>
      </c>
      <c r="I107" s="204">
        <v>100</v>
      </c>
      <c r="J107" s="204">
        <v>100</v>
      </c>
      <c r="K107" s="204">
        <v>33.299999999999997</v>
      </c>
      <c r="L107" s="204">
        <v>100</v>
      </c>
      <c r="M107" s="204">
        <v>33.299999999999997</v>
      </c>
      <c r="N107" s="204">
        <v>100</v>
      </c>
      <c r="O107" s="204">
        <v>50</v>
      </c>
      <c r="P107" s="204">
        <v>50</v>
      </c>
      <c r="Q107" s="44" t="s">
        <v>45</v>
      </c>
      <c r="R107" s="205">
        <v>100</v>
      </c>
      <c r="S107" s="205">
        <v>105</v>
      </c>
      <c r="T107" s="217" t="s">
        <v>35</v>
      </c>
    </row>
    <row r="108" spans="1:22" ht="13.5" customHeight="1">
      <c r="A108" s="7" t="s">
        <v>36</v>
      </c>
      <c r="B108" s="204">
        <v>33.299999999999997</v>
      </c>
      <c r="C108" s="204">
        <v>57.9</v>
      </c>
      <c r="D108" s="204">
        <v>60</v>
      </c>
      <c r="E108" s="204">
        <v>50</v>
      </c>
      <c r="F108" s="204">
        <v>50</v>
      </c>
      <c r="G108" s="204">
        <v>50</v>
      </c>
      <c r="H108" s="204">
        <v>50</v>
      </c>
      <c r="I108" s="204">
        <v>0</v>
      </c>
      <c r="J108" s="204">
        <v>0</v>
      </c>
      <c r="K108" s="204">
        <v>50</v>
      </c>
      <c r="L108" s="204">
        <v>50</v>
      </c>
      <c r="M108" s="204">
        <v>50</v>
      </c>
      <c r="N108" s="204">
        <v>50</v>
      </c>
      <c r="O108" s="204">
        <v>80</v>
      </c>
      <c r="P108" s="204">
        <v>80</v>
      </c>
      <c r="Q108" s="44" t="s">
        <v>45</v>
      </c>
      <c r="R108" s="205">
        <v>86</v>
      </c>
      <c r="S108" s="205">
        <v>75</v>
      </c>
      <c r="T108" s="217" t="s">
        <v>40</v>
      </c>
    </row>
    <row r="109" spans="1:22" ht="13.5" customHeight="1">
      <c r="A109" s="7" t="s">
        <v>31</v>
      </c>
      <c r="B109" s="204">
        <v>58</v>
      </c>
      <c r="C109" s="204">
        <v>49.4</v>
      </c>
      <c r="D109" s="204">
        <v>57.1</v>
      </c>
      <c r="E109" s="204">
        <v>100</v>
      </c>
      <c r="F109" s="204">
        <v>100</v>
      </c>
      <c r="G109" s="204">
        <v>66.7</v>
      </c>
      <c r="H109" s="204">
        <v>66.7</v>
      </c>
      <c r="I109" s="204">
        <v>66.7</v>
      </c>
      <c r="J109" s="204">
        <v>66.7</v>
      </c>
      <c r="K109" s="204">
        <v>66.7</v>
      </c>
      <c r="L109" s="204">
        <v>66.7</v>
      </c>
      <c r="M109" s="204">
        <v>66.7</v>
      </c>
      <c r="N109" s="204">
        <v>66.7</v>
      </c>
      <c r="O109" s="204">
        <v>28.6</v>
      </c>
      <c r="P109" s="204">
        <v>28.6</v>
      </c>
      <c r="Q109" s="44" t="s">
        <v>45</v>
      </c>
      <c r="R109" s="205">
        <v>105</v>
      </c>
      <c r="S109" s="205">
        <v>105</v>
      </c>
      <c r="T109" s="217" t="s">
        <v>35</v>
      </c>
    </row>
    <row r="110" spans="1:22" ht="27" customHeight="1">
      <c r="A110" s="7" t="s">
        <v>42</v>
      </c>
      <c r="B110" s="204">
        <v>57.7</v>
      </c>
      <c r="C110" s="204">
        <v>38.1</v>
      </c>
      <c r="D110" s="204">
        <v>33.299999999999997</v>
      </c>
      <c r="E110" s="204">
        <v>50</v>
      </c>
      <c r="F110" s="204">
        <v>50</v>
      </c>
      <c r="G110" s="204">
        <v>50</v>
      </c>
      <c r="H110" s="204">
        <v>50</v>
      </c>
      <c r="I110" s="204">
        <v>40</v>
      </c>
      <c r="J110" s="204">
        <v>40</v>
      </c>
      <c r="K110" s="204">
        <v>33.299999999999997</v>
      </c>
      <c r="L110" s="204">
        <v>50</v>
      </c>
      <c r="M110" s="204">
        <v>33.299999999999997</v>
      </c>
      <c r="N110" s="204">
        <v>0</v>
      </c>
      <c r="O110" s="204">
        <v>33.299999999999997</v>
      </c>
      <c r="P110" s="204">
        <v>33.299999999999997</v>
      </c>
      <c r="Q110" s="44" t="s">
        <v>45</v>
      </c>
      <c r="R110" s="205">
        <v>100</v>
      </c>
      <c r="S110" s="205">
        <v>104</v>
      </c>
      <c r="T110" s="217" t="s">
        <v>35</v>
      </c>
    </row>
    <row r="111" spans="1:22" ht="13.5" customHeight="1">
      <c r="A111" s="7" t="s">
        <v>41</v>
      </c>
      <c r="B111" s="204">
        <v>63.6</v>
      </c>
      <c r="C111" s="204">
        <v>38.799999999999997</v>
      </c>
      <c r="D111" s="204">
        <v>44.4</v>
      </c>
      <c r="E111" s="204">
        <v>100</v>
      </c>
      <c r="F111" s="204">
        <v>100</v>
      </c>
      <c r="G111" s="204">
        <v>100</v>
      </c>
      <c r="H111" s="204">
        <v>100</v>
      </c>
      <c r="I111" s="204">
        <v>100</v>
      </c>
      <c r="J111" s="204">
        <v>100</v>
      </c>
      <c r="K111" s="204">
        <v>100</v>
      </c>
      <c r="L111" s="204">
        <v>100</v>
      </c>
      <c r="M111" s="204">
        <v>100</v>
      </c>
      <c r="N111" s="204">
        <v>100</v>
      </c>
      <c r="O111" s="204">
        <v>100</v>
      </c>
      <c r="P111" s="204">
        <v>100</v>
      </c>
      <c r="Q111" s="220" t="s">
        <v>45</v>
      </c>
      <c r="R111" s="221">
        <v>94</v>
      </c>
      <c r="S111" s="221">
        <v>104</v>
      </c>
      <c r="T111" s="217" t="s">
        <v>35</v>
      </c>
    </row>
    <row r="112" spans="1:22" ht="40.5" customHeight="1">
      <c r="A112" s="7" t="s">
        <v>55</v>
      </c>
      <c r="B112" s="204">
        <v>68.400000000000006</v>
      </c>
      <c r="C112" s="204">
        <v>100</v>
      </c>
      <c r="D112" s="204">
        <v>100</v>
      </c>
      <c r="E112" s="204">
        <v>100</v>
      </c>
      <c r="F112" s="204">
        <v>100</v>
      </c>
      <c r="G112" s="204">
        <v>100</v>
      </c>
      <c r="H112" s="204">
        <v>100</v>
      </c>
      <c r="I112" s="204">
        <v>60</v>
      </c>
      <c r="J112" s="204">
        <v>60</v>
      </c>
      <c r="K112" s="204">
        <v>100</v>
      </c>
      <c r="L112" s="204">
        <v>100</v>
      </c>
      <c r="M112" s="204">
        <v>100</v>
      </c>
      <c r="N112" s="204">
        <v>100</v>
      </c>
      <c r="O112" s="204">
        <v>100</v>
      </c>
      <c r="P112" s="204">
        <v>100</v>
      </c>
      <c r="Q112" s="44" t="s">
        <v>56</v>
      </c>
      <c r="R112" s="205">
        <v>80</v>
      </c>
      <c r="S112" s="205">
        <v>60</v>
      </c>
      <c r="T112" s="217" t="s">
        <v>40</v>
      </c>
    </row>
    <row r="113" spans="1:20" ht="13.5" customHeight="1">
      <c r="A113" s="7" t="s">
        <v>22</v>
      </c>
      <c r="B113" s="204">
        <v>53.8</v>
      </c>
      <c r="C113" s="204">
        <v>62.5</v>
      </c>
      <c r="D113" s="204">
        <v>100</v>
      </c>
      <c r="E113" s="204">
        <v>100</v>
      </c>
      <c r="F113" s="204">
        <v>100</v>
      </c>
      <c r="G113" s="204">
        <v>100</v>
      </c>
      <c r="H113" s="204">
        <v>100</v>
      </c>
      <c r="I113" s="204">
        <v>66.7</v>
      </c>
      <c r="J113" s="204">
        <v>66.7</v>
      </c>
      <c r="K113" s="204">
        <v>100</v>
      </c>
      <c r="L113" s="204">
        <v>100</v>
      </c>
      <c r="M113" s="204">
        <v>66.7</v>
      </c>
      <c r="N113" s="204">
        <v>66.7</v>
      </c>
      <c r="O113" s="204">
        <v>80</v>
      </c>
      <c r="P113" s="204">
        <v>80</v>
      </c>
      <c r="Q113" s="44" t="s">
        <v>34</v>
      </c>
      <c r="R113" s="205">
        <v>70</v>
      </c>
      <c r="S113" s="205">
        <v>100</v>
      </c>
      <c r="T113" s="217" t="s">
        <v>35</v>
      </c>
    </row>
    <row r="114" spans="1:20" ht="27" customHeight="1">
      <c r="A114" s="7" t="s">
        <v>42</v>
      </c>
      <c r="B114" s="204">
        <v>76.900000000000006</v>
      </c>
      <c r="C114" s="204">
        <v>66.7</v>
      </c>
      <c r="D114" s="204">
        <v>66.7</v>
      </c>
      <c r="E114" s="204">
        <v>50</v>
      </c>
      <c r="F114" s="204">
        <v>50</v>
      </c>
      <c r="G114" s="204">
        <v>0</v>
      </c>
      <c r="H114" s="204">
        <v>0</v>
      </c>
      <c r="I114" s="204">
        <v>60</v>
      </c>
      <c r="J114" s="204">
        <v>60</v>
      </c>
      <c r="K114" s="204">
        <v>0</v>
      </c>
      <c r="L114" s="204">
        <v>0</v>
      </c>
      <c r="M114" s="204">
        <v>0</v>
      </c>
      <c r="N114" s="204">
        <v>0</v>
      </c>
      <c r="O114" s="204">
        <v>40</v>
      </c>
      <c r="P114" s="204">
        <v>40</v>
      </c>
      <c r="Q114" s="44" t="s">
        <v>50</v>
      </c>
      <c r="R114" s="205">
        <v>90</v>
      </c>
      <c r="S114" s="205">
        <v>110</v>
      </c>
      <c r="T114" s="217" t="s">
        <v>35</v>
      </c>
    </row>
    <row r="115" spans="1:20" ht="13.5" customHeight="1">
      <c r="A115" s="7" t="s">
        <v>53</v>
      </c>
      <c r="B115" s="204">
        <v>53.8</v>
      </c>
      <c r="C115" s="204">
        <v>60.6</v>
      </c>
      <c r="D115" s="204">
        <v>50</v>
      </c>
      <c r="E115" s="204">
        <v>0</v>
      </c>
      <c r="F115" s="204">
        <v>0</v>
      </c>
      <c r="G115" s="204">
        <v>50</v>
      </c>
      <c r="H115" s="204">
        <v>50</v>
      </c>
      <c r="I115" s="204">
        <v>50</v>
      </c>
      <c r="J115" s="204">
        <v>50</v>
      </c>
      <c r="K115" s="204">
        <v>50</v>
      </c>
      <c r="L115" s="204">
        <v>50</v>
      </c>
      <c r="M115" s="204">
        <v>66.7</v>
      </c>
      <c r="N115" s="204">
        <v>66.7</v>
      </c>
      <c r="O115" s="204">
        <v>80</v>
      </c>
      <c r="P115" s="204">
        <v>80</v>
      </c>
      <c r="Q115" s="44" t="s">
        <v>26</v>
      </c>
      <c r="R115" s="205">
        <v>86</v>
      </c>
      <c r="S115" s="205">
        <v>82</v>
      </c>
      <c r="T115" s="217" t="s">
        <v>51</v>
      </c>
    </row>
    <row r="116" spans="1:20" ht="13.5" customHeight="1">
      <c r="A116" s="7" t="s">
        <v>67</v>
      </c>
      <c r="B116" s="204">
        <v>33.299999999999997</v>
      </c>
      <c r="C116" s="204">
        <v>63.6</v>
      </c>
      <c r="D116" s="204">
        <v>50</v>
      </c>
      <c r="E116" s="204">
        <v>40</v>
      </c>
      <c r="F116" s="204">
        <v>0</v>
      </c>
      <c r="G116" s="204">
        <v>0</v>
      </c>
      <c r="H116" s="204">
        <v>0</v>
      </c>
      <c r="I116" s="204">
        <v>60</v>
      </c>
      <c r="J116" s="204">
        <v>60</v>
      </c>
      <c r="K116" s="204">
        <v>0</v>
      </c>
      <c r="L116" s="204">
        <v>0</v>
      </c>
      <c r="M116" s="204">
        <v>0</v>
      </c>
      <c r="N116" s="204">
        <v>0</v>
      </c>
      <c r="O116" s="204">
        <v>50</v>
      </c>
      <c r="P116" s="204">
        <v>50</v>
      </c>
      <c r="Q116" s="44" t="s">
        <v>23</v>
      </c>
      <c r="R116" s="205">
        <v>90</v>
      </c>
      <c r="S116" s="205">
        <v>94</v>
      </c>
      <c r="T116" s="217" t="s">
        <v>27</v>
      </c>
    </row>
    <row r="117" spans="1:20" ht="27" customHeight="1">
      <c r="A117" s="7" t="s">
        <v>55</v>
      </c>
      <c r="B117" s="204">
        <v>92.3</v>
      </c>
      <c r="C117" s="204">
        <v>100</v>
      </c>
      <c r="D117" s="204">
        <v>100</v>
      </c>
      <c r="E117" s="204">
        <v>100</v>
      </c>
      <c r="F117" s="204">
        <v>100</v>
      </c>
      <c r="G117" s="204">
        <v>100</v>
      </c>
      <c r="H117" s="204">
        <v>100</v>
      </c>
      <c r="I117" s="204">
        <v>100</v>
      </c>
      <c r="J117" s="204">
        <v>100</v>
      </c>
      <c r="K117" s="204">
        <v>100</v>
      </c>
      <c r="L117" s="204">
        <v>100</v>
      </c>
      <c r="M117" s="204">
        <v>100</v>
      </c>
      <c r="N117" s="204">
        <v>100</v>
      </c>
      <c r="O117" s="204">
        <v>100</v>
      </c>
      <c r="P117" s="204">
        <v>100</v>
      </c>
      <c r="Q117" s="44" t="s">
        <v>50</v>
      </c>
      <c r="R117" s="205">
        <v>90</v>
      </c>
      <c r="S117" s="205">
        <v>90</v>
      </c>
      <c r="T117" s="217" t="s">
        <v>28</v>
      </c>
    </row>
    <row r="118" spans="1:20" ht="13.5" customHeight="1">
      <c r="A118" s="7" t="s">
        <v>31</v>
      </c>
      <c r="B118" s="204">
        <v>58</v>
      </c>
      <c r="C118" s="204">
        <v>38.1</v>
      </c>
      <c r="D118" s="204">
        <v>28.6</v>
      </c>
      <c r="E118" s="204">
        <v>100</v>
      </c>
      <c r="F118" s="204">
        <v>100</v>
      </c>
      <c r="G118" s="204">
        <v>100</v>
      </c>
      <c r="H118" s="204">
        <v>100</v>
      </c>
      <c r="I118" s="204">
        <v>66.7</v>
      </c>
      <c r="J118" s="204">
        <v>66.7</v>
      </c>
      <c r="K118" s="204">
        <v>100</v>
      </c>
      <c r="L118" s="204">
        <v>100</v>
      </c>
      <c r="M118" s="204">
        <v>66.7</v>
      </c>
      <c r="N118" s="204">
        <v>66.7</v>
      </c>
      <c r="O118" s="204">
        <v>33.299999999999997</v>
      </c>
      <c r="P118" s="204">
        <v>33.299999999999997</v>
      </c>
      <c r="Q118" s="44" t="s">
        <v>45</v>
      </c>
      <c r="R118" s="205">
        <v>110</v>
      </c>
      <c r="S118" s="205">
        <v>115</v>
      </c>
      <c r="T118" s="217" t="s">
        <v>35</v>
      </c>
    </row>
    <row r="119" spans="1:20" ht="13.5" customHeight="1">
      <c r="A119" s="7" t="s">
        <v>36</v>
      </c>
      <c r="B119" s="204">
        <v>33.299999999999997</v>
      </c>
      <c r="C119" s="204">
        <v>38.799999999999997</v>
      </c>
      <c r="D119" s="204">
        <v>37.5</v>
      </c>
      <c r="E119" s="204">
        <v>50</v>
      </c>
      <c r="F119" s="204">
        <v>50</v>
      </c>
      <c r="G119" s="204">
        <v>75</v>
      </c>
      <c r="H119" s="204">
        <v>75</v>
      </c>
      <c r="I119" s="204">
        <v>0</v>
      </c>
      <c r="J119" s="204">
        <v>0</v>
      </c>
      <c r="K119" s="204">
        <v>0</v>
      </c>
      <c r="L119" s="204">
        <v>0</v>
      </c>
      <c r="M119" s="204">
        <v>0</v>
      </c>
      <c r="N119" s="204">
        <v>0</v>
      </c>
      <c r="O119" s="204">
        <v>50</v>
      </c>
      <c r="P119" s="204">
        <v>50</v>
      </c>
      <c r="Q119" s="44" t="s">
        <v>45</v>
      </c>
      <c r="R119" s="205">
        <v>105</v>
      </c>
      <c r="S119" s="205">
        <v>105</v>
      </c>
      <c r="T119" s="217" t="s">
        <v>48</v>
      </c>
    </row>
    <row r="120" spans="1:20" ht="13.5" customHeight="1">
      <c r="A120" s="7" t="s">
        <v>42</v>
      </c>
      <c r="B120" s="204">
        <v>28.2</v>
      </c>
      <c r="C120" s="204">
        <v>49</v>
      </c>
      <c r="D120" s="204">
        <v>41.7</v>
      </c>
      <c r="E120" s="204">
        <v>0</v>
      </c>
      <c r="F120" s="204">
        <v>0</v>
      </c>
      <c r="G120" s="204">
        <v>20</v>
      </c>
      <c r="H120" s="204">
        <v>33.299999999999997</v>
      </c>
      <c r="I120" s="204">
        <v>40</v>
      </c>
      <c r="J120" s="204">
        <v>60</v>
      </c>
      <c r="K120" s="204">
        <v>0</v>
      </c>
      <c r="L120" s="204">
        <v>0</v>
      </c>
      <c r="M120" s="204">
        <v>0</v>
      </c>
      <c r="N120" s="204">
        <v>0</v>
      </c>
      <c r="O120" s="204">
        <v>40</v>
      </c>
      <c r="P120" s="204">
        <v>50</v>
      </c>
      <c r="Q120" s="44" t="s">
        <v>26</v>
      </c>
      <c r="R120" s="205">
        <v>94</v>
      </c>
      <c r="S120" s="205">
        <v>100</v>
      </c>
      <c r="T120" s="217" t="s">
        <v>65</v>
      </c>
    </row>
    <row r="121" spans="1:20" ht="13.5" customHeight="1">
      <c r="A121" s="7" t="s">
        <v>60</v>
      </c>
      <c r="B121" s="204">
        <v>47.1</v>
      </c>
      <c r="C121" s="204">
        <v>68</v>
      </c>
      <c r="D121" s="204">
        <v>50</v>
      </c>
      <c r="E121" s="204">
        <v>50</v>
      </c>
      <c r="F121" s="204">
        <v>50</v>
      </c>
      <c r="G121" s="204">
        <v>50</v>
      </c>
      <c r="H121" s="204">
        <v>50</v>
      </c>
      <c r="I121" s="204">
        <v>52.9</v>
      </c>
      <c r="J121" s="204">
        <v>53.8</v>
      </c>
      <c r="K121" s="204">
        <v>75</v>
      </c>
      <c r="L121" s="204">
        <v>60</v>
      </c>
      <c r="M121" s="204">
        <v>60</v>
      </c>
      <c r="N121" s="204">
        <v>33.299999999999997</v>
      </c>
      <c r="O121" s="204">
        <v>68.8</v>
      </c>
      <c r="P121" s="204">
        <v>50</v>
      </c>
      <c r="Q121" s="44" t="s">
        <v>26</v>
      </c>
      <c r="R121" s="205">
        <v>86</v>
      </c>
      <c r="S121" s="205">
        <v>100</v>
      </c>
      <c r="T121" s="217" t="s">
        <v>35</v>
      </c>
    </row>
    <row r="122" spans="1:20" ht="13.5" customHeight="1">
      <c r="A122" s="7" t="s">
        <v>36</v>
      </c>
      <c r="B122" s="204">
        <v>55.6</v>
      </c>
      <c r="C122" s="204">
        <v>46.5</v>
      </c>
      <c r="D122" s="204">
        <v>50</v>
      </c>
      <c r="E122" s="204">
        <v>60</v>
      </c>
      <c r="F122" s="204">
        <v>33.299999999999997</v>
      </c>
      <c r="G122" s="204">
        <v>60</v>
      </c>
      <c r="H122" s="204">
        <v>50</v>
      </c>
      <c r="I122" s="204">
        <v>66.7</v>
      </c>
      <c r="J122" s="204">
        <v>64.7</v>
      </c>
      <c r="K122" s="204">
        <v>0</v>
      </c>
      <c r="L122" s="204">
        <v>0</v>
      </c>
      <c r="M122" s="204">
        <v>0</v>
      </c>
      <c r="N122" s="204">
        <v>0</v>
      </c>
      <c r="O122" s="204">
        <v>44.4</v>
      </c>
      <c r="P122" s="204">
        <v>42.9</v>
      </c>
      <c r="Q122" s="44" t="s">
        <v>26</v>
      </c>
      <c r="R122" s="205">
        <v>110</v>
      </c>
      <c r="S122" s="205">
        <v>110</v>
      </c>
      <c r="T122" s="217" t="s">
        <v>35</v>
      </c>
    </row>
    <row r="123" spans="1:20" ht="13.5" customHeight="1">
      <c r="A123" s="7" t="s">
        <v>36</v>
      </c>
      <c r="B123" s="204">
        <v>51.7</v>
      </c>
      <c r="C123" s="204">
        <v>54.7</v>
      </c>
      <c r="D123" s="204">
        <v>53.8</v>
      </c>
      <c r="E123" s="204">
        <v>25</v>
      </c>
      <c r="F123" s="204">
        <v>33.299999999999997</v>
      </c>
      <c r="G123" s="204">
        <v>20</v>
      </c>
      <c r="H123" s="204">
        <v>25</v>
      </c>
      <c r="I123" s="204">
        <v>55.6</v>
      </c>
      <c r="J123" s="204">
        <v>50</v>
      </c>
      <c r="K123" s="204">
        <v>0</v>
      </c>
      <c r="L123" s="204">
        <v>0</v>
      </c>
      <c r="M123" s="204">
        <v>0</v>
      </c>
      <c r="N123" s="204">
        <v>0</v>
      </c>
      <c r="O123" s="204">
        <v>0</v>
      </c>
      <c r="P123" s="204">
        <v>0</v>
      </c>
      <c r="Q123" s="44" t="s">
        <v>26</v>
      </c>
      <c r="R123" s="205">
        <v>80</v>
      </c>
      <c r="S123" s="205">
        <v>80</v>
      </c>
      <c r="T123" s="217" t="s">
        <v>39</v>
      </c>
    </row>
    <row r="124" spans="1:20" ht="13.5" customHeight="1">
      <c r="A124" s="7" t="s">
        <v>41</v>
      </c>
      <c r="B124" s="204">
        <v>34.6</v>
      </c>
      <c r="C124" s="204">
        <v>49</v>
      </c>
      <c r="D124" s="204">
        <v>40</v>
      </c>
      <c r="E124" s="204">
        <v>71.400000000000006</v>
      </c>
      <c r="F124" s="204">
        <v>75</v>
      </c>
      <c r="G124" s="204">
        <v>71.400000000000006</v>
      </c>
      <c r="H124" s="204">
        <v>75</v>
      </c>
      <c r="I124" s="204">
        <v>66.7</v>
      </c>
      <c r="J124" s="204">
        <v>64.7</v>
      </c>
      <c r="K124" s="204">
        <v>75</v>
      </c>
      <c r="L124" s="204">
        <v>60</v>
      </c>
      <c r="M124" s="204">
        <v>100</v>
      </c>
      <c r="N124" s="204">
        <v>100</v>
      </c>
      <c r="O124" s="204">
        <v>68.8</v>
      </c>
      <c r="P124" s="204">
        <v>50</v>
      </c>
      <c r="Q124" s="44" t="s">
        <v>45</v>
      </c>
      <c r="R124" s="205">
        <v>105</v>
      </c>
      <c r="S124" s="205">
        <v>94</v>
      </c>
      <c r="T124" s="217" t="s">
        <v>24</v>
      </c>
    </row>
    <row r="125" spans="1:20" ht="13.5" customHeight="1">
      <c r="A125" s="7" t="s">
        <v>54</v>
      </c>
      <c r="B125" s="204">
        <v>71.400000000000006</v>
      </c>
      <c r="C125" s="204">
        <v>54.7</v>
      </c>
      <c r="D125" s="204">
        <v>57.1</v>
      </c>
      <c r="E125" s="204">
        <v>100</v>
      </c>
      <c r="F125" s="204">
        <v>100</v>
      </c>
      <c r="G125" s="204">
        <v>100</v>
      </c>
      <c r="H125" s="204">
        <v>100</v>
      </c>
      <c r="I125" s="204">
        <v>100</v>
      </c>
      <c r="J125" s="204">
        <v>100</v>
      </c>
      <c r="K125" s="204">
        <v>100</v>
      </c>
      <c r="L125" s="204">
        <v>100</v>
      </c>
      <c r="M125" s="204">
        <v>100</v>
      </c>
      <c r="N125" s="204">
        <v>100</v>
      </c>
      <c r="O125" s="204">
        <v>50</v>
      </c>
      <c r="P125" s="204">
        <v>50</v>
      </c>
      <c r="Q125" s="44" t="s">
        <v>30</v>
      </c>
      <c r="R125" s="205">
        <v>110</v>
      </c>
      <c r="S125" s="205">
        <v>98</v>
      </c>
      <c r="T125" s="217" t="s">
        <v>48</v>
      </c>
    </row>
    <row r="126" spans="1:20" ht="13.5" customHeight="1">
      <c r="A126" s="7" t="s">
        <v>31</v>
      </c>
      <c r="B126" s="204">
        <v>55.6</v>
      </c>
      <c r="C126" s="204">
        <v>49.4</v>
      </c>
      <c r="D126" s="204">
        <v>77.8</v>
      </c>
      <c r="E126" s="204">
        <v>100</v>
      </c>
      <c r="F126" s="204">
        <v>100</v>
      </c>
      <c r="G126" s="204">
        <v>100</v>
      </c>
      <c r="H126" s="204">
        <v>100</v>
      </c>
      <c r="I126" s="204">
        <v>40</v>
      </c>
      <c r="J126" s="204">
        <v>40</v>
      </c>
      <c r="K126" s="204">
        <v>100</v>
      </c>
      <c r="L126" s="204">
        <v>100</v>
      </c>
      <c r="M126" s="204">
        <v>100</v>
      </c>
      <c r="N126" s="204">
        <v>100</v>
      </c>
      <c r="O126" s="204">
        <v>88.9</v>
      </c>
      <c r="P126" s="204">
        <v>100</v>
      </c>
      <c r="Q126" s="44" t="s">
        <v>45</v>
      </c>
      <c r="R126" s="205">
        <v>90</v>
      </c>
      <c r="S126" s="205">
        <v>94</v>
      </c>
      <c r="T126" s="217" t="s">
        <v>28</v>
      </c>
    </row>
    <row r="127" spans="1:20" ht="13.5" customHeight="1">
      <c r="A127" s="7" t="s">
        <v>36</v>
      </c>
      <c r="B127" s="204">
        <v>47.1</v>
      </c>
      <c r="C127" s="204">
        <v>46.5</v>
      </c>
      <c r="D127" s="204">
        <v>0</v>
      </c>
      <c r="E127" s="204">
        <v>0</v>
      </c>
      <c r="F127" s="204">
        <v>0</v>
      </c>
      <c r="G127" s="204">
        <v>0</v>
      </c>
      <c r="H127" s="204">
        <v>0</v>
      </c>
      <c r="I127" s="204">
        <v>40</v>
      </c>
      <c r="J127" s="204">
        <v>40</v>
      </c>
      <c r="K127" s="204">
        <v>50</v>
      </c>
      <c r="L127" s="204">
        <v>0</v>
      </c>
      <c r="M127" s="204">
        <v>0</v>
      </c>
      <c r="N127" s="204">
        <v>0</v>
      </c>
      <c r="O127" s="204">
        <v>33.299999999999997</v>
      </c>
      <c r="P127" s="204">
        <v>33.299999999999997</v>
      </c>
      <c r="Q127" s="44" t="s">
        <v>26</v>
      </c>
      <c r="R127" s="205">
        <v>110</v>
      </c>
      <c r="S127" s="205">
        <v>75</v>
      </c>
      <c r="T127" s="217" t="s">
        <v>40</v>
      </c>
    </row>
    <row r="128" spans="1:20" ht="13.5" customHeight="1">
      <c r="A128" s="7" t="s">
        <v>42</v>
      </c>
      <c r="B128" s="204">
        <v>54.5</v>
      </c>
      <c r="C128" s="204">
        <v>60.6</v>
      </c>
      <c r="D128" s="204">
        <v>75</v>
      </c>
      <c r="E128" s="204">
        <v>0</v>
      </c>
      <c r="F128" s="204">
        <v>0</v>
      </c>
      <c r="G128" s="204">
        <v>0</v>
      </c>
      <c r="H128" s="204">
        <v>0</v>
      </c>
      <c r="I128" s="204">
        <v>33.299999999999997</v>
      </c>
      <c r="J128" s="204">
        <v>33.299999999999997</v>
      </c>
      <c r="K128" s="204">
        <v>0</v>
      </c>
      <c r="L128" s="204">
        <v>0</v>
      </c>
      <c r="M128" s="204">
        <v>0</v>
      </c>
      <c r="N128" s="204">
        <v>0</v>
      </c>
      <c r="O128" s="204">
        <v>50</v>
      </c>
      <c r="P128" s="204">
        <v>50</v>
      </c>
      <c r="Q128" s="44" t="s">
        <v>34</v>
      </c>
      <c r="R128" s="205">
        <v>110</v>
      </c>
      <c r="S128" s="205">
        <v>86</v>
      </c>
      <c r="T128" s="217" t="s">
        <v>27</v>
      </c>
    </row>
    <row r="129" spans="1:20" ht="13.5" customHeight="1">
      <c r="A129" s="7" t="s">
        <v>44</v>
      </c>
      <c r="B129" s="204">
        <v>92.3</v>
      </c>
      <c r="C129" s="204">
        <v>84.6</v>
      </c>
      <c r="D129" s="204">
        <v>83.3</v>
      </c>
      <c r="E129" s="204">
        <v>100</v>
      </c>
      <c r="F129" s="204">
        <v>100</v>
      </c>
      <c r="G129" s="204">
        <v>100</v>
      </c>
      <c r="H129" s="204">
        <v>100</v>
      </c>
      <c r="I129" s="204">
        <v>100</v>
      </c>
      <c r="J129" s="204">
        <v>100</v>
      </c>
      <c r="K129" s="204">
        <v>100</v>
      </c>
      <c r="L129" s="204">
        <v>100</v>
      </c>
      <c r="M129" s="204">
        <v>100</v>
      </c>
      <c r="N129" s="204">
        <v>100</v>
      </c>
      <c r="O129" s="204">
        <v>100</v>
      </c>
      <c r="P129" s="204">
        <v>100</v>
      </c>
      <c r="Q129" s="44" t="s">
        <v>38</v>
      </c>
      <c r="R129" s="205">
        <v>86</v>
      </c>
      <c r="S129" s="205">
        <v>80</v>
      </c>
      <c r="T129" s="217" t="s">
        <v>40</v>
      </c>
    </row>
    <row r="130" spans="1:20" ht="13.5" customHeight="1">
      <c r="A130" s="7" t="s">
        <v>42</v>
      </c>
      <c r="B130" s="204">
        <v>28.6</v>
      </c>
      <c r="C130" s="204">
        <v>38.799999999999997</v>
      </c>
      <c r="D130" s="204">
        <v>57.1</v>
      </c>
      <c r="E130" s="204">
        <v>33.299999999999997</v>
      </c>
      <c r="F130" s="204">
        <v>33.299999999999997</v>
      </c>
      <c r="G130" s="204">
        <v>50</v>
      </c>
      <c r="H130" s="204">
        <v>50</v>
      </c>
      <c r="I130" s="204">
        <v>50</v>
      </c>
      <c r="J130" s="204">
        <v>50</v>
      </c>
      <c r="K130" s="204">
        <v>50</v>
      </c>
      <c r="L130" s="204">
        <v>0</v>
      </c>
      <c r="M130" s="204">
        <v>0</v>
      </c>
      <c r="N130" s="204">
        <v>0</v>
      </c>
      <c r="O130" s="204">
        <v>50</v>
      </c>
      <c r="P130" s="204">
        <v>50</v>
      </c>
      <c r="Q130" s="44" t="s">
        <v>26</v>
      </c>
      <c r="R130" s="205">
        <v>104</v>
      </c>
      <c r="S130" s="205">
        <v>80</v>
      </c>
      <c r="T130" s="217" t="s">
        <v>46</v>
      </c>
    </row>
    <row r="131" spans="1:20" ht="27" customHeight="1">
      <c r="A131" s="7" t="s">
        <v>36</v>
      </c>
      <c r="B131" s="204">
        <v>55.6</v>
      </c>
      <c r="C131" s="204">
        <v>46.5</v>
      </c>
      <c r="D131" s="204">
        <v>50</v>
      </c>
      <c r="E131" s="204">
        <v>0</v>
      </c>
      <c r="F131" s="204">
        <v>0</v>
      </c>
      <c r="G131" s="204">
        <v>0</v>
      </c>
      <c r="H131" s="204">
        <v>0</v>
      </c>
      <c r="I131" s="204">
        <v>52.9</v>
      </c>
      <c r="J131" s="204">
        <v>53.8</v>
      </c>
      <c r="K131" s="204">
        <v>0</v>
      </c>
      <c r="L131" s="204">
        <v>0</v>
      </c>
      <c r="M131" s="204">
        <v>0</v>
      </c>
      <c r="N131" s="204">
        <v>0</v>
      </c>
      <c r="O131" s="204">
        <v>44.4</v>
      </c>
      <c r="P131" s="204">
        <v>42.9</v>
      </c>
      <c r="Q131" s="44" t="s">
        <v>26</v>
      </c>
      <c r="R131" s="205">
        <v>100</v>
      </c>
      <c r="S131" s="205">
        <v>92</v>
      </c>
      <c r="T131" s="217" t="s">
        <v>28</v>
      </c>
    </row>
    <row r="132" spans="1:20" ht="13.5" customHeight="1">
      <c r="A132" s="7" t="s">
        <v>47</v>
      </c>
      <c r="B132" s="204">
        <v>20</v>
      </c>
      <c r="C132" s="204">
        <v>38.799999999999997</v>
      </c>
      <c r="D132" s="204">
        <v>33.299999999999997</v>
      </c>
      <c r="E132" s="204">
        <v>0</v>
      </c>
      <c r="F132" s="204">
        <v>0</v>
      </c>
      <c r="G132" s="204">
        <v>0</v>
      </c>
      <c r="H132" s="204">
        <v>0</v>
      </c>
      <c r="I132" s="204">
        <v>0</v>
      </c>
      <c r="J132" s="204">
        <v>0</v>
      </c>
      <c r="K132" s="204">
        <v>0</v>
      </c>
      <c r="L132" s="204">
        <v>0</v>
      </c>
      <c r="M132" s="204">
        <v>0</v>
      </c>
      <c r="N132" s="204">
        <v>0</v>
      </c>
      <c r="O132" s="204">
        <v>0</v>
      </c>
      <c r="P132" s="204">
        <v>0</v>
      </c>
      <c r="Q132" s="44" t="s">
        <v>45</v>
      </c>
      <c r="R132" s="205">
        <v>90</v>
      </c>
      <c r="S132" s="205">
        <v>100</v>
      </c>
      <c r="T132" s="217" t="s">
        <v>48</v>
      </c>
    </row>
    <row r="133" spans="1:20" ht="13.5" customHeight="1">
      <c r="A133" s="7" t="s">
        <v>33</v>
      </c>
      <c r="B133" s="204">
        <v>100</v>
      </c>
      <c r="C133" s="204">
        <v>60.6</v>
      </c>
      <c r="D133" s="204">
        <v>100</v>
      </c>
      <c r="E133" s="204">
        <v>100</v>
      </c>
      <c r="F133" s="204">
        <v>100</v>
      </c>
      <c r="G133" s="204">
        <v>100</v>
      </c>
      <c r="H133" s="204">
        <v>100</v>
      </c>
      <c r="I133" s="204">
        <v>100</v>
      </c>
      <c r="J133" s="204">
        <v>100</v>
      </c>
      <c r="K133" s="204">
        <v>100</v>
      </c>
      <c r="L133" s="204">
        <v>100</v>
      </c>
      <c r="M133" s="204">
        <v>100</v>
      </c>
      <c r="N133" s="204">
        <v>100</v>
      </c>
      <c r="O133" s="204">
        <v>100</v>
      </c>
      <c r="P133" s="204">
        <v>100</v>
      </c>
      <c r="Q133" s="44" t="s">
        <v>23</v>
      </c>
      <c r="R133" s="205">
        <v>90</v>
      </c>
      <c r="S133" s="205">
        <v>90</v>
      </c>
      <c r="T133" s="217" t="s">
        <v>27</v>
      </c>
    </row>
    <row r="134" spans="1:20" ht="27" customHeight="1">
      <c r="A134" s="7" t="s">
        <v>29</v>
      </c>
      <c r="B134" s="204">
        <v>33.299999999999997</v>
      </c>
      <c r="C134" s="204">
        <v>71.400000000000006</v>
      </c>
      <c r="D134" s="204">
        <v>83.3</v>
      </c>
      <c r="E134" s="204">
        <v>100</v>
      </c>
      <c r="F134" s="204">
        <v>100</v>
      </c>
      <c r="G134" s="204">
        <v>100</v>
      </c>
      <c r="H134" s="204">
        <v>100</v>
      </c>
      <c r="I134" s="204">
        <v>100</v>
      </c>
      <c r="J134" s="204">
        <v>100</v>
      </c>
      <c r="K134" s="204">
        <v>100</v>
      </c>
      <c r="L134" s="204">
        <v>100</v>
      </c>
      <c r="M134" s="204">
        <v>100</v>
      </c>
      <c r="N134" s="204">
        <v>100</v>
      </c>
      <c r="O134" s="204">
        <v>100</v>
      </c>
      <c r="P134" s="204">
        <v>100</v>
      </c>
      <c r="Q134" s="44" t="s">
        <v>34</v>
      </c>
      <c r="R134" s="205">
        <v>80</v>
      </c>
      <c r="S134" s="205">
        <v>86</v>
      </c>
      <c r="T134" s="217" t="s">
        <v>27</v>
      </c>
    </row>
    <row r="135" spans="1:20" ht="13.5" customHeight="1">
      <c r="A135" s="7" t="s">
        <v>44</v>
      </c>
      <c r="B135" s="204">
        <v>58</v>
      </c>
      <c r="C135" s="204">
        <v>57.9</v>
      </c>
      <c r="D135" s="204">
        <v>50</v>
      </c>
      <c r="E135" s="204">
        <v>100</v>
      </c>
      <c r="F135" s="204">
        <v>100</v>
      </c>
      <c r="G135" s="204">
        <v>66.7</v>
      </c>
      <c r="H135" s="204">
        <v>66.7</v>
      </c>
      <c r="I135" s="204">
        <v>83.3</v>
      </c>
      <c r="J135" s="204">
        <v>83.3</v>
      </c>
      <c r="K135" s="204">
        <v>100</v>
      </c>
      <c r="L135" s="204">
        <v>100</v>
      </c>
      <c r="M135" s="204">
        <v>100</v>
      </c>
      <c r="N135" s="204">
        <v>100</v>
      </c>
      <c r="O135" s="204">
        <v>100</v>
      </c>
      <c r="P135" s="204">
        <v>100</v>
      </c>
      <c r="Q135" s="44" t="s">
        <v>23</v>
      </c>
      <c r="R135" s="205">
        <v>94</v>
      </c>
      <c r="S135" s="205">
        <v>94</v>
      </c>
      <c r="T135" s="217" t="s">
        <v>28</v>
      </c>
    </row>
    <row r="136" spans="1:20" ht="13.5" customHeight="1">
      <c r="A136" s="7" t="s">
        <v>44</v>
      </c>
      <c r="B136" s="204">
        <v>92.3</v>
      </c>
      <c r="C136" s="204">
        <v>71.400000000000006</v>
      </c>
      <c r="D136" s="204">
        <v>100</v>
      </c>
      <c r="E136" s="204">
        <v>100</v>
      </c>
      <c r="F136" s="204">
        <v>100</v>
      </c>
      <c r="G136" s="204">
        <v>100</v>
      </c>
      <c r="H136" s="204">
        <v>100</v>
      </c>
      <c r="I136" s="204">
        <v>100</v>
      </c>
      <c r="J136" s="204">
        <v>100</v>
      </c>
      <c r="K136" s="204">
        <v>100</v>
      </c>
      <c r="L136" s="204">
        <v>100</v>
      </c>
      <c r="M136" s="204">
        <v>100</v>
      </c>
      <c r="N136" s="204">
        <v>100</v>
      </c>
      <c r="O136" s="204">
        <v>100</v>
      </c>
      <c r="P136" s="204">
        <v>100</v>
      </c>
      <c r="Q136" s="44" t="s">
        <v>38</v>
      </c>
      <c r="R136" s="205">
        <v>104</v>
      </c>
      <c r="S136" s="205">
        <v>86</v>
      </c>
      <c r="T136" s="217" t="s">
        <v>24</v>
      </c>
    </row>
    <row r="137" spans="1:20" ht="13.5" customHeight="1">
      <c r="A137" s="7" t="s">
        <v>22</v>
      </c>
      <c r="B137" s="204">
        <v>71.400000000000006</v>
      </c>
      <c r="C137" s="204">
        <v>39.1</v>
      </c>
      <c r="D137" s="204">
        <v>70</v>
      </c>
      <c r="E137" s="204">
        <v>66.7</v>
      </c>
      <c r="F137" s="204">
        <v>66.7</v>
      </c>
      <c r="G137" s="204">
        <v>66.7</v>
      </c>
      <c r="H137" s="204">
        <v>66.7</v>
      </c>
      <c r="I137" s="204">
        <v>100</v>
      </c>
      <c r="J137" s="204">
        <v>100</v>
      </c>
      <c r="K137" s="204">
        <v>33.299999999999997</v>
      </c>
      <c r="L137" s="204">
        <v>33.299999999999997</v>
      </c>
      <c r="M137" s="204">
        <v>50</v>
      </c>
      <c r="N137" s="204">
        <v>50</v>
      </c>
      <c r="O137" s="204">
        <v>100</v>
      </c>
      <c r="P137" s="204">
        <v>100</v>
      </c>
      <c r="Q137" s="44" t="s">
        <v>45</v>
      </c>
      <c r="R137" s="205">
        <v>86</v>
      </c>
      <c r="S137" s="205">
        <v>90</v>
      </c>
      <c r="T137" s="217" t="s">
        <v>27</v>
      </c>
    </row>
    <row r="138" spans="1:20" ht="13.5" customHeight="1">
      <c r="A138" s="7" t="s">
        <v>41</v>
      </c>
      <c r="B138" s="204">
        <v>68.400000000000006</v>
      </c>
      <c r="C138" s="204">
        <v>76.5</v>
      </c>
      <c r="D138" s="204">
        <v>100</v>
      </c>
      <c r="E138" s="204">
        <v>66.7</v>
      </c>
      <c r="F138" s="204">
        <v>66.7</v>
      </c>
      <c r="G138" s="204">
        <v>75</v>
      </c>
      <c r="H138" s="204">
        <v>75</v>
      </c>
      <c r="I138" s="204">
        <v>60</v>
      </c>
      <c r="J138" s="204">
        <v>60</v>
      </c>
      <c r="K138" s="204">
        <v>100</v>
      </c>
      <c r="L138" s="204">
        <v>100</v>
      </c>
      <c r="M138" s="204">
        <v>100</v>
      </c>
      <c r="N138" s="204">
        <v>100</v>
      </c>
      <c r="O138" s="204">
        <v>80</v>
      </c>
      <c r="P138" s="204">
        <v>80</v>
      </c>
      <c r="Q138" s="44" t="s">
        <v>34</v>
      </c>
      <c r="R138" s="205">
        <v>100</v>
      </c>
      <c r="S138" s="205">
        <v>86</v>
      </c>
      <c r="T138" s="217" t="s">
        <v>28</v>
      </c>
    </row>
    <row r="139" spans="1:20" ht="13.5" customHeight="1">
      <c r="A139" s="7" t="s">
        <v>22</v>
      </c>
      <c r="B139" s="204">
        <v>55.6</v>
      </c>
      <c r="C139" s="204">
        <v>36.9</v>
      </c>
      <c r="D139" s="204">
        <v>50</v>
      </c>
      <c r="E139" s="204">
        <v>100</v>
      </c>
      <c r="F139" s="204">
        <v>100</v>
      </c>
      <c r="G139" s="204">
        <v>100</v>
      </c>
      <c r="H139" s="204">
        <v>100</v>
      </c>
      <c r="I139" s="204">
        <v>100</v>
      </c>
      <c r="J139" s="204">
        <v>100</v>
      </c>
      <c r="K139" s="204">
        <v>100</v>
      </c>
      <c r="L139" s="204">
        <v>100</v>
      </c>
      <c r="M139" s="204">
        <v>100</v>
      </c>
      <c r="N139" s="204">
        <v>100</v>
      </c>
      <c r="O139" s="204">
        <v>100</v>
      </c>
      <c r="P139" s="204">
        <v>100</v>
      </c>
      <c r="Q139" s="44" t="s">
        <v>45</v>
      </c>
      <c r="R139" s="205">
        <v>86</v>
      </c>
      <c r="S139" s="205">
        <v>100</v>
      </c>
      <c r="T139" s="217" t="s">
        <v>35</v>
      </c>
    </row>
    <row r="140" spans="1:20" ht="13.5" customHeight="1">
      <c r="A140" s="7" t="s">
        <v>42</v>
      </c>
      <c r="B140" s="204">
        <v>47.1</v>
      </c>
      <c r="C140" s="204">
        <v>63.6</v>
      </c>
      <c r="D140" s="204">
        <v>50</v>
      </c>
      <c r="E140" s="204">
        <v>66.7</v>
      </c>
      <c r="F140" s="204">
        <v>66.7</v>
      </c>
      <c r="G140" s="204">
        <v>33.299999999999997</v>
      </c>
      <c r="H140" s="204">
        <v>33.299999999999997</v>
      </c>
      <c r="I140" s="204">
        <v>66.7</v>
      </c>
      <c r="J140" s="204">
        <v>64.7</v>
      </c>
      <c r="K140" s="204">
        <v>0</v>
      </c>
      <c r="L140" s="204">
        <v>0</v>
      </c>
      <c r="M140" s="204">
        <v>0</v>
      </c>
      <c r="N140" s="204">
        <v>0</v>
      </c>
      <c r="O140" s="204">
        <v>68.8</v>
      </c>
      <c r="P140" s="204">
        <v>50</v>
      </c>
      <c r="Q140" s="44" t="s">
        <v>30</v>
      </c>
      <c r="R140" s="205">
        <v>94</v>
      </c>
      <c r="S140" s="205">
        <v>90</v>
      </c>
      <c r="T140" s="217" t="s">
        <v>24</v>
      </c>
    </row>
    <row r="141" spans="1:20" ht="13.5" customHeight="1">
      <c r="A141" s="7" t="s">
        <v>36</v>
      </c>
      <c r="B141" s="204">
        <v>58</v>
      </c>
      <c r="C141" s="204">
        <v>39.1</v>
      </c>
      <c r="D141" s="204">
        <v>57.1</v>
      </c>
      <c r="E141" s="204">
        <v>0</v>
      </c>
      <c r="F141" s="204">
        <v>0</v>
      </c>
      <c r="G141" s="204">
        <v>0</v>
      </c>
      <c r="H141" s="204">
        <v>0</v>
      </c>
      <c r="I141" s="204">
        <v>66.7</v>
      </c>
      <c r="J141" s="204">
        <v>66.7</v>
      </c>
      <c r="K141" s="204">
        <v>25</v>
      </c>
      <c r="L141" s="204">
        <v>25</v>
      </c>
      <c r="M141" s="204">
        <v>25</v>
      </c>
      <c r="N141" s="204">
        <v>25</v>
      </c>
      <c r="O141" s="204">
        <v>28.6</v>
      </c>
      <c r="P141" s="204">
        <v>28.6</v>
      </c>
      <c r="Q141" s="44" t="s">
        <v>45</v>
      </c>
      <c r="R141" s="205">
        <v>80</v>
      </c>
      <c r="S141" s="205">
        <v>94</v>
      </c>
      <c r="T141" s="217" t="s">
        <v>24</v>
      </c>
    </row>
    <row r="142" spans="1:20" ht="13.5" customHeight="1">
      <c r="A142" s="7" t="s">
        <v>22</v>
      </c>
      <c r="B142" s="204">
        <v>92.3</v>
      </c>
      <c r="C142" s="204">
        <v>71.400000000000006</v>
      </c>
      <c r="D142" s="204">
        <v>100</v>
      </c>
      <c r="E142" s="204">
        <v>100</v>
      </c>
      <c r="F142" s="204">
        <v>100</v>
      </c>
      <c r="G142" s="204">
        <v>100</v>
      </c>
      <c r="H142" s="204">
        <v>100</v>
      </c>
      <c r="I142" s="204">
        <v>100</v>
      </c>
      <c r="J142" s="204">
        <v>100</v>
      </c>
      <c r="K142" s="204">
        <v>100</v>
      </c>
      <c r="L142" s="204">
        <v>100</v>
      </c>
      <c r="M142" s="204">
        <v>100</v>
      </c>
      <c r="N142" s="204">
        <v>100</v>
      </c>
      <c r="O142" s="204">
        <v>100</v>
      </c>
      <c r="P142" s="204">
        <v>100</v>
      </c>
      <c r="Q142" s="207" t="s">
        <v>56</v>
      </c>
      <c r="R142" s="205">
        <v>100</v>
      </c>
      <c r="S142" s="205">
        <v>94</v>
      </c>
      <c r="T142" s="217" t="s">
        <v>24</v>
      </c>
    </row>
    <row r="143" spans="1:20" ht="13.5" customHeight="1">
      <c r="A143" s="7" t="s">
        <v>31</v>
      </c>
      <c r="B143" s="204">
        <v>47.1</v>
      </c>
      <c r="C143" s="204">
        <v>39.1</v>
      </c>
      <c r="D143" s="204">
        <v>25</v>
      </c>
      <c r="E143" s="204">
        <v>100</v>
      </c>
      <c r="F143" s="204">
        <v>100</v>
      </c>
      <c r="G143" s="204">
        <v>100</v>
      </c>
      <c r="H143" s="204">
        <v>100</v>
      </c>
      <c r="I143" s="204">
        <v>40</v>
      </c>
      <c r="J143" s="204">
        <v>40</v>
      </c>
      <c r="K143" s="204">
        <v>100</v>
      </c>
      <c r="L143" s="204">
        <v>100</v>
      </c>
      <c r="M143" s="204">
        <v>100</v>
      </c>
      <c r="N143" s="204">
        <v>100</v>
      </c>
      <c r="O143" s="204">
        <v>44.4</v>
      </c>
      <c r="P143" s="204">
        <v>42.9</v>
      </c>
      <c r="Q143" s="44" t="s">
        <v>45</v>
      </c>
      <c r="R143" s="205">
        <v>100</v>
      </c>
      <c r="S143" s="205">
        <v>86</v>
      </c>
      <c r="T143" s="217" t="s">
        <v>28</v>
      </c>
    </row>
    <row r="144" spans="1:20" ht="27" customHeight="1">
      <c r="A144" s="7" t="s">
        <v>22</v>
      </c>
      <c r="B144" s="204">
        <v>33.299999999999997</v>
      </c>
      <c r="C144" s="204">
        <v>86.4</v>
      </c>
      <c r="D144" s="204">
        <v>76.900000000000006</v>
      </c>
      <c r="E144" s="204">
        <v>80</v>
      </c>
      <c r="F144" s="204">
        <v>75</v>
      </c>
      <c r="G144" s="204">
        <v>85.7</v>
      </c>
      <c r="H144" s="204">
        <v>83.3</v>
      </c>
      <c r="I144" s="204">
        <v>100</v>
      </c>
      <c r="J144" s="204">
        <v>100</v>
      </c>
      <c r="K144" s="204">
        <v>50</v>
      </c>
      <c r="L144" s="204">
        <v>50</v>
      </c>
      <c r="M144" s="204">
        <v>50</v>
      </c>
      <c r="N144" s="204">
        <v>50</v>
      </c>
      <c r="O144" s="204">
        <v>80</v>
      </c>
      <c r="P144" s="204">
        <v>80</v>
      </c>
      <c r="Q144" s="44" t="s">
        <v>30</v>
      </c>
      <c r="R144" s="205">
        <v>75</v>
      </c>
      <c r="S144" s="205">
        <v>94</v>
      </c>
      <c r="T144" s="217" t="s">
        <v>24</v>
      </c>
    </row>
    <row r="145" spans="1:22" ht="13.5" customHeight="1">
      <c r="A145" s="7" t="s">
        <v>60</v>
      </c>
      <c r="B145" s="204">
        <v>42.9</v>
      </c>
      <c r="C145" s="204">
        <v>38.799999999999997</v>
      </c>
      <c r="D145" s="204">
        <v>33.299999999999997</v>
      </c>
      <c r="E145" s="204">
        <v>0</v>
      </c>
      <c r="F145" s="204">
        <v>0</v>
      </c>
      <c r="G145" s="204">
        <v>0</v>
      </c>
      <c r="H145" s="204">
        <v>0</v>
      </c>
      <c r="I145" s="204">
        <v>0</v>
      </c>
      <c r="J145" s="204">
        <v>0</v>
      </c>
      <c r="K145" s="204">
        <v>50</v>
      </c>
      <c r="L145" s="204">
        <v>33.299999999999997</v>
      </c>
      <c r="M145" s="204">
        <v>50</v>
      </c>
      <c r="N145" s="204">
        <v>50</v>
      </c>
      <c r="O145" s="204">
        <v>60</v>
      </c>
      <c r="P145" s="204">
        <v>50</v>
      </c>
      <c r="Q145" s="44" t="s">
        <v>63</v>
      </c>
      <c r="R145" s="205">
        <v>75</v>
      </c>
      <c r="S145" s="205">
        <v>80</v>
      </c>
      <c r="T145" s="217" t="s">
        <v>46</v>
      </c>
    </row>
    <row r="146" spans="1:22" ht="13.5" customHeight="1">
      <c r="A146" s="7" t="s">
        <v>31</v>
      </c>
      <c r="B146" s="204">
        <v>57.7</v>
      </c>
      <c r="C146" s="204">
        <v>68</v>
      </c>
      <c r="D146" s="204">
        <v>100</v>
      </c>
      <c r="E146" s="204">
        <v>33.299999999999997</v>
      </c>
      <c r="F146" s="204">
        <v>50</v>
      </c>
      <c r="G146" s="204">
        <v>57.1</v>
      </c>
      <c r="H146" s="204">
        <v>80</v>
      </c>
      <c r="I146" s="204">
        <v>66.7</v>
      </c>
      <c r="J146" s="204">
        <v>64.7</v>
      </c>
      <c r="K146" s="204">
        <v>100</v>
      </c>
      <c r="L146" s="204">
        <v>100</v>
      </c>
      <c r="M146" s="204">
        <v>100</v>
      </c>
      <c r="N146" s="204">
        <v>100</v>
      </c>
      <c r="O146" s="204">
        <v>88.9</v>
      </c>
      <c r="P146" s="204">
        <v>100</v>
      </c>
      <c r="Q146" s="44" t="s">
        <v>26</v>
      </c>
      <c r="R146" s="205">
        <v>90</v>
      </c>
      <c r="S146" s="205">
        <v>86</v>
      </c>
      <c r="T146" s="217" t="s">
        <v>28</v>
      </c>
    </row>
    <row r="147" spans="1:22" ht="13.5" customHeight="1">
      <c r="A147" s="7" t="s">
        <v>22</v>
      </c>
      <c r="B147" s="204">
        <v>46.2</v>
      </c>
      <c r="C147" s="204">
        <v>38.1</v>
      </c>
      <c r="D147" s="204">
        <v>25</v>
      </c>
      <c r="E147" s="204">
        <v>66.7</v>
      </c>
      <c r="F147" s="204">
        <v>100</v>
      </c>
      <c r="G147" s="204">
        <v>66.7</v>
      </c>
      <c r="H147" s="204">
        <v>100</v>
      </c>
      <c r="I147" s="204">
        <v>55.6</v>
      </c>
      <c r="J147" s="204">
        <v>50</v>
      </c>
      <c r="K147" s="204">
        <v>50</v>
      </c>
      <c r="L147" s="204">
        <v>100</v>
      </c>
      <c r="M147" s="204">
        <v>50</v>
      </c>
      <c r="N147" s="204">
        <v>100</v>
      </c>
      <c r="O147" s="204">
        <v>40</v>
      </c>
      <c r="P147" s="204">
        <v>50</v>
      </c>
      <c r="Q147" s="44" t="s">
        <v>26</v>
      </c>
      <c r="R147" s="205">
        <v>105</v>
      </c>
      <c r="S147" s="205">
        <v>94</v>
      </c>
      <c r="T147" s="217" t="s">
        <v>27</v>
      </c>
    </row>
    <row r="148" spans="1:22" ht="13.5" customHeight="1">
      <c r="A148" s="7" t="s">
        <v>53</v>
      </c>
      <c r="B148" s="204">
        <v>47.1</v>
      </c>
      <c r="C148" s="204">
        <v>54.7</v>
      </c>
      <c r="D148" s="204">
        <v>53.8</v>
      </c>
      <c r="E148" s="204">
        <v>40</v>
      </c>
      <c r="F148" s="204">
        <v>0</v>
      </c>
      <c r="G148" s="204">
        <v>40</v>
      </c>
      <c r="H148" s="204">
        <v>0</v>
      </c>
      <c r="I148" s="204">
        <v>66.7</v>
      </c>
      <c r="J148" s="204">
        <v>64.7</v>
      </c>
      <c r="K148" s="204">
        <v>50</v>
      </c>
      <c r="L148" s="204">
        <v>0</v>
      </c>
      <c r="M148" s="204">
        <v>66.7</v>
      </c>
      <c r="N148" s="204">
        <v>0</v>
      </c>
      <c r="O148" s="204">
        <v>68.8</v>
      </c>
      <c r="P148" s="204">
        <v>50</v>
      </c>
      <c r="Q148" s="44" t="s">
        <v>26</v>
      </c>
      <c r="R148" s="205">
        <v>105</v>
      </c>
      <c r="S148" s="205">
        <v>100</v>
      </c>
      <c r="T148" s="217" t="s">
        <v>35</v>
      </c>
    </row>
    <row r="149" spans="1:22" ht="27" customHeight="1">
      <c r="A149" s="7" t="s">
        <v>33</v>
      </c>
      <c r="B149" s="204">
        <v>47.1</v>
      </c>
      <c r="C149" s="204">
        <v>68</v>
      </c>
      <c r="D149" s="204">
        <v>50</v>
      </c>
      <c r="E149" s="204">
        <v>100</v>
      </c>
      <c r="F149" s="204">
        <v>100</v>
      </c>
      <c r="G149" s="204">
        <v>50</v>
      </c>
      <c r="H149" s="204">
        <v>60</v>
      </c>
      <c r="I149" s="204">
        <v>52.9</v>
      </c>
      <c r="J149" s="204">
        <v>53.8</v>
      </c>
      <c r="K149" s="204">
        <v>100</v>
      </c>
      <c r="L149" s="204">
        <v>100</v>
      </c>
      <c r="M149" s="204">
        <v>50</v>
      </c>
      <c r="N149" s="204">
        <v>33.299999999999997</v>
      </c>
      <c r="O149" s="204">
        <v>68.8</v>
      </c>
      <c r="P149" s="204">
        <v>50</v>
      </c>
      <c r="Q149" s="44" t="s">
        <v>45</v>
      </c>
      <c r="R149" s="205">
        <v>80</v>
      </c>
      <c r="S149" s="205">
        <v>86</v>
      </c>
      <c r="T149" s="217" t="s">
        <v>28</v>
      </c>
    </row>
    <row r="150" spans="1:22" ht="13.5" customHeight="1">
      <c r="A150" s="7" t="s">
        <v>29</v>
      </c>
      <c r="B150" s="204">
        <v>45.7</v>
      </c>
      <c r="C150" s="204">
        <v>49</v>
      </c>
      <c r="D150" s="204">
        <v>75</v>
      </c>
      <c r="E150" s="204">
        <v>66.7</v>
      </c>
      <c r="F150" s="204">
        <v>50</v>
      </c>
      <c r="G150" s="204">
        <v>75</v>
      </c>
      <c r="H150" s="204">
        <v>50</v>
      </c>
      <c r="I150" s="204">
        <v>70.599999999999994</v>
      </c>
      <c r="J150" s="204">
        <v>54.5</v>
      </c>
      <c r="K150" s="204">
        <v>100</v>
      </c>
      <c r="L150" s="204">
        <v>100</v>
      </c>
      <c r="M150" s="204">
        <v>100</v>
      </c>
      <c r="N150" s="204">
        <v>100</v>
      </c>
      <c r="O150" s="204">
        <v>42.9</v>
      </c>
      <c r="P150" s="204">
        <v>33.299999999999997</v>
      </c>
      <c r="Q150" s="44" t="s">
        <v>26</v>
      </c>
      <c r="R150" s="205">
        <v>92</v>
      </c>
      <c r="S150" s="205">
        <v>96</v>
      </c>
      <c r="T150" s="217" t="s">
        <v>35</v>
      </c>
      <c r="U150">
        <v>2.5</v>
      </c>
      <c r="V150">
        <v>72</v>
      </c>
    </row>
    <row r="151" spans="1:22" ht="27" customHeight="1">
      <c r="A151" s="7" t="s">
        <v>53</v>
      </c>
      <c r="B151" s="204">
        <v>16.7</v>
      </c>
      <c r="C151" s="204">
        <v>38.1</v>
      </c>
      <c r="D151" s="204">
        <v>0</v>
      </c>
      <c r="E151" s="204">
        <v>0</v>
      </c>
      <c r="F151" s="204">
        <v>0</v>
      </c>
      <c r="G151" s="204">
        <v>25</v>
      </c>
      <c r="H151" s="204">
        <v>33.299999999999997</v>
      </c>
      <c r="I151" s="204">
        <v>0</v>
      </c>
      <c r="J151" s="204">
        <v>0</v>
      </c>
      <c r="K151" s="204">
        <v>0</v>
      </c>
      <c r="L151" s="204">
        <v>0</v>
      </c>
      <c r="M151" s="204">
        <v>50</v>
      </c>
      <c r="N151" s="204">
        <v>50</v>
      </c>
      <c r="O151" s="204">
        <v>0</v>
      </c>
      <c r="P151" s="204">
        <v>0</v>
      </c>
      <c r="Q151" s="44" t="s">
        <v>45</v>
      </c>
      <c r="R151" s="205">
        <v>88</v>
      </c>
      <c r="S151" s="205">
        <v>88</v>
      </c>
      <c r="T151" s="217" t="s">
        <v>28</v>
      </c>
      <c r="U151">
        <v>1.5</v>
      </c>
      <c r="V151">
        <v>48</v>
      </c>
    </row>
    <row r="152" spans="1:22" ht="13.5" customHeight="1">
      <c r="A152" s="7" t="s">
        <v>22</v>
      </c>
      <c r="B152" s="204">
        <v>63.6</v>
      </c>
      <c r="C152" s="204">
        <v>38.1</v>
      </c>
      <c r="D152" s="204">
        <v>44.4</v>
      </c>
      <c r="E152" s="204">
        <v>100</v>
      </c>
      <c r="F152" s="204">
        <v>100</v>
      </c>
      <c r="G152" s="204">
        <v>100</v>
      </c>
      <c r="H152" s="204">
        <v>100</v>
      </c>
      <c r="I152" s="204">
        <v>66.7</v>
      </c>
      <c r="J152" s="204">
        <v>66.7</v>
      </c>
      <c r="K152" s="204">
        <v>100</v>
      </c>
      <c r="L152" s="204">
        <v>100</v>
      </c>
      <c r="M152" s="204">
        <v>100</v>
      </c>
      <c r="N152" s="204">
        <v>100</v>
      </c>
      <c r="O152" s="204">
        <v>100</v>
      </c>
      <c r="P152" s="204">
        <v>100</v>
      </c>
      <c r="Q152" s="44" t="s">
        <v>45</v>
      </c>
      <c r="R152" s="205">
        <v>92</v>
      </c>
      <c r="S152" s="205">
        <v>92</v>
      </c>
      <c r="T152" s="217" t="s">
        <v>28</v>
      </c>
    </row>
    <row r="153" spans="1:22" ht="13.5" customHeight="1">
      <c r="A153" s="7" t="s">
        <v>42</v>
      </c>
      <c r="B153" s="204">
        <v>68.400000000000006</v>
      </c>
      <c r="C153" s="204">
        <v>62.5</v>
      </c>
      <c r="D153" s="204">
        <v>50</v>
      </c>
      <c r="E153" s="204">
        <v>66.7</v>
      </c>
      <c r="F153" s="204">
        <v>66.7</v>
      </c>
      <c r="G153" s="204">
        <v>75</v>
      </c>
      <c r="H153" s="204">
        <v>75</v>
      </c>
      <c r="I153" s="204">
        <v>60</v>
      </c>
      <c r="J153" s="204">
        <v>60</v>
      </c>
      <c r="K153" s="204">
        <v>0</v>
      </c>
      <c r="L153" s="204">
        <v>0</v>
      </c>
      <c r="M153" s="204">
        <v>50</v>
      </c>
      <c r="N153" s="204">
        <v>50</v>
      </c>
      <c r="O153" s="204">
        <v>50</v>
      </c>
      <c r="P153" s="204">
        <v>50</v>
      </c>
      <c r="Q153" s="44" t="s">
        <v>30</v>
      </c>
      <c r="R153" s="219">
        <v>76</v>
      </c>
      <c r="S153" s="205">
        <v>104</v>
      </c>
      <c r="T153" s="217" t="s">
        <v>48</v>
      </c>
    </row>
    <row r="154" spans="1:22" ht="13.5" customHeight="1">
      <c r="A154" s="7" t="s">
        <v>43</v>
      </c>
      <c r="B154" s="204">
        <v>50</v>
      </c>
      <c r="C154" s="204">
        <v>86.4</v>
      </c>
      <c r="D154" s="204">
        <v>100</v>
      </c>
      <c r="E154" s="204">
        <v>33.299999999999997</v>
      </c>
      <c r="F154" s="204">
        <v>33.299999999999997</v>
      </c>
      <c r="G154" s="204">
        <v>50</v>
      </c>
      <c r="H154" s="204">
        <v>50</v>
      </c>
      <c r="I154" s="204">
        <v>66.7</v>
      </c>
      <c r="J154" s="204">
        <v>66.7</v>
      </c>
      <c r="K154" s="204">
        <v>100</v>
      </c>
      <c r="L154" s="204">
        <v>100</v>
      </c>
      <c r="M154" s="204">
        <v>100</v>
      </c>
      <c r="N154" s="204">
        <v>100</v>
      </c>
      <c r="O154" s="204">
        <v>100</v>
      </c>
      <c r="P154" s="204">
        <v>100</v>
      </c>
      <c r="Q154" s="44" t="s">
        <v>30</v>
      </c>
      <c r="R154" s="205">
        <v>94</v>
      </c>
      <c r="S154" s="205">
        <v>80</v>
      </c>
      <c r="T154" s="217" t="s">
        <v>40</v>
      </c>
    </row>
    <row r="155" spans="1:22" ht="27" customHeight="1">
      <c r="A155" s="7" t="s">
        <v>31</v>
      </c>
      <c r="B155" s="204">
        <v>55.6</v>
      </c>
      <c r="C155" s="204">
        <v>86.4</v>
      </c>
      <c r="D155" s="204">
        <v>100</v>
      </c>
      <c r="E155" s="204">
        <v>80</v>
      </c>
      <c r="F155" s="204">
        <v>75</v>
      </c>
      <c r="G155" s="204">
        <v>80</v>
      </c>
      <c r="H155" s="204">
        <v>80</v>
      </c>
      <c r="I155" s="204">
        <v>52.9</v>
      </c>
      <c r="J155" s="204">
        <v>53.8</v>
      </c>
      <c r="K155" s="204">
        <v>100</v>
      </c>
      <c r="L155" s="204">
        <v>100</v>
      </c>
      <c r="M155" s="204">
        <v>100</v>
      </c>
      <c r="N155" s="204">
        <v>100</v>
      </c>
      <c r="O155" s="204">
        <v>75</v>
      </c>
      <c r="P155" s="204">
        <v>75</v>
      </c>
      <c r="Q155" s="44" t="s">
        <v>34</v>
      </c>
      <c r="R155" s="205">
        <v>86</v>
      </c>
      <c r="S155" s="205">
        <v>80</v>
      </c>
      <c r="T155" s="217" t="s">
        <v>40</v>
      </c>
    </row>
    <row r="156" spans="1:22" ht="13.5" customHeight="1">
      <c r="A156" s="7" t="s">
        <v>22</v>
      </c>
      <c r="B156" s="204">
        <v>71.400000000000006</v>
      </c>
      <c r="C156" s="204">
        <v>63.6</v>
      </c>
      <c r="D156" s="204">
        <v>100</v>
      </c>
      <c r="E156" s="204">
        <v>66.7</v>
      </c>
      <c r="F156" s="204">
        <v>66.7</v>
      </c>
      <c r="G156" s="204">
        <v>66.7</v>
      </c>
      <c r="H156" s="204">
        <v>66.7</v>
      </c>
      <c r="I156" s="204">
        <v>66.7</v>
      </c>
      <c r="J156" s="204">
        <v>66.7</v>
      </c>
      <c r="K156" s="204">
        <v>100</v>
      </c>
      <c r="L156" s="204">
        <v>100</v>
      </c>
      <c r="M156" s="204">
        <v>100</v>
      </c>
      <c r="N156" s="204">
        <v>100</v>
      </c>
      <c r="O156" s="204">
        <v>100</v>
      </c>
      <c r="P156" s="204">
        <v>100</v>
      </c>
      <c r="Q156" s="44" t="s">
        <v>23</v>
      </c>
      <c r="R156" s="205">
        <v>84</v>
      </c>
      <c r="S156" s="205">
        <v>75</v>
      </c>
      <c r="T156" s="217" t="s">
        <v>40</v>
      </c>
    </row>
    <row r="157" spans="1:22" ht="13.5" customHeight="1">
      <c r="A157" s="7" t="s">
        <v>41</v>
      </c>
      <c r="B157" s="204">
        <v>50</v>
      </c>
      <c r="C157" s="204">
        <v>87.5</v>
      </c>
      <c r="D157" s="204">
        <v>75</v>
      </c>
      <c r="E157" s="204">
        <v>50</v>
      </c>
      <c r="F157" s="204">
        <v>50</v>
      </c>
      <c r="G157" s="204">
        <v>50</v>
      </c>
      <c r="H157" s="204">
        <v>50</v>
      </c>
      <c r="I157" s="204">
        <v>60</v>
      </c>
      <c r="J157" s="204">
        <v>60</v>
      </c>
      <c r="K157" s="204">
        <v>100</v>
      </c>
      <c r="L157" s="204">
        <v>100</v>
      </c>
      <c r="M157" s="204">
        <v>100</v>
      </c>
      <c r="N157" s="204">
        <v>100</v>
      </c>
      <c r="O157" s="204">
        <v>100</v>
      </c>
      <c r="P157" s="204">
        <v>100</v>
      </c>
      <c r="Q157" s="44" t="s">
        <v>30</v>
      </c>
      <c r="R157" s="205">
        <v>80</v>
      </c>
      <c r="S157" s="205">
        <v>104</v>
      </c>
      <c r="T157" s="217" t="s">
        <v>35</v>
      </c>
    </row>
    <row r="158" spans="1:22" ht="13.5" customHeight="1">
      <c r="A158" s="7" t="s">
        <v>66</v>
      </c>
      <c r="B158" s="204">
        <v>42.9</v>
      </c>
      <c r="C158" s="204">
        <v>36.9</v>
      </c>
      <c r="D158" s="204">
        <v>16.7</v>
      </c>
      <c r="E158" s="204">
        <v>50</v>
      </c>
      <c r="F158" s="204">
        <v>50</v>
      </c>
      <c r="G158" s="204">
        <v>50</v>
      </c>
      <c r="H158" s="204">
        <v>0</v>
      </c>
      <c r="I158" s="204">
        <v>40</v>
      </c>
      <c r="J158" s="204">
        <v>33.299999999999997</v>
      </c>
      <c r="K158" s="204">
        <v>0</v>
      </c>
      <c r="L158" s="204">
        <v>0</v>
      </c>
      <c r="M158" s="204">
        <v>0</v>
      </c>
      <c r="N158" s="204">
        <v>0</v>
      </c>
      <c r="O158" s="204">
        <v>66.7</v>
      </c>
      <c r="P158" s="204">
        <v>50</v>
      </c>
      <c r="Q158" s="44" t="s">
        <v>26</v>
      </c>
      <c r="R158" s="205">
        <v>104</v>
      </c>
      <c r="S158" s="205">
        <v>96</v>
      </c>
      <c r="T158" s="217" t="s">
        <v>48</v>
      </c>
    </row>
    <row r="159" spans="1:22" ht="13.5" customHeight="1">
      <c r="A159" s="7" t="s">
        <v>37</v>
      </c>
      <c r="B159" s="204">
        <v>71.400000000000006</v>
      </c>
      <c r="C159" s="204">
        <v>62.5</v>
      </c>
      <c r="D159" s="204">
        <v>100</v>
      </c>
      <c r="E159" s="204">
        <v>100</v>
      </c>
      <c r="F159" s="204">
        <v>100</v>
      </c>
      <c r="G159" s="204">
        <v>100</v>
      </c>
      <c r="H159" s="204">
        <v>100</v>
      </c>
      <c r="I159" s="204">
        <v>33.299999999999997</v>
      </c>
      <c r="J159" s="204">
        <v>33.299999999999997</v>
      </c>
      <c r="K159" s="204">
        <v>100</v>
      </c>
      <c r="L159" s="204">
        <v>100</v>
      </c>
      <c r="M159" s="204">
        <v>100</v>
      </c>
      <c r="N159" s="204">
        <v>100</v>
      </c>
      <c r="O159" s="204">
        <v>100</v>
      </c>
      <c r="P159" s="204">
        <v>100</v>
      </c>
      <c r="Q159" s="44" t="s">
        <v>30</v>
      </c>
      <c r="R159" s="205">
        <v>82</v>
      </c>
      <c r="S159" s="205">
        <v>88</v>
      </c>
      <c r="T159" s="217" t="s">
        <v>28</v>
      </c>
    </row>
    <row r="160" spans="1:22" ht="13.5" customHeight="1">
      <c r="A160" s="7" t="s">
        <v>22</v>
      </c>
      <c r="B160" s="204">
        <v>60</v>
      </c>
      <c r="C160" s="204">
        <v>49</v>
      </c>
      <c r="D160" s="204">
        <v>100</v>
      </c>
      <c r="E160" s="204">
        <v>100</v>
      </c>
      <c r="F160" s="204">
        <v>100</v>
      </c>
      <c r="G160" s="204">
        <v>100</v>
      </c>
      <c r="H160" s="204">
        <v>100</v>
      </c>
      <c r="I160" s="204">
        <v>66.7</v>
      </c>
      <c r="J160" s="204">
        <v>66.7</v>
      </c>
      <c r="K160" s="204">
        <v>100</v>
      </c>
      <c r="L160" s="204">
        <v>100</v>
      </c>
      <c r="M160" s="204">
        <v>50</v>
      </c>
      <c r="N160" s="204">
        <v>50</v>
      </c>
      <c r="O160" s="204">
        <v>33.299999999999997</v>
      </c>
      <c r="P160" s="204">
        <v>33.299999999999997</v>
      </c>
      <c r="Q160" s="44" t="s">
        <v>45</v>
      </c>
      <c r="R160" s="205">
        <v>78</v>
      </c>
      <c r="S160" s="205">
        <v>65</v>
      </c>
      <c r="T160" s="217" t="s">
        <v>40</v>
      </c>
    </row>
    <row r="161" spans="1:20" ht="13.5" customHeight="1">
      <c r="A161" s="7" t="s">
        <v>44</v>
      </c>
      <c r="B161" s="204">
        <v>50</v>
      </c>
      <c r="C161" s="204">
        <v>66.7</v>
      </c>
      <c r="D161" s="204">
        <v>66.7</v>
      </c>
      <c r="E161" s="204">
        <v>66.7</v>
      </c>
      <c r="F161" s="204">
        <v>66.7</v>
      </c>
      <c r="G161" s="204">
        <v>100</v>
      </c>
      <c r="H161" s="204">
        <v>100</v>
      </c>
      <c r="I161" s="204">
        <v>60</v>
      </c>
      <c r="J161" s="204">
        <v>60</v>
      </c>
      <c r="K161" s="204">
        <v>100</v>
      </c>
      <c r="L161" s="204">
        <v>100</v>
      </c>
      <c r="M161" s="204">
        <v>100</v>
      </c>
      <c r="N161" s="204">
        <v>100</v>
      </c>
      <c r="O161" s="204">
        <v>40</v>
      </c>
      <c r="P161" s="204">
        <v>40</v>
      </c>
      <c r="Q161" s="44" t="s">
        <v>38</v>
      </c>
      <c r="R161" s="205">
        <v>84</v>
      </c>
      <c r="S161" s="205">
        <v>88</v>
      </c>
      <c r="T161" s="217" t="s">
        <v>28</v>
      </c>
    </row>
    <row r="162" spans="1:20" ht="13.5" customHeight="1">
      <c r="A162" s="7" t="s">
        <v>43</v>
      </c>
      <c r="B162" s="204">
        <v>57.7</v>
      </c>
      <c r="C162" s="204">
        <v>73.3</v>
      </c>
      <c r="D162" s="204">
        <v>60</v>
      </c>
      <c r="E162" s="204">
        <v>100</v>
      </c>
      <c r="F162" s="204">
        <v>100</v>
      </c>
      <c r="G162" s="204">
        <v>100</v>
      </c>
      <c r="H162" s="204">
        <v>100</v>
      </c>
      <c r="I162" s="204">
        <v>100</v>
      </c>
      <c r="J162" s="204">
        <v>100</v>
      </c>
      <c r="K162" s="204">
        <v>33.299999999999997</v>
      </c>
      <c r="L162" s="204">
        <v>33.299999999999997</v>
      </c>
      <c r="M162" s="204">
        <v>50</v>
      </c>
      <c r="N162" s="204">
        <v>50</v>
      </c>
      <c r="O162" s="204">
        <v>75</v>
      </c>
      <c r="P162" s="204">
        <v>75</v>
      </c>
      <c r="Q162" s="44" t="s">
        <v>30</v>
      </c>
      <c r="R162" s="205">
        <v>100</v>
      </c>
      <c r="S162" s="205">
        <v>110</v>
      </c>
      <c r="T162" s="217" t="s">
        <v>35</v>
      </c>
    </row>
    <row r="163" spans="1:20" ht="27" customHeight="1">
      <c r="A163" s="42" t="s">
        <v>68</v>
      </c>
      <c r="B163" s="204">
        <v>76.900000000000006</v>
      </c>
      <c r="C163" s="204">
        <v>100</v>
      </c>
      <c r="D163" s="204">
        <v>100</v>
      </c>
      <c r="E163" s="204">
        <v>100</v>
      </c>
      <c r="F163" s="204">
        <v>100</v>
      </c>
      <c r="G163" s="204">
        <v>100</v>
      </c>
      <c r="H163" s="204">
        <v>100</v>
      </c>
      <c r="I163" s="204">
        <v>100</v>
      </c>
      <c r="J163" s="204">
        <v>100</v>
      </c>
      <c r="K163" s="204">
        <v>100</v>
      </c>
      <c r="L163" s="204">
        <v>100</v>
      </c>
      <c r="M163" s="204">
        <v>100</v>
      </c>
      <c r="N163" s="204">
        <v>100</v>
      </c>
      <c r="O163" s="204">
        <v>100</v>
      </c>
      <c r="P163" s="204">
        <v>100</v>
      </c>
      <c r="Q163" s="44" t="s">
        <v>56</v>
      </c>
      <c r="R163" s="205">
        <v>100</v>
      </c>
      <c r="S163" s="205">
        <v>98</v>
      </c>
      <c r="T163" s="217" t="s">
        <v>35</v>
      </c>
    </row>
    <row r="164" spans="1:20" ht="13.5" customHeight="1">
      <c r="A164" s="7" t="s">
        <v>33</v>
      </c>
      <c r="B164" s="204">
        <v>58</v>
      </c>
      <c r="C164" s="204">
        <v>63.6</v>
      </c>
      <c r="D164" s="204">
        <v>100</v>
      </c>
      <c r="E164" s="204">
        <v>100</v>
      </c>
      <c r="F164" s="204">
        <v>100</v>
      </c>
      <c r="G164" s="204">
        <v>100</v>
      </c>
      <c r="H164" s="204">
        <v>100</v>
      </c>
      <c r="I164" s="204">
        <v>66.7</v>
      </c>
      <c r="J164" s="204">
        <v>66.7</v>
      </c>
      <c r="K164" s="204">
        <v>100</v>
      </c>
      <c r="L164" s="204">
        <v>100</v>
      </c>
      <c r="M164" s="204">
        <v>100</v>
      </c>
      <c r="N164" s="204">
        <v>100</v>
      </c>
      <c r="O164" s="204">
        <v>100</v>
      </c>
      <c r="P164" s="204">
        <v>100</v>
      </c>
      <c r="Q164" s="44" t="s">
        <v>23</v>
      </c>
      <c r="R164" s="205">
        <v>88</v>
      </c>
      <c r="S164" s="205">
        <v>96</v>
      </c>
      <c r="T164" s="217" t="s">
        <v>48</v>
      </c>
    </row>
    <row r="165" spans="1:20" ht="13.5" customHeight="1">
      <c r="A165" s="7" t="s">
        <v>33</v>
      </c>
      <c r="B165" s="204">
        <v>100</v>
      </c>
      <c r="C165" s="204">
        <v>86.4</v>
      </c>
      <c r="D165" s="204">
        <v>100</v>
      </c>
      <c r="E165" s="204">
        <v>100</v>
      </c>
      <c r="F165" s="204">
        <v>100</v>
      </c>
      <c r="G165" s="204">
        <v>100</v>
      </c>
      <c r="H165" s="204">
        <v>100</v>
      </c>
      <c r="I165" s="204">
        <v>100</v>
      </c>
      <c r="J165" s="204">
        <v>100</v>
      </c>
      <c r="K165" s="204">
        <v>100</v>
      </c>
      <c r="L165" s="204">
        <v>100</v>
      </c>
      <c r="M165" s="204">
        <v>100</v>
      </c>
      <c r="N165" s="204">
        <v>100</v>
      </c>
      <c r="O165" s="204">
        <v>100</v>
      </c>
      <c r="P165" s="204">
        <v>100</v>
      </c>
      <c r="Q165" s="44" t="s">
        <v>30</v>
      </c>
      <c r="R165" s="205">
        <v>80</v>
      </c>
      <c r="S165" s="205">
        <v>92</v>
      </c>
      <c r="T165" s="217" t="s">
        <v>28</v>
      </c>
    </row>
    <row r="166" spans="1:20" ht="13.5" customHeight="1">
      <c r="A166" s="7" t="s">
        <v>37</v>
      </c>
      <c r="B166" s="204">
        <v>54.5</v>
      </c>
      <c r="C166" s="204">
        <v>100</v>
      </c>
      <c r="D166" s="204">
        <v>100</v>
      </c>
      <c r="E166" s="204">
        <v>100</v>
      </c>
      <c r="F166" s="204">
        <v>100</v>
      </c>
      <c r="G166" s="204">
        <v>100</v>
      </c>
      <c r="H166" s="204">
        <v>100</v>
      </c>
      <c r="I166" s="204">
        <v>100</v>
      </c>
      <c r="J166" s="204">
        <v>100</v>
      </c>
      <c r="K166" s="204">
        <v>100</v>
      </c>
      <c r="L166" s="204">
        <v>100</v>
      </c>
      <c r="M166" s="204">
        <v>100</v>
      </c>
      <c r="N166" s="204">
        <v>100</v>
      </c>
      <c r="O166" s="204">
        <v>100</v>
      </c>
      <c r="P166" s="204">
        <v>100</v>
      </c>
      <c r="Q166" s="44" t="s">
        <v>56</v>
      </c>
      <c r="R166" s="205">
        <v>95</v>
      </c>
      <c r="S166" s="205">
        <v>86</v>
      </c>
      <c r="T166" s="217" t="s">
        <v>40</v>
      </c>
    </row>
    <row r="167" spans="1:20" ht="13.5" customHeight="1">
      <c r="A167" s="7" t="s">
        <v>29</v>
      </c>
      <c r="B167" s="204">
        <v>45.2</v>
      </c>
      <c r="C167" s="204">
        <v>49.4</v>
      </c>
      <c r="D167" s="204">
        <v>57.1</v>
      </c>
      <c r="E167" s="204">
        <v>100</v>
      </c>
      <c r="F167" s="204">
        <v>100</v>
      </c>
      <c r="G167" s="204">
        <v>50</v>
      </c>
      <c r="H167" s="204">
        <v>50</v>
      </c>
      <c r="I167" s="204">
        <v>50</v>
      </c>
      <c r="J167" s="204">
        <v>50</v>
      </c>
      <c r="K167" s="204">
        <v>100</v>
      </c>
      <c r="L167" s="204">
        <v>100</v>
      </c>
      <c r="M167" s="204">
        <v>100</v>
      </c>
      <c r="N167" s="204">
        <v>100</v>
      </c>
      <c r="O167" s="204">
        <v>66.7</v>
      </c>
      <c r="P167" s="204">
        <v>50</v>
      </c>
      <c r="Q167" s="44" t="s">
        <v>45</v>
      </c>
      <c r="R167" s="205">
        <v>85</v>
      </c>
      <c r="S167" s="205">
        <v>86</v>
      </c>
      <c r="T167" s="217" t="s">
        <v>35</v>
      </c>
    </row>
    <row r="168" spans="1:20" ht="13.5" customHeight="1">
      <c r="A168" s="7" t="s">
        <v>31</v>
      </c>
      <c r="B168" s="204">
        <v>33.299999999999997</v>
      </c>
      <c r="C168" s="204">
        <v>63.6</v>
      </c>
      <c r="D168" s="204">
        <v>50</v>
      </c>
      <c r="E168" s="204">
        <v>66.7</v>
      </c>
      <c r="F168" s="204">
        <v>66.7</v>
      </c>
      <c r="G168" s="204">
        <v>66.7</v>
      </c>
      <c r="H168" s="204">
        <v>66.7</v>
      </c>
      <c r="I168" s="204">
        <v>60</v>
      </c>
      <c r="J168" s="204">
        <v>60</v>
      </c>
      <c r="K168" s="204">
        <v>100</v>
      </c>
      <c r="L168" s="204">
        <v>100</v>
      </c>
      <c r="M168" s="204">
        <v>100</v>
      </c>
      <c r="N168" s="204">
        <v>100</v>
      </c>
      <c r="O168" s="204">
        <v>80</v>
      </c>
      <c r="P168" s="204">
        <v>80</v>
      </c>
      <c r="Q168" s="44" t="s">
        <v>30</v>
      </c>
      <c r="R168" s="205">
        <v>86</v>
      </c>
      <c r="S168" s="205">
        <v>92</v>
      </c>
      <c r="T168" s="217" t="s">
        <v>28</v>
      </c>
    </row>
    <row r="169" spans="1:20" ht="13.5" customHeight="1">
      <c r="A169" s="7" t="s">
        <v>36</v>
      </c>
      <c r="B169" s="204">
        <v>40</v>
      </c>
      <c r="C169" s="204">
        <v>22.2</v>
      </c>
      <c r="D169" s="204">
        <v>0</v>
      </c>
      <c r="E169" s="204">
        <v>0</v>
      </c>
      <c r="F169" s="204">
        <v>0</v>
      </c>
      <c r="G169" s="204">
        <v>0</v>
      </c>
      <c r="H169" s="204">
        <v>0</v>
      </c>
      <c r="I169" s="204">
        <v>66.7</v>
      </c>
      <c r="J169" s="204">
        <v>66.7</v>
      </c>
      <c r="K169" s="204">
        <v>0</v>
      </c>
      <c r="L169" s="204">
        <v>0</v>
      </c>
      <c r="M169" s="204">
        <v>50</v>
      </c>
      <c r="N169" s="204">
        <v>50</v>
      </c>
      <c r="O169" s="204">
        <v>33.299999999999997</v>
      </c>
      <c r="P169" s="204">
        <v>33.299999999999997</v>
      </c>
      <c r="Q169" s="44" t="s">
        <v>26</v>
      </c>
      <c r="R169" s="205">
        <v>102</v>
      </c>
      <c r="S169" s="205">
        <v>102</v>
      </c>
      <c r="T169" s="217" t="s">
        <v>35</v>
      </c>
    </row>
    <row r="170" spans="1:20" ht="13.5" customHeight="1">
      <c r="A170" s="7" t="s">
        <v>31</v>
      </c>
      <c r="B170" s="204">
        <v>46.2</v>
      </c>
      <c r="C170" s="204">
        <v>55.6</v>
      </c>
      <c r="D170" s="204">
        <v>50</v>
      </c>
      <c r="E170" s="204">
        <v>25</v>
      </c>
      <c r="F170" s="204">
        <v>33.299999999999997</v>
      </c>
      <c r="G170" s="204">
        <v>20</v>
      </c>
      <c r="H170" s="204">
        <v>25</v>
      </c>
      <c r="I170" s="204">
        <v>55.6</v>
      </c>
      <c r="J170" s="204">
        <v>50</v>
      </c>
      <c r="K170" s="204">
        <v>66.7</v>
      </c>
      <c r="L170" s="204">
        <v>50</v>
      </c>
      <c r="M170" s="204">
        <v>66.7</v>
      </c>
      <c r="N170" s="204">
        <v>50</v>
      </c>
      <c r="O170" s="204">
        <v>50</v>
      </c>
      <c r="P170" s="204">
        <v>66.7</v>
      </c>
      <c r="Q170" s="44" t="s">
        <v>26</v>
      </c>
      <c r="R170" s="205">
        <v>88</v>
      </c>
      <c r="S170" s="205">
        <v>80</v>
      </c>
      <c r="T170" s="217" t="s">
        <v>46</v>
      </c>
    </row>
    <row r="171" spans="1:20" ht="13.5" customHeight="1">
      <c r="A171" s="7" t="s">
        <v>33</v>
      </c>
      <c r="B171" s="204">
        <v>55.6</v>
      </c>
      <c r="C171" s="204">
        <v>55.6</v>
      </c>
      <c r="D171" s="204">
        <v>58.3</v>
      </c>
      <c r="E171" s="204">
        <v>50</v>
      </c>
      <c r="F171" s="204">
        <v>50</v>
      </c>
      <c r="G171" s="204">
        <v>50</v>
      </c>
      <c r="H171" s="204">
        <v>50</v>
      </c>
      <c r="I171" s="204">
        <v>100</v>
      </c>
      <c r="J171" s="204">
        <v>100</v>
      </c>
      <c r="K171" s="204">
        <v>50</v>
      </c>
      <c r="L171" s="204">
        <v>50</v>
      </c>
      <c r="M171" s="204">
        <v>100</v>
      </c>
      <c r="N171" s="204">
        <v>100</v>
      </c>
      <c r="O171" s="204">
        <v>100</v>
      </c>
      <c r="P171" s="204">
        <v>100</v>
      </c>
      <c r="Q171" s="44" t="s">
        <v>26</v>
      </c>
      <c r="R171" s="205">
        <v>78</v>
      </c>
      <c r="S171" s="205">
        <v>70</v>
      </c>
      <c r="T171" s="217" t="s">
        <v>40</v>
      </c>
    </row>
    <row r="172" spans="1:20" ht="13.5" customHeight="1">
      <c r="A172" s="7" t="s">
        <v>31</v>
      </c>
      <c r="B172" s="204">
        <v>46.2</v>
      </c>
      <c r="C172" s="204">
        <v>39.1</v>
      </c>
      <c r="D172" s="204">
        <v>50</v>
      </c>
      <c r="E172" s="204">
        <v>100</v>
      </c>
      <c r="F172" s="204">
        <v>100</v>
      </c>
      <c r="G172" s="204">
        <v>100</v>
      </c>
      <c r="H172" s="204">
        <v>100</v>
      </c>
      <c r="I172" s="204">
        <v>100</v>
      </c>
      <c r="J172" s="204">
        <v>100</v>
      </c>
      <c r="K172" s="204">
        <v>50</v>
      </c>
      <c r="L172" s="204">
        <v>33.299999999999997</v>
      </c>
      <c r="M172" s="204">
        <v>50</v>
      </c>
      <c r="N172" s="204">
        <v>33.299999999999997</v>
      </c>
      <c r="O172" s="204">
        <v>60</v>
      </c>
      <c r="P172" s="204">
        <v>50</v>
      </c>
      <c r="Q172" s="44" t="s">
        <v>26</v>
      </c>
      <c r="R172" s="205">
        <v>104</v>
      </c>
      <c r="S172" s="205">
        <v>94</v>
      </c>
      <c r="T172" s="217" t="s">
        <v>28</v>
      </c>
    </row>
    <row r="173" spans="1:20" ht="13.5" customHeight="1">
      <c r="A173" s="7" t="s">
        <v>33</v>
      </c>
      <c r="B173" s="204">
        <v>100</v>
      </c>
      <c r="C173" s="204">
        <v>68</v>
      </c>
      <c r="D173" s="204">
        <v>100</v>
      </c>
      <c r="E173" s="204">
        <v>100</v>
      </c>
      <c r="F173" s="204">
        <v>100</v>
      </c>
      <c r="G173" s="204">
        <v>100</v>
      </c>
      <c r="H173" s="204">
        <v>100</v>
      </c>
      <c r="I173" s="204">
        <v>100</v>
      </c>
      <c r="J173" s="204">
        <v>100</v>
      </c>
      <c r="K173" s="204">
        <v>100</v>
      </c>
      <c r="L173" s="204">
        <v>100</v>
      </c>
      <c r="M173" s="204">
        <v>100</v>
      </c>
      <c r="N173" s="204">
        <v>100</v>
      </c>
      <c r="O173" s="204">
        <v>100</v>
      </c>
      <c r="P173" s="204">
        <v>100</v>
      </c>
      <c r="Q173" s="44" t="s">
        <v>23</v>
      </c>
      <c r="R173" s="205">
        <v>90</v>
      </c>
      <c r="S173" s="205">
        <v>100</v>
      </c>
      <c r="T173" s="217" t="s">
        <v>48</v>
      </c>
    </row>
    <row r="174" spans="1:20" ht="13.5" customHeight="1">
      <c r="A174" s="7" t="s">
        <v>41</v>
      </c>
      <c r="B174" s="204">
        <v>100</v>
      </c>
      <c r="C174" s="204">
        <v>100</v>
      </c>
      <c r="D174" s="204">
        <v>100</v>
      </c>
      <c r="E174" s="204">
        <v>100</v>
      </c>
      <c r="F174" s="204">
        <v>100</v>
      </c>
      <c r="G174" s="204">
        <v>100</v>
      </c>
      <c r="H174" s="204">
        <v>100</v>
      </c>
      <c r="I174" s="204">
        <v>100</v>
      </c>
      <c r="J174" s="204">
        <v>100</v>
      </c>
      <c r="K174" s="204">
        <v>100</v>
      </c>
      <c r="L174" s="204">
        <v>100</v>
      </c>
      <c r="M174" s="204">
        <v>100</v>
      </c>
      <c r="N174" s="204">
        <v>100</v>
      </c>
      <c r="O174" s="204">
        <v>100</v>
      </c>
      <c r="P174" s="204">
        <v>100</v>
      </c>
      <c r="Q174" s="44" t="s">
        <v>56</v>
      </c>
      <c r="R174" s="205">
        <v>80</v>
      </c>
      <c r="S174" s="205">
        <v>70</v>
      </c>
      <c r="T174" s="217" t="s">
        <v>40</v>
      </c>
    </row>
    <row r="175" spans="1:20" ht="13.5" customHeight="1">
      <c r="A175" s="7" t="s">
        <v>22</v>
      </c>
      <c r="B175" s="204">
        <v>45.2</v>
      </c>
      <c r="C175" s="204">
        <v>38.799999999999997</v>
      </c>
      <c r="D175" s="204">
        <v>40</v>
      </c>
      <c r="E175" s="204">
        <v>50</v>
      </c>
      <c r="F175" s="204">
        <v>50</v>
      </c>
      <c r="G175" s="204">
        <v>50</v>
      </c>
      <c r="H175" s="204">
        <v>100</v>
      </c>
      <c r="I175" s="204">
        <v>40</v>
      </c>
      <c r="J175" s="204">
        <v>33.299999999999997</v>
      </c>
      <c r="K175" s="204">
        <v>100</v>
      </c>
      <c r="L175" s="204">
        <v>100</v>
      </c>
      <c r="M175" s="204">
        <v>50</v>
      </c>
      <c r="N175" s="204">
        <v>50</v>
      </c>
      <c r="O175" s="204">
        <v>50</v>
      </c>
      <c r="P175" s="204">
        <v>50</v>
      </c>
      <c r="Q175" s="44" t="s">
        <v>23</v>
      </c>
      <c r="R175" s="205">
        <v>94</v>
      </c>
      <c r="S175" s="205">
        <v>100</v>
      </c>
      <c r="T175" s="217" t="s">
        <v>35</v>
      </c>
    </row>
    <row r="176" spans="1:20" ht="13.5" customHeight="1">
      <c r="A176" s="7" t="s">
        <v>29</v>
      </c>
      <c r="B176" s="204">
        <v>60</v>
      </c>
      <c r="C176" s="204">
        <v>55.6</v>
      </c>
      <c r="D176" s="204">
        <v>66.7</v>
      </c>
      <c r="E176" s="204">
        <v>100</v>
      </c>
      <c r="F176" s="204">
        <v>100</v>
      </c>
      <c r="G176" s="204">
        <v>100</v>
      </c>
      <c r="H176" s="204">
        <v>100</v>
      </c>
      <c r="I176" s="204">
        <v>100</v>
      </c>
      <c r="J176" s="204">
        <v>100</v>
      </c>
      <c r="K176" s="204">
        <v>25</v>
      </c>
      <c r="L176" s="204">
        <v>25</v>
      </c>
      <c r="M176" s="204">
        <v>25</v>
      </c>
      <c r="N176" s="204">
        <v>25</v>
      </c>
      <c r="O176" s="204">
        <v>28.6</v>
      </c>
      <c r="P176" s="204">
        <v>28.6</v>
      </c>
      <c r="Q176" s="44" t="s">
        <v>45</v>
      </c>
      <c r="R176" s="205">
        <v>100</v>
      </c>
      <c r="S176" s="205">
        <v>88</v>
      </c>
      <c r="T176" s="217" t="s">
        <v>24</v>
      </c>
    </row>
    <row r="177" spans="1:20" ht="13.5" customHeight="1">
      <c r="A177" s="7" t="s">
        <v>44</v>
      </c>
      <c r="B177" s="204">
        <v>47.1</v>
      </c>
      <c r="C177" s="204">
        <v>74.400000000000006</v>
      </c>
      <c r="D177" s="204">
        <v>75</v>
      </c>
      <c r="E177" s="204">
        <v>85.7</v>
      </c>
      <c r="F177" s="204">
        <v>100</v>
      </c>
      <c r="G177" s="204">
        <v>62.5</v>
      </c>
      <c r="H177" s="204">
        <v>83.3</v>
      </c>
      <c r="I177" s="204">
        <v>66.7</v>
      </c>
      <c r="J177" s="204">
        <v>64.7</v>
      </c>
      <c r="K177" s="204">
        <v>100</v>
      </c>
      <c r="L177" s="204">
        <v>100</v>
      </c>
      <c r="M177" s="204">
        <v>100</v>
      </c>
      <c r="N177" s="204">
        <v>100</v>
      </c>
      <c r="O177" s="204">
        <v>88.9</v>
      </c>
      <c r="P177" s="204">
        <v>100</v>
      </c>
      <c r="Q177" s="44" t="s">
        <v>23</v>
      </c>
      <c r="R177" s="205">
        <v>94</v>
      </c>
      <c r="S177" s="205">
        <v>96</v>
      </c>
      <c r="T177" s="217" t="s">
        <v>32</v>
      </c>
    </row>
    <row r="178" spans="1:20" ht="13.5" customHeight="1">
      <c r="A178" s="7" t="s">
        <v>47</v>
      </c>
      <c r="B178" s="204">
        <v>25</v>
      </c>
      <c r="C178" s="204">
        <v>38.799999999999997</v>
      </c>
      <c r="D178" s="204">
        <v>57.1</v>
      </c>
      <c r="E178" s="204">
        <v>0</v>
      </c>
      <c r="F178" s="204">
        <v>0</v>
      </c>
      <c r="G178" s="204">
        <v>0</v>
      </c>
      <c r="H178" s="204">
        <v>0</v>
      </c>
      <c r="I178" s="204">
        <v>0</v>
      </c>
      <c r="J178" s="204">
        <v>0</v>
      </c>
      <c r="K178" s="204">
        <v>0</v>
      </c>
      <c r="L178" s="204">
        <v>0</v>
      </c>
      <c r="M178" s="204">
        <v>0</v>
      </c>
      <c r="N178" s="204">
        <v>0</v>
      </c>
      <c r="O178" s="204">
        <v>0</v>
      </c>
      <c r="P178" s="204">
        <v>0</v>
      </c>
      <c r="Q178" s="44" t="s">
        <v>45</v>
      </c>
      <c r="R178" s="205">
        <v>80</v>
      </c>
      <c r="S178" s="205">
        <v>80</v>
      </c>
      <c r="T178" s="217" t="s">
        <v>46</v>
      </c>
    </row>
    <row r="179" spans="1:20" ht="27" customHeight="1">
      <c r="A179" s="7" t="s">
        <v>31</v>
      </c>
      <c r="B179" s="204">
        <v>57.7</v>
      </c>
      <c r="C179" s="204">
        <v>54.7</v>
      </c>
      <c r="D179" s="204">
        <v>53.8</v>
      </c>
      <c r="E179" s="204">
        <v>100</v>
      </c>
      <c r="F179" s="204">
        <v>100</v>
      </c>
      <c r="G179" s="204">
        <v>100</v>
      </c>
      <c r="H179" s="204">
        <v>100</v>
      </c>
      <c r="I179" s="204">
        <v>52.9</v>
      </c>
      <c r="J179" s="204">
        <v>53.8</v>
      </c>
      <c r="K179" s="204">
        <v>100</v>
      </c>
      <c r="L179" s="204">
        <v>100</v>
      </c>
      <c r="M179" s="204">
        <v>100</v>
      </c>
      <c r="N179" s="204">
        <v>100</v>
      </c>
      <c r="O179" s="204">
        <v>68.8</v>
      </c>
      <c r="P179" s="204">
        <v>50</v>
      </c>
      <c r="Q179" s="44" t="s">
        <v>23</v>
      </c>
      <c r="R179" s="205">
        <v>92</v>
      </c>
      <c r="S179" s="205">
        <v>100</v>
      </c>
      <c r="T179" s="217" t="s">
        <v>35</v>
      </c>
    </row>
    <row r="180" spans="1:20" ht="13.5" customHeight="1">
      <c r="A180" s="7" t="s">
        <v>31</v>
      </c>
      <c r="B180" s="204">
        <v>47.1</v>
      </c>
      <c r="C180" s="204">
        <v>55.6</v>
      </c>
      <c r="D180" s="204">
        <v>50</v>
      </c>
      <c r="E180" s="204">
        <v>100</v>
      </c>
      <c r="F180" s="204">
        <v>100</v>
      </c>
      <c r="G180" s="204">
        <v>100</v>
      </c>
      <c r="H180" s="204">
        <v>100</v>
      </c>
      <c r="I180" s="204">
        <v>52.9</v>
      </c>
      <c r="J180" s="204">
        <v>53.8</v>
      </c>
      <c r="K180" s="204">
        <v>100</v>
      </c>
      <c r="L180" s="204">
        <v>100</v>
      </c>
      <c r="M180" s="204">
        <v>66.7</v>
      </c>
      <c r="N180" s="204">
        <v>100</v>
      </c>
      <c r="O180" s="204">
        <v>40</v>
      </c>
      <c r="P180" s="204">
        <v>100</v>
      </c>
      <c r="Q180" s="44" t="s">
        <v>26</v>
      </c>
      <c r="R180" s="205">
        <v>80</v>
      </c>
      <c r="S180" s="205">
        <v>80</v>
      </c>
      <c r="T180" s="217" t="s">
        <v>46</v>
      </c>
    </row>
    <row r="181" spans="1:20" ht="13.5" customHeight="1">
      <c r="A181" s="7" t="s">
        <v>33</v>
      </c>
      <c r="B181" s="204">
        <v>46.2</v>
      </c>
      <c r="C181" s="204">
        <v>54.7</v>
      </c>
      <c r="D181" s="204">
        <v>53.8</v>
      </c>
      <c r="E181" s="204">
        <v>60</v>
      </c>
      <c r="F181" s="204">
        <v>33.299999999999997</v>
      </c>
      <c r="G181" s="204">
        <v>60</v>
      </c>
      <c r="H181" s="204">
        <v>50</v>
      </c>
      <c r="I181" s="204">
        <v>40</v>
      </c>
      <c r="J181" s="204">
        <v>60</v>
      </c>
      <c r="K181" s="204">
        <v>100</v>
      </c>
      <c r="L181" s="204">
        <v>100</v>
      </c>
      <c r="M181" s="204">
        <v>66.7</v>
      </c>
      <c r="N181" s="204">
        <v>50</v>
      </c>
      <c r="O181" s="204">
        <v>50</v>
      </c>
      <c r="P181" s="204">
        <v>66.7</v>
      </c>
      <c r="Q181" s="44" t="s">
        <v>26</v>
      </c>
      <c r="R181" s="205">
        <v>86</v>
      </c>
      <c r="S181" s="205">
        <v>92</v>
      </c>
      <c r="T181" s="217" t="s">
        <v>28</v>
      </c>
    </row>
    <row r="182" spans="1:20" ht="27" customHeight="1">
      <c r="A182" s="7" t="s">
        <v>42</v>
      </c>
      <c r="B182" s="204">
        <v>46.2</v>
      </c>
      <c r="C182" s="204">
        <v>36.9</v>
      </c>
      <c r="D182" s="204">
        <v>42.9</v>
      </c>
      <c r="E182" s="204">
        <v>60</v>
      </c>
      <c r="F182" s="204">
        <v>66.7</v>
      </c>
      <c r="G182" s="204">
        <v>40</v>
      </c>
      <c r="H182" s="204">
        <v>33.299999999999997</v>
      </c>
      <c r="I182" s="204">
        <v>40</v>
      </c>
      <c r="J182" s="204">
        <v>60</v>
      </c>
      <c r="K182" s="204">
        <v>50</v>
      </c>
      <c r="L182" s="204">
        <v>50</v>
      </c>
      <c r="M182" s="204">
        <v>50</v>
      </c>
      <c r="N182" s="204">
        <v>50</v>
      </c>
      <c r="O182" s="204">
        <v>28.6</v>
      </c>
      <c r="P182" s="204">
        <v>66.7</v>
      </c>
      <c r="Q182" s="44" t="s">
        <v>26</v>
      </c>
      <c r="R182" s="205">
        <v>95</v>
      </c>
      <c r="S182" s="205">
        <v>94</v>
      </c>
      <c r="T182" s="217" t="s">
        <v>35</v>
      </c>
    </row>
    <row r="183" spans="1:20" ht="27" customHeight="1">
      <c r="A183" s="7" t="s">
        <v>22</v>
      </c>
      <c r="B183" s="204">
        <v>67.7</v>
      </c>
      <c r="C183" s="204">
        <v>68</v>
      </c>
      <c r="D183" s="204">
        <v>60</v>
      </c>
      <c r="E183" s="204">
        <v>80</v>
      </c>
      <c r="F183" s="204">
        <v>80</v>
      </c>
      <c r="G183" s="204">
        <v>50</v>
      </c>
      <c r="H183" s="204">
        <v>40</v>
      </c>
      <c r="I183" s="204">
        <v>80</v>
      </c>
      <c r="J183" s="204">
        <v>75</v>
      </c>
      <c r="K183" s="204">
        <v>66.7</v>
      </c>
      <c r="L183" s="204">
        <v>66.7</v>
      </c>
      <c r="M183" s="204">
        <v>50</v>
      </c>
      <c r="N183" s="204">
        <v>50</v>
      </c>
      <c r="O183" s="204">
        <v>66.7</v>
      </c>
      <c r="P183" s="204">
        <v>100</v>
      </c>
      <c r="Q183" s="44" t="s">
        <v>26</v>
      </c>
      <c r="R183" s="205">
        <v>85</v>
      </c>
      <c r="S183" s="205">
        <v>80</v>
      </c>
      <c r="T183" s="217" t="s">
        <v>40</v>
      </c>
    </row>
    <row r="184" spans="1:20" ht="13.5" customHeight="1">
      <c r="A184" s="7" t="s">
        <v>42</v>
      </c>
      <c r="B184" s="204">
        <v>55.6</v>
      </c>
      <c r="C184" s="204">
        <v>74.400000000000006</v>
      </c>
      <c r="D184" s="204">
        <v>75</v>
      </c>
      <c r="E184" s="204">
        <v>33.299999999999997</v>
      </c>
      <c r="F184" s="204">
        <v>0</v>
      </c>
      <c r="G184" s="204">
        <v>57.1</v>
      </c>
      <c r="H184" s="204">
        <v>0</v>
      </c>
      <c r="I184" s="204">
        <v>66.7</v>
      </c>
      <c r="J184" s="204">
        <v>50</v>
      </c>
      <c r="K184" s="204">
        <v>80</v>
      </c>
      <c r="L184" s="204">
        <v>80</v>
      </c>
      <c r="M184" s="204">
        <v>80</v>
      </c>
      <c r="N184" s="204">
        <v>80</v>
      </c>
      <c r="O184" s="204">
        <v>80</v>
      </c>
      <c r="P184" s="204">
        <v>80</v>
      </c>
      <c r="Q184" s="44" t="s">
        <v>23</v>
      </c>
      <c r="R184" s="205">
        <v>80</v>
      </c>
      <c r="S184" s="205">
        <v>110</v>
      </c>
      <c r="T184" s="217" t="s">
        <v>35</v>
      </c>
    </row>
    <row r="185" spans="1:20" ht="13.5" customHeight="1">
      <c r="A185" s="7" t="s">
        <v>62</v>
      </c>
      <c r="B185" s="204">
        <v>34.6</v>
      </c>
      <c r="C185" s="204">
        <v>50.8</v>
      </c>
      <c r="D185" s="204">
        <v>42.9</v>
      </c>
      <c r="E185" s="204">
        <v>0</v>
      </c>
      <c r="F185" s="204">
        <v>0</v>
      </c>
      <c r="G185" s="204">
        <v>0</v>
      </c>
      <c r="H185" s="204">
        <v>0</v>
      </c>
      <c r="I185" s="204">
        <v>60</v>
      </c>
      <c r="J185" s="204">
        <v>50</v>
      </c>
      <c r="K185" s="204">
        <v>66.7</v>
      </c>
      <c r="L185" s="204">
        <v>66.7</v>
      </c>
      <c r="M185" s="204">
        <v>66.7</v>
      </c>
      <c r="N185" s="204">
        <v>66.7</v>
      </c>
      <c r="O185" s="204">
        <v>80</v>
      </c>
      <c r="P185" s="204">
        <v>80</v>
      </c>
      <c r="Q185" s="44" t="s">
        <v>23</v>
      </c>
      <c r="R185" s="205">
        <v>110</v>
      </c>
      <c r="S185" s="205">
        <v>110</v>
      </c>
      <c r="T185" s="217" t="s">
        <v>35</v>
      </c>
    </row>
    <row r="186" spans="1:20" ht="13.5" customHeight="1">
      <c r="A186" s="7" t="s">
        <v>66</v>
      </c>
      <c r="B186" s="204">
        <v>45.7</v>
      </c>
      <c r="C186" s="204">
        <v>55.6</v>
      </c>
      <c r="D186" s="204">
        <v>55.6</v>
      </c>
      <c r="E186" s="204">
        <v>80</v>
      </c>
      <c r="F186" s="204">
        <v>80</v>
      </c>
      <c r="G186" s="204">
        <v>60</v>
      </c>
      <c r="H186" s="204">
        <v>50</v>
      </c>
      <c r="I186" s="204">
        <v>80</v>
      </c>
      <c r="J186" s="204">
        <v>75</v>
      </c>
      <c r="K186" s="204">
        <v>0</v>
      </c>
      <c r="L186" s="204">
        <v>0</v>
      </c>
      <c r="M186" s="204">
        <v>0</v>
      </c>
      <c r="N186" s="204">
        <v>0</v>
      </c>
      <c r="O186" s="204">
        <v>0</v>
      </c>
      <c r="P186" s="204">
        <v>0</v>
      </c>
      <c r="Q186" s="44" t="s">
        <v>26</v>
      </c>
      <c r="R186" s="205">
        <v>90</v>
      </c>
      <c r="S186" s="205">
        <v>95</v>
      </c>
      <c r="T186" s="217" t="s">
        <v>27</v>
      </c>
    </row>
    <row r="187" spans="1:20" ht="13.5" customHeight="1">
      <c r="A187" s="7" t="s">
        <v>60</v>
      </c>
      <c r="B187" s="204">
        <v>28.2</v>
      </c>
      <c r="C187" s="204">
        <v>36.9</v>
      </c>
      <c r="D187" s="204">
        <v>22.2</v>
      </c>
      <c r="E187" s="204">
        <v>60</v>
      </c>
      <c r="F187" s="204">
        <v>0</v>
      </c>
      <c r="G187" s="204">
        <v>33.299999999999997</v>
      </c>
      <c r="H187" s="204">
        <v>0</v>
      </c>
      <c r="I187" s="204">
        <v>40</v>
      </c>
      <c r="J187" s="204">
        <v>0</v>
      </c>
      <c r="K187" s="204">
        <v>66.7</v>
      </c>
      <c r="L187" s="204">
        <v>66.7</v>
      </c>
      <c r="M187" s="204">
        <v>50</v>
      </c>
      <c r="N187" s="204">
        <v>50</v>
      </c>
      <c r="O187" s="204">
        <v>50</v>
      </c>
      <c r="P187" s="204">
        <v>33.299999999999997</v>
      </c>
      <c r="Q187" s="44" t="s">
        <v>23</v>
      </c>
      <c r="R187" s="205">
        <v>100</v>
      </c>
      <c r="S187" s="205">
        <v>70</v>
      </c>
      <c r="T187" s="217" t="s">
        <v>40</v>
      </c>
    </row>
    <row r="188" spans="1:20" ht="27" customHeight="1">
      <c r="A188" s="7" t="s">
        <v>57</v>
      </c>
      <c r="B188" s="204">
        <v>63.6</v>
      </c>
      <c r="C188" s="204">
        <v>76.2</v>
      </c>
      <c r="D188" s="204">
        <v>100</v>
      </c>
      <c r="E188" s="204">
        <v>100</v>
      </c>
      <c r="F188" s="204">
        <v>100</v>
      </c>
      <c r="G188" s="204">
        <v>75</v>
      </c>
      <c r="H188" s="204">
        <v>100</v>
      </c>
      <c r="I188" s="204">
        <v>66.7</v>
      </c>
      <c r="J188" s="204">
        <v>100</v>
      </c>
      <c r="K188" s="204">
        <v>80</v>
      </c>
      <c r="L188" s="204">
        <v>80</v>
      </c>
      <c r="M188" s="204">
        <v>80</v>
      </c>
      <c r="N188" s="204">
        <v>80</v>
      </c>
      <c r="O188" s="204">
        <v>100</v>
      </c>
      <c r="P188" s="204">
        <v>100</v>
      </c>
      <c r="Q188" s="44" t="s">
        <v>30</v>
      </c>
      <c r="R188" s="205">
        <v>100</v>
      </c>
      <c r="S188" s="205">
        <v>85</v>
      </c>
      <c r="T188" s="217" t="s">
        <v>51</v>
      </c>
    </row>
    <row r="189" spans="1:20" ht="13.5" customHeight="1">
      <c r="A189" s="7" t="s">
        <v>31</v>
      </c>
      <c r="B189" s="204">
        <v>55.6</v>
      </c>
      <c r="C189" s="204">
        <v>86.4</v>
      </c>
      <c r="D189" s="204">
        <v>100</v>
      </c>
      <c r="E189" s="204">
        <v>100</v>
      </c>
      <c r="F189" s="204">
        <v>100</v>
      </c>
      <c r="G189" s="204">
        <v>100</v>
      </c>
      <c r="H189" s="204">
        <v>100</v>
      </c>
      <c r="I189" s="204">
        <v>100</v>
      </c>
      <c r="J189" s="204">
        <v>100</v>
      </c>
      <c r="K189" s="204">
        <v>66.7</v>
      </c>
      <c r="L189" s="204">
        <v>100</v>
      </c>
      <c r="M189" s="204">
        <v>75</v>
      </c>
      <c r="N189" s="204">
        <v>100</v>
      </c>
      <c r="O189" s="204">
        <v>68.8</v>
      </c>
      <c r="P189" s="204">
        <v>100</v>
      </c>
      <c r="Q189" s="44" t="s">
        <v>34</v>
      </c>
      <c r="R189" s="205">
        <v>100</v>
      </c>
      <c r="S189" s="205">
        <v>112</v>
      </c>
      <c r="T189" s="217" t="s">
        <v>35</v>
      </c>
    </row>
    <row r="190" spans="1:20" ht="13.5" customHeight="1">
      <c r="A190" s="7" t="s">
        <v>25</v>
      </c>
      <c r="B190" s="204">
        <v>66.7</v>
      </c>
      <c r="C190" s="204">
        <v>76.2</v>
      </c>
      <c r="D190" s="204">
        <v>40</v>
      </c>
      <c r="E190" s="204">
        <v>85.7</v>
      </c>
      <c r="F190" s="204">
        <v>66.7</v>
      </c>
      <c r="G190" s="204">
        <v>83.3</v>
      </c>
      <c r="H190" s="204">
        <v>66.7</v>
      </c>
      <c r="I190" s="204">
        <v>80</v>
      </c>
      <c r="J190" s="204">
        <v>80</v>
      </c>
      <c r="K190" s="204">
        <v>0</v>
      </c>
      <c r="L190" s="204">
        <v>0</v>
      </c>
      <c r="M190" s="204">
        <v>0</v>
      </c>
      <c r="N190" s="204">
        <v>0</v>
      </c>
      <c r="O190" s="204">
        <v>50</v>
      </c>
      <c r="P190" s="204">
        <v>40</v>
      </c>
      <c r="Q190" s="44" t="s">
        <v>30</v>
      </c>
      <c r="R190" s="205">
        <v>80</v>
      </c>
      <c r="S190" s="205">
        <v>110</v>
      </c>
      <c r="T190" s="217" t="s">
        <v>35</v>
      </c>
    </row>
    <row r="191" spans="1:20" ht="13.5" customHeight="1">
      <c r="A191" s="7" t="s">
        <v>31</v>
      </c>
      <c r="B191" s="204">
        <v>57.7</v>
      </c>
      <c r="C191" s="204">
        <v>50.8</v>
      </c>
      <c r="D191" s="204">
        <v>42.9</v>
      </c>
      <c r="E191" s="204">
        <v>100</v>
      </c>
      <c r="F191" s="204">
        <v>100</v>
      </c>
      <c r="G191" s="204">
        <v>100</v>
      </c>
      <c r="H191" s="204">
        <v>100</v>
      </c>
      <c r="I191" s="204">
        <v>40</v>
      </c>
      <c r="J191" s="204">
        <v>50</v>
      </c>
      <c r="K191" s="204">
        <v>75</v>
      </c>
      <c r="L191" s="204">
        <v>100</v>
      </c>
      <c r="M191" s="204">
        <v>75</v>
      </c>
      <c r="N191" s="204">
        <v>100</v>
      </c>
      <c r="O191" s="204">
        <v>68.8</v>
      </c>
      <c r="P191" s="204">
        <v>100</v>
      </c>
      <c r="Q191" s="44" t="s">
        <v>26</v>
      </c>
      <c r="R191" s="205">
        <v>90</v>
      </c>
      <c r="S191" s="205">
        <v>90</v>
      </c>
      <c r="T191" s="217" t="s">
        <v>28</v>
      </c>
    </row>
    <row r="192" spans="1:20" ht="13.5" customHeight="1">
      <c r="A192" s="7" t="s">
        <v>31</v>
      </c>
      <c r="B192" s="204">
        <v>60</v>
      </c>
      <c r="C192" s="204">
        <v>57.9</v>
      </c>
      <c r="D192" s="204">
        <v>33.299999999999997</v>
      </c>
      <c r="E192" s="204">
        <v>66.7</v>
      </c>
      <c r="F192" s="204">
        <v>66.7</v>
      </c>
      <c r="G192" s="204">
        <v>57.1</v>
      </c>
      <c r="H192" s="204">
        <v>50</v>
      </c>
      <c r="I192" s="204">
        <v>80</v>
      </c>
      <c r="J192" s="204">
        <v>80</v>
      </c>
      <c r="K192" s="204">
        <v>100</v>
      </c>
      <c r="L192" s="204">
        <v>100</v>
      </c>
      <c r="M192" s="204">
        <v>100</v>
      </c>
      <c r="N192" s="204">
        <v>100</v>
      </c>
      <c r="O192" s="204">
        <v>100</v>
      </c>
      <c r="P192" s="204">
        <v>100</v>
      </c>
      <c r="Q192" s="44" t="s">
        <v>23</v>
      </c>
      <c r="R192" s="205">
        <v>90</v>
      </c>
      <c r="S192" s="205">
        <v>110</v>
      </c>
      <c r="T192" s="217" t="s">
        <v>35</v>
      </c>
    </row>
    <row r="193" spans="1:20" s="5" customFormat="1" ht="13.5" customHeight="1">
      <c r="A193" s="7" t="s">
        <v>36</v>
      </c>
      <c r="B193" s="204">
        <v>28.2</v>
      </c>
      <c r="C193" s="204">
        <v>38.1</v>
      </c>
      <c r="D193" s="204">
        <v>33.299999999999997</v>
      </c>
      <c r="E193" s="204">
        <v>66.7</v>
      </c>
      <c r="F193" s="204">
        <v>50</v>
      </c>
      <c r="G193" s="204">
        <v>66.7</v>
      </c>
      <c r="H193" s="204">
        <v>50</v>
      </c>
      <c r="I193" s="204">
        <v>25</v>
      </c>
      <c r="J193" s="204">
        <v>0</v>
      </c>
      <c r="K193" s="204">
        <v>33.299999999999997</v>
      </c>
      <c r="L193" s="204">
        <v>50</v>
      </c>
      <c r="M193" s="204">
        <v>33.299999999999997</v>
      </c>
      <c r="N193" s="204">
        <v>50</v>
      </c>
      <c r="O193" s="204">
        <v>50</v>
      </c>
      <c r="P193" s="204">
        <v>50</v>
      </c>
      <c r="Q193" s="44" t="s">
        <v>26</v>
      </c>
      <c r="R193" s="205">
        <v>100</v>
      </c>
      <c r="S193" s="205">
        <v>120</v>
      </c>
      <c r="T193" s="217" t="s">
        <v>35</v>
      </c>
    </row>
    <row r="194" spans="1:20" ht="13.5" customHeight="1">
      <c r="A194" s="7" t="s">
        <v>31</v>
      </c>
      <c r="B194" s="204">
        <v>52.6</v>
      </c>
      <c r="C194" s="204">
        <v>84.6</v>
      </c>
      <c r="D194" s="204">
        <v>50</v>
      </c>
      <c r="E194" s="204">
        <v>66.7</v>
      </c>
      <c r="F194" s="204">
        <v>100</v>
      </c>
      <c r="G194" s="204">
        <v>66.7</v>
      </c>
      <c r="H194" s="204">
        <v>100</v>
      </c>
      <c r="I194" s="204">
        <v>71.400000000000006</v>
      </c>
      <c r="J194" s="204">
        <v>100</v>
      </c>
      <c r="K194" s="204">
        <v>100</v>
      </c>
      <c r="L194" s="204">
        <v>100</v>
      </c>
      <c r="M194" s="204">
        <v>100</v>
      </c>
      <c r="N194" s="204">
        <v>100</v>
      </c>
      <c r="O194" s="204">
        <v>100</v>
      </c>
      <c r="P194" s="204">
        <v>100</v>
      </c>
      <c r="Q194" s="44" t="s">
        <v>38</v>
      </c>
      <c r="R194" s="205">
        <v>115</v>
      </c>
      <c r="S194" s="205">
        <v>85</v>
      </c>
      <c r="T194" s="217" t="s">
        <v>28</v>
      </c>
    </row>
    <row r="195" spans="1:20" ht="13.5" customHeight="1">
      <c r="A195" s="7" t="s">
        <v>53</v>
      </c>
      <c r="B195" s="204">
        <v>63.6</v>
      </c>
      <c r="C195" s="204">
        <v>73.3</v>
      </c>
      <c r="D195" s="204">
        <v>80</v>
      </c>
      <c r="E195" s="204">
        <v>0</v>
      </c>
      <c r="F195" s="204">
        <v>0</v>
      </c>
      <c r="G195" s="204">
        <v>0</v>
      </c>
      <c r="H195" s="204">
        <v>0</v>
      </c>
      <c r="I195" s="204">
        <v>50</v>
      </c>
      <c r="J195" s="204">
        <v>66.7</v>
      </c>
      <c r="K195" s="204">
        <v>0</v>
      </c>
      <c r="L195" s="204">
        <v>0</v>
      </c>
      <c r="M195" s="204">
        <v>33.299999999999997</v>
      </c>
      <c r="N195" s="204">
        <v>33.299999999999997</v>
      </c>
      <c r="O195" s="204">
        <v>0</v>
      </c>
      <c r="P195" s="204">
        <v>0</v>
      </c>
      <c r="Q195" s="44" t="s">
        <v>23</v>
      </c>
      <c r="R195" s="205">
        <v>85</v>
      </c>
      <c r="S195" s="205">
        <v>95</v>
      </c>
      <c r="T195" s="217" t="s">
        <v>28</v>
      </c>
    </row>
    <row r="196" spans="1:20" ht="13.5" customHeight="1">
      <c r="A196" s="7" t="s">
        <v>33</v>
      </c>
      <c r="B196" s="204">
        <v>66.7</v>
      </c>
      <c r="C196" s="204">
        <v>100</v>
      </c>
      <c r="D196" s="204">
        <v>100</v>
      </c>
      <c r="E196" s="204">
        <v>80</v>
      </c>
      <c r="F196" s="204">
        <v>77.8</v>
      </c>
      <c r="G196" s="204">
        <v>77.8</v>
      </c>
      <c r="H196" s="204">
        <v>83.3</v>
      </c>
      <c r="I196" s="204">
        <v>62.5</v>
      </c>
      <c r="J196" s="204">
        <v>57.1</v>
      </c>
      <c r="K196" s="204">
        <v>100</v>
      </c>
      <c r="L196" s="204">
        <v>100</v>
      </c>
      <c r="M196" s="204">
        <v>100</v>
      </c>
      <c r="N196" s="204">
        <v>100</v>
      </c>
      <c r="O196" s="204">
        <v>85.7</v>
      </c>
      <c r="P196" s="204">
        <v>85.7</v>
      </c>
      <c r="Q196" s="44" t="s">
        <v>38</v>
      </c>
      <c r="R196" s="205">
        <v>95</v>
      </c>
      <c r="S196" s="205">
        <v>110</v>
      </c>
      <c r="T196" s="217" t="s">
        <v>35</v>
      </c>
    </row>
    <row r="197" spans="1:20" ht="13.5" customHeight="1">
      <c r="A197" s="7" t="s">
        <v>53</v>
      </c>
      <c r="B197" s="204">
        <v>50</v>
      </c>
      <c r="C197" s="204">
        <v>38.1</v>
      </c>
      <c r="D197" s="204">
        <v>0</v>
      </c>
      <c r="E197" s="204">
        <v>40</v>
      </c>
      <c r="F197" s="204">
        <v>25</v>
      </c>
      <c r="G197" s="204">
        <v>25</v>
      </c>
      <c r="H197" s="204">
        <v>0</v>
      </c>
      <c r="I197" s="204">
        <v>37.5</v>
      </c>
      <c r="J197" s="204">
        <v>50</v>
      </c>
      <c r="K197" s="204">
        <v>25</v>
      </c>
      <c r="L197" s="204">
        <v>0</v>
      </c>
      <c r="M197" s="204">
        <v>25</v>
      </c>
      <c r="N197" s="204">
        <v>0</v>
      </c>
      <c r="O197" s="204">
        <v>40</v>
      </c>
      <c r="P197" s="204">
        <v>25</v>
      </c>
      <c r="Q197" s="44" t="s">
        <v>23</v>
      </c>
      <c r="R197" s="205">
        <v>110</v>
      </c>
      <c r="S197" s="205">
        <v>105</v>
      </c>
      <c r="T197" s="217" t="s">
        <v>35</v>
      </c>
    </row>
    <row r="198" spans="1:20" ht="13.5" customHeight="1">
      <c r="A198" s="7" t="s">
        <v>31</v>
      </c>
      <c r="B198" s="204">
        <v>51.7</v>
      </c>
      <c r="C198" s="204">
        <v>36.9</v>
      </c>
      <c r="D198" s="204">
        <v>36.700000000000003</v>
      </c>
      <c r="E198" s="204">
        <v>50</v>
      </c>
      <c r="F198" s="204">
        <v>50</v>
      </c>
      <c r="G198" s="204">
        <v>50</v>
      </c>
      <c r="H198" s="204">
        <v>50</v>
      </c>
      <c r="I198" s="204">
        <v>80</v>
      </c>
      <c r="J198" s="204">
        <v>75</v>
      </c>
      <c r="K198" s="204">
        <v>50</v>
      </c>
      <c r="L198" s="204">
        <v>50</v>
      </c>
      <c r="M198" s="204">
        <v>50</v>
      </c>
      <c r="N198" s="204">
        <v>50</v>
      </c>
      <c r="O198" s="204">
        <v>33.299999999999997</v>
      </c>
      <c r="P198" s="204">
        <v>33.299999999999997</v>
      </c>
      <c r="Q198" s="44" t="s">
        <v>26</v>
      </c>
      <c r="R198" s="205">
        <v>105</v>
      </c>
      <c r="S198" s="205">
        <v>95</v>
      </c>
      <c r="T198" s="217" t="s">
        <v>27</v>
      </c>
    </row>
    <row r="199" spans="1:20" ht="13.5" customHeight="1">
      <c r="A199" s="7" t="s">
        <v>42</v>
      </c>
      <c r="B199" s="204">
        <v>67.7</v>
      </c>
      <c r="C199" s="204">
        <v>68</v>
      </c>
      <c r="D199" s="204">
        <v>60</v>
      </c>
      <c r="E199" s="204">
        <v>25</v>
      </c>
      <c r="F199" s="204">
        <v>33.299999999999997</v>
      </c>
      <c r="G199" s="204">
        <v>50</v>
      </c>
      <c r="H199" s="204">
        <v>50</v>
      </c>
      <c r="I199" s="204">
        <v>70.599999999999994</v>
      </c>
      <c r="J199" s="204">
        <v>54.5</v>
      </c>
      <c r="K199" s="204">
        <v>50</v>
      </c>
      <c r="L199" s="204">
        <v>50</v>
      </c>
      <c r="M199" s="204">
        <v>0</v>
      </c>
      <c r="N199" s="204">
        <v>0</v>
      </c>
      <c r="O199" s="204">
        <v>42.9</v>
      </c>
      <c r="P199" s="204">
        <v>33.299999999999997</v>
      </c>
      <c r="Q199" s="44" t="s">
        <v>26</v>
      </c>
      <c r="R199" s="205">
        <v>80</v>
      </c>
      <c r="S199" s="205">
        <v>115</v>
      </c>
      <c r="T199" s="217" t="s">
        <v>35</v>
      </c>
    </row>
    <row r="200" spans="1:20" ht="13.5" customHeight="1">
      <c r="A200" s="7" t="s">
        <v>33</v>
      </c>
      <c r="B200" s="204">
        <v>62.5</v>
      </c>
      <c r="C200" s="204">
        <v>59.6</v>
      </c>
      <c r="D200" s="204">
        <v>60</v>
      </c>
      <c r="E200" s="204">
        <v>80</v>
      </c>
      <c r="F200" s="204">
        <v>77.8</v>
      </c>
      <c r="G200" s="204">
        <v>77.8</v>
      </c>
      <c r="H200" s="204">
        <v>83.3</v>
      </c>
      <c r="I200" s="204">
        <v>75</v>
      </c>
      <c r="J200" s="204">
        <v>66.7</v>
      </c>
      <c r="K200" s="204">
        <v>66.7</v>
      </c>
      <c r="L200" s="204">
        <v>66.7</v>
      </c>
      <c r="M200" s="204">
        <v>33.299999999999997</v>
      </c>
      <c r="N200" s="204">
        <v>33.299999999999997</v>
      </c>
      <c r="O200" s="204">
        <v>100</v>
      </c>
      <c r="P200" s="204">
        <v>100</v>
      </c>
      <c r="Q200" s="44" t="s">
        <v>23</v>
      </c>
      <c r="R200" s="205">
        <v>95</v>
      </c>
      <c r="S200" s="205">
        <v>110</v>
      </c>
      <c r="T200" s="217" t="s">
        <v>35</v>
      </c>
    </row>
    <row r="201" spans="1:20" ht="13.5" customHeight="1">
      <c r="A201" s="7" t="s">
        <v>31</v>
      </c>
      <c r="B201" s="204">
        <v>45.7</v>
      </c>
      <c r="C201" s="204">
        <v>50.8</v>
      </c>
      <c r="D201" s="204">
        <v>25</v>
      </c>
      <c r="E201" s="204">
        <v>80</v>
      </c>
      <c r="F201" s="204">
        <v>80</v>
      </c>
      <c r="G201" s="204">
        <v>50</v>
      </c>
      <c r="H201" s="204">
        <v>40</v>
      </c>
      <c r="I201" s="204">
        <v>80</v>
      </c>
      <c r="J201" s="204">
        <v>75</v>
      </c>
      <c r="K201" s="204">
        <v>66.7</v>
      </c>
      <c r="L201" s="204">
        <v>50</v>
      </c>
      <c r="M201" s="204">
        <v>80</v>
      </c>
      <c r="N201" s="204">
        <v>100</v>
      </c>
      <c r="O201" s="204">
        <v>80</v>
      </c>
      <c r="P201" s="204">
        <v>100</v>
      </c>
      <c r="Q201" s="44" t="s">
        <v>26</v>
      </c>
      <c r="R201" s="205">
        <v>90</v>
      </c>
      <c r="S201" s="205">
        <v>95</v>
      </c>
      <c r="T201" s="217" t="s">
        <v>28</v>
      </c>
    </row>
    <row r="202" spans="1:20" ht="13.5" customHeight="1">
      <c r="A202" s="7" t="s">
        <v>41</v>
      </c>
      <c r="B202" s="204">
        <v>55.6</v>
      </c>
      <c r="C202" s="204">
        <v>49.4</v>
      </c>
      <c r="D202" s="204">
        <v>77.8</v>
      </c>
      <c r="E202" s="204">
        <v>100</v>
      </c>
      <c r="F202" s="204">
        <v>100</v>
      </c>
      <c r="G202" s="204">
        <v>100</v>
      </c>
      <c r="H202" s="204">
        <v>100</v>
      </c>
      <c r="I202" s="204">
        <v>100</v>
      </c>
      <c r="J202" s="204">
        <v>100</v>
      </c>
      <c r="K202" s="204">
        <v>100</v>
      </c>
      <c r="L202" s="204">
        <v>100</v>
      </c>
      <c r="M202" s="204">
        <v>100</v>
      </c>
      <c r="N202" s="204">
        <v>100</v>
      </c>
      <c r="O202" s="204">
        <v>80</v>
      </c>
      <c r="P202" s="204">
        <v>80</v>
      </c>
      <c r="Q202" s="44" t="s">
        <v>45</v>
      </c>
      <c r="R202" s="205">
        <v>100</v>
      </c>
      <c r="S202" s="205">
        <v>90</v>
      </c>
      <c r="T202" s="217" t="s">
        <v>24</v>
      </c>
    </row>
    <row r="203" spans="1:20" ht="13.5" customHeight="1">
      <c r="A203" s="7" t="s">
        <v>42</v>
      </c>
      <c r="B203" s="204">
        <v>50</v>
      </c>
      <c r="C203" s="204">
        <v>38.1</v>
      </c>
      <c r="D203" s="204">
        <v>0</v>
      </c>
      <c r="E203" s="204">
        <v>25</v>
      </c>
      <c r="F203" s="204">
        <v>33.299999999999997</v>
      </c>
      <c r="G203" s="204">
        <v>25</v>
      </c>
      <c r="H203" s="204">
        <v>33.299999999999997</v>
      </c>
      <c r="I203" s="204">
        <v>14.3</v>
      </c>
      <c r="J203" s="204">
        <v>0</v>
      </c>
      <c r="K203" s="204">
        <v>0</v>
      </c>
      <c r="L203" s="204">
        <v>0</v>
      </c>
      <c r="M203" s="204">
        <v>0</v>
      </c>
      <c r="N203" s="204">
        <v>0</v>
      </c>
      <c r="O203" s="204">
        <v>40</v>
      </c>
      <c r="P203" s="204">
        <v>25</v>
      </c>
      <c r="Q203" s="44" t="s">
        <v>45</v>
      </c>
      <c r="R203" s="205">
        <v>80</v>
      </c>
      <c r="S203" s="205">
        <v>65</v>
      </c>
      <c r="T203" s="217" t="s">
        <v>40</v>
      </c>
    </row>
    <row r="204" spans="1:20" ht="13.5" customHeight="1">
      <c r="A204" s="7" t="s">
        <v>36</v>
      </c>
      <c r="B204" s="204">
        <v>54.8</v>
      </c>
      <c r="C204" s="204">
        <v>57.9</v>
      </c>
      <c r="D204" s="204">
        <v>0</v>
      </c>
      <c r="E204" s="204">
        <v>62.5</v>
      </c>
      <c r="F204" s="204">
        <v>60</v>
      </c>
      <c r="G204" s="204">
        <v>50</v>
      </c>
      <c r="H204" s="204">
        <v>33.299999999999997</v>
      </c>
      <c r="I204" s="204">
        <v>62.5</v>
      </c>
      <c r="J204" s="204">
        <v>57.1</v>
      </c>
      <c r="K204" s="204">
        <v>50</v>
      </c>
      <c r="L204" s="204">
        <v>50</v>
      </c>
      <c r="M204" s="204">
        <v>60</v>
      </c>
      <c r="N204" s="204">
        <v>60</v>
      </c>
      <c r="O204" s="204">
        <v>50</v>
      </c>
      <c r="P204" s="204">
        <v>40</v>
      </c>
      <c r="Q204" s="44" t="s">
        <v>26</v>
      </c>
      <c r="R204" s="205">
        <v>105</v>
      </c>
      <c r="S204" s="205">
        <v>95</v>
      </c>
      <c r="T204" s="217" t="s">
        <v>27</v>
      </c>
    </row>
    <row r="205" spans="1:20" ht="27" customHeight="1">
      <c r="A205" s="7" t="s">
        <v>33</v>
      </c>
      <c r="B205" s="204">
        <v>61.5</v>
      </c>
      <c r="C205" s="204">
        <v>68</v>
      </c>
      <c r="D205" s="204">
        <v>57.1</v>
      </c>
      <c r="E205" s="204">
        <v>100</v>
      </c>
      <c r="F205" s="204">
        <v>100</v>
      </c>
      <c r="G205" s="204">
        <v>100</v>
      </c>
      <c r="H205" s="204">
        <v>100</v>
      </c>
      <c r="I205" s="204">
        <v>80</v>
      </c>
      <c r="J205" s="204">
        <v>75</v>
      </c>
      <c r="K205" s="204">
        <v>33.299999999999997</v>
      </c>
      <c r="L205" s="204">
        <v>33.299999999999997</v>
      </c>
      <c r="M205" s="204">
        <v>75</v>
      </c>
      <c r="N205" s="204">
        <v>66.7</v>
      </c>
      <c r="O205" s="204">
        <v>42.9</v>
      </c>
      <c r="P205" s="204">
        <v>33.299999999999997</v>
      </c>
      <c r="Q205" s="44" t="s">
        <v>26</v>
      </c>
      <c r="R205" s="205">
        <v>95</v>
      </c>
      <c r="S205" s="205">
        <v>65</v>
      </c>
      <c r="T205" s="217" t="s">
        <v>40</v>
      </c>
    </row>
    <row r="206" spans="1:20" ht="13.5" customHeight="1">
      <c r="A206" s="42" t="s">
        <v>68</v>
      </c>
      <c r="B206" s="204">
        <v>66.7</v>
      </c>
      <c r="C206" s="204">
        <v>57.9</v>
      </c>
      <c r="D206" s="204">
        <v>33.299999999999997</v>
      </c>
      <c r="E206" s="204">
        <v>75</v>
      </c>
      <c r="F206" s="204">
        <v>66.7</v>
      </c>
      <c r="G206" s="204">
        <v>77.8</v>
      </c>
      <c r="H206" s="204">
        <v>66.7</v>
      </c>
      <c r="I206" s="204">
        <v>80</v>
      </c>
      <c r="J206" s="204">
        <v>80</v>
      </c>
      <c r="K206" s="204">
        <v>80</v>
      </c>
      <c r="L206" s="204">
        <v>75</v>
      </c>
      <c r="M206" s="204">
        <v>60</v>
      </c>
      <c r="N206" s="204">
        <v>60</v>
      </c>
      <c r="O206" s="204">
        <v>50</v>
      </c>
      <c r="P206" s="204">
        <v>40</v>
      </c>
      <c r="Q206" s="44" t="s">
        <v>26</v>
      </c>
      <c r="R206" s="205">
        <v>105</v>
      </c>
      <c r="S206" s="205">
        <v>60</v>
      </c>
      <c r="T206" s="217" t="s">
        <v>40</v>
      </c>
    </row>
    <row r="207" spans="1:20" ht="13.5" customHeight="1">
      <c r="A207" s="7" t="s">
        <v>22</v>
      </c>
      <c r="B207" s="204">
        <v>50</v>
      </c>
      <c r="C207" s="204">
        <v>22.2</v>
      </c>
      <c r="D207" s="204">
        <v>28.6</v>
      </c>
      <c r="E207" s="204">
        <v>100</v>
      </c>
      <c r="F207" s="204">
        <v>100</v>
      </c>
      <c r="G207" s="204">
        <v>100</v>
      </c>
      <c r="H207" s="204">
        <v>100</v>
      </c>
      <c r="I207" s="204">
        <v>80</v>
      </c>
      <c r="J207" s="204">
        <v>75</v>
      </c>
      <c r="K207" s="204">
        <v>100</v>
      </c>
      <c r="L207" s="204">
        <v>100</v>
      </c>
      <c r="M207" s="204">
        <v>100</v>
      </c>
      <c r="N207" s="204">
        <v>100</v>
      </c>
      <c r="O207" s="204">
        <v>50</v>
      </c>
      <c r="P207" s="204">
        <v>50</v>
      </c>
      <c r="Q207" s="44" t="s">
        <v>30</v>
      </c>
      <c r="R207" s="205">
        <v>75</v>
      </c>
      <c r="S207" s="208">
        <v>122</v>
      </c>
      <c r="T207" s="217" t="s">
        <v>35</v>
      </c>
    </row>
    <row r="208" spans="1:20" ht="13.5" customHeight="1">
      <c r="A208" s="7" t="s">
        <v>42</v>
      </c>
      <c r="B208" s="204">
        <v>33.299999999999997</v>
      </c>
      <c r="C208" s="204">
        <v>49.4</v>
      </c>
      <c r="D208" s="204">
        <v>0</v>
      </c>
      <c r="E208" s="204">
        <v>33.299999999999997</v>
      </c>
      <c r="F208" s="204">
        <v>33.299999999999997</v>
      </c>
      <c r="G208" s="204">
        <v>44.4</v>
      </c>
      <c r="H208" s="204">
        <v>50</v>
      </c>
      <c r="I208" s="204">
        <v>14.3</v>
      </c>
      <c r="J208" s="204">
        <v>0</v>
      </c>
      <c r="K208" s="204">
        <v>50</v>
      </c>
      <c r="L208" s="204">
        <v>33.299999999999997</v>
      </c>
      <c r="M208" s="204">
        <v>40</v>
      </c>
      <c r="N208" s="204">
        <v>25</v>
      </c>
      <c r="O208" s="204">
        <v>40</v>
      </c>
      <c r="P208" s="204">
        <v>0</v>
      </c>
      <c r="Q208" s="44" t="s">
        <v>26</v>
      </c>
      <c r="R208" s="205">
        <v>80</v>
      </c>
      <c r="S208" s="205">
        <v>85</v>
      </c>
      <c r="T208" s="217" t="s">
        <v>28</v>
      </c>
    </row>
    <row r="209" spans="1:20" ht="13.5" customHeight="1">
      <c r="A209" s="7" t="s">
        <v>47</v>
      </c>
      <c r="B209" s="204">
        <v>50</v>
      </c>
      <c r="C209" s="204">
        <v>38.799999999999997</v>
      </c>
      <c r="D209" s="204">
        <v>30.8</v>
      </c>
      <c r="E209" s="204">
        <v>0</v>
      </c>
      <c r="F209" s="204">
        <v>0</v>
      </c>
      <c r="G209" s="204">
        <v>0</v>
      </c>
      <c r="H209" s="204">
        <v>0</v>
      </c>
      <c r="I209" s="204">
        <v>0</v>
      </c>
      <c r="J209" s="204">
        <v>0</v>
      </c>
      <c r="K209" s="204">
        <v>0</v>
      </c>
      <c r="L209" s="204">
        <v>0</v>
      </c>
      <c r="M209" s="204">
        <v>0</v>
      </c>
      <c r="N209" s="204">
        <v>0</v>
      </c>
      <c r="O209" s="204">
        <v>0</v>
      </c>
      <c r="P209" s="204">
        <v>0</v>
      </c>
      <c r="Q209" s="44" t="s">
        <v>26</v>
      </c>
      <c r="R209" s="205">
        <v>95</v>
      </c>
      <c r="S209" s="205">
        <v>95</v>
      </c>
      <c r="T209" s="217" t="s">
        <v>28</v>
      </c>
    </row>
    <row r="210" spans="1:20" ht="13.5" customHeight="1">
      <c r="A210" s="7" t="s">
        <v>42</v>
      </c>
      <c r="B210" s="204">
        <v>29.3</v>
      </c>
      <c r="C210" s="204">
        <v>22.2</v>
      </c>
      <c r="D210" s="204">
        <v>28.6</v>
      </c>
      <c r="E210" s="204">
        <v>0</v>
      </c>
      <c r="F210" s="204">
        <v>0</v>
      </c>
      <c r="G210" s="204">
        <v>0</v>
      </c>
      <c r="H210" s="204">
        <v>0</v>
      </c>
      <c r="I210" s="204">
        <v>25</v>
      </c>
      <c r="J210" s="204">
        <v>0</v>
      </c>
      <c r="K210" s="204">
        <v>50</v>
      </c>
      <c r="L210" s="204">
        <v>0</v>
      </c>
      <c r="M210" s="204">
        <v>50</v>
      </c>
      <c r="N210" s="204">
        <v>0</v>
      </c>
      <c r="O210" s="204">
        <v>40</v>
      </c>
      <c r="P210" s="204">
        <v>50</v>
      </c>
      <c r="Q210" s="44" t="s">
        <v>45</v>
      </c>
      <c r="R210" s="205">
        <v>95</v>
      </c>
      <c r="S210" s="205">
        <v>105</v>
      </c>
      <c r="T210" s="217" t="s">
        <v>32</v>
      </c>
    </row>
    <row r="211" spans="1:20" ht="13.5" customHeight="1">
      <c r="A211" s="7" t="s">
        <v>37</v>
      </c>
      <c r="B211" s="204">
        <v>51.7</v>
      </c>
      <c r="C211" s="204">
        <v>55.6</v>
      </c>
      <c r="D211" s="204">
        <v>75</v>
      </c>
      <c r="E211" s="204">
        <v>100</v>
      </c>
      <c r="F211" s="204">
        <v>100</v>
      </c>
      <c r="G211" s="204">
        <v>100</v>
      </c>
      <c r="H211" s="204">
        <v>100</v>
      </c>
      <c r="I211" s="204">
        <v>55.6</v>
      </c>
      <c r="J211" s="204">
        <v>100</v>
      </c>
      <c r="K211" s="204">
        <v>100</v>
      </c>
      <c r="L211" s="204">
        <v>100</v>
      </c>
      <c r="M211" s="204">
        <v>100</v>
      </c>
      <c r="N211" s="204">
        <v>100</v>
      </c>
      <c r="O211" s="204">
        <v>40</v>
      </c>
      <c r="P211" s="204">
        <v>50</v>
      </c>
      <c r="Q211" s="44" t="s">
        <v>23</v>
      </c>
      <c r="R211" s="205">
        <v>125</v>
      </c>
      <c r="S211" s="205">
        <v>78</v>
      </c>
      <c r="T211" s="217" t="s">
        <v>39</v>
      </c>
    </row>
    <row r="212" spans="1:20" ht="13.5" customHeight="1">
      <c r="A212" s="7" t="s">
        <v>33</v>
      </c>
      <c r="B212" s="204">
        <v>45.7</v>
      </c>
      <c r="C212" s="204">
        <v>55.6</v>
      </c>
      <c r="D212" s="204">
        <v>55.6</v>
      </c>
      <c r="E212" s="204">
        <v>66.7</v>
      </c>
      <c r="F212" s="204">
        <v>50</v>
      </c>
      <c r="G212" s="204">
        <v>80</v>
      </c>
      <c r="H212" s="204">
        <v>66.7</v>
      </c>
      <c r="I212" s="204">
        <v>70.599999999999994</v>
      </c>
      <c r="J212" s="204">
        <v>54.5</v>
      </c>
      <c r="K212" s="204">
        <v>80</v>
      </c>
      <c r="L212" s="204">
        <v>75</v>
      </c>
      <c r="M212" s="204">
        <v>80</v>
      </c>
      <c r="N212" s="204">
        <v>75</v>
      </c>
      <c r="O212" s="204">
        <v>71.400000000000006</v>
      </c>
      <c r="P212" s="204">
        <v>83.3</v>
      </c>
      <c r="Q212" s="44" t="s">
        <v>23</v>
      </c>
      <c r="R212" s="205">
        <v>120</v>
      </c>
      <c r="S212" s="205">
        <v>75</v>
      </c>
      <c r="T212" s="217" t="s">
        <v>46</v>
      </c>
    </row>
    <row r="213" spans="1:20" ht="13.5" customHeight="1">
      <c r="A213" s="7" t="s">
        <v>31</v>
      </c>
      <c r="B213" s="204">
        <v>28.2</v>
      </c>
      <c r="C213" s="204">
        <v>38.1</v>
      </c>
      <c r="D213" s="204">
        <v>33.299999999999997</v>
      </c>
      <c r="E213" s="204">
        <v>66.7</v>
      </c>
      <c r="F213" s="204">
        <v>100</v>
      </c>
      <c r="G213" s="204">
        <v>66.7</v>
      </c>
      <c r="H213" s="204">
        <v>100</v>
      </c>
      <c r="I213" s="204">
        <v>55.6</v>
      </c>
      <c r="J213" s="204">
        <v>100</v>
      </c>
      <c r="K213" s="204">
        <v>100</v>
      </c>
      <c r="L213" s="204">
        <v>100</v>
      </c>
      <c r="M213" s="204">
        <v>100</v>
      </c>
      <c r="N213" s="204">
        <v>100</v>
      </c>
      <c r="O213" s="204">
        <v>50</v>
      </c>
      <c r="P213" s="204">
        <v>50</v>
      </c>
      <c r="Q213" s="44" t="s">
        <v>26</v>
      </c>
      <c r="R213" s="205">
        <v>100</v>
      </c>
      <c r="S213" s="205">
        <v>100</v>
      </c>
      <c r="T213" s="217" t="s">
        <v>32</v>
      </c>
    </row>
    <row r="214" spans="1:20" ht="13.5" customHeight="1">
      <c r="A214" s="7" t="s">
        <v>62</v>
      </c>
      <c r="B214" s="204">
        <v>54.8</v>
      </c>
      <c r="C214" s="204">
        <v>54.7</v>
      </c>
      <c r="D214" s="204">
        <v>40</v>
      </c>
      <c r="E214" s="204">
        <v>25</v>
      </c>
      <c r="F214" s="204">
        <v>33.299999999999997</v>
      </c>
      <c r="G214" s="204">
        <v>40</v>
      </c>
      <c r="H214" s="204">
        <v>50</v>
      </c>
      <c r="I214" s="204">
        <v>0</v>
      </c>
      <c r="J214" s="204">
        <v>0</v>
      </c>
      <c r="K214" s="204">
        <v>0</v>
      </c>
      <c r="L214" s="204">
        <v>0</v>
      </c>
      <c r="M214" s="204">
        <v>0</v>
      </c>
      <c r="N214" s="204">
        <v>0</v>
      </c>
      <c r="O214" s="204">
        <v>50</v>
      </c>
      <c r="P214" s="204">
        <v>0</v>
      </c>
      <c r="Q214" s="44" t="s">
        <v>26</v>
      </c>
      <c r="R214" s="205">
        <v>95</v>
      </c>
      <c r="S214" s="205">
        <v>85</v>
      </c>
      <c r="T214" s="217" t="s">
        <v>35</v>
      </c>
    </row>
    <row r="215" spans="1:20" ht="13.5" customHeight="1">
      <c r="A215" s="7" t="s">
        <v>31</v>
      </c>
      <c r="B215" s="204">
        <v>68.400000000000006</v>
      </c>
      <c r="C215" s="204">
        <v>59.6</v>
      </c>
      <c r="D215" s="204">
        <v>58.8</v>
      </c>
      <c r="E215" s="204">
        <v>100</v>
      </c>
      <c r="F215" s="204">
        <v>100</v>
      </c>
      <c r="G215" s="204">
        <v>100</v>
      </c>
      <c r="H215" s="204">
        <v>100</v>
      </c>
      <c r="I215" s="204">
        <v>100</v>
      </c>
      <c r="J215" s="204">
        <v>100</v>
      </c>
      <c r="K215" s="204">
        <v>100</v>
      </c>
      <c r="L215" s="204">
        <v>100</v>
      </c>
      <c r="M215" s="204">
        <v>100</v>
      </c>
      <c r="N215" s="204">
        <v>100</v>
      </c>
      <c r="O215" s="204">
        <v>100</v>
      </c>
      <c r="P215" s="204">
        <v>100</v>
      </c>
      <c r="Q215" s="44" t="s">
        <v>26</v>
      </c>
      <c r="R215" s="205">
        <v>85</v>
      </c>
      <c r="S215" s="205">
        <v>105</v>
      </c>
      <c r="T215" s="217" t="s">
        <v>35</v>
      </c>
    </row>
    <row r="216" spans="1:20" ht="13.5" customHeight="1">
      <c r="A216" s="7" t="s">
        <v>42</v>
      </c>
      <c r="B216" s="204">
        <v>66.7</v>
      </c>
      <c r="C216" s="204">
        <v>46.5</v>
      </c>
      <c r="D216" s="204">
        <v>57.1</v>
      </c>
      <c r="E216" s="204">
        <v>33.299999999999997</v>
      </c>
      <c r="F216" s="204">
        <v>0</v>
      </c>
      <c r="G216" s="204">
        <v>33.299999999999997</v>
      </c>
      <c r="H216" s="204">
        <v>0</v>
      </c>
      <c r="I216" s="204">
        <v>62.5</v>
      </c>
      <c r="J216" s="204">
        <v>57.1</v>
      </c>
      <c r="K216" s="204">
        <v>50</v>
      </c>
      <c r="L216" s="204">
        <v>50</v>
      </c>
      <c r="M216" s="204">
        <v>50</v>
      </c>
      <c r="N216" s="204">
        <v>50</v>
      </c>
      <c r="O216" s="204">
        <v>0</v>
      </c>
      <c r="P216" s="204">
        <v>0</v>
      </c>
      <c r="Q216" s="44" t="s">
        <v>26</v>
      </c>
      <c r="R216" s="205">
        <v>85</v>
      </c>
      <c r="S216" s="205">
        <v>90</v>
      </c>
      <c r="T216" s="217" t="s">
        <v>27</v>
      </c>
    </row>
    <row r="217" spans="1:20" ht="13.5" customHeight="1">
      <c r="A217" s="42" t="s">
        <v>69</v>
      </c>
      <c r="B217" s="204">
        <v>100</v>
      </c>
      <c r="C217" s="204">
        <v>100</v>
      </c>
      <c r="D217" s="204">
        <v>100</v>
      </c>
      <c r="E217" s="204">
        <v>100</v>
      </c>
      <c r="F217" s="204">
        <v>100</v>
      </c>
      <c r="G217" s="204">
        <v>100</v>
      </c>
      <c r="H217" s="204">
        <v>100</v>
      </c>
      <c r="I217" s="204">
        <v>100</v>
      </c>
      <c r="J217" s="204">
        <v>100</v>
      </c>
      <c r="K217" s="204">
        <v>100</v>
      </c>
      <c r="L217" s="204">
        <v>100</v>
      </c>
      <c r="M217" s="204">
        <v>100</v>
      </c>
      <c r="N217" s="204">
        <v>100</v>
      </c>
      <c r="O217" s="204">
        <v>100</v>
      </c>
      <c r="P217" s="204">
        <v>100</v>
      </c>
      <c r="Q217" s="44" t="s">
        <v>23</v>
      </c>
      <c r="R217" s="205">
        <v>60</v>
      </c>
      <c r="S217" s="205">
        <v>72</v>
      </c>
      <c r="T217" s="217" t="s">
        <v>40</v>
      </c>
    </row>
    <row r="218" spans="1:20" ht="13.5" customHeight="1">
      <c r="A218" s="7" t="s">
        <v>25</v>
      </c>
      <c r="B218" s="204">
        <v>51.7</v>
      </c>
      <c r="C218" s="204">
        <v>49</v>
      </c>
      <c r="D218" s="204">
        <v>40</v>
      </c>
      <c r="E218" s="204">
        <v>0</v>
      </c>
      <c r="F218" s="204">
        <v>0</v>
      </c>
      <c r="G218" s="204">
        <v>0</v>
      </c>
      <c r="H218" s="204">
        <v>0</v>
      </c>
      <c r="I218" s="204">
        <v>0</v>
      </c>
      <c r="J218" s="204">
        <v>0</v>
      </c>
      <c r="K218" s="204">
        <v>25</v>
      </c>
      <c r="L218" s="204">
        <v>0</v>
      </c>
      <c r="M218" s="204">
        <v>33.299999999999997</v>
      </c>
      <c r="N218" s="204">
        <v>0</v>
      </c>
      <c r="O218" s="204">
        <v>28.6</v>
      </c>
      <c r="P218" s="204">
        <v>16.7</v>
      </c>
      <c r="Q218" s="44" t="s">
        <v>23</v>
      </c>
      <c r="R218" s="205">
        <v>120</v>
      </c>
      <c r="S218" s="205">
        <v>95</v>
      </c>
      <c r="T218" s="217" t="s">
        <v>27</v>
      </c>
    </row>
    <row r="219" spans="1:20" ht="13.5" customHeight="1">
      <c r="A219" s="7" t="s">
        <v>37</v>
      </c>
      <c r="B219" s="204">
        <v>76.900000000000006</v>
      </c>
      <c r="C219" s="204">
        <v>71.400000000000006</v>
      </c>
      <c r="D219" s="204">
        <v>100</v>
      </c>
      <c r="E219" s="204">
        <v>100</v>
      </c>
      <c r="F219" s="204">
        <v>100</v>
      </c>
      <c r="G219" s="204">
        <v>100</v>
      </c>
      <c r="H219" s="204">
        <v>100</v>
      </c>
      <c r="I219" s="204">
        <v>100</v>
      </c>
      <c r="J219" s="204">
        <v>100</v>
      </c>
      <c r="K219" s="204">
        <v>66.7</v>
      </c>
      <c r="L219" s="204">
        <v>100</v>
      </c>
      <c r="M219" s="204">
        <v>50</v>
      </c>
      <c r="N219" s="204">
        <v>100</v>
      </c>
      <c r="O219" s="204">
        <v>100</v>
      </c>
      <c r="P219" s="204">
        <v>100</v>
      </c>
      <c r="Q219" s="44" t="s">
        <v>23</v>
      </c>
      <c r="R219" s="205">
        <v>100</v>
      </c>
      <c r="S219" s="205">
        <v>78</v>
      </c>
      <c r="T219" s="217" t="s">
        <v>39</v>
      </c>
    </row>
    <row r="220" spans="1:20" ht="13.5" customHeight="1">
      <c r="A220" s="7" t="s">
        <v>53</v>
      </c>
      <c r="B220" s="204">
        <v>60</v>
      </c>
      <c r="C220" s="204">
        <v>59.6</v>
      </c>
      <c r="D220" s="204">
        <v>62.5</v>
      </c>
      <c r="E220" s="204">
        <v>62.5</v>
      </c>
      <c r="F220" s="204">
        <v>60</v>
      </c>
      <c r="G220" s="204">
        <v>40</v>
      </c>
      <c r="H220" s="204">
        <v>33.299999999999997</v>
      </c>
      <c r="I220" s="204">
        <v>62.5</v>
      </c>
      <c r="J220" s="204">
        <v>57.1</v>
      </c>
      <c r="K220" s="204">
        <v>50</v>
      </c>
      <c r="L220" s="204">
        <v>50</v>
      </c>
      <c r="M220" s="204">
        <v>0</v>
      </c>
      <c r="N220" s="204">
        <v>0</v>
      </c>
      <c r="O220" s="204">
        <v>85.7</v>
      </c>
      <c r="P220" s="204">
        <v>85.7</v>
      </c>
      <c r="Q220" s="44" t="s">
        <v>23</v>
      </c>
      <c r="R220" s="205">
        <v>105</v>
      </c>
      <c r="S220" s="205">
        <v>68</v>
      </c>
      <c r="T220" s="217" t="s">
        <v>40</v>
      </c>
    </row>
    <row r="221" spans="1:20" ht="13.5" customHeight="1">
      <c r="A221" s="7" t="s">
        <v>31</v>
      </c>
      <c r="B221" s="204">
        <v>42.9</v>
      </c>
      <c r="C221" s="204">
        <v>36.9</v>
      </c>
      <c r="D221" s="204">
        <v>16.7</v>
      </c>
      <c r="E221" s="204">
        <v>50</v>
      </c>
      <c r="F221" s="204">
        <v>50</v>
      </c>
      <c r="G221" s="204">
        <v>100</v>
      </c>
      <c r="H221" s="204">
        <v>100</v>
      </c>
      <c r="I221" s="204">
        <v>100</v>
      </c>
      <c r="J221" s="204">
        <v>100</v>
      </c>
      <c r="K221" s="204">
        <v>50</v>
      </c>
      <c r="L221" s="204">
        <v>100</v>
      </c>
      <c r="M221" s="204">
        <v>66.7</v>
      </c>
      <c r="N221" s="204">
        <v>100</v>
      </c>
      <c r="O221" s="204">
        <v>60</v>
      </c>
      <c r="P221" s="204">
        <v>100</v>
      </c>
      <c r="Q221" s="44" t="s">
        <v>45</v>
      </c>
      <c r="R221" s="205">
        <v>85</v>
      </c>
      <c r="S221" s="205">
        <v>75</v>
      </c>
      <c r="T221" s="217" t="s">
        <v>51</v>
      </c>
    </row>
    <row r="222" spans="1:20" ht="13.5" customHeight="1">
      <c r="A222" s="7" t="s">
        <v>41</v>
      </c>
      <c r="B222" s="204">
        <v>50</v>
      </c>
      <c r="C222" s="204">
        <v>38.799999999999997</v>
      </c>
      <c r="D222" s="204">
        <v>30.8</v>
      </c>
      <c r="E222" s="204">
        <v>50</v>
      </c>
      <c r="F222" s="204">
        <v>100</v>
      </c>
      <c r="G222" s="204">
        <v>100</v>
      </c>
      <c r="H222" s="204">
        <v>100</v>
      </c>
      <c r="I222" s="204">
        <v>50</v>
      </c>
      <c r="J222" s="204">
        <v>100</v>
      </c>
      <c r="K222" s="204">
        <v>50</v>
      </c>
      <c r="L222" s="204">
        <v>100</v>
      </c>
      <c r="M222" s="204">
        <v>50</v>
      </c>
      <c r="N222" s="204">
        <v>100</v>
      </c>
      <c r="O222" s="204">
        <v>33.299999999999997</v>
      </c>
      <c r="P222" s="204">
        <v>50</v>
      </c>
      <c r="Q222" s="44" t="s">
        <v>26</v>
      </c>
      <c r="R222" s="205">
        <v>100</v>
      </c>
      <c r="S222" s="205">
        <v>110</v>
      </c>
      <c r="T222" s="217" t="s">
        <v>35</v>
      </c>
    </row>
    <row r="223" spans="1:20" ht="13.5" customHeight="1">
      <c r="A223" s="7" t="s">
        <v>53</v>
      </c>
      <c r="B223" s="204">
        <v>60</v>
      </c>
      <c r="C223" s="204">
        <v>55.6</v>
      </c>
      <c r="D223" s="204">
        <v>55.6</v>
      </c>
      <c r="E223" s="204">
        <v>42.9</v>
      </c>
      <c r="F223" s="204">
        <v>0</v>
      </c>
      <c r="G223" s="204">
        <v>42.9</v>
      </c>
      <c r="H223" s="204">
        <v>0</v>
      </c>
      <c r="I223" s="204">
        <v>66.7</v>
      </c>
      <c r="J223" s="204">
        <v>66.7</v>
      </c>
      <c r="K223" s="204">
        <v>0</v>
      </c>
      <c r="L223" s="204">
        <v>0</v>
      </c>
      <c r="M223" s="204">
        <v>0</v>
      </c>
      <c r="N223" s="204">
        <v>0</v>
      </c>
      <c r="O223" s="204">
        <v>0</v>
      </c>
      <c r="P223" s="204">
        <v>0</v>
      </c>
      <c r="Q223" s="44" t="s">
        <v>23</v>
      </c>
      <c r="R223" s="205">
        <v>110</v>
      </c>
      <c r="S223" s="205">
        <v>70</v>
      </c>
      <c r="T223" s="217" t="s">
        <v>40</v>
      </c>
    </row>
    <row r="224" spans="1:20" ht="13.5" customHeight="1">
      <c r="A224" s="7" t="s">
        <v>22</v>
      </c>
      <c r="B224" s="204">
        <v>84.2</v>
      </c>
      <c r="C224" s="204">
        <v>60.6</v>
      </c>
      <c r="D224" s="204">
        <v>50</v>
      </c>
      <c r="E224" s="204">
        <v>40</v>
      </c>
      <c r="F224" s="204">
        <v>100</v>
      </c>
      <c r="G224" s="204">
        <v>50</v>
      </c>
      <c r="H224" s="204">
        <v>100</v>
      </c>
      <c r="I224" s="204">
        <v>50</v>
      </c>
      <c r="J224" s="204">
        <v>50</v>
      </c>
      <c r="K224" s="204">
        <v>50</v>
      </c>
      <c r="L224" s="204">
        <v>100</v>
      </c>
      <c r="M224" s="204">
        <v>66.7</v>
      </c>
      <c r="N224" s="204">
        <v>100</v>
      </c>
      <c r="O224" s="204">
        <v>100</v>
      </c>
      <c r="P224" s="204">
        <v>100</v>
      </c>
      <c r="Q224" s="44" t="s">
        <v>23</v>
      </c>
      <c r="R224" s="205">
        <v>105</v>
      </c>
      <c r="S224" s="205">
        <v>80</v>
      </c>
      <c r="T224" s="217" t="s">
        <v>46</v>
      </c>
    </row>
    <row r="225" spans="1:20" ht="13.5" customHeight="1">
      <c r="A225" s="7" t="s">
        <v>36</v>
      </c>
      <c r="B225" s="204">
        <v>50</v>
      </c>
      <c r="C225" s="204">
        <v>57.9</v>
      </c>
      <c r="D225" s="204">
        <v>75</v>
      </c>
      <c r="E225" s="204">
        <v>85.7</v>
      </c>
      <c r="F225" s="204">
        <v>0</v>
      </c>
      <c r="G225" s="204">
        <v>75</v>
      </c>
      <c r="H225" s="204">
        <v>0</v>
      </c>
      <c r="I225" s="204">
        <v>50</v>
      </c>
      <c r="J225" s="204">
        <v>50</v>
      </c>
      <c r="K225" s="204">
        <v>0</v>
      </c>
      <c r="L225" s="204">
        <v>0</v>
      </c>
      <c r="M225" s="204">
        <v>0</v>
      </c>
      <c r="N225" s="204">
        <v>0</v>
      </c>
      <c r="O225" s="204">
        <v>0</v>
      </c>
      <c r="P225" s="204">
        <v>0</v>
      </c>
      <c r="Q225" s="44" t="s">
        <v>26</v>
      </c>
      <c r="R225" s="205">
        <v>70</v>
      </c>
      <c r="S225" s="205">
        <v>105</v>
      </c>
      <c r="T225" s="217" t="s">
        <v>48</v>
      </c>
    </row>
    <row r="226" spans="1:20" ht="13.5" customHeight="1">
      <c r="A226" s="7" t="s">
        <v>44</v>
      </c>
      <c r="B226" s="204">
        <v>59.1</v>
      </c>
      <c r="C226" s="204">
        <v>74.400000000000006</v>
      </c>
      <c r="D226" s="204">
        <v>75</v>
      </c>
      <c r="E226" s="204">
        <v>100</v>
      </c>
      <c r="F226" s="204">
        <v>100</v>
      </c>
      <c r="G226" s="204">
        <v>100</v>
      </c>
      <c r="H226" s="204">
        <v>100</v>
      </c>
      <c r="I226" s="204">
        <v>100</v>
      </c>
      <c r="J226" s="204">
        <v>100</v>
      </c>
      <c r="K226" s="204">
        <v>66.7</v>
      </c>
      <c r="L226" s="204">
        <v>100</v>
      </c>
      <c r="M226" s="204">
        <v>66.7</v>
      </c>
      <c r="N226" s="204">
        <v>100</v>
      </c>
      <c r="O226" s="204">
        <v>68.8</v>
      </c>
      <c r="P226" s="204">
        <v>100</v>
      </c>
      <c r="Q226" s="44" t="s">
        <v>23</v>
      </c>
      <c r="R226" s="205">
        <v>80</v>
      </c>
      <c r="S226" s="205">
        <v>85</v>
      </c>
      <c r="T226" s="217" t="s">
        <v>28</v>
      </c>
    </row>
    <row r="227" spans="1:20" ht="13.5" customHeight="1">
      <c r="A227" s="7" t="s">
        <v>33</v>
      </c>
      <c r="B227" s="204">
        <v>42.9</v>
      </c>
      <c r="C227" s="204">
        <v>39.1</v>
      </c>
      <c r="D227" s="204">
        <v>75</v>
      </c>
      <c r="E227" s="204">
        <v>100</v>
      </c>
      <c r="F227" s="204">
        <v>100</v>
      </c>
      <c r="G227" s="204">
        <v>100</v>
      </c>
      <c r="H227" s="204">
        <v>100</v>
      </c>
      <c r="I227" s="204">
        <v>62.5</v>
      </c>
      <c r="J227" s="204">
        <v>100</v>
      </c>
      <c r="K227" s="204">
        <v>100</v>
      </c>
      <c r="L227" s="204">
        <v>100</v>
      </c>
      <c r="M227" s="204">
        <v>100</v>
      </c>
      <c r="N227" s="204">
        <v>100</v>
      </c>
      <c r="O227" s="204">
        <v>100</v>
      </c>
      <c r="P227" s="204">
        <v>100</v>
      </c>
      <c r="Q227" s="44" t="s">
        <v>45</v>
      </c>
      <c r="R227" s="205">
        <v>75</v>
      </c>
      <c r="S227" s="205">
        <v>95</v>
      </c>
      <c r="T227" s="217" t="s">
        <v>27</v>
      </c>
    </row>
    <row r="228" spans="1:20" ht="13.5" customHeight="1">
      <c r="A228" s="7" t="s">
        <v>33</v>
      </c>
      <c r="B228" s="204">
        <v>66.7</v>
      </c>
      <c r="C228" s="204">
        <v>49</v>
      </c>
      <c r="D228" s="204">
        <v>75</v>
      </c>
      <c r="E228" s="204">
        <v>66.7</v>
      </c>
      <c r="F228" s="204">
        <v>66.7</v>
      </c>
      <c r="G228" s="204">
        <v>66.7</v>
      </c>
      <c r="H228" s="204">
        <v>60</v>
      </c>
      <c r="I228" s="204">
        <v>80</v>
      </c>
      <c r="J228" s="204">
        <v>80</v>
      </c>
      <c r="K228" s="204">
        <v>40</v>
      </c>
      <c r="L228" s="204">
        <v>33.299999999999997</v>
      </c>
      <c r="M228" s="204">
        <v>40</v>
      </c>
      <c r="N228" s="204">
        <v>33.299999999999997</v>
      </c>
      <c r="O228" s="204">
        <v>100</v>
      </c>
      <c r="P228" s="204">
        <v>100</v>
      </c>
      <c r="Q228" s="44" t="s">
        <v>26</v>
      </c>
      <c r="R228" s="205">
        <v>85</v>
      </c>
      <c r="S228" s="205">
        <v>85</v>
      </c>
      <c r="T228" s="217" t="s">
        <v>28</v>
      </c>
    </row>
    <row r="229" spans="1:20" ht="13.5" customHeight="1">
      <c r="A229" s="7" t="s">
        <v>33</v>
      </c>
      <c r="B229" s="204">
        <v>59.1</v>
      </c>
      <c r="C229" s="204">
        <v>87.5</v>
      </c>
      <c r="D229" s="204">
        <v>100</v>
      </c>
      <c r="E229" s="204">
        <v>100</v>
      </c>
      <c r="F229" s="204">
        <v>100</v>
      </c>
      <c r="G229" s="204">
        <v>100</v>
      </c>
      <c r="H229" s="204">
        <v>100</v>
      </c>
      <c r="I229" s="204">
        <v>100</v>
      </c>
      <c r="J229" s="204">
        <v>100</v>
      </c>
      <c r="K229" s="204">
        <v>80</v>
      </c>
      <c r="L229" s="204">
        <v>80</v>
      </c>
      <c r="M229" s="204">
        <v>80</v>
      </c>
      <c r="N229" s="204">
        <v>80</v>
      </c>
      <c r="O229" s="204">
        <v>80</v>
      </c>
      <c r="P229" s="204">
        <v>80</v>
      </c>
      <c r="Q229" s="44" t="s">
        <v>23</v>
      </c>
      <c r="R229" s="205">
        <v>65</v>
      </c>
      <c r="S229" s="205">
        <v>85</v>
      </c>
      <c r="T229" s="217" t="s">
        <v>28</v>
      </c>
    </row>
    <row r="230" spans="1:20" ht="13.5" customHeight="1">
      <c r="A230" s="7" t="s">
        <v>57</v>
      </c>
      <c r="B230" s="204">
        <v>100</v>
      </c>
      <c r="C230" s="204">
        <v>87.5</v>
      </c>
      <c r="D230" s="204">
        <v>100</v>
      </c>
      <c r="E230" s="204">
        <v>85.7</v>
      </c>
      <c r="F230" s="204">
        <v>100</v>
      </c>
      <c r="G230" s="204">
        <v>87.5</v>
      </c>
      <c r="H230" s="204">
        <v>100</v>
      </c>
      <c r="I230" s="204">
        <v>71.400000000000006</v>
      </c>
      <c r="J230" s="204">
        <v>100</v>
      </c>
      <c r="K230" s="204">
        <v>100</v>
      </c>
      <c r="L230" s="204">
        <v>100</v>
      </c>
      <c r="M230" s="204">
        <v>100</v>
      </c>
      <c r="N230" s="204">
        <v>100</v>
      </c>
      <c r="O230" s="204">
        <v>100</v>
      </c>
      <c r="P230" s="204">
        <v>100</v>
      </c>
      <c r="Q230" s="44" t="s">
        <v>23</v>
      </c>
      <c r="R230" s="205">
        <v>65</v>
      </c>
      <c r="S230" s="205">
        <v>95</v>
      </c>
      <c r="T230" s="217" t="s">
        <v>27</v>
      </c>
    </row>
    <row r="231" spans="1:20" ht="13.5" customHeight="1">
      <c r="A231" s="7" t="s">
        <v>54</v>
      </c>
      <c r="B231" s="204">
        <v>55.6</v>
      </c>
      <c r="C231" s="204">
        <v>76.2</v>
      </c>
      <c r="D231" s="204">
        <v>100</v>
      </c>
      <c r="E231" s="204">
        <v>100</v>
      </c>
      <c r="F231" s="204">
        <v>100</v>
      </c>
      <c r="G231" s="204">
        <v>100</v>
      </c>
      <c r="H231" s="204">
        <v>100</v>
      </c>
      <c r="I231" s="204">
        <v>100</v>
      </c>
      <c r="J231" s="204">
        <v>100</v>
      </c>
      <c r="K231" s="204">
        <v>60</v>
      </c>
      <c r="L231" s="204">
        <v>50</v>
      </c>
      <c r="M231" s="204">
        <v>75</v>
      </c>
      <c r="N231" s="204">
        <v>50</v>
      </c>
      <c r="O231" s="204">
        <v>44.4</v>
      </c>
      <c r="P231" s="204">
        <v>50</v>
      </c>
      <c r="Q231" s="44" t="s">
        <v>23</v>
      </c>
      <c r="R231" s="205">
        <v>90</v>
      </c>
      <c r="S231" s="205">
        <v>100</v>
      </c>
      <c r="T231" s="217" t="s">
        <v>35</v>
      </c>
    </row>
    <row r="232" spans="1:20" ht="13.5" customHeight="1">
      <c r="A232" s="7" t="s">
        <v>44</v>
      </c>
      <c r="B232" s="204">
        <v>52.6</v>
      </c>
      <c r="C232" s="204">
        <v>100</v>
      </c>
      <c r="D232" s="204">
        <v>100</v>
      </c>
      <c r="E232" s="204">
        <v>66.7</v>
      </c>
      <c r="F232" s="204">
        <v>100</v>
      </c>
      <c r="G232" s="204">
        <v>66.7</v>
      </c>
      <c r="H232" s="204">
        <v>100</v>
      </c>
      <c r="I232" s="204">
        <v>71.400000000000006</v>
      </c>
      <c r="J232" s="204">
        <v>100</v>
      </c>
      <c r="K232" s="204">
        <v>100</v>
      </c>
      <c r="L232" s="204">
        <v>100</v>
      </c>
      <c r="M232" s="204">
        <v>100</v>
      </c>
      <c r="N232" s="204">
        <v>100</v>
      </c>
      <c r="O232" s="204">
        <v>100</v>
      </c>
      <c r="P232" s="204">
        <v>100</v>
      </c>
      <c r="Q232" s="44" t="s">
        <v>23</v>
      </c>
      <c r="R232" s="205">
        <v>45</v>
      </c>
      <c r="S232" s="205">
        <v>85</v>
      </c>
      <c r="T232" s="217" t="s">
        <v>28</v>
      </c>
    </row>
    <row r="233" spans="1:20" ht="13.5" customHeight="1">
      <c r="A233" s="7" t="s">
        <v>60</v>
      </c>
      <c r="B233" s="204">
        <v>28.2</v>
      </c>
      <c r="C233" s="204">
        <v>22.2</v>
      </c>
      <c r="D233" s="204">
        <v>28.6</v>
      </c>
      <c r="E233" s="204">
        <v>0</v>
      </c>
      <c r="F233" s="204">
        <v>0</v>
      </c>
      <c r="G233" s="204">
        <v>0</v>
      </c>
      <c r="H233" s="204">
        <v>0</v>
      </c>
      <c r="I233" s="204">
        <v>0</v>
      </c>
      <c r="J233" s="204">
        <v>0</v>
      </c>
      <c r="K233" s="204">
        <v>0</v>
      </c>
      <c r="L233" s="204">
        <v>0</v>
      </c>
      <c r="M233" s="204">
        <v>33.299999999999997</v>
      </c>
      <c r="N233" s="204">
        <v>0</v>
      </c>
      <c r="O233" s="204">
        <v>28.6</v>
      </c>
      <c r="P233" s="204">
        <v>0</v>
      </c>
      <c r="Q233" s="44" t="s">
        <v>45</v>
      </c>
      <c r="R233" s="205">
        <v>100</v>
      </c>
      <c r="S233" s="205">
        <v>85</v>
      </c>
      <c r="T233" s="217" t="s">
        <v>28</v>
      </c>
    </row>
    <row r="234" spans="1:20" ht="13.5" customHeight="1">
      <c r="A234" s="7" t="s">
        <v>42</v>
      </c>
      <c r="B234" s="204">
        <v>61.5</v>
      </c>
      <c r="C234" s="204">
        <v>50.8</v>
      </c>
      <c r="D234" s="204">
        <v>46.7</v>
      </c>
      <c r="E234" s="204">
        <v>80</v>
      </c>
      <c r="F234" s="204">
        <v>66.7</v>
      </c>
      <c r="G234" s="204">
        <v>40</v>
      </c>
      <c r="H234" s="204">
        <v>40</v>
      </c>
      <c r="I234" s="204">
        <v>70.599999999999994</v>
      </c>
      <c r="J234" s="204">
        <v>54.5</v>
      </c>
      <c r="K234" s="204">
        <v>33.299999999999997</v>
      </c>
      <c r="L234" s="204">
        <v>33.299999999999997</v>
      </c>
      <c r="M234" s="204">
        <v>0</v>
      </c>
      <c r="N234" s="204">
        <v>0</v>
      </c>
      <c r="O234" s="204">
        <v>42.9</v>
      </c>
      <c r="P234" s="204">
        <v>33.299999999999997</v>
      </c>
      <c r="Q234" s="44" t="s">
        <v>26</v>
      </c>
      <c r="R234" s="205">
        <v>95</v>
      </c>
      <c r="S234" s="205">
        <v>98</v>
      </c>
      <c r="T234" s="217" t="s">
        <v>32</v>
      </c>
    </row>
    <row r="235" spans="1:20" ht="13.5" customHeight="1">
      <c r="A235" s="7" t="s">
        <v>43</v>
      </c>
      <c r="B235" s="204">
        <v>52.6</v>
      </c>
      <c r="C235" s="204">
        <v>60.6</v>
      </c>
      <c r="D235" s="204">
        <v>40</v>
      </c>
      <c r="E235" s="204">
        <v>100</v>
      </c>
      <c r="F235" s="204">
        <v>100</v>
      </c>
      <c r="G235" s="204">
        <v>100</v>
      </c>
      <c r="H235" s="204">
        <v>100</v>
      </c>
      <c r="I235" s="204">
        <v>71.400000000000006</v>
      </c>
      <c r="J235" s="204">
        <v>100</v>
      </c>
      <c r="K235" s="204">
        <v>100</v>
      </c>
      <c r="L235" s="204">
        <v>100</v>
      </c>
      <c r="M235" s="204">
        <v>100</v>
      </c>
      <c r="N235" s="204">
        <v>100</v>
      </c>
      <c r="O235" s="204">
        <v>100</v>
      </c>
      <c r="P235" s="204">
        <v>100</v>
      </c>
      <c r="Q235" s="44" t="s">
        <v>30</v>
      </c>
      <c r="R235" s="205">
        <v>90</v>
      </c>
      <c r="S235" s="205">
        <v>100</v>
      </c>
      <c r="T235" s="217" t="s">
        <v>32</v>
      </c>
    </row>
    <row r="236" spans="1:20" ht="13.5" customHeight="1">
      <c r="A236" s="49" t="s">
        <v>70</v>
      </c>
      <c r="B236" s="204">
        <v>61.5</v>
      </c>
      <c r="C236" s="204">
        <v>22.2</v>
      </c>
      <c r="D236" s="204">
        <v>0</v>
      </c>
      <c r="E236" s="204">
        <v>33.299999999999997</v>
      </c>
      <c r="F236" s="204">
        <v>0</v>
      </c>
      <c r="G236" s="204">
        <v>33.299999999999997</v>
      </c>
      <c r="H236" s="204">
        <v>0</v>
      </c>
      <c r="I236" s="204">
        <v>0</v>
      </c>
      <c r="J236" s="204">
        <v>0</v>
      </c>
      <c r="K236" s="204">
        <v>0</v>
      </c>
      <c r="L236" s="204">
        <v>0</v>
      </c>
      <c r="M236" s="204">
        <v>25</v>
      </c>
      <c r="N236" s="204">
        <v>50</v>
      </c>
      <c r="O236" s="204">
        <v>40</v>
      </c>
      <c r="P236" s="204">
        <v>40</v>
      </c>
      <c r="Q236" s="44" t="s">
        <v>26</v>
      </c>
      <c r="R236" s="205">
        <v>105</v>
      </c>
      <c r="S236" s="205">
        <v>110</v>
      </c>
      <c r="T236" s="217" t="s">
        <v>35</v>
      </c>
    </row>
    <row r="237" spans="1:20" ht="13.5" customHeight="1">
      <c r="A237" s="7" t="s">
        <v>37</v>
      </c>
      <c r="B237" s="204">
        <v>73.3</v>
      </c>
      <c r="C237" s="204">
        <v>68</v>
      </c>
      <c r="D237" s="204">
        <v>83.3</v>
      </c>
      <c r="E237" s="204">
        <v>75</v>
      </c>
      <c r="F237" s="204">
        <v>50</v>
      </c>
      <c r="G237" s="204">
        <v>83.3</v>
      </c>
      <c r="H237" s="204">
        <v>50</v>
      </c>
      <c r="I237" s="204">
        <v>80</v>
      </c>
      <c r="J237" s="204">
        <v>80</v>
      </c>
      <c r="K237" s="204">
        <v>66.7</v>
      </c>
      <c r="L237" s="204">
        <v>100</v>
      </c>
      <c r="M237" s="204">
        <v>100</v>
      </c>
      <c r="N237" s="204">
        <v>100</v>
      </c>
      <c r="O237" s="204">
        <v>50</v>
      </c>
      <c r="P237" s="204">
        <v>100</v>
      </c>
      <c r="Q237" s="44" t="s">
        <v>23</v>
      </c>
      <c r="R237" s="205">
        <v>80</v>
      </c>
      <c r="S237" s="205">
        <v>90</v>
      </c>
      <c r="T237" s="217" t="s">
        <v>27</v>
      </c>
    </row>
    <row r="238" spans="1:20" ht="13.5" customHeight="1">
      <c r="A238" s="7" t="s">
        <v>22</v>
      </c>
      <c r="B238" s="204">
        <v>71.400000000000006</v>
      </c>
      <c r="C238" s="204">
        <v>38.799999999999997</v>
      </c>
      <c r="D238" s="204">
        <v>37.5</v>
      </c>
      <c r="E238" s="204">
        <v>100</v>
      </c>
      <c r="F238" s="204">
        <v>100</v>
      </c>
      <c r="G238" s="204">
        <v>100</v>
      </c>
      <c r="H238" s="204">
        <v>100</v>
      </c>
      <c r="I238" s="204">
        <v>100</v>
      </c>
      <c r="J238" s="204">
        <v>100</v>
      </c>
      <c r="K238" s="204">
        <v>100</v>
      </c>
      <c r="L238" s="204">
        <v>100</v>
      </c>
      <c r="M238" s="204">
        <v>100</v>
      </c>
      <c r="N238" s="204">
        <v>100</v>
      </c>
      <c r="O238" s="204">
        <v>25</v>
      </c>
      <c r="P238" s="204">
        <v>33.299999999999997</v>
      </c>
      <c r="Q238" s="44" t="s">
        <v>26</v>
      </c>
      <c r="R238" s="205">
        <v>100</v>
      </c>
      <c r="S238" s="205">
        <v>95</v>
      </c>
      <c r="T238" s="217" t="s">
        <v>28</v>
      </c>
    </row>
    <row r="239" spans="1:20" ht="13.5" customHeight="1">
      <c r="A239" s="7" t="s">
        <v>31</v>
      </c>
      <c r="B239" s="204">
        <v>72.7</v>
      </c>
      <c r="C239" s="204">
        <v>36.9</v>
      </c>
      <c r="D239" s="204">
        <v>53.8</v>
      </c>
      <c r="E239" s="204">
        <v>80</v>
      </c>
      <c r="F239" s="204">
        <v>66.7</v>
      </c>
      <c r="G239" s="204">
        <v>80</v>
      </c>
      <c r="H239" s="204">
        <v>66.7</v>
      </c>
      <c r="I239" s="204">
        <v>70.599999999999994</v>
      </c>
      <c r="J239" s="204">
        <v>54.5</v>
      </c>
      <c r="K239" s="204">
        <v>100</v>
      </c>
      <c r="L239" s="204">
        <v>100</v>
      </c>
      <c r="M239" s="204">
        <v>100</v>
      </c>
      <c r="N239" s="204">
        <v>100</v>
      </c>
      <c r="O239" s="204">
        <v>100</v>
      </c>
      <c r="P239" s="204">
        <v>100</v>
      </c>
      <c r="Q239" s="44" t="s">
        <v>23</v>
      </c>
      <c r="R239" s="205">
        <v>80</v>
      </c>
      <c r="S239" s="205">
        <v>90</v>
      </c>
      <c r="T239" s="217" t="s">
        <v>28</v>
      </c>
    </row>
    <row r="240" spans="1:20" ht="13.5" customHeight="1">
      <c r="A240" s="7" t="s">
        <v>42</v>
      </c>
      <c r="B240" s="204">
        <v>33.299999999999997</v>
      </c>
      <c r="C240" s="204">
        <v>55.6</v>
      </c>
      <c r="D240" s="204">
        <v>42.9</v>
      </c>
      <c r="E240" s="204">
        <v>66.7</v>
      </c>
      <c r="F240" s="204">
        <v>66.7</v>
      </c>
      <c r="G240" s="204">
        <v>80</v>
      </c>
      <c r="H240" s="204">
        <v>80</v>
      </c>
      <c r="I240" s="204">
        <v>14.3</v>
      </c>
      <c r="J240" s="204">
        <v>0</v>
      </c>
      <c r="K240" s="204">
        <v>40</v>
      </c>
      <c r="L240" s="204">
        <v>33.299999999999997</v>
      </c>
      <c r="M240" s="204">
        <v>50</v>
      </c>
      <c r="N240" s="204">
        <v>50</v>
      </c>
      <c r="O240" s="204">
        <v>40</v>
      </c>
      <c r="P240" s="204">
        <v>0</v>
      </c>
      <c r="Q240" s="44" t="s">
        <v>26</v>
      </c>
      <c r="R240" s="205">
        <v>100</v>
      </c>
      <c r="S240" s="205">
        <v>90</v>
      </c>
      <c r="T240" s="217" t="s">
        <v>27</v>
      </c>
    </row>
    <row r="241" spans="1:20" ht="13.5" customHeight="1">
      <c r="A241" s="7" t="s">
        <v>36</v>
      </c>
      <c r="B241" s="204">
        <v>55.6</v>
      </c>
      <c r="C241" s="204">
        <v>50.8</v>
      </c>
      <c r="D241" s="204">
        <v>20</v>
      </c>
      <c r="E241" s="204">
        <v>80</v>
      </c>
      <c r="F241" s="204">
        <v>75</v>
      </c>
      <c r="G241" s="204">
        <v>85.7</v>
      </c>
      <c r="H241" s="204">
        <v>83.3</v>
      </c>
      <c r="I241" s="204">
        <v>52.9</v>
      </c>
      <c r="J241" s="204">
        <v>53.8</v>
      </c>
      <c r="K241" s="204">
        <v>66.7</v>
      </c>
      <c r="L241" s="204">
        <v>0</v>
      </c>
      <c r="M241" s="204">
        <v>50</v>
      </c>
      <c r="N241" s="204">
        <v>0</v>
      </c>
      <c r="O241" s="204">
        <v>68.8</v>
      </c>
      <c r="P241" s="204">
        <v>50</v>
      </c>
      <c r="Q241" s="44" t="s">
        <v>23</v>
      </c>
      <c r="R241" s="205">
        <v>95</v>
      </c>
      <c r="S241" s="205">
        <v>86</v>
      </c>
      <c r="T241" s="217" t="s">
        <v>24</v>
      </c>
    </row>
    <row r="242" spans="1:20" ht="13.5" customHeight="1">
      <c r="A242" s="7" t="s">
        <v>44</v>
      </c>
      <c r="B242" s="204">
        <v>71.400000000000006</v>
      </c>
      <c r="C242" s="204">
        <v>55.6</v>
      </c>
      <c r="D242" s="204">
        <v>85.7</v>
      </c>
      <c r="E242" s="204">
        <v>50</v>
      </c>
      <c r="F242" s="204">
        <v>50</v>
      </c>
      <c r="G242" s="204">
        <v>100</v>
      </c>
      <c r="H242" s="204">
        <v>100</v>
      </c>
      <c r="I242" s="204">
        <v>66.7</v>
      </c>
      <c r="J242" s="204">
        <v>66.7</v>
      </c>
      <c r="K242" s="204">
        <v>100</v>
      </c>
      <c r="L242" s="204">
        <v>100</v>
      </c>
      <c r="M242" s="204">
        <v>100</v>
      </c>
      <c r="N242" s="204">
        <v>100</v>
      </c>
      <c r="O242" s="204">
        <v>100</v>
      </c>
      <c r="P242" s="204">
        <v>100</v>
      </c>
      <c r="Q242" s="44" t="s">
        <v>26</v>
      </c>
      <c r="R242" s="205">
        <v>94</v>
      </c>
      <c r="S242" s="205">
        <v>70</v>
      </c>
      <c r="T242" s="217" t="s">
        <v>46</v>
      </c>
    </row>
    <row r="243" spans="1:20" ht="27" customHeight="1">
      <c r="A243" s="7" t="s">
        <v>60</v>
      </c>
      <c r="B243" s="204">
        <v>42.9</v>
      </c>
      <c r="C243" s="204">
        <v>38.1</v>
      </c>
      <c r="D243" s="204">
        <v>35.700000000000003</v>
      </c>
      <c r="E243" s="204">
        <v>0</v>
      </c>
      <c r="F243" s="204">
        <v>0</v>
      </c>
      <c r="G243" s="204">
        <v>0</v>
      </c>
      <c r="H243" s="204">
        <v>0</v>
      </c>
      <c r="I243" s="204">
        <v>40</v>
      </c>
      <c r="J243" s="204">
        <v>33.299999999999997</v>
      </c>
      <c r="K243" s="204">
        <v>50</v>
      </c>
      <c r="L243" s="204">
        <v>50</v>
      </c>
      <c r="M243" s="204">
        <v>50</v>
      </c>
      <c r="N243" s="204">
        <v>50</v>
      </c>
      <c r="O243" s="204">
        <v>33.299999999999997</v>
      </c>
      <c r="P243" s="204">
        <v>33.299999999999997</v>
      </c>
      <c r="Q243" s="44" t="s">
        <v>26</v>
      </c>
      <c r="R243" s="205">
        <v>80</v>
      </c>
      <c r="S243" s="205">
        <v>90</v>
      </c>
      <c r="T243" s="217" t="s">
        <v>28</v>
      </c>
    </row>
    <row r="244" spans="1:20" ht="13.5" customHeight="1">
      <c r="A244" s="7" t="s">
        <v>37</v>
      </c>
      <c r="B244" s="204">
        <v>55.6</v>
      </c>
      <c r="C244" s="204">
        <v>54.7</v>
      </c>
      <c r="D244" s="204">
        <v>53.8</v>
      </c>
      <c r="E244" s="204">
        <v>85.7</v>
      </c>
      <c r="F244" s="204">
        <v>100</v>
      </c>
      <c r="G244" s="204">
        <v>83.3</v>
      </c>
      <c r="H244" s="204">
        <v>100</v>
      </c>
      <c r="I244" s="204">
        <v>66.7</v>
      </c>
      <c r="J244" s="204">
        <v>64.7</v>
      </c>
      <c r="K244" s="204">
        <v>100</v>
      </c>
      <c r="L244" s="204">
        <v>100</v>
      </c>
      <c r="M244" s="204">
        <v>100</v>
      </c>
      <c r="N244" s="204">
        <v>100</v>
      </c>
      <c r="O244" s="204">
        <v>88.9</v>
      </c>
      <c r="P244" s="204">
        <v>100</v>
      </c>
      <c r="Q244" s="44" t="s">
        <v>23</v>
      </c>
      <c r="R244" s="205">
        <v>90</v>
      </c>
      <c r="S244" s="205">
        <v>95</v>
      </c>
      <c r="T244" s="217" t="s">
        <v>28</v>
      </c>
    </row>
    <row r="245" spans="1:20" ht="13.5" customHeight="1">
      <c r="A245" s="7" t="s">
        <v>60</v>
      </c>
      <c r="B245" s="204">
        <v>63.6</v>
      </c>
      <c r="C245" s="204">
        <v>49.4</v>
      </c>
      <c r="D245" s="204">
        <v>44.4</v>
      </c>
      <c r="E245" s="204">
        <v>0</v>
      </c>
      <c r="F245" s="204">
        <v>0</v>
      </c>
      <c r="G245" s="204">
        <v>0</v>
      </c>
      <c r="H245" s="204">
        <v>0</v>
      </c>
      <c r="I245" s="204">
        <v>66.7</v>
      </c>
      <c r="J245" s="204">
        <v>66.7</v>
      </c>
      <c r="K245" s="204">
        <v>50</v>
      </c>
      <c r="L245" s="204">
        <v>50</v>
      </c>
      <c r="M245" s="204">
        <v>0</v>
      </c>
      <c r="N245" s="204">
        <v>0</v>
      </c>
      <c r="O245" s="204">
        <v>0</v>
      </c>
      <c r="P245" s="204">
        <v>0</v>
      </c>
      <c r="Q245" s="44" t="s">
        <v>26</v>
      </c>
      <c r="R245" s="205">
        <v>84</v>
      </c>
      <c r="S245" s="205">
        <v>80</v>
      </c>
      <c r="T245" s="217" t="s">
        <v>39</v>
      </c>
    </row>
    <row r="246" spans="1:20" ht="13.5" customHeight="1">
      <c r="A246" s="7" t="s">
        <v>33</v>
      </c>
      <c r="B246" s="204">
        <v>42.9</v>
      </c>
      <c r="C246" s="204">
        <v>38.799999999999997</v>
      </c>
      <c r="D246" s="204">
        <v>33.299999999999997</v>
      </c>
      <c r="E246" s="204">
        <v>100</v>
      </c>
      <c r="F246" s="204">
        <v>100</v>
      </c>
      <c r="G246" s="204">
        <v>100</v>
      </c>
      <c r="H246" s="204">
        <v>100</v>
      </c>
      <c r="I246" s="204">
        <v>62.5</v>
      </c>
      <c r="J246" s="204">
        <v>50</v>
      </c>
      <c r="K246" s="204">
        <v>100</v>
      </c>
      <c r="L246" s="204">
        <v>100</v>
      </c>
      <c r="M246" s="204">
        <v>100</v>
      </c>
      <c r="N246" s="204">
        <v>100</v>
      </c>
      <c r="O246" s="204">
        <v>100</v>
      </c>
      <c r="P246" s="204">
        <v>100</v>
      </c>
      <c r="Q246" s="44" t="s">
        <v>26</v>
      </c>
      <c r="R246" s="205">
        <v>100</v>
      </c>
      <c r="S246" s="205">
        <v>95</v>
      </c>
      <c r="T246" s="217" t="s">
        <v>48</v>
      </c>
    </row>
    <row r="247" spans="1:20" ht="13.5" customHeight="1">
      <c r="A247" s="7" t="s">
        <v>25</v>
      </c>
      <c r="B247" s="204">
        <v>68.400000000000006</v>
      </c>
      <c r="C247" s="204">
        <v>60.6</v>
      </c>
      <c r="D247" s="204">
        <v>66.7</v>
      </c>
      <c r="E247" s="204">
        <v>33.299999999999997</v>
      </c>
      <c r="F247" s="204">
        <v>33.299999999999997</v>
      </c>
      <c r="G247" s="204">
        <v>33.299999999999997</v>
      </c>
      <c r="H247" s="204">
        <v>33.299999999999997</v>
      </c>
      <c r="I247" s="204">
        <v>20</v>
      </c>
      <c r="J247" s="204">
        <v>20</v>
      </c>
      <c r="K247" s="204">
        <v>0</v>
      </c>
      <c r="L247" s="204">
        <v>0</v>
      </c>
      <c r="M247" s="204">
        <v>0</v>
      </c>
      <c r="N247" s="204">
        <v>0</v>
      </c>
      <c r="O247" s="204">
        <v>0</v>
      </c>
      <c r="P247" s="204">
        <v>0</v>
      </c>
      <c r="Q247" s="44" t="s">
        <v>23</v>
      </c>
      <c r="R247" s="205">
        <v>78</v>
      </c>
      <c r="S247" s="205">
        <v>85</v>
      </c>
      <c r="T247" s="217" t="s">
        <v>28</v>
      </c>
    </row>
    <row r="248" spans="1:20" ht="13.5" customHeight="1">
      <c r="A248" s="7" t="s">
        <v>31</v>
      </c>
      <c r="B248" s="204">
        <v>71.400000000000006</v>
      </c>
      <c r="C248" s="204">
        <v>68</v>
      </c>
      <c r="D248" s="204">
        <v>100</v>
      </c>
      <c r="E248" s="204">
        <v>100</v>
      </c>
      <c r="F248" s="204">
        <v>100</v>
      </c>
      <c r="G248" s="204">
        <v>50</v>
      </c>
      <c r="H248" s="204">
        <v>50</v>
      </c>
      <c r="I248" s="204">
        <v>50</v>
      </c>
      <c r="J248" s="204">
        <v>50</v>
      </c>
      <c r="K248" s="204">
        <v>100</v>
      </c>
      <c r="L248" s="204">
        <v>100</v>
      </c>
      <c r="M248" s="204">
        <v>66.7</v>
      </c>
      <c r="N248" s="204">
        <v>66.7</v>
      </c>
      <c r="O248" s="204">
        <v>80</v>
      </c>
      <c r="P248" s="204">
        <v>80</v>
      </c>
      <c r="Q248" s="44" t="s">
        <v>26</v>
      </c>
      <c r="R248" s="205">
        <v>89</v>
      </c>
      <c r="S248" s="205">
        <v>87</v>
      </c>
      <c r="T248" s="217" t="s">
        <v>24</v>
      </c>
    </row>
    <row r="249" spans="1:20" ht="13.5" customHeight="1">
      <c r="A249" s="7" t="s">
        <v>43</v>
      </c>
      <c r="B249" s="204">
        <v>43.8</v>
      </c>
      <c r="C249" s="204">
        <v>59.6</v>
      </c>
      <c r="D249" s="204">
        <v>72.7</v>
      </c>
      <c r="E249" s="204">
        <v>100</v>
      </c>
      <c r="F249" s="204">
        <v>100</v>
      </c>
      <c r="G249" s="204">
        <v>100</v>
      </c>
      <c r="H249" s="204">
        <v>100</v>
      </c>
      <c r="I249" s="204">
        <v>66.7</v>
      </c>
      <c r="J249" s="204">
        <v>66.7</v>
      </c>
      <c r="K249" s="204">
        <v>50</v>
      </c>
      <c r="L249" s="204">
        <v>50</v>
      </c>
      <c r="M249" s="204">
        <v>50</v>
      </c>
      <c r="N249" s="204">
        <v>50</v>
      </c>
      <c r="O249" s="204">
        <v>66.7</v>
      </c>
      <c r="P249" s="204">
        <v>66.7</v>
      </c>
      <c r="Q249" s="44" t="s">
        <v>23</v>
      </c>
      <c r="R249" s="205">
        <v>105</v>
      </c>
      <c r="S249" s="205">
        <v>115</v>
      </c>
      <c r="T249" s="217" t="s">
        <v>35</v>
      </c>
    </row>
    <row r="250" spans="1:20" ht="13.5" customHeight="1">
      <c r="A250" s="7" t="s">
        <v>55</v>
      </c>
      <c r="B250" s="204">
        <v>100</v>
      </c>
      <c r="C250" s="204">
        <v>100</v>
      </c>
      <c r="D250" s="204">
        <v>100</v>
      </c>
      <c r="E250" s="204">
        <v>100</v>
      </c>
      <c r="F250" s="204">
        <v>100</v>
      </c>
      <c r="G250" s="204">
        <v>100</v>
      </c>
      <c r="H250" s="204">
        <v>100</v>
      </c>
      <c r="I250" s="204">
        <v>100</v>
      </c>
      <c r="J250" s="204">
        <v>100</v>
      </c>
      <c r="K250" s="204">
        <v>100</v>
      </c>
      <c r="L250" s="204">
        <v>100</v>
      </c>
      <c r="M250" s="204">
        <v>100</v>
      </c>
      <c r="N250" s="204">
        <v>100</v>
      </c>
      <c r="O250" s="204">
        <v>100</v>
      </c>
      <c r="P250" s="204">
        <v>100</v>
      </c>
      <c r="Q250" s="44" t="s">
        <v>71</v>
      </c>
      <c r="R250" s="205">
        <v>114</v>
      </c>
      <c r="S250" s="205">
        <v>105</v>
      </c>
      <c r="T250" s="217" t="s">
        <v>35</v>
      </c>
    </row>
    <row r="251" spans="1:20" ht="13.5" customHeight="1">
      <c r="A251" s="7" t="s">
        <v>36</v>
      </c>
      <c r="B251" s="204">
        <v>0</v>
      </c>
      <c r="C251" s="204">
        <v>38.799999999999997</v>
      </c>
      <c r="D251" s="204">
        <v>44.4</v>
      </c>
      <c r="E251" s="204">
        <v>33.299999999999997</v>
      </c>
      <c r="F251" s="204">
        <v>33.299999999999997</v>
      </c>
      <c r="G251" s="204">
        <v>50</v>
      </c>
      <c r="H251" s="204">
        <v>50</v>
      </c>
      <c r="I251" s="204">
        <v>50</v>
      </c>
      <c r="J251" s="204">
        <v>50</v>
      </c>
      <c r="K251" s="204">
        <v>0</v>
      </c>
      <c r="L251" s="204">
        <v>0</v>
      </c>
      <c r="M251" s="204">
        <v>0</v>
      </c>
      <c r="N251" s="204">
        <v>0</v>
      </c>
      <c r="O251" s="204">
        <v>0</v>
      </c>
      <c r="P251" s="204">
        <v>0</v>
      </c>
      <c r="Q251" s="44" t="s">
        <v>26</v>
      </c>
      <c r="R251" s="205">
        <v>92</v>
      </c>
      <c r="S251" s="205">
        <v>65</v>
      </c>
      <c r="T251" s="217" t="s">
        <v>40</v>
      </c>
    </row>
    <row r="252" spans="1:20" ht="13.5" customHeight="1">
      <c r="A252" s="7" t="s">
        <v>41</v>
      </c>
      <c r="B252" s="204">
        <v>47.1</v>
      </c>
      <c r="C252" s="204">
        <v>63.6</v>
      </c>
      <c r="D252" s="204">
        <v>50</v>
      </c>
      <c r="E252" s="204">
        <v>85.7</v>
      </c>
      <c r="F252" s="204">
        <v>100</v>
      </c>
      <c r="G252" s="204">
        <v>85.7</v>
      </c>
      <c r="H252" s="204">
        <v>100</v>
      </c>
      <c r="I252" s="204">
        <v>66.7</v>
      </c>
      <c r="J252" s="204">
        <v>64.7</v>
      </c>
      <c r="K252" s="204">
        <v>100</v>
      </c>
      <c r="L252" s="204">
        <v>100</v>
      </c>
      <c r="M252" s="204">
        <v>100</v>
      </c>
      <c r="N252" s="204">
        <v>100</v>
      </c>
      <c r="O252" s="204">
        <v>75</v>
      </c>
      <c r="P252" s="204">
        <v>75</v>
      </c>
      <c r="Q252" s="44" t="s">
        <v>34</v>
      </c>
      <c r="R252" s="205">
        <v>100</v>
      </c>
      <c r="S252" s="205">
        <v>90</v>
      </c>
      <c r="T252" s="217" t="s">
        <v>28</v>
      </c>
    </row>
    <row r="253" spans="1:20" ht="13.5" customHeight="1">
      <c r="A253" s="7" t="s">
        <v>33</v>
      </c>
      <c r="B253" s="204">
        <v>60</v>
      </c>
      <c r="C253" s="204">
        <v>60.6</v>
      </c>
      <c r="D253" s="204">
        <v>75</v>
      </c>
      <c r="E253" s="204">
        <v>50</v>
      </c>
      <c r="F253" s="204">
        <v>50</v>
      </c>
      <c r="G253" s="204">
        <v>50</v>
      </c>
      <c r="H253" s="204">
        <v>50</v>
      </c>
      <c r="I253" s="204">
        <v>83.3</v>
      </c>
      <c r="J253" s="204">
        <v>83.3</v>
      </c>
      <c r="K253" s="204">
        <v>100</v>
      </c>
      <c r="L253" s="204">
        <v>100</v>
      </c>
      <c r="M253" s="204">
        <v>100</v>
      </c>
      <c r="N253" s="204">
        <v>100</v>
      </c>
      <c r="O253" s="204">
        <v>100</v>
      </c>
      <c r="P253" s="204">
        <v>100</v>
      </c>
      <c r="Q253" s="44" t="s">
        <v>30</v>
      </c>
      <c r="R253" s="205">
        <v>91</v>
      </c>
      <c r="S253" s="205">
        <v>84</v>
      </c>
      <c r="T253" s="217" t="s">
        <v>51</v>
      </c>
    </row>
    <row r="254" spans="1:20" ht="13.5" customHeight="1">
      <c r="A254" s="7" t="s">
        <v>42</v>
      </c>
      <c r="B254" s="204">
        <v>55.6</v>
      </c>
      <c r="C254" s="204">
        <v>49.4</v>
      </c>
      <c r="D254" s="204">
        <v>50</v>
      </c>
      <c r="E254" s="204">
        <v>0</v>
      </c>
      <c r="F254" s="204">
        <v>0</v>
      </c>
      <c r="G254" s="204">
        <v>0</v>
      </c>
      <c r="H254" s="204">
        <v>0</v>
      </c>
      <c r="I254" s="204">
        <v>60</v>
      </c>
      <c r="J254" s="204">
        <v>60</v>
      </c>
      <c r="K254" s="204">
        <v>0</v>
      </c>
      <c r="L254" s="204">
        <v>0</v>
      </c>
      <c r="M254" s="204">
        <v>0</v>
      </c>
      <c r="N254" s="204">
        <v>0</v>
      </c>
      <c r="O254" s="204">
        <v>28.6</v>
      </c>
      <c r="P254" s="204">
        <v>28.6</v>
      </c>
      <c r="Q254" s="44" t="s">
        <v>26</v>
      </c>
      <c r="R254" s="205">
        <v>102</v>
      </c>
      <c r="S254" s="205">
        <v>85</v>
      </c>
      <c r="T254" s="217" t="s">
        <v>27</v>
      </c>
    </row>
    <row r="255" spans="1:20" ht="13.5" customHeight="1">
      <c r="A255" s="7" t="s">
        <v>43</v>
      </c>
      <c r="B255" s="204">
        <v>53.8</v>
      </c>
      <c r="C255" s="204">
        <v>39.1</v>
      </c>
      <c r="D255" s="204">
        <v>50</v>
      </c>
      <c r="E255" s="204">
        <v>100</v>
      </c>
      <c r="F255" s="204">
        <v>100</v>
      </c>
      <c r="G255" s="204">
        <v>100</v>
      </c>
      <c r="H255" s="204">
        <v>100</v>
      </c>
      <c r="I255" s="204">
        <v>100</v>
      </c>
      <c r="J255" s="204">
        <v>100</v>
      </c>
      <c r="K255" s="204">
        <v>100</v>
      </c>
      <c r="L255" s="204">
        <v>100</v>
      </c>
      <c r="M255" s="204">
        <v>100</v>
      </c>
      <c r="N255" s="204">
        <v>100</v>
      </c>
      <c r="O255" s="204">
        <v>80</v>
      </c>
      <c r="P255" s="204">
        <v>80</v>
      </c>
      <c r="Q255" s="44" t="s">
        <v>26</v>
      </c>
      <c r="R255" s="205">
        <v>100</v>
      </c>
      <c r="S255" s="205">
        <v>110</v>
      </c>
      <c r="T255" s="217" t="s">
        <v>35</v>
      </c>
    </row>
    <row r="256" spans="1:20" ht="13.5" customHeight="1">
      <c r="A256" s="7" t="s">
        <v>42</v>
      </c>
      <c r="B256" s="204">
        <v>33.299999999999997</v>
      </c>
      <c r="C256" s="204">
        <v>59.6</v>
      </c>
      <c r="D256" s="204">
        <v>58.8</v>
      </c>
      <c r="E256" s="204">
        <v>33.299999999999997</v>
      </c>
      <c r="F256" s="204">
        <v>33.299999999999997</v>
      </c>
      <c r="G256" s="204">
        <v>0</v>
      </c>
      <c r="H256" s="204">
        <v>0</v>
      </c>
      <c r="I256" s="204">
        <v>20</v>
      </c>
      <c r="J256" s="204">
        <v>20</v>
      </c>
      <c r="K256" s="204">
        <v>0</v>
      </c>
      <c r="L256" s="204">
        <v>0</v>
      </c>
      <c r="M256" s="204">
        <v>0</v>
      </c>
      <c r="N256" s="204">
        <v>0</v>
      </c>
      <c r="O256" s="204">
        <v>40</v>
      </c>
      <c r="P256" s="204">
        <v>40</v>
      </c>
      <c r="Q256" s="44" t="s">
        <v>30</v>
      </c>
      <c r="R256" s="205">
        <v>104</v>
      </c>
      <c r="S256" s="205">
        <v>80</v>
      </c>
      <c r="T256" s="217" t="s">
        <v>46</v>
      </c>
    </row>
    <row r="257" spans="1:20" ht="13.5" customHeight="1">
      <c r="A257" s="7" t="s">
        <v>55</v>
      </c>
      <c r="B257" s="204">
        <v>68.400000000000006</v>
      </c>
      <c r="C257" s="204">
        <v>100</v>
      </c>
      <c r="D257" s="204">
        <v>100</v>
      </c>
      <c r="E257" s="204">
        <v>100</v>
      </c>
      <c r="F257" s="204">
        <v>100</v>
      </c>
      <c r="G257" s="204">
        <v>100</v>
      </c>
      <c r="H257" s="204">
        <v>100</v>
      </c>
      <c r="I257" s="204">
        <v>100</v>
      </c>
      <c r="J257" s="204">
        <v>100</v>
      </c>
      <c r="K257" s="204">
        <v>100</v>
      </c>
      <c r="L257" s="204">
        <v>100</v>
      </c>
      <c r="M257" s="204">
        <v>50</v>
      </c>
      <c r="N257" s="204">
        <v>50</v>
      </c>
      <c r="O257" s="204">
        <v>50</v>
      </c>
      <c r="P257" s="204">
        <v>50</v>
      </c>
      <c r="Q257" s="44" t="s">
        <v>56</v>
      </c>
      <c r="R257" s="205">
        <v>85</v>
      </c>
      <c r="S257" s="205">
        <v>80</v>
      </c>
      <c r="T257" s="217" t="s">
        <v>46</v>
      </c>
    </row>
    <row r="258" spans="1:20" ht="13.5" customHeight="1">
      <c r="A258" s="7" t="s">
        <v>57</v>
      </c>
      <c r="B258" s="204">
        <v>100</v>
      </c>
      <c r="C258" s="204">
        <v>100</v>
      </c>
      <c r="D258" s="204">
        <v>100</v>
      </c>
      <c r="E258" s="204">
        <v>100</v>
      </c>
      <c r="F258" s="204">
        <v>100</v>
      </c>
      <c r="G258" s="204">
        <v>100</v>
      </c>
      <c r="H258" s="204">
        <v>100</v>
      </c>
      <c r="I258" s="204">
        <v>66.7</v>
      </c>
      <c r="J258" s="204">
        <v>66.7</v>
      </c>
      <c r="K258" s="204">
        <v>100</v>
      </c>
      <c r="L258" s="204">
        <v>100</v>
      </c>
      <c r="M258" s="204">
        <v>100</v>
      </c>
      <c r="N258" s="204">
        <v>100</v>
      </c>
      <c r="O258" s="204">
        <v>100</v>
      </c>
      <c r="P258" s="204">
        <v>100</v>
      </c>
      <c r="Q258" s="44" t="s">
        <v>72</v>
      </c>
      <c r="R258" s="205">
        <v>85</v>
      </c>
      <c r="S258" s="205">
        <v>85</v>
      </c>
      <c r="T258" s="217" t="s">
        <v>35</v>
      </c>
    </row>
    <row r="259" spans="1:20" ht="13.5" customHeight="1">
      <c r="A259" s="7" t="s">
        <v>53</v>
      </c>
      <c r="B259" s="204">
        <v>76.900000000000006</v>
      </c>
      <c r="C259" s="204">
        <v>63.6</v>
      </c>
      <c r="D259" s="204">
        <v>50</v>
      </c>
      <c r="E259" s="204">
        <v>33.299999999999997</v>
      </c>
      <c r="F259" s="204">
        <v>50</v>
      </c>
      <c r="G259" s="204">
        <v>66.7</v>
      </c>
      <c r="H259" s="204">
        <v>80</v>
      </c>
      <c r="I259" s="204">
        <v>60</v>
      </c>
      <c r="J259" s="204">
        <v>60</v>
      </c>
      <c r="K259" s="204">
        <v>0</v>
      </c>
      <c r="L259" s="204">
        <v>0</v>
      </c>
      <c r="M259" s="204">
        <v>0</v>
      </c>
      <c r="N259" s="204">
        <v>0</v>
      </c>
      <c r="O259" s="204">
        <v>0</v>
      </c>
      <c r="P259" s="204">
        <v>0</v>
      </c>
      <c r="Q259" s="44" t="s">
        <v>38</v>
      </c>
      <c r="R259" s="205">
        <v>95</v>
      </c>
      <c r="S259" s="205">
        <v>95</v>
      </c>
      <c r="T259" s="217" t="s">
        <v>28</v>
      </c>
    </row>
    <row r="260" spans="1:20" ht="13.5" customHeight="1">
      <c r="A260" s="7" t="s">
        <v>33</v>
      </c>
      <c r="B260" s="204">
        <v>100</v>
      </c>
      <c r="C260" s="204">
        <v>38.799999999999997</v>
      </c>
      <c r="D260" s="204">
        <v>44.4</v>
      </c>
      <c r="E260" s="204">
        <v>33.299999999999997</v>
      </c>
      <c r="F260" s="204">
        <v>33.299999999999997</v>
      </c>
      <c r="G260" s="204">
        <v>50</v>
      </c>
      <c r="H260" s="204">
        <v>50</v>
      </c>
      <c r="I260" s="204">
        <v>50</v>
      </c>
      <c r="J260" s="204">
        <v>50</v>
      </c>
      <c r="K260" s="204">
        <v>50</v>
      </c>
      <c r="L260" s="204">
        <v>50</v>
      </c>
      <c r="M260" s="204">
        <v>50</v>
      </c>
      <c r="N260" s="204">
        <v>50</v>
      </c>
      <c r="O260" s="204">
        <v>100</v>
      </c>
      <c r="P260" s="204">
        <v>100</v>
      </c>
      <c r="Q260" s="44" t="s">
        <v>23</v>
      </c>
      <c r="R260" s="205">
        <v>75</v>
      </c>
      <c r="S260" s="205">
        <v>95</v>
      </c>
      <c r="T260" s="217" t="s">
        <v>35</v>
      </c>
    </row>
    <row r="261" spans="1:20" ht="13.5" customHeight="1">
      <c r="A261" s="7" t="s">
        <v>25</v>
      </c>
      <c r="B261" s="204">
        <v>58</v>
      </c>
      <c r="C261" s="204">
        <v>38.1</v>
      </c>
      <c r="D261" s="204">
        <v>28.6</v>
      </c>
      <c r="E261" s="204">
        <v>50</v>
      </c>
      <c r="F261" s="204">
        <v>50</v>
      </c>
      <c r="G261" s="204">
        <v>50</v>
      </c>
      <c r="H261" s="204">
        <v>50</v>
      </c>
      <c r="I261" s="204">
        <v>83.3</v>
      </c>
      <c r="J261" s="204">
        <v>83.3</v>
      </c>
      <c r="K261" s="204">
        <v>66.7</v>
      </c>
      <c r="L261" s="204">
        <v>66.7</v>
      </c>
      <c r="M261" s="204">
        <v>66.7</v>
      </c>
      <c r="N261" s="204">
        <v>66.7</v>
      </c>
      <c r="O261" s="204">
        <v>28.6</v>
      </c>
      <c r="P261" s="204">
        <v>28.6</v>
      </c>
      <c r="Q261" s="44" t="s">
        <v>26</v>
      </c>
      <c r="R261" s="205">
        <v>80</v>
      </c>
      <c r="S261" s="205">
        <v>80</v>
      </c>
      <c r="T261" s="217" t="s">
        <v>46</v>
      </c>
    </row>
    <row r="262" spans="1:20" ht="13.5" customHeight="1">
      <c r="A262" s="42" t="s">
        <v>73</v>
      </c>
      <c r="B262" s="204">
        <v>43.8</v>
      </c>
      <c r="C262" s="204">
        <v>54.7</v>
      </c>
      <c r="D262" s="204">
        <v>60</v>
      </c>
      <c r="E262" s="204">
        <v>50</v>
      </c>
      <c r="F262" s="204">
        <v>50</v>
      </c>
      <c r="G262" s="204">
        <v>33.299999999999997</v>
      </c>
      <c r="H262" s="204">
        <v>33.299999999999997</v>
      </c>
      <c r="I262" s="204">
        <v>60</v>
      </c>
      <c r="J262" s="204">
        <v>60</v>
      </c>
      <c r="K262" s="204">
        <v>100</v>
      </c>
      <c r="L262" s="204">
        <v>100</v>
      </c>
      <c r="M262" s="204">
        <v>100</v>
      </c>
      <c r="N262" s="204">
        <v>100</v>
      </c>
      <c r="O262" s="204">
        <v>100</v>
      </c>
      <c r="P262" s="204">
        <v>100</v>
      </c>
      <c r="Q262" s="44" t="s">
        <v>23</v>
      </c>
      <c r="R262" s="205">
        <v>90</v>
      </c>
      <c r="S262" s="205">
        <v>80</v>
      </c>
      <c r="T262" s="217" t="s">
        <v>40</v>
      </c>
    </row>
    <row r="263" spans="1:20" s="6" customFormat="1" ht="13.5" customHeight="1">
      <c r="A263" s="7" t="s">
        <v>54</v>
      </c>
      <c r="B263" s="204">
        <v>100</v>
      </c>
      <c r="C263" s="204">
        <v>100</v>
      </c>
      <c r="D263" s="204">
        <v>100</v>
      </c>
      <c r="E263" s="204">
        <v>100</v>
      </c>
      <c r="F263" s="204">
        <v>100</v>
      </c>
      <c r="G263" s="204">
        <v>100</v>
      </c>
      <c r="H263" s="204">
        <v>100</v>
      </c>
      <c r="I263" s="204">
        <v>100</v>
      </c>
      <c r="J263" s="204">
        <v>100</v>
      </c>
      <c r="K263" s="204">
        <v>100</v>
      </c>
      <c r="L263" s="204">
        <v>100</v>
      </c>
      <c r="M263" s="204">
        <v>100</v>
      </c>
      <c r="N263" s="204">
        <v>100</v>
      </c>
      <c r="O263" s="204">
        <v>100</v>
      </c>
      <c r="P263" s="204">
        <v>100</v>
      </c>
      <c r="Q263" s="44" t="s">
        <v>56</v>
      </c>
      <c r="R263" s="205">
        <v>85</v>
      </c>
      <c r="S263" s="205">
        <v>65</v>
      </c>
      <c r="T263" s="217" t="s">
        <v>40</v>
      </c>
    </row>
    <row r="264" spans="1:20" ht="13.5" customHeight="1">
      <c r="A264" s="7" t="s">
        <v>29</v>
      </c>
      <c r="B264" s="204">
        <v>63.6</v>
      </c>
      <c r="C264" s="204">
        <v>39.1</v>
      </c>
      <c r="D264" s="204">
        <v>70</v>
      </c>
      <c r="E264" s="204">
        <v>100</v>
      </c>
      <c r="F264" s="204">
        <v>100</v>
      </c>
      <c r="G264" s="204">
        <v>100</v>
      </c>
      <c r="H264" s="204">
        <v>100</v>
      </c>
      <c r="I264" s="204">
        <v>66.7</v>
      </c>
      <c r="J264" s="204">
        <v>66.7</v>
      </c>
      <c r="K264" s="204">
        <v>100</v>
      </c>
      <c r="L264" s="204">
        <v>100</v>
      </c>
      <c r="M264" s="204">
        <v>100</v>
      </c>
      <c r="N264" s="204">
        <v>100</v>
      </c>
      <c r="O264" s="204">
        <v>100</v>
      </c>
      <c r="P264" s="204">
        <v>100</v>
      </c>
      <c r="Q264" s="44" t="s">
        <v>26</v>
      </c>
      <c r="R264" s="205">
        <v>70</v>
      </c>
      <c r="S264" s="205">
        <v>85</v>
      </c>
      <c r="T264" s="217" t="s">
        <v>28</v>
      </c>
    </row>
    <row r="265" spans="1:20" s="6" customFormat="1" ht="13.5" customHeight="1">
      <c r="A265" s="7" t="s">
        <v>37</v>
      </c>
      <c r="B265" s="204">
        <v>45.2</v>
      </c>
      <c r="C265" s="204">
        <v>50.8</v>
      </c>
      <c r="D265" s="204">
        <v>66.7</v>
      </c>
      <c r="E265" s="204">
        <v>33.299999999999997</v>
      </c>
      <c r="F265" s="204">
        <v>33.299999999999997</v>
      </c>
      <c r="G265" s="204">
        <v>75</v>
      </c>
      <c r="H265" s="204">
        <v>66.7</v>
      </c>
      <c r="I265" s="204">
        <v>62.5</v>
      </c>
      <c r="J265" s="204">
        <v>50</v>
      </c>
      <c r="K265" s="204">
        <v>100</v>
      </c>
      <c r="L265" s="204">
        <v>100</v>
      </c>
      <c r="M265" s="204">
        <v>66.7</v>
      </c>
      <c r="N265" s="204">
        <v>100</v>
      </c>
      <c r="O265" s="204">
        <v>60</v>
      </c>
      <c r="P265" s="204">
        <v>100</v>
      </c>
      <c r="Q265" s="44" t="s">
        <v>26</v>
      </c>
      <c r="R265" s="205">
        <v>92</v>
      </c>
      <c r="S265" s="205">
        <v>94</v>
      </c>
      <c r="T265" s="217" t="s">
        <v>35</v>
      </c>
    </row>
    <row r="266" spans="1:20" s="6" customFormat="1" ht="13.5" customHeight="1">
      <c r="A266" s="7" t="s">
        <v>22</v>
      </c>
      <c r="B266" s="204">
        <v>57.7</v>
      </c>
      <c r="C266" s="204">
        <v>60.6</v>
      </c>
      <c r="D266" s="204">
        <v>100</v>
      </c>
      <c r="E266" s="204">
        <v>60</v>
      </c>
      <c r="F266" s="204">
        <v>66.7</v>
      </c>
      <c r="G266" s="204">
        <v>80</v>
      </c>
      <c r="H266" s="204">
        <v>66.7</v>
      </c>
      <c r="I266" s="204">
        <v>66.7</v>
      </c>
      <c r="J266" s="204">
        <v>64.7</v>
      </c>
      <c r="K266" s="204">
        <v>66.7</v>
      </c>
      <c r="L266" s="204">
        <v>100</v>
      </c>
      <c r="M266" s="204">
        <v>40</v>
      </c>
      <c r="N266" s="204">
        <v>50</v>
      </c>
      <c r="O266" s="204">
        <v>25</v>
      </c>
      <c r="P266" s="204">
        <v>25</v>
      </c>
      <c r="Q266" s="44" t="s">
        <v>30</v>
      </c>
      <c r="R266" s="205">
        <v>88</v>
      </c>
      <c r="S266" s="205">
        <v>90</v>
      </c>
      <c r="T266" s="217" t="s">
        <v>35</v>
      </c>
    </row>
    <row r="267" spans="1:20" s="6" customFormat="1" ht="13.5" customHeight="1">
      <c r="A267" s="7" t="s">
        <v>31</v>
      </c>
      <c r="B267" s="204">
        <v>60</v>
      </c>
      <c r="C267" s="204">
        <v>55.6</v>
      </c>
      <c r="D267" s="204">
        <v>66.7</v>
      </c>
      <c r="E267" s="204">
        <v>100</v>
      </c>
      <c r="F267" s="204">
        <v>100</v>
      </c>
      <c r="G267" s="204">
        <v>100</v>
      </c>
      <c r="H267" s="204">
        <v>100</v>
      </c>
      <c r="I267" s="204">
        <v>66.7</v>
      </c>
      <c r="J267" s="204">
        <v>66.7</v>
      </c>
      <c r="K267" s="204">
        <v>100</v>
      </c>
      <c r="L267" s="204">
        <v>100</v>
      </c>
      <c r="M267" s="204">
        <v>100</v>
      </c>
      <c r="N267" s="204">
        <v>100</v>
      </c>
      <c r="O267" s="204">
        <v>66.7</v>
      </c>
      <c r="P267" s="204">
        <v>66.7</v>
      </c>
      <c r="Q267" s="44" t="s">
        <v>26</v>
      </c>
      <c r="R267" s="205">
        <v>102</v>
      </c>
      <c r="S267" s="205">
        <v>100</v>
      </c>
      <c r="T267" s="217" t="s">
        <v>35</v>
      </c>
    </row>
    <row r="268" spans="1:20" s="6" customFormat="1" ht="13.5" customHeight="1">
      <c r="A268" s="7" t="s">
        <v>36</v>
      </c>
      <c r="B268" s="204">
        <v>28.2</v>
      </c>
      <c r="C268" s="204">
        <v>55.6</v>
      </c>
      <c r="D268" s="204">
        <v>30</v>
      </c>
      <c r="E268" s="204">
        <v>25</v>
      </c>
      <c r="F268" s="204">
        <v>33.299999999999997</v>
      </c>
      <c r="G268" s="204">
        <v>16.7</v>
      </c>
      <c r="H268" s="204">
        <v>20</v>
      </c>
      <c r="I268" s="204">
        <v>55.6</v>
      </c>
      <c r="J268" s="204">
        <v>50</v>
      </c>
      <c r="K268" s="204">
        <v>66.7</v>
      </c>
      <c r="L268" s="204">
        <v>50</v>
      </c>
      <c r="M268" s="204">
        <v>75</v>
      </c>
      <c r="N268" s="204">
        <v>66.7</v>
      </c>
      <c r="O268" s="204">
        <v>50</v>
      </c>
      <c r="P268" s="204">
        <v>66.7</v>
      </c>
      <c r="Q268" s="44" t="s">
        <v>23</v>
      </c>
      <c r="R268" s="205">
        <v>92</v>
      </c>
      <c r="S268" s="205">
        <v>94</v>
      </c>
      <c r="T268" s="217" t="s">
        <v>35</v>
      </c>
    </row>
    <row r="269" spans="1:20" ht="27" customHeight="1">
      <c r="A269" s="7" t="s">
        <v>42</v>
      </c>
      <c r="B269" s="204">
        <v>34.6</v>
      </c>
      <c r="C269" s="204">
        <v>54.7</v>
      </c>
      <c r="D269" s="204">
        <v>53.8</v>
      </c>
      <c r="E269" s="204">
        <v>50</v>
      </c>
      <c r="F269" s="204">
        <v>50</v>
      </c>
      <c r="G269" s="204">
        <v>50</v>
      </c>
      <c r="H269" s="204">
        <v>50</v>
      </c>
      <c r="I269" s="204">
        <v>52.9</v>
      </c>
      <c r="J269" s="204">
        <v>53.8</v>
      </c>
      <c r="K269" s="204">
        <v>60</v>
      </c>
      <c r="L269" s="204">
        <v>66.7</v>
      </c>
      <c r="M269" s="204">
        <v>0</v>
      </c>
      <c r="N269" s="204">
        <v>0</v>
      </c>
      <c r="O269" s="204">
        <v>44.4</v>
      </c>
      <c r="P269" s="204">
        <v>42.9</v>
      </c>
      <c r="Q269" s="44" t="s">
        <v>26</v>
      </c>
      <c r="R269" s="205">
        <v>82</v>
      </c>
      <c r="S269" s="205">
        <v>94</v>
      </c>
      <c r="T269" s="217" t="s">
        <v>27</v>
      </c>
    </row>
    <row r="270" spans="1:20" ht="13.5" customHeight="1">
      <c r="A270" s="7" t="s">
        <v>44</v>
      </c>
      <c r="B270" s="204">
        <v>47.1</v>
      </c>
      <c r="C270" s="204">
        <v>68</v>
      </c>
      <c r="D270" s="204">
        <v>50</v>
      </c>
      <c r="E270" s="204">
        <v>71.400000000000006</v>
      </c>
      <c r="F270" s="204">
        <v>75</v>
      </c>
      <c r="G270" s="204">
        <v>83.3</v>
      </c>
      <c r="H270" s="204">
        <v>75</v>
      </c>
      <c r="I270" s="204">
        <v>66.7</v>
      </c>
      <c r="J270" s="204">
        <v>64.7</v>
      </c>
      <c r="K270" s="204">
        <v>75</v>
      </c>
      <c r="L270" s="204">
        <v>60</v>
      </c>
      <c r="M270" s="204">
        <v>100</v>
      </c>
      <c r="N270" s="204">
        <v>100</v>
      </c>
      <c r="O270" s="204">
        <v>68.8</v>
      </c>
      <c r="P270" s="204">
        <v>50</v>
      </c>
      <c r="Q270" s="44" t="s">
        <v>23</v>
      </c>
      <c r="R270" s="205">
        <v>98</v>
      </c>
      <c r="S270" s="205">
        <v>84</v>
      </c>
      <c r="T270" s="217" t="s">
        <v>46</v>
      </c>
    </row>
    <row r="271" spans="1:20" s="6" customFormat="1" ht="13.5" customHeight="1">
      <c r="A271" s="7" t="s">
        <v>31</v>
      </c>
      <c r="B271" s="204">
        <v>57.7</v>
      </c>
      <c r="C271" s="204">
        <v>57.9</v>
      </c>
      <c r="D271" s="204">
        <v>62.5</v>
      </c>
      <c r="E271" s="204">
        <v>71.400000000000006</v>
      </c>
      <c r="F271" s="204">
        <v>75</v>
      </c>
      <c r="G271" s="204">
        <v>83.3</v>
      </c>
      <c r="H271" s="204">
        <v>75</v>
      </c>
      <c r="I271" s="204">
        <v>66.7</v>
      </c>
      <c r="J271" s="204">
        <v>64.7</v>
      </c>
      <c r="K271" s="204">
        <v>60</v>
      </c>
      <c r="L271" s="204">
        <v>66.7</v>
      </c>
      <c r="M271" s="204">
        <v>100</v>
      </c>
      <c r="N271" s="204">
        <v>100</v>
      </c>
      <c r="O271" s="204">
        <v>44.4</v>
      </c>
      <c r="P271" s="204">
        <v>42.9</v>
      </c>
      <c r="Q271" s="44" t="s">
        <v>26</v>
      </c>
      <c r="R271" s="205">
        <v>96</v>
      </c>
      <c r="S271" s="205">
        <v>90</v>
      </c>
      <c r="T271" s="217" t="s">
        <v>28</v>
      </c>
    </row>
    <row r="272" spans="1:20" s="6" customFormat="1" ht="13.5" customHeight="1">
      <c r="A272" s="7" t="s">
        <v>36</v>
      </c>
      <c r="B272" s="204">
        <v>55.6</v>
      </c>
      <c r="C272" s="204">
        <v>38.799999999999997</v>
      </c>
      <c r="D272" s="204">
        <v>30.8</v>
      </c>
      <c r="E272" s="204">
        <v>71.400000000000006</v>
      </c>
      <c r="F272" s="204">
        <v>50</v>
      </c>
      <c r="G272" s="204">
        <v>60</v>
      </c>
      <c r="H272" s="204">
        <v>50</v>
      </c>
      <c r="I272" s="204">
        <v>66.7</v>
      </c>
      <c r="J272" s="204">
        <v>80</v>
      </c>
      <c r="K272" s="204">
        <v>0</v>
      </c>
      <c r="L272" s="204">
        <v>0</v>
      </c>
      <c r="M272" s="204">
        <v>0</v>
      </c>
      <c r="N272" s="204">
        <v>0</v>
      </c>
      <c r="O272" s="204">
        <v>40</v>
      </c>
      <c r="P272" s="204">
        <v>33.299999999999997</v>
      </c>
      <c r="Q272" s="207" t="s">
        <v>45</v>
      </c>
      <c r="R272" s="205">
        <v>75</v>
      </c>
      <c r="S272" s="205">
        <v>90</v>
      </c>
      <c r="T272" s="57" t="s">
        <v>28</v>
      </c>
    </row>
    <row r="273" spans="1:20" s="6" customFormat="1" ht="13.5" customHeight="1">
      <c r="A273" s="7" t="s">
        <v>42</v>
      </c>
      <c r="B273" s="204">
        <v>29.3</v>
      </c>
      <c r="C273" s="204">
        <v>49</v>
      </c>
      <c r="D273" s="204">
        <v>20</v>
      </c>
      <c r="E273" s="204">
        <v>80</v>
      </c>
      <c r="F273" s="204">
        <v>75</v>
      </c>
      <c r="G273" s="204">
        <v>66.7</v>
      </c>
      <c r="H273" s="204">
        <v>66.7</v>
      </c>
      <c r="I273" s="204">
        <v>25</v>
      </c>
      <c r="J273" s="204">
        <v>0</v>
      </c>
      <c r="K273" s="204">
        <v>0</v>
      </c>
      <c r="L273" s="204">
        <v>0</v>
      </c>
      <c r="M273" s="204">
        <v>50</v>
      </c>
      <c r="N273" s="204">
        <v>0</v>
      </c>
      <c r="O273" s="204">
        <v>0</v>
      </c>
      <c r="P273" s="204">
        <v>0</v>
      </c>
      <c r="Q273" s="44" t="s">
        <v>45</v>
      </c>
      <c r="R273" s="205">
        <v>90</v>
      </c>
      <c r="S273" s="219">
        <v>108</v>
      </c>
      <c r="T273" s="46" t="s">
        <v>35</v>
      </c>
    </row>
    <row r="274" spans="1:20" s="6" customFormat="1" ht="13.5" customHeight="1">
      <c r="A274" s="7" t="s">
        <v>44</v>
      </c>
      <c r="B274" s="204">
        <v>55.6</v>
      </c>
      <c r="C274" s="204">
        <v>36.9</v>
      </c>
      <c r="D274" s="204">
        <v>36.4</v>
      </c>
      <c r="E274" s="204">
        <v>42.9</v>
      </c>
      <c r="F274" s="204">
        <v>75</v>
      </c>
      <c r="G274" s="204">
        <v>57.1</v>
      </c>
      <c r="H274" s="204">
        <v>75</v>
      </c>
      <c r="I274" s="204">
        <v>100</v>
      </c>
      <c r="J274" s="204">
        <v>100</v>
      </c>
      <c r="K274" s="204">
        <v>50</v>
      </c>
      <c r="L274" s="204">
        <v>50</v>
      </c>
      <c r="M274" s="204">
        <v>50</v>
      </c>
      <c r="N274" s="204">
        <v>50</v>
      </c>
      <c r="O274" s="204">
        <v>40</v>
      </c>
      <c r="P274" s="204">
        <v>33.299999999999997</v>
      </c>
      <c r="Q274" s="207" t="s">
        <v>45</v>
      </c>
      <c r="R274" s="205">
        <v>80</v>
      </c>
      <c r="S274" s="218">
        <v>115</v>
      </c>
      <c r="T274" s="10" t="s">
        <v>35</v>
      </c>
    </row>
    <row r="275" spans="1:20" s="6" customFormat="1" ht="13.5" customHeight="1">
      <c r="A275" s="7" t="s">
        <v>47</v>
      </c>
      <c r="B275" s="204">
        <v>29.3</v>
      </c>
      <c r="C275" s="204">
        <v>39.1</v>
      </c>
      <c r="D275" s="204">
        <v>33.299999999999997</v>
      </c>
      <c r="E275" s="204">
        <v>37.5</v>
      </c>
      <c r="F275" s="204">
        <v>50</v>
      </c>
      <c r="G275" s="204">
        <v>55.6</v>
      </c>
      <c r="H275" s="204">
        <v>66.7</v>
      </c>
      <c r="I275" s="204">
        <v>25</v>
      </c>
      <c r="J275" s="204">
        <v>0</v>
      </c>
      <c r="K275" s="204">
        <v>0</v>
      </c>
      <c r="L275" s="204">
        <v>0</v>
      </c>
      <c r="M275" s="204">
        <v>0</v>
      </c>
      <c r="N275" s="204">
        <v>0</v>
      </c>
      <c r="O275" s="204">
        <v>0</v>
      </c>
      <c r="P275" s="204">
        <v>0</v>
      </c>
      <c r="Q275" s="207" t="s">
        <v>26</v>
      </c>
      <c r="R275" s="205">
        <v>105</v>
      </c>
      <c r="S275" s="219">
        <v>86</v>
      </c>
      <c r="T275" s="10" t="s">
        <v>28</v>
      </c>
    </row>
    <row r="276" spans="1:20" s="6" customFormat="1" ht="13.5" customHeight="1">
      <c r="A276" s="7" t="s">
        <v>60</v>
      </c>
      <c r="B276" s="204">
        <v>59.1</v>
      </c>
      <c r="C276" s="204">
        <v>38.1</v>
      </c>
      <c r="D276" s="204">
        <v>32.4</v>
      </c>
      <c r="E276" s="204">
        <v>85.7</v>
      </c>
      <c r="F276" s="204">
        <v>80</v>
      </c>
      <c r="G276" s="204">
        <v>87.5</v>
      </c>
      <c r="H276" s="204">
        <v>80</v>
      </c>
      <c r="I276" s="204">
        <v>0</v>
      </c>
      <c r="J276" s="204">
        <v>0</v>
      </c>
      <c r="K276" s="204">
        <v>50</v>
      </c>
      <c r="L276" s="204">
        <v>50</v>
      </c>
      <c r="M276" s="204">
        <v>33.299999999999997</v>
      </c>
      <c r="N276" s="204">
        <v>50</v>
      </c>
      <c r="O276" s="204">
        <v>40</v>
      </c>
      <c r="P276" s="204">
        <v>33.299999999999997</v>
      </c>
      <c r="Q276" s="44" t="s">
        <v>45</v>
      </c>
      <c r="R276" s="205">
        <v>75</v>
      </c>
      <c r="S276" s="219">
        <v>75</v>
      </c>
      <c r="T276" s="10" t="s">
        <v>39</v>
      </c>
    </row>
    <row r="277" spans="1:20" s="6" customFormat="1" ht="13.5" customHeight="1">
      <c r="A277" s="7" t="s">
        <v>53</v>
      </c>
      <c r="B277" s="204">
        <v>0</v>
      </c>
      <c r="C277" s="204">
        <v>38.799999999999997</v>
      </c>
      <c r="D277" s="204">
        <v>30</v>
      </c>
      <c r="E277" s="204">
        <v>50</v>
      </c>
      <c r="F277" s="204">
        <v>0</v>
      </c>
      <c r="G277" s="204">
        <v>0</v>
      </c>
      <c r="H277" s="204">
        <v>0</v>
      </c>
      <c r="I277" s="204">
        <v>50</v>
      </c>
      <c r="J277" s="204">
        <v>0</v>
      </c>
      <c r="K277" s="204">
        <v>50</v>
      </c>
      <c r="L277" s="204">
        <v>0</v>
      </c>
      <c r="M277" s="204">
        <v>0</v>
      </c>
      <c r="N277" s="204">
        <v>0</v>
      </c>
      <c r="O277" s="204">
        <v>33.299999999999997</v>
      </c>
      <c r="P277" s="204">
        <v>0</v>
      </c>
      <c r="Q277" s="207" t="s">
        <v>45</v>
      </c>
      <c r="R277" s="205">
        <v>120</v>
      </c>
      <c r="S277" s="219">
        <v>110</v>
      </c>
      <c r="T277" s="10" t="s">
        <v>35</v>
      </c>
    </row>
    <row r="278" spans="1:20" s="6" customFormat="1" ht="13.5" customHeight="1">
      <c r="A278" s="7" t="s">
        <v>47</v>
      </c>
      <c r="B278" s="204">
        <v>29.3</v>
      </c>
      <c r="C278" s="204">
        <v>36.9</v>
      </c>
      <c r="D278" s="204">
        <v>36.4</v>
      </c>
      <c r="E278" s="204">
        <v>0</v>
      </c>
      <c r="F278" s="204">
        <v>0</v>
      </c>
      <c r="G278" s="204">
        <v>0</v>
      </c>
      <c r="H278" s="204">
        <v>0</v>
      </c>
      <c r="I278" s="204">
        <v>0</v>
      </c>
      <c r="J278" s="204">
        <v>0</v>
      </c>
      <c r="K278" s="204">
        <v>0</v>
      </c>
      <c r="L278" s="204">
        <v>0</v>
      </c>
      <c r="M278" s="204">
        <v>0</v>
      </c>
      <c r="N278" s="204">
        <v>0</v>
      </c>
      <c r="O278" s="204">
        <v>0</v>
      </c>
      <c r="P278" s="204">
        <v>0</v>
      </c>
      <c r="Q278" s="44" t="s">
        <v>45</v>
      </c>
      <c r="R278" s="205">
        <v>90</v>
      </c>
      <c r="S278" s="205">
        <v>65</v>
      </c>
      <c r="T278" s="57" t="s">
        <v>46</v>
      </c>
    </row>
    <row r="279" spans="1:20" s="6" customFormat="1" ht="13.5" customHeight="1">
      <c r="A279" s="7" t="s">
        <v>31</v>
      </c>
      <c r="B279" s="204">
        <v>67.7</v>
      </c>
      <c r="C279" s="204">
        <v>74.400000000000006</v>
      </c>
      <c r="D279" s="204">
        <v>100</v>
      </c>
      <c r="E279" s="204">
        <v>75</v>
      </c>
      <c r="F279" s="204">
        <v>100</v>
      </c>
      <c r="G279" s="204">
        <v>71.400000000000006</v>
      </c>
      <c r="H279" s="204">
        <v>80</v>
      </c>
      <c r="I279" s="204">
        <v>75</v>
      </c>
      <c r="J279" s="204">
        <v>100</v>
      </c>
      <c r="K279" s="204">
        <v>100</v>
      </c>
      <c r="L279" s="204">
        <v>100</v>
      </c>
      <c r="M279" s="204">
        <v>100</v>
      </c>
      <c r="N279" s="204">
        <v>100</v>
      </c>
      <c r="O279" s="204">
        <v>100</v>
      </c>
      <c r="P279" s="204">
        <v>100</v>
      </c>
      <c r="Q279" s="207" t="s">
        <v>23</v>
      </c>
      <c r="R279" s="205">
        <v>80</v>
      </c>
      <c r="S279" s="219">
        <v>98</v>
      </c>
      <c r="T279" s="57" t="s">
        <v>35</v>
      </c>
    </row>
    <row r="280" spans="1:20" s="6" customFormat="1" ht="13.5" customHeight="1">
      <c r="A280" s="7" t="s">
        <v>43</v>
      </c>
      <c r="B280" s="204">
        <v>61.5</v>
      </c>
      <c r="C280" s="204">
        <v>73.3</v>
      </c>
      <c r="D280" s="204">
        <v>81.8</v>
      </c>
      <c r="E280" s="204">
        <v>75</v>
      </c>
      <c r="F280" s="204">
        <v>80</v>
      </c>
      <c r="G280" s="204">
        <v>62.5</v>
      </c>
      <c r="H280" s="204">
        <v>80</v>
      </c>
      <c r="I280" s="204">
        <v>75</v>
      </c>
      <c r="J280" s="204">
        <v>100</v>
      </c>
      <c r="K280" s="204">
        <v>80</v>
      </c>
      <c r="L280" s="204">
        <v>80</v>
      </c>
      <c r="M280" s="204">
        <v>100</v>
      </c>
      <c r="N280" s="204">
        <v>100</v>
      </c>
      <c r="O280" s="204">
        <v>100</v>
      </c>
      <c r="P280" s="204">
        <v>100</v>
      </c>
      <c r="Q280" s="44" t="s">
        <v>23</v>
      </c>
      <c r="R280" s="205">
        <v>95</v>
      </c>
      <c r="S280" s="205">
        <v>65</v>
      </c>
      <c r="T280" s="57" t="s">
        <v>40</v>
      </c>
    </row>
    <row r="281" spans="1:20" s="6" customFormat="1" ht="13.5" customHeight="1">
      <c r="A281" s="7" t="s">
        <v>60</v>
      </c>
      <c r="B281" s="204">
        <v>50</v>
      </c>
      <c r="C281" s="204">
        <v>49.4</v>
      </c>
      <c r="D281" s="204">
        <v>50</v>
      </c>
      <c r="E281" s="204">
        <v>0</v>
      </c>
      <c r="F281" s="204">
        <v>0</v>
      </c>
      <c r="G281" s="204">
        <v>33.299999999999997</v>
      </c>
      <c r="H281" s="204">
        <v>0</v>
      </c>
      <c r="I281" s="204">
        <v>0</v>
      </c>
      <c r="J281" s="204">
        <v>0</v>
      </c>
      <c r="K281" s="204">
        <v>0</v>
      </c>
      <c r="L281" s="204">
        <v>0</v>
      </c>
      <c r="M281" s="204">
        <v>16.7</v>
      </c>
      <c r="N281" s="204">
        <v>0</v>
      </c>
      <c r="O281" s="204">
        <v>14.3</v>
      </c>
      <c r="P281" s="204">
        <v>0</v>
      </c>
      <c r="Q281" s="207" t="s">
        <v>45</v>
      </c>
      <c r="R281" s="205">
        <v>90</v>
      </c>
      <c r="S281" s="218">
        <v>98</v>
      </c>
      <c r="T281" s="46" t="s">
        <v>35</v>
      </c>
    </row>
    <row r="282" spans="1:20" s="6" customFormat="1" ht="13.5" customHeight="1">
      <c r="A282" s="7" t="s">
        <v>25</v>
      </c>
      <c r="B282" s="204">
        <v>28.2</v>
      </c>
      <c r="C282" s="204">
        <v>38.799999999999997</v>
      </c>
      <c r="D282" s="204">
        <v>14.3</v>
      </c>
      <c r="E282" s="204">
        <v>0</v>
      </c>
      <c r="F282" s="204">
        <v>0</v>
      </c>
      <c r="G282" s="204">
        <v>0</v>
      </c>
      <c r="H282" s="204">
        <v>0</v>
      </c>
      <c r="I282" s="204">
        <v>0</v>
      </c>
      <c r="J282" s="204">
        <v>0</v>
      </c>
      <c r="K282" s="204">
        <v>0</v>
      </c>
      <c r="L282" s="204">
        <v>0</v>
      </c>
      <c r="M282" s="204">
        <v>0</v>
      </c>
      <c r="N282" s="204">
        <v>0</v>
      </c>
      <c r="O282" s="204">
        <v>0</v>
      </c>
      <c r="P282" s="204">
        <v>0</v>
      </c>
      <c r="Q282" s="44" t="s">
        <v>45</v>
      </c>
      <c r="R282" s="205">
        <v>85</v>
      </c>
      <c r="S282" s="205">
        <v>80</v>
      </c>
      <c r="T282" s="10" t="s">
        <v>46</v>
      </c>
    </row>
    <row r="283" spans="1:20" s="6" customFormat="1" ht="13.5" customHeight="1">
      <c r="A283" s="7" t="s">
        <v>22</v>
      </c>
      <c r="B283" s="204">
        <v>54.8</v>
      </c>
      <c r="C283" s="204">
        <v>54.7</v>
      </c>
      <c r="D283" s="204">
        <v>40</v>
      </c>
      <c r="E283" s="204">
        <v>85.7</v>
      </c>
      <c r="F283" s="204">
        <v>100</v>
      </c>
      <c r="G283" s="204">
        <v>83.3</v>
      </c>
      <c r="H283" s="204">
        <v>100</v>
      </c>
      <c r="I283" s="204">
        <v>80</v>
      </c>
      <c r="J283" s="204">
        <v>80</v>
      </c>
      <c r="K283" s="204">
        <v>100</v>
      </c>
      <c r="L283" s="204">
        <v>100</v>
      </c>
      <c r="M283" s="204">
        <v>100</v>
      </c>
      <c r="N283" s="204">
        <v>100</v>
      </c>
      <c r="O283" s="204">
        <v>100</v>
      </c>
      <c r="P283" s="204">
        <v>100</v>
      </c>
      <c r="Q283" s="44" t="s">
        <v>23</v>
      </c>
      <c r="R283" s="205">
        <v>97</v>
      </c>
      <c r="S283" s="205">
        <v>90</v>
      </c>
      <c r="T283" s="10" t="s">
        <v>28</v>
      </c>
    </row>
    <row r="284" spans="1:20" s="6" customFormat="1" ht="13.5" customHeight="1">
      <c r="A284" s="7" t="s">
        <v>36</v>
      </c>
      <c r="B284" s="204">
        <v>66.7</v>
      </c>
      <c r="C284" s="204">
        <v>59.6</v>
      </c>
      <c r="D284" s="204">
        <v>60</v>
      </c>
      <c r="E284" s="204">
        <v>71.400000000000006</v>
      </c>
      <c r="F284" s="204">
        <v>80</v>
      </c>
      <c r="G284" s="204">
        <v>40</v>
      </c>
      <c r="H284" s="204">
        <v>33.299999999999997</v>
      </c>
      <c r="I284" s="204">
        <v>50</v>
      </c>
      <c r="J284" s="204">
        <v>33.299999999999997</v>
      </c>
      <c r="K284" s="204">
        <v>66.7</v>
      </c>
      <c r="L284" s="204">
        <v>50</v>
      </c>
      <c r="M284" s="204">
        <v>33.299999999999997</v>
      </c>
      <c r="N284" s="204">
        <v>33.299999999999997</v>
      </c>
      <c r="O284" s="204">
        <v>50</v>
      </c>
      <c r="P284" s="204">
        <v>33.299999999999997</v>
      </c>
      <c r="Q284" s="44" t="s">
        <v>26</v>
      </c>
      <c r="R284" s="205">
        <v>80</v>
      </c>
      <c r="S284" s="205">
        <v>90</v>
      </c>
      <c r="T284" s="46" t="s">
        <v>35</v>
      </c>
    </row>
    <row r="285" spans="1:20" s="6" customFormat="1" ht="13.5" customHeight="1">
      <c r="A285" s="7" t="s">
        <v>31</v>
      </c>
      <c r="B285" s="204">
        <v>42.9</v>
      </c>
      <c r="C285" s="204">
        <v>39.1</v>
      </c>
      <c r="D285" s="204">
        <v>75</v>
      </c>
      <c r="E285" s="204">
        <v>100</v>
      </c>
      <c r="F285" s="204">
        <v>100</v>
      </c>
      <c r="G285" s="204">
        <v>100</v>
      </c>
      <c r="H285" s="204">
        <v>100</v>
      </c>
      <c r="I285" s="204">
        <v>100</v>
      </c>
      <c r="J285" s="204">
        <v>100</v>
      </c>
      <c r="K285" s="204">
        <v>66.7</v>
      </c>
      <c r="L285" s="204">
        <v>100</v>
      </c>
      <c r="M285" s="204">
        <v>50</v>
      </c>
      <c r="N285" s="204">
        <v>66.7</v>
      </c>
      <c r="O285" s="204">
        <v>50</v>
      </c>
      <c r="P285" s="204">
        <v>50</v>
      </c>
      <c r="Q285" s="44" t="s">
        <v>45</v>
      </c>
      <c r="R285" s="205">
        <v>85</v>
      </c>
      <c r="S285" s="205">
        <v>76</v>
      </c>
      <c r="T285" s="57" t="s">
        <v>46</v>
      </c>
    </row>
    <row r="286" spans="1:20" s="6" customFormat="1" ht="13.5" customHeight="1">
      <c r="A286" s="7" t="s">
        <v>25</v>
      </c>
      <c r="B286" s="204">
        <v>34.6</v>
      </c>
      <c r="C286" s="204">
        <v>49.4</v>
      </c>
      <c r="D286" s="204">
        <v>28.6</v>
      </c>
      <c r="E286" s="204">
        <v>25</v>
      </c>
      <c r="F286" s="204">
        <v>0</v>
      </c>
      <c r="G286" s="204">
        <v>20</v>
      </c>
      <c r="H286" s="204">
        <v>0</v>
      </c>
      <c r="I286" s="204">
        <v>52.9</v>
      </c>
      <c r="J286" s="204">
        <v>50</v>
      </c>
      <c r="K286" s="204">
        <v>0</v>
      </c>
      <c r="L286" s="204">
        <v>0</v>
      </c>
      <c r="M286" s="204">
        <v>0</v>
      </c>
      <c r="N286" s="204">
        <v>0</v>
      </c>
      <c r="O286" s="204">
        <v>0</v>
      </c>
      <c r="P286" s="204">
        <v>0</v>
      </c>
      <c r="Q286" s="44" t="s">
        <v>26</v>
      </c>
      <c r="R286" s="205">
        <v>95</v>
      </c>
      <c r="S286" s="219">
        <v>89</v>
      </c>
      <c r="T286" s="57" t="s">
        <v>28</v>
      </c>
    </row>
    <row r="287" spans="1:20" s="6" customFormat="1" ht="13.5" customHeight="1">
      <c r="A287" s="7" t="s">
        <v>42</v>
      </c>
      <c r="B287" s="204">
        <v>50</v>
      </c>
      <c r="C287" s="204">
        <v>80</v>
      </c>
      <c r="D287" s="204">
        <v>50</v>
      </c>
      <c r="E287" s="204">
        <v>0</v>
      </c>
      <c r="F287" s="204">
        <v>0</v>
      </c>
      <c r="G287" s="204">
        <v>0</v>
      </c>
      <c r="H287" s="204">
        <v>0</v>
      </c>
      <c r="I287" s="204">
        <v>37.5</v>
      </c>
      <c r="J287" s="204">
        <v>66.7</v>
      </c>
      <c r="K287" s="204">
        <v>0</v>
      </c>
      <c r="L287" s="204">
        <v>0</v>
      </c>
      <c r="M287" s="204">
        <v>0</v>
      </c>
      <c r="N287" s="204">
        <v>0</v>
      </c>
      <c r="O287" s="204">
        <v>0</v>
      </c>
      <c r="P287" s="204">
        <v>0</v>
      </c>
      <c r="Q287" s="44" t="s">
        <v>23</v>
      </c>
      <c r="R287" s="205">
        <v>85</v>
      </c>
      <c r="S287" s="205">
        <v>70</v>
      </c>
      <c r="T287" s="46" t="s">
        <v>40</v>
      </c>
    </row>
    <row r="288" spans="1:20" s="6" customFormat="1" ht="13.5" customHeight="1">
      <c r="A288" s="7" t="s">
        <v>31</v>
      </c>
      <c r="B288" s="204">
        <v>72.7</v>
      </c>
      <c r="C288" s="204">
        <v>59.6</v>
      </c>
      <c r="D288" s="204">
        <v>54.5</v>
      </c>
      <c r="E288" s="204">
        <v>71.400000000000006</v>
      </c>
      <c r="F288" s="204">
        <v>80</v>
      </c>
      <c r="G288" s="204">
        <v>83.3</v>
      </c>
      <c r="H288" s="204">
        <v>100</v>
      </c>
      <c r="I288" s="204">
        <v>61.5</v>
      </c>
      <c r="J288" s="204">
        <v>66.7</v>
      </c>
      <c r="K288" s="204">
        <v>100</v>
      </c>
      <c r="L288" s="204">
        <v>100</v>
      </c>
      <c r="M288" s="204">
        <v>100</v>
      </c>
      <c r="N288" s="204">
        <v>100</v>
      </c>
      <c r="O288" s="204">
        <v>100</v>
      </c>
      <c r="P288" s="204">
        <v>100</v>
      </c>
      <c r="Q288" s="44" t="s">
        <v>23</v>
      </c>
      <c r="R288" s="205">
        <v>100</v>
      </c>
      <c r="S288" s="205">
        <v>102</v>
      </c>
      <c r="T288" s="57" t="s">
        <v>35</v>
      </c>
    </row>
    <row r="289" spans="1:20" s="6" customFormat="1" ht="13.5" customHeight="1">
      <c r="A289" s="7" t="s">
        <v>31</v>
      </c>
      <c r="B289" s="204">
        <v>59.1</v>
      </c>
      <c r="C289" s="204">
        <v>38.1</v>
      </c>
      <c r="D289" s="204">
        <v>32.4</v>
      </c>
      <c r="E289" s="204">
        <v>50</v>
      </c>
      <c r="F289" s="204">
        <v>100</v>
      </c>
      <c r="G289" s="204">
        <v>57.1</v>
      </c>
      <c r="H289" s="204">
        <v>100</v>
      </c>
      <c r="I289" s="204">
        <v>52.9</v>
      </c>
      <c r="J289" s="204">
        <v>50</v>
      </c>
      <c r="K289" s="204">
        <v>100</v>
      </c>
      <c r="L289" s="204">
        <v>100</v>
      </c>
      <c r="M289" s="204">
        <v>100</v>
      </c>
      <c r="N289" s="204">
        <v>100</v>
      </c>
      <c r="O289" s="204">
        <v>33.299999999999997</v>
      </c>
      <c r="P289" s="204">
        <v>66.7</v>
      </c>
      <c r="Q289" s="207" t="s">
        <v>26</v>
      </c>
      <c r="R289" s="219">
        <v>85</v>
      </c>
      <c r="S289" s="205">
        <v>72</v>
      </c>
      <c r="T289" s="10" t="s">
        <v>40</v>
      </c>
    </row>
    <row r="290" spans="1:20" s="6" customFormat="1" ht="13.5" customHeight="1">
      <c r="A290" s="7" t="s">
        <v>53</v>
      </c>
      <c r="B290" s="204">
        <v>55.6</v>
      </c>
      <c r="C290" s="204">
        <v>38.1</v>
      </c>
      <c r="D290" s="204">
        <v>12.5</v>
      </c>
      <c r="E290" s="204">
        <v>0</v>
      </c>
      <c r="F290" s="204">
        <v>0</v>
      </c>
      <c r="G290" s="204">
        <v>0</v>
      </c>
      <c r="H290" s="204">
        <v>0</v>
      </c>
      <c r="I290" s="204">
        <v>25</v>
      </c>
      <c r="J290" s="204">
        <v>33.299999999999997</v>
      </c>
      <c r="K290" s="204">
        <v>0</v>
      </c>
      <c r="L290" s="204">
        <v>0</v>
      </c>
      <c r="M290" s="204">
        <v>0</v>
      </c>
      <c r="N290" s="204">
        <v>0</v>
      </c>
      <c r="O290" s="204">
        <v>66.7</v>
      </c>
      <c r="P290" s="204">
        <v>50</v>
      </c>
      <c r="Q290" s="207" t="s">
        <v>45</v>
      </c>
      <c r="R290" s="205">
        <v>85</v>
      </c>
      <c r="S290" s="205">
        <v>72</v>
      </c>
      <c r="T290" s="10" t="s">
        <v>46</v>
      </c>
    </row>
    <row r="291" spans="1:20" s="6" customFormat="1" ht="13.5" customHeight="1">
      <c r="A291" s="7" t="s">
        <v>37</v>
      </c>
      <c r="B291" s="204">
        <v>67.7</v>
      </c>
      <c r="C291" s="204">
        <v>68</v>
      </c>
      <c r="D291" s="204">
        <v>60</v>
      </c>
      <c r="E291" s="204">
        <v>57.1</v>
      </c>
      <c r="F291" s="204">
        <v>100</v>
      </c>
      <c r="G291" s="204">
        <v>71.400000000000006</v>
      </c>
      <c r="H291" s="204">
        <v>100</v>
      </c>
      <c r="I291" s="204">
        <v>75</v>
      </c>
      <c r="J291" s="204">
        <v>66.7</v>
      </c>
      <c r="K291" s="204">
        <v>50</v>
      </c>
      <c r="L291" s="204">
        <v>50</v>
      </c>
      <c r="M291" s="204">
        <v>100</v>
      </c>
      <c r="N291" s="204">
        <v>100</v>
      </c>
      <c r="O291" s="204">
        <v>100</v>
      </c>
      <c r="P291" s="204">
        <v>100</v>
      </c>
      <c r="Q291" s="44" t="s">
        <v>23</v>
      </c>
      <c r="R291" s="205">
        <v>98</v>
      </c>
      <c r="S291" s="219">
        <v>105</v>
      </c>
      <c r="T291" s="10" t="s">
        <v>35</v>
      </c>
    </row>
    <row r="292" spans="1:20" s="6" customFormat="1" ht="13.5" customHeight="1">
      <c r="A292" s="7" t="s">
        <v>53</v>
      </c>
      <c r="B292" s="204">
        <v>45.7</v>
      </c>
      <c r="C292" s="204">
        <v>68</v>
      </c>
      <c r="D292" s="204">
        <v>57.1</v>
      </c>
      <c r="E292" s="204">
        <v>80</v>
      </c>
      <c r="F292" s="204">
        <v>75</v>
      </c>
      <c r="G292" s="204">
        <v>60</v>
      </c>
      <c r="H292" s="204">
        <v>66.7</v>
      </c>
      <c r="I292" s="204">
        <v>75</v>
      </c>
      <c r="J292" s="204">
        <v>66.7</v>
      </c>
      <c r="K292" s="204">
        <v>0</v>
      </c>
      <c r="L292" s="204">
        <v>0</v>
      </c>
      <c r="M292" s="204">
        <v>0</v>
      </c>
      <c r="N292" s="204">
        <v>0</v>
      </c>
      <c r="O292" s="204">
        <v>0</v>
      </c>
      <c r="P292" s="204">
        <v>0</v>
      </c>
      <c r="Q292" s="44" t="s">
        <v>23</v>
      </c>
      <c r="R292" s="205">
        <v>90</v>
      </c>
      <c r="S292" s="219">
        <v>66</v>
      </c>
      <c r="T292" s="46" t="s">
        <v>40</v>
      </c>
    </row>
    <row r="293" spans="1:20" s="6" customFormat="1" ht="13.5" customHeight="1">
      <c r="A293" s="7" t="s">
        <v>36</v>
      </c>
      <c r="B293" s="204">
        <v>28.2</v>
      </c>
      <c r="C293" s="204">
        <v>49</v>
      </c>
      <c r="D293" s="204">
        <v>41.7</v>
      </c>
      <c r="E293" s="204">
        <v>0</v>
      </c>
      <c r="F293" s="204">
        <v>0</v>
      </c>
      <c r="G293" s="204">
        <v>0</v>
      </c>
      <c r="H293" s="204">
        <v>0</v>
      </c>
      <c r="I293" s="204">
        <v>0</v>
      </c>
      <c r="J293" s="204">
        <v>0</v>
      </c>
      <c r="K293" s="204">
        <v>0</v>
      </c>
      <c r="L293" s="204">
        <v>0</v>
      </c>
      <c r="M293" s="204">
        <v>0</v>
      </c>
      <c r="N293" s="204">
        <v>0</v>
      </c>
      <c r="O293" s="204">
        <v>25</v>
      </c>
      <c r="P293" s="204">
        <v>25</v>
      </c>
      <c r="Q293" s="44" t="s">
        <v>45</v>
      </c>
      <c r="R293" s="205">
        <v>80</v>
      </c>
      <c r="S293" s="219">
        <v>88</v>
      </c>
      <c r="T293" s="10" t="s">
        <v>28</v>
      </c>
    </row>
    <row r="294" spans="1:20" s="6" customFormat="1" ht="13.5" customHeight="1">
      <c r="A294" s="7" t="s">
        <v>31</v>
      </c>
      <c r="B294" s="204">
        <v>60</v>
      </c>
      <c r="C294" s="204">
        <v>57.9</v>
      </c>
      <c r="D294" s="204">
        <v>75</v>
      </c>
      <c r="E294" s="204">
        <v>60</v>
      </c>
      <c r="F294" s="204">
        <v>66.7</v>
      </c>
      <c r="G294" s="204">
        <v>60</v>
      </c>
      <c r="H294" s="204">
        <v>66.7</v>
      </c>
      <c r="I294" s="204">
        <v>100</v>
      </c>
      <c r="J294" s="204">
        <v>100</v>
      </c>
      <c r="K294" s="204">
        <v>100</v>
      </c>
      <c r="L294" s="204">
        <v>100</v>
      </c>
      <c r="M294" s="204">
        <v>100</v>
      </c>
      <c r="N294" s="204">
        <v>100</v>
      </c>
      <c r="O294" s="204">
        <v>100</v>
      </c>
      <c r="P294" s="204">
        <v>100</v>
      </c>
      <c r="Q294" s="44" t="s">
        <v>23</v>
      </c>
      <c r="R294" s="205">
        <v>100</v>
      </c>
      <c r="S294" s="205">
        <v>89</v>
      </c>
      <c r="T294" s="46" t="s">
        <v>28</v>
      </c>
    </row>
    <row r="295" spans="1:20" s="6" customFormat="1" ht="13.5" customHeight="1">
      <c r="A295" s="7" t="s">
        <v>60</v>
      </c>
      <c r="B295" s="204">
        <v>28.2</v>
      </c>
      <c r="C295" s="204">
        <v>49</v>
      </c>
      <c r="D295" s="204">
        <v>41.7</v>
      </c>
      <c r="E295" s="204">
        <v>0</v>
      </c>
      <c r="F295" s="204">
        <v>0</v>
      </c>
      <c r="G295" s="204">
        <v>0</v>
      </c>
      <c r="H295" s="204">
        <v>0</v>
      </c>
      <c r="I295" s="204">
        <v>0</v>
      </c>
      <c r="J295" s="204">
        <v>0</v>
      </c>
      <c r="K295" s="204">
        <v>50</v>
      </c>
      <c r="L295" s="204">
        <v>50</v>
      </c>
      <c r="M295" s="204">
        <v>0</v>
      </c>
      <c r="N295" s="204">
        <v>0</v>
      </c>
      <c r="O295" s="204">
        <v>25</v>
      </c>
      <c r="P295" s="204">
        <v>25</v>
      </c>
      <c r="Q295" s="207" t="s">
        <v>26</v>
      </c>
      <c r="R295" s="205">
        <v>95</v>
      </c>
      <c r="S295" s="205">
        <v>85</v>
      </c>
      <c r="T295" s="57" t="s">
        <v>24</v>
      </c>
    </row>
    <row r="296" spans="1:20" s="6" customFormat="1" ht="13.5" customHeight="1">
      <c r="A296" s="7" t="s">
        <v>22</v>
      </c>
      <c r="B296" s="204">
        <v>66.7</v>
      </c>
      <c r="C296" s="204">
        <v>74.400000000000006</v>
      </c>
      <c r="D296" s="204">
        <v>81.8</v>
      </c>
      <c r="E296" s="204">
        <v>42.9</v>
      </c>
      <c r="F296" s="204">
        <v>66.7</v>
      </c>
      <c r="G296" s="204">
        <v>42.9</v>
      </c>
      <c r="H296" s="204">
        <v>66.7</v>
      </c>
      <c r="I296" s="204">
        <v>75</v>
      </c>
      <c r="J296" s="204">
        <v>85.7</v>
      </c>
      <c r="K296" s="204">
        <v>50</v>
      </c>
      <c r="L296" s="204">
        <v>50</v>
      </c>
      <c r="M296" s="204">
        <v>50</v>
      </c>
      <c r="N296" s="204">
        <v>50</v>
      </c>
      <c r="O296" s="204">
        <v>60</v>
      </c>
      <c r="P296" s="204">
        <v>100</v>
      </c>
      <c r="Q296" s="44" t="s">
        <v>26</v>
      </c>
      <c r="R296" s="205">
        <v>85</v>
      </c>
      <c r="S296" s="219">
        <v>70</v>
      </c>
      <c r="T296" s="10" t="s">
        <v>46</v>
      </c>
    </row>
    <row r="297" spans="1:20" s="6" customFormat="1" ht="13.5" customHeight="1">
      <c r="A297" s="7" t="s">
        <v>53</v>
      </c>
      <c r="B297" s="204">
        <v>55.6</v>
      </c>
      <c r="C297" s="204">
        <v>38.1</v>
      </c>
      <c r="D297" s="204">
        <v>12.5</v>
      </c>
      <c r="E297" s="204">
        <v>0</v>
      </c>
      <c r="F297" s="204">
        <v>0</v>
      </c>
      <c r="G297" s="204">
        <v>50</v>
      </c>
      <c r="H297" s="204">
        <v>0</v>
      </c>
      <c r="I297" s="204">
        <v>0</v>
      </c>
      <c r="J297" s="204">
        <v>0</v>
      </c>
      <c r="K297" s="204">
        <v>33.299999999999997</v>
      </c>
      <c r="L297" s="204">
        <v>50</v>
      </c>
      <c r="M297" s="204">
        <v>33.299999999999997</v>
      </c>
      <c r="N297" s="204">
        <v>50</v>
      </c>
      <c r="O297" s="204">
        <v>0</v>
      </c>
      <c r="P297" s="204">
        <v>0</v>
      </c>
      <c r="Q297" s="44" t="s">
        <v>45</v>
      </c>
      <c r="R297" s="205">
        <v>80</v>
      </c>
      <c r="S297" s="205">
        <v>96</v>
      </c>
      <c r="T297" s="10" t="s">
        <v>65</v>
      </c>
    </row>
    <row r="298" spans="1:20" s="6" customFormat="1" ht="13.5" customHeight="1">
      <c r="A298" s="7" t="s">
        <v>31</v>
      </c>
      <c r="B298" s="204">
        <v>73.3</v>
      </c>
      <c r="C298" s="204">
        <v>73.3</v>
      </c>
      <c r="D298" s="204">
        <v>77.8</v>
      </c>
      <c r="E298" s="204">
        <v>100</v>
      </c>
      <c r="F298" s="204">
        <v>100</v>
      </c>
      <c r="G298" s="204">
        <v>100</v>
      </c>
      <c r="H298" s="204">
        <v>100</v>
      </c>
      <c r="I298" s="204">
        <v>75</v>
      </c>
      <c r="J298" s="204">
        <v>85.7</v>
      </c>
      <c r="K298" s="204">
        <v>100</v>
      </c>
      <c r="L298" s="204">
        <v>100</v>
      </c>
      <c r="M298" s="204">
        <v>100</v>
      </c>
      <c r="N298" s="204">
        <v>100</v>
      </c>
      <c r="O298" s="204">
        <v>33.299999999999997</v>
      </c>
      <c r="P298" s="204">
        <v>33.299999999999997</v>
      </c>
      <c r="Q298" s="207" t="s">
        <v>23</v>
      </c>
      <c r="R298" s="205">
        <v>95</v>
      </c>
      <c r="S298" s="205">
        <v>92</v>
      </c>
      <c r="T298" s="46" t="s">
        <v>28</v>
      </c>
    </row>
    <row r="299" spans="1:20" s="6" customFormat="1" ht="13.5" customHeight="1">
      <c r="A299" s="7" t="s">
        <v>33</v>
      </c>
      <c r="B299" s="204">
        <v>50</v>
      </c>
      <c r="C299" s="204">
        <v>38.799999999999997</v>
      </c>
      <c r="D299" s="204">
        <v>30</v>
      </c>
      <c r="E299" s="204">
        <v>50</v>
      </c>
      <c r="F299" s="204">
        <v>50</v>
      </c>
      <c r="G299" s="204">
        <v>66.7</v>
      </c>
      <c r="H299" s="204">
        <v>50</v>
      </c>
      <c r="I299" s="204">
        <v>57.1</v>
      </c>
      <c r="J299" s="204">
        <v>50</v>
      </c>
      <c r="K299" s="204">
        <v>100</v>
      </c>
      <c r="L299" s="204">
        <v>100</v>
      </c>
      <c r="M299" s="204">
        <v>100</v>
      </c>
      <c r="N299" s="204">
        <v>100</v>
      </c>
      <c r="O299" s="204">
        <v>100</v>
      </c>
      <c r="P299" s="204">
        <v>100</v>
      </c>
      <c r="Q299" s="44" t="s">
        <v>45</v>
      </c>
      <c r="R299" s="205">
        <v>80</v>
      </c>
      <c r="S299" s="205">
        <v>80</v>
      </c>
      <c r="T299" s="10" t="s">
        <v>51</v>
      </c>
    </row>
    <row r="300" spans="1:20" s="6" customFormat="1" ht="13.5" customHeight="1">
      <c r="A300" s="7" t="s">
        <v>74</v>
      </c>
      <c r="B300" s="204">
        <v>29.3</v>
      </c>
      <c r="C300" s="204">
        <v>38.1</v>
      </c>
      <c r="D300" s="204">
        <v>12.5</v>
      </c>
      <c r="E300" s="204">
        <v>50</v>
      </c>
      <c r="F300" s="204">
        <v>50</v>
      </c>
      <c r="G300" s="204">
        <v>66.7</v>
      </c>
      <c r="H300" s="204">
        <v>50</v>
      </c>
      <c r="I300" s="204">
        <v>57.1</v>
      </c>
      <c r="J300" s="204">
        <v>50</v>
      </c>
      <c r="K300" s="204">
        <v>0</v>
      </c>
      <c r="L300" s="204">
        <v>0</v>
      </c>
      <c r="M300" s="204">
        <v>0</v>
      </c>
      <c r="N300" s="204">
        <v>0</v>
      </c>
      <c r="O300" s="204">
        <v>28.6</v>
      </c>
      <c r="P300" s="204">
        <v>25</v>
      </c>
      <c r="Q300" s="44" t="s">
        <v>26</v>
      </c>
      <c r="R300" s="205">
        <v>105</v>
      </c>
      <c r="S300" s="219">
        <v>105</v>
      </c>
      <c r="T300" s="10" t="s">
        <v>35</v>
      </c>
    </row>
    <row r="301" spans="1:20" s="6" customFormat="1" ht="13.5" customHeight="1">
      <c r="A301" s="7" t="s">
        <v>33</v>
      </c>
      <c r="B301" s="204">
        <v>54.8</v>
      </c>
      <c r="C301" s="204">
        <v>46.5</v>
      </c>
      <c r="D301" s="204">
        <v>75</v>
      </c>
      <c r="E301" s="204">
        <v>100</v>
      </c>
      <c r="F301" s="204">
        <v>100</v>
      </c>
      <c r="G301" s="204">
        <v>100</v>
      </c>
      <c r="H301" s="204">
        <v>100</v>
      </c>
      <c r="I301" s="204">
        <v>75</v>
      </c>
      <c r="J301" s="204">
        <v>85.7</v>
      </c>
      <c r="K301" s="204">
        <v>100</v>
      </c>
      <c r="L301" s="204">
        <v>100</v>
      </c>
      <c r="M301" s="204">
        <v>100</v>
      </c>
      <c r="N301" s="204">
        <v>100</v>
      </c>
      <c r="O301" s="204">
        <v>100</v>
      </c>
      <c r="P301" s="204">
        <v>100</v>
      </c>
      <c r="Q301" s="44" t="s">
        <v>23</v>
      </c>
      <c r="R301" s="205">
        <v>100</v>
      </c>
      <c r="S301" s="219">
        <v>105</v>
      </c>
      <c r="T301" s="46" t="s">
        <v>35</v>
      </c>
    </row>
    <row r="302" spans="1:20" s="6" customFormat="1" ht="13.5" customHeight="1">
      <c r="A302" s="7" t="s">
        <v>36</v>
      </c>
      <c r="B302" s="204">
        <v>67.7</v>
      </c>
      <c r="C302" s="204">
        <v>38.1</v>
      </c>
      <c r="D302" s="204">
        <v>25</v>
      </c>
      <c r="E302" s="204">
        <v>40</v>
      </c>
      <c r="F302" s="204">
        <v>0</v>
      </c>
      <c r="G302" s="204">
        <v>25</v>
      </c>
      <c r="H302" s="204">
        <v>0</v>
      </c>
      <c r="I302" s="204">
        <v>33.299999999999997</v>
      </c>
      <c r="J302" s="204">
        <v>0</v>
      </c>
      <c r="K302" s="204">
        <v>33.299999999999997</v>
      </c>
      <c r="L302" s="204">
        <v>0</v>
      </c>
      <c r="M302" s="204">
        <v>33.299999999999997</v>
      </c>
      <c r="N302" s="204">
        <v>0</v>
      </c>
      <c r="O302" s="204">
        <v>71.400000000000006</v>
      </c>
      <c r="P302" s="204">
        <v>0</v>
      </c>
      <c r="Q302" s="207" t="s">
        <v>45</v>
      </c>
      <c r="R302" s="205">
        <v>78</v>
      </c>
      <c r="S302" s="218">
        <v>115</v>
      </c>
      <c r="T302" s="10" t="s">
        <v>35</v>
      </c>
    </row>
    <row r="303" spans="1:20" s="6" customFormat="1" ht="13.5" customHeight="1">
      <c r="A303" s="7" t="s">
        <v>36</v>
      </c>
      <c r="B303" s="204">
        <v>55.6</v>
      </c>
      <c r="C303" s="204">
        <v>73.3</v>
      </c>
      <c r="D303" s="204">
        <v>44.4</v>
      </c>
      <c r="E303" s="204">
        <v>0</v>
      </c>
      <c r="F303" s="204">
        <v>0</v>
      </c>
      <c r="G303" s="204">
        <v>0</v>
      </c>
      <c r="H303" s="204">
        <v>0</v>
      </c>
      <c r="I303" s="204">
        <v>0</v>
      </c>
      <c r="J303" s="204">
        <v>0</v>
      </c>
      <c r="K303" s="204">
        <v>0</v>
      </c>
      <c r="L303" s="204">
        <v>0</v>
      </c>
      <c r="M303" s="204">
        <v>0</v>
      </c>
      <c r="N303" s="204">
        <v>0</v>
      </c>
      <c r="O303" s="204">
        <v>40</v>
      </c>
      <c r="P303" s="204">
        <v>40</v>
      </c>
      <c r="Q303" s="207" t="s">
        <v>23</v>
      </c>
      <c r="R303" s="219">
        <v>92</v>
      </c>
      <c r="S303" s="205">
        <v>100</v>
      </c>
      <c r="T303" s="57" t="s">
        <v>32</v>
      </c>
    </row>
    <row r="304" spans="1:20" s="6" customFormat="1" ht="13.5" customHeight="1">
      <c r="A304" s="7" t="s">
        <v>22</v>
      </c>
      <c r="B304" s="204">
        <v>28.2</v>
      </c>
      <c r="C304" s="204">
        <v>38.1</v>
      </c>
      <c r="D304" s="204">
        <v>33.299999999999997</v>
      </c>
      <c r="E304" s="204">
        <v>66.7</v>
      </c>
      <c r="F304" s="204">
        <v>100</v>
      </c>
      <c r="G304" s="204">
        <v>50</v>
      </c>
      <c r="H304" s="204">
        <v>50</v>
      </c>
      <c r="I304" s="204">
        <v>25</v>
      </c>
      <c r="J304" s="204">
        <v>50</v>
      </c>
      <c r="K304" s="204">
        <v>100</v>
      </c>
      <c r="L304" s="204">
        <v>100</v>
      </c>
      <c r="M304" s="204">
        <v>50</v>
      </c>
      <c r="N304" s="204">
        <v>100</v>
      </c>
      <c r="O304" s="204">
        <v>75</v>
      </c>
      <c r="P304" s="204">
        <v>100</v>
      </c>
      <c r="Q304" s="44" t="s">
        <v>45</v>
      </c>
      <c r="R304" s="205">
        <v>90</v>
      </c>
      <c r="S304" s="205">
        <v>82</v>
      </c>
      <c r="T304" s="10" t="s">
        <v>51</v>
      </c>
    </row>
    <row r="305" spans="1:20" s="6" customFormat="1" ht="13.5" customHeight="1">
      <c r="A305" s="7" t="s">
        <v>36</v>
      </c>
      <c r="B305" s="204">
        <v>34.6</v>
      </c>
      <c r="C305" s="204">
        <v>80</v>
      </c>
      <c r="D305" s="204">
        <v>66.7</v>
      </c>
      <c r="E305" s="204">
        <v>0</v>
      </c>
      <c r="F305" s="204">
        <v>0</v>
      </c>
      <c r="G305" s="204">
        <v>0</v>
      </c>
      <c r="H305" s="204">
        <v>0</v>
      </c>
      <c r="I305" s="204">
        <v>0</v>
      </c>
      <c r="J305" s="204">
        <v>0</v>
      </c>
      <c r="K305" s="204">
        <v>50</v>
      </c>
      <c r="L305" s="204">
        <v>50</v>
      </c>
      <c r="M305" s="204">
        <v>50</v>
      </c>
      <c r="N305" s="204">
        <v>50</v>
      </c>
      <c r="O305" s="204">
        <v>40</v>
      </c>
      <c r="P305" s="204">
        <v>40</v>
      </c>
      <c r="Q305" s="207" t="s">
        <v>30</v>
      </c>
      <c r="R305" s="205">
        <v>100</v>
      </c>
      <c r="S305" s="205">
        <v>100</v>
      </c>
      <c r="T305" s="217" t="s">
        <v>65</v>
      </c>
    </row>
    <row r="306" spans="1:20" s="6" customFormat="1" ht="13.5" customHeight="1">
      <c r="A306" s="7" t="s">
        <v>62</v>
      </c>
      <c r="B306" s="204">
        <v>59.1</v>
      </c>
      <c r="C306" s="204">
        <v>54.7</v>
      </c>
      <c r="D306" s="204">
        <v>53.8</v>
      </c>
      <c r="E306" s="204">
        <v>66.7</v>
      </c>
      <c r="F306" s="204">
        <v>0</v>
      </c>
      <c r="G306" s="204">
        <v>66.7</v>
      </c>
      <c r="H306" s="204">
        <v>0</v>
      </c>
      <c r="I306" s="204">
        <v>0</v>
      </c>
      <c r="J306" s="204">
        <v>0</v>
      </c>
      <c r="K306" s="204">
        <v>0</v>
      </c>
      <c r="L306" s="204">
        <v>0</v>
      </c>
      <c r="M306" s="204">
        <v>0</v>
      </c>
      <c r="N306" s="204">
        <v>0</v>
      </c>
      <c r="O306" s="204">
        <v>0</v>
      </c>
      <c r="P306" s="204">
        <v>0</v>
      </c>
      <c r="Q306" s="44" t="s">
        <v>26</v>
      </c>
      <c r="R306" s="205">
        <v>105</v>
      </c>
      <c r="S306" s="219">
        <v>110</v>
      </c>
      <c r="T306" s="10" t="s">
        <v>48</v>
      </c>
    </row>
    <row r="307" spans="1:20" s="6" customFormat="1" ht="13.5" customHeight="1">
      <c r="A307" s="7" t="s">
        <v>42</v>
      </c>
      <c r="B307" s="204">
        <v>57.7</v>
      </c>
      <c r="C307" s="204">
        <v>59.6</v>
      </c>
      <c r="D307" s="204">
        <v>60</v>
      </c>
      <c r="E307" s="204">
        <v>0</v>
      </c>
      <c r="F307" s="204">
        <v>0</v>
      </c>
      <c r="G307" s="204">
        <v>0</v>
      </c>
      <c r="H307" s="204">
        <v>0</v>
      </c>
      <c r="I307" s="204">
        <v>40</v>
      </c>
      <c r="J307" s="204">
        <v>0</v>
      </c>
      <c r="K307" s="204">
        <v>0</v>
      </c>
      <c r="L307" s="204">
        <v>0</v>
      </c>
      <c r="M307" s="204">
        <v>0</v>
      </c>
      <c r="N307" s="204">
        <v>0</v>
      </c>
      <c r="O307" s="204">
        <v>40</v>
      </c>
      <c r="P307" s="204">
        <v>40</v>
      </c>
      <c r="Q307" s="207" t="s">
        <v>23</v>
      </c>
      <c r="R307" s="205">
        <v>100</v>
      </c>
      <c r="S307" s="219">
        <v>95</v>
      </c>
      <c r="T307" s="57" t="s">
        <v>24</v>
      </c>
    </row>
    <row r="308" spans="1:20" s="6" customFormat="1" ht="13.5" customHeight="1">
      <c r="A308" s="7" t="s">
        <v>42</v>
      </c>
      <c r="B308" s="204">
        <v>29.3</v>
      </c>
      <c r="C308" s="204">
        <v>38.1</v>
      </c>
      <c r="D308" s="204">
        <v>12.5</v>
      </c>
      <c r="E308" s="204">
        <v>16.7</v>
      </c>
      <c r="F308" s="204">
        <v>20</v>
      </c>
      <c r="G308" s="204">
        <v>28.6</v>
      </c>
      <c r="H308" s="204">
        <v>20</v>
      </c>
      <c r="I308" s="204">
        <v>40</v>
      </c>
      <c r="J308" s="204">
        <v>33.299999999999997</v>
      </c>
      <c r="K308" s="204">
        <v>0</v>
      </c>
      <c r="L308" s="204">
        <v>0</v>
      </c>
      <c r="M308" s="204">
        <v>0</v>
      </c>
      <c r="N308" s="204">
        <v>0</v>
      </c>
      <c r="O308" s="204">
        <v>0</v>
      </c>
      <c r="P308" s="204">
        <v>0</v>
      </c>
      <c r="Q308" s="44" t="s">
        <v>26</v>
      </c>
      <c r="R308" s="205">
        <v>95</v>
      </c>
      <c r="S308" s="219">
        <v>90</v>
      </c>
      <c r="T308" s="10" t="s">
        <v>28</v>
      </c>
    </row>
    <row r="309" spans="1:20" s="6" customFormat="1" ht="13.5" customHeight="1">
      <c r="A309" s="7" t="s">
        <v>33</v>
      </c>
      <c r="B309" s="204">
        <v>62.5</v>
      </c>
      <c r="C309" s="204">
        <v>100</v>
      </c>
      <c r="D309" s="204">
        <v>100</v>
      </c>
      <c r="E309" s="204">
        <v>100</v>
      </c>
      <c r="F309" s="204">
        <v>100</v>
      </c>
      <c r="G309" s="204">
        <v>100</v>
      </c>
      <c r="H309" s="204">
        <v>100</v>
      </c>
      <c r="I309" s="204">
        <v>75</v>
      </c>
      <c r="J309" s="204">
        <v>80</v>
      </c>
      <c r="K309" s="204">
        <v>100</v>
      </c>
      <c r="L309" s="204">
        <v>100</v>
      </c>
      <c r="M309" s="204">
        <v>100</v>
      </c>
      <c r="N309" s="204">
        <v>100</v>
      </c>
      <c r="O309" s="204">
        <v>100</v>
      </c>
      <c r="P309" s="204">
        <v>100</v>
      </c>
      <c r="Q309" s="44" t="s">
        <v>34</v>
      </c>
      <c r="R309" s="205">
        <v>82</v>
      </c>
      <c r="S309" s="205">
        <v>100</v>
      </c>
      <c r="T309" s="10" t="s">
        <v>35</v>
      </c>
    </row>
    <row r="310" spans="1:20" s="6" customFormat="1" ht="13.5" customHeight="1">
      <c r="A310" s="7" t="s">
        <v>41</v>
      </c>
      <c r="B310" s="204">
        <v>54.8</v>
      </c>
      <c r="C310" s="204">
        <v>54.7</v>
      </c>
      <c r="D310" s="204">
        <v>40</v>
      </c>
      <c r="E310" s="204">
        <v>62.5</v>
      </c>
      <c r="F310" s="204">
        <v>66.7</v>
      </c>
      <c r="G310" s="204">
        <v>33.299999999999997</v>
      </c>
      <c r="H310" s="204">
        <v>100</v>
      </c>
      <c r="I310" s="204">
        <v>62.5</v>
      </c>
      <c r="J310" s="204">
        <v>70</v>
      </c>
      <c r="K310" s="204">
        <v>100</v>
      </c>
      <c r="L310" s="204">
        <v>100</v>
      </c>
      <c r="M310" s="204">
        <v>100</v>
      </c>
      <c r="N310" s="204">
        <v>100</v>
      </c>
      <c r="O310" s="204">
        <v>100</v>
      </c>
      <c r="P310" s="204">
        <v>100</v>
      </c>
      <c r="Q310" s="44" t="s">
        <v>26</v>
      </c>
      <c r="R310" s="205">
        <v>90</v>
      </c>
      <c r="S310" s="205">
        <v>85</v>
      </c>
      <c r="T310" s="57" t="s">
        <v>28</v>
      </c>
    </row>
    <row r="311" spans="1:20" s="6" customFormat="1" ht="13.5" customHeight="1">
      <c r="A311" s="42" t="s">
        <v>49</v>
      </c>
      <c r="B311" s="204">
        <v>59.1</v>
      </c>
      <c r="C311" s="204">
        <v>73.3</v>
      </c>
      <c r="D311" s="204">
        <v>44.4</v>
      </c>
      <c r="E311" s="204">
        <v>66.7</v>
      </c>
      <c r="F311" s="204">
        <v>100</v>
      </c>
      <c r="G311" s="204">
        <v>66.7</v>
      </c>
      <c r="H311" s="204">
        <v>100</v>
      </c>
      <c r="I311" s="204">
        <v>40</v>
      </c>
      <c r="J311" s="204">
        <v>100</v>
      </c>
      <c r="K311" s="204">
        <v>100</v>
      </c>
      <c r="L311" s="204">
        <v>100</v>
      </c>
      <c r="M311" s="204">
        <v>100</v>
      </c>
      <c r="N311" s="204">
        <v>100</v>
      </c>
      <c r="O311" s="204">
        <v>100</v>
      </c>
      <c r="P311" s="204">
        <v>100</v>
      </c>
      <c r="Q311" s="207" t="s">
        <v>23</v>
      </c>
      <c r="R311" s="205">
        <v>100</v>
      </c>
      <c r="S311" s="205">
        <v>98</v>
      </c>
      <c r="T311" s="10" t="s">
        <v>48</v>
      </c>
    </row>
    <row r="312" spans="1:20" s="6" customFormat="1" ht="13.5" customHeight="1">
      <c r="A312" s="7" t="s">
        <v>42</v>
      </c>
      <c r="B312" s="204">
        <v>54.8</v>
      </c>
      <c r="C312" s="204">
        <v>36.9</v>
      </c>
      <c r="D312" s="204">
        <v>40</v>
      </c>
      <c r="E312" s="204">
        <v>33.299999999999997</v>
      </c>
      <c r="F312" s="204">
        <v>50</v>
      </c>
      <c r="G312" s="204">
        <v>0</v>
      </c>
      <c r="H312" s="204">
        <v>0</v>
      </c>
      <c r="I312" s="204">
        <v>62.5</v>
      </c>
      <c r="J312" s="204">
        <v>70</v>
      </c>
      <c r="K312" s="204">
        <v>0</v>
      </c>
      <c r="L312" s="204">
        <v>0</v>
      </c>
      <c r="M312" s="204">
        <v>50</v>
      </c>
      <c r="N312" s="204">
        <v>50</v>
      </c>
      <c r="O312" s="204">
        <v>66.7</v>
      </c>
      <c r="P312" s="204">
        <v>50</v>
      </c>
      <c r="Q312" s="207" t="s">
        <v>26</v>
      </c>
      <c r="R312" s="205">
        <v>107</v>
      </c>
      <c r="S312" s="219">
        <v>110</v>
      </c>
      <c r="T312" s="57" t="s">
        <v>35</v>
      </c>
    </row>
    <row r="313" spans="1:20" s="6" customFormat="1" ht="13.5" customHeight="1">
      <c r="A313" s="7" t="s">
        <v>44</v>
      </c>
      <c r="B313" s="204">
        <v>57.7</v>
      </c>
      <c r="C313" s="204">
        <v>59.6</v>
      </c>
      <c r="D313" s="204">
        <v>60</v>
      </c>
      <c r="E313" s="204">
        <v>57.1</v>
      </c>
      <c r="F313" s="204">
        <v>100</v>
      </c>
      <c r="G313" s="204">
        <v>66.7</v>
      </c>
      <c r="H313" s="204">
        <v>100</v>
      </c>
      <c r="I313" s="204">
        <v>50</v>
      </c>
      <c r="J313" s="204">
        <v>100</v>
      </c>
      <c r="K313" s="204">
        <v>100</v>
      </c>
      <c r="L313" s="204">
        <v>100</v>
      </c>
      <c r="M313" s="204">
        <v>100</v>
      </c>
      <c r="N313" s="204">
        <v>100</v>
      </c>
      <c r="O313" s="204">
        <v>100</v>
      </c>
      <c r="P313" s="204">
        <v>100</v>
      </c>
      <c r="Q313" s="44" t="s">
        <v>30</v>
      </c>
      <c r="R313" s="205">
        <v>115</v>
      </c>
      <c r="S313" s="219">
        <v>55</v>
      </c>
      <c r="T313" s="10" t="s">
        <v>40</v>
      </c>
    </row>
    <row r="314" spans="1:20" s="6" customFormat="1" ht="13.5" customHeight="1">
      <c r="A314" s="7" t="s">
        <v>31</v>
      </c>
      <c r="B314" s="204">
        <v>29.3</v>
      </c>
      <c r="C314" s="204">
        <v>57.9</v>
      </c>
      <c r="D314" s="204">
        <v>80</v>
      </c>
      <c r="E314" s="204">
        <v>100</v>
      </c>
      <c r="F314" s="204">
        <v>100</v>
      </c>
      <c r="G314" s="204">
        <v>100</v>
      </c>
      <c r="H314" s="204">
        <v>100</v>
      </c>
      <c r="I314" s="204">
        <v>50</v>
      </c>
      <c r="J314" s="204">
        <v>100</v>
      </c>
      <c r="K314" s="204">
        <v>100</v>
      </c>
      <c r="L314" s="204">
        <v>100</v>
      </c>
      <c r="M314" s="204">
        <v>100</v>
      </c>
      <c r="N314" s="204">
        <v>100</v>
      </c>
      <c r="O314" s="204">
        <v>100</v>
      </c>
      <c r="P314" s="204">
        <v>100</v>
      </c>
      <c r="Q314" s="207" t="s">
        <v>26</v>
      </c>
      <c r="R314" s="205">
        <v>80</v>
      </c>
      <c r="S314" s="205">
        <v>100</v>
      </c>
      <c r="T314" s="10" t="s">
        <v>48</v>
      </c>
    </row>
    <row r="315" spans="1:20" s="6" customFormat="1" ht="13.5" customHeight="1">
      <c r="A315" s="7" t="s">
        <v>53</v>
      </c>
      <c r="B315" s="204">
        <v>66.7</v>
      </c>
      <c r="C315" s="204">
        <v>63.6</v>
      </c>
      <c r="D315" s="204">
        <v>50</v>
      </c>
      <c r="E315" s="204">
        <v>80</v>
      </c>
      <c r="F315" s="204">
        <v>75</v>
      </c>
      <c r="G315" s="204">
        <v>50</v>
      </c>
      <c r="H315" s="204">
        <v>25</v>
      </c>
      <c r="I315" s="204">
        <v>45</v>
      </c>
      <c r="J315" s="204">
        <v>50</v>
      </c>
      <c r="K315" s="204">
        <v>33.299999999999997</v>
      </c>
      <c r="L315" s="204">
        <v>33.299999999999997</v>
      </c>
      <c r="M315" s="204">
        <v>50</v>
      </c>
      <c r="N315" s="204">
        <v>50</v>
      </c>
      <c r="O315" s="204">
        <v>14.3</v>
      </c>
      <c r="P315" s="204">
        <v>25</v>
      </c>
      <c r="Q315" s="207" t="s">
        <v>23</v>
      </c>
      <c r="R315" s="205">
        <v>75</v>
      </c>
      <c r="S315" s="222">
        <v>65</v>
      </c>
      <c r="T315" s="10" t="s">
        <v>40</v>
      </c>
    </row>
    <row r="316" spans="1:20" ht="13.5" customHeight="1">
      <c r="A316" s="7" t="s">
        <v>31</v>
      </c>
      <c r="B316" s="204">
        <v>46.2</v>
      </c>
      <c r="C316" s="204">
        <v>36.9</v>
      </c>
      <c r="D316" s="204">
        <v>42.9</v>
      </c>
      <c r="E316" s="204">
        <v>20</v>
      </c>
      <c r="F316" s="204">
        <v>100</v>
      </c>
      <c r="G316" s="204">
        <v>50</v>
      </c>
      <c r="H316" s="204">
        <v>100</v>
      </c>
      <c r="I316" s="204">
        <v>50</v>
      </c>
      <c r="J316" s="204">
        <v>100</v>
      </c>
      <c r="K316" s="204">
        <v>66.7</v>
      </c>
      <c r="L316" s="204">
        <v>100</v>
      </c>
      <c r="M316" s="204">
        <v>66.7</v>
      </c>
      <c r="N316" s="204">
        <v>100</v>
      </c>
      <c r="O316" s="204">
        <v>50</v>
      </c>
      <c r="P316" s="204">
        <v>100</v>
      </c>
      <c r="Q316" s="44" t="s">
        <v>45</v>
      </c>
      <c r="R316" s="205">
        <v>102</v>
      </c>
      <c r="S316" s="219">
        <v>84</v>
      </c>
      <c r="T316" s="217" t="s">
        <v>40</v>
      </c>
    </row>
    <row r="317" spans="1:20" ht="13.5" customHeight="1">
      <c r="A317" s="7" t="s">
        <v>22</v>
      </c>
      <c r="B317" s="204">
        <v>100</v>
      </c>
      <c r="C317" s="204">
        <v>62.5</v>
      </c>
      <c r="D317" s="204">
        <v>33.299999999999997</v>
      </c>
      <c r="E317" s="204">
        <v>80</v>
      </c>
      <c r="F317" s="204">
        <v>75</v>
      </c>
      <c r="G317" s="204">
        <v>100</v>
      </c>
      <c r="H317" s="204">
        <v>100</v>
      </c>
      <c r="I317" s="204">
        <v>75</v>
      </c>
      <c r="J317" s="204">
        <v>50</v>
      </c>
      <c r="K317" s="204">
        <v>100</v>
      </c>
      <c r="L317" s="204">
        <v>100</v>
      </c>
      <c r="M317" s="204">
        <v>100</v>
      </c>
      <c r="N317" s="204">
        <v>100</v>
      </c>
      <c r="O317" s="204">
        <v>100</v>
      </c>
      <c r="P317" s="204">
        <v>100</v>
      </c>
      <c r="Q317" s="207" t="s">
        <v>30</v>
      </c>
      <c r="R317" s="205">
        <v>80</v>
      </c>
      <c r="S317" s="219">
        <v>65</v>
      </c>
      <c r="T317" s="10" t="s">
        <v>40</v>
      </c>
    </row>
    <row r="318" spans="1:20" ht="13.5" customHeight="1">
      <c r="A318" s="7" t="s">
        <v>33</v>
      </c>
      <c r="B318" s="204">
        <v>60</v>
      </c>
      <c r="C318" s="204">
        <v>74.400000000000006</v>
      </c>
      <c r="D318" s="204">
        <v>81.8</v>
      </c>
      <c r="E318" s="204">
        <v>37.5</v>
      </c>
      <c r="F318" s="204">
        <v>50</v>
      </c>
      <c r="G318" s="204">
        <v>42.9</v>
      </c>
      <c r="H318" s="204">
        <v>50</v>
      </c>
      <c r="I318" s="204">
        <v>45</v>
      </c>
      <c r="J318" s="204">
        <v>50</v>
      </c>
      <c r="K318" s="204">
        <v>40</v>
      </c>
      <c r="L318" s="204">
        <v>50</v>
      </c>
      <c r="M318" s="204">
        <v>40</v>
      </c>
      <c r="N318" s="204">
        <v>50</v>
      </c>
      <c r="O318" s="204">
        <v>100</v>
      </c>
      <c r="P318" s="204">
        <v>100</v>
      </c>
      <c r="Q318" s="44" t="s">
        <v>23</v>
      </c>
      <c r="R318" s="219">
        <v>90</v>
      </c>
      <c r="S318" s="219">
        <v>90</v>
      </c>
      <c r="T318" s="10" t="s">
        <v>28</v>
      </c>
    </row>
    <row r="319" spans="1:20" ht="13.5" customHeight="1">
      <c r="A319" s="7" t="s">
        <v>42</v>
      </c>
      <c r="B319" s="204">
        <v>57.7</v>
      </c>
      <c r="C319" s="204">
        <v>57.9</v>
      </c>
      <c r="D319" s="204">
        <v>62.5</v>
      </c>
      <c r="E319" s="204">
        <v>50</v>
      </c>
      <c r="F319" s="204">
        <v>0</v>
      </c>
      <c r="G319" s="204">
        <v>50</v>
      </c>
      <c r="H319" s="204">
        <v>0</v>
      </c>
      <c r="I319" s="204">
        <v>40</v>
      </c>
      <c r="J319" s="204">
        <v>33.299999999999997</v>
      </c>
      <c r="K319" s="204">
        <v>0</v>
      </c>
      <c r="L319" s="204">
        <v>0</v>
      </c>
      <c r="M319" s="204">
        <v>0</v>
      </c>
      <c r="N319" s="204">
        <v>0</v>
      </c>
      <c r="O319" s="204">
        <v>88.9</v>
      </c>
      <c r="P319" s="204">
        <v>66.7</v>
      </c>
      <c r="Q319" s="44" t="s">
        <v>23</v>
      </c>
      <c r="R319" s="205">
        <v>105</v>
      </c>
      <c r="S319" s="205">
        <v>102</v>
      </c>
      <c r="T319" s="10" t="s">
        <v>35</v>
      </c>
    </row>
    <row r="320" spans="1:20" ht="13.5" customHeight="1">
      <c r="A320" s="7" t="s">
        <v>33</v>
      </c>
      <c r="B320" s="204">
        <v>45.7</v>
      </c>
      <c r="C320" s="204">
        <v>49</v>
      </c>
      <c r="D320" s="204">
        <v>75</v>
      </c>
      <c r="E320" s="204">
        <v>50</v>
      </c>
      <c r="F320" s="204">
        <v>50</v>
      </c>
      <c r="G320" s="204">
        <v>50</v>
      </c>
      <c r="H320" s="204">
        <v>50</v>
      </c>
      <c r="I320" s="204">
        <v>50</v>
      </c>
      <c r="J320" s="204">
        <v>50</v>
      </c>
      <c r="K320" s="204">
        <v>80</v>
      </c>
      <c r="L320" s="204">
        <v>80</v>
      </c>
      <c r="M320" s="204">
        <v>75</v>
      </c>
      <c r="N320" s="204">
        <v>75</v>
      </c>
      <c r="O320" s="204">
        <v>100</v>
      </c>
      <c r="P320" s="204">
        <v>100</v>
      </c>
      <c r="Q320" s="44" t="s">
        <v>45</v>
      </c>
      <c r="R320" s="205">
        <v>100</v>
      </c>
      <c r="S320" s="205">
        <v>70</v>
      </c>
      <c r="T320" s="217" t="s">
        <v>40</v>
      </c>
    </row>
    <row r="321" spans="1:20" ht="13.5" customHeight="1">
      <c r="A321" s="7" t="s">
        <v>36</v>
      </c>
      <c r="B321" s="204">
        <v>29.3</v>
      </c>
      <c r="C321" s="204">
        <v>38.799999999999997</v>
      </c>
      <c r="D321" s="204">
        <v>30.8</v>
      </c>
      <c r="E321" s="204">
        <v>50</v>
      </c>
      <c r="F321" s="204">
        <v>50</v>
      </c>
      <c r="G321" s="204">
        <v>50</v>
      </c>
      <c r="H321" s="204">
        <v>50</v>
      </c>
      <c r="I321" s="204">
        <v>55.6</v>
      </c>
      <c r="J321" s="204">
        <v>33.299999999999997</v>
      </c>
      <c r="K321" s="204">
        <v>0</v>
      </c>
      <c r="L321" s="204">
        <v>0</v>
      </c>
      <c r="M321" s="204">
        <v>0</v>
      </c>
      <c r="N321" s="204">
        <v>0</v>
      </c>
      <c r="O321" s="204">
        <v>25</v>
      </c>
      <c r="P321" s="204">
        <v>50</v>
      </c>
      <c r="Q321" s="44" t="s">
        <v>45</v>
      </c>
      <c r="R321" s="205">
        <v>95</v>
      </c>
      <c r="S321" s="218">
        <v>96</v>
      </c>
      <c r="T321" s="217" t="s">
        <v>48</v>
      </c>
    </row>
    <row r="322" spans="1:20" ht="13.5" customHeight="1">
      <c r="A322" s="7" t="s">
        <v>75</v>
      </c>
      <c r="B322" s="204">
        <v>60</v>
      </c>
      <c r="C322" s="204">
        <v>38.799999999999997</v>
      </c>
      <c r="D322" s="204">
        <v>37.5</v>
      </c>
      <c r="E322" s="204">
        <v>33.299999999999997</v>
      </c>
      <c r="F322" s="204">
        <v>33.299999999999997</v>
      </c>
      <c r="G322" s="204">
        <v>25</v>
      </c>
      <c r="H322" s="204">
        <v>33.299999999999997</v>
      </c>
      <c r="I322" s="204">
        <v>40</v>
      </c>
      <c r="J322" s="204">
        <v>0</v>
      </c>
      <c r="K322" s="204">
        <v>0</v>
      </c>
      <c r="L322" s="204">
        <v>0</v>
      </c>
      <c r="M322" s="204">
        <v>66.7</v>
      </c>
      <c r="N322" s="204">
        <v>50</v>
      </c>
      <c r="O322" s="204">
        <v>50</v>
      </c>
      <c r="P322" s="204">
        <v>0</v>
      </c>
      <c r="Q322" s="44" t="s">
        <v>45</v>
      </c>
      <c r="R322" s="205">
        <v>90</v>
      </c>
      <c r="S322" s="205">
        <v>70</v>
      </c>
      <c r="T322" s="217" t="s">
        <v>40</v>
      </c>
    </row>
    <row r="323" spans="1:20" ht="13.5" customHeight="1">
      <c r="A323" s="7" t="s">
        <v>41</v>
      </c>
      <c r="B323" s="204">
        <v>54.8</v>
      </c>
      <c r="C323" s="204">
        <v>68</v>
      </c>
      <c r="D323" s="204">
        <v>75</v>
      </c>
      <c r="E323" s="204">
        <v>75</v>
      </c>
      <c r="F323" s="204">
        <v>80</v>
      </c>
      <c r="G323" s="204">
        <v>75</v>
      </c>
      <c r="H323" s="204">
        <v>80</v>
      </c>
      <c r="I323" s="204">
        <v>80</v>
      </c>
      <c r="J323" s="204">
        <v>80</v>
      </c>
      <c r="K323" s="204">
        <v>66.7</v>
      </c>
      <c r="L323" s="204">
        <v>66.7</v>
      </c>
      <c r="M323" s="204">
        <v>66.7</v>
      </c>
      <c r="N323" s="204">
        <v>66.7</v>
      </c>
      <c r="O323" s="204">
        <v>71.400000000000006</v>
      </c>
      <c r="P323" s="204">
        <v>71.400000000000006</v>
      </c>
      <c r="Q323" s="44" t="s">
        <v>26</v>
      </c>
      <c r="R323" s="205">
        <v>95</v>
      </c>
      <c r="S323" s="205">
        <v>70</v>
      </c>
      <c r="T323" s="217" t="s">
        <v>40</v>
      </c>
    </row>
    <row r="324" spans="1:20" ht="13.5" customHeight="1">
      <c r="A324" s="7" t="s">
        <v>33</v>
      </c>
      <c r="B324" s="204">
        <v>54.8</v>
      </c>
      <c r="C324" s="204">
        <v>59.6</v>
      </c>
      <c r="D324" s="204">
        <v>80</v>
      </c>
      <c r="E324" s="204">
        <v>100</v>
      </c>
      <c r="F324" s="204">
        <v>100</v>
      </c>
      <c r="G324" s="204">
        <v>100</v>
      </c>
      <c r="H324" s="204">
        <v>100</v>
      </c>
      <c r="I324" s="204">
        <v>75</v>
      </c>
      <c r="J324" s="204">
        <v>85.7</v>
      </c>
      <c r="K324" s="204">
        <v>50</v>
      </c>
      <c r="L324" s="204">
        <v>100</v>
      </c>
      <c r="M324" s="204">
        <v>50</v>
      </c>
      <c r="N324" s="204">
        <v>100</v>
      </c>
      <c r="O324" s="204">
        <v>100</v>
      </c>
      <c r="P324" s="204">
        <v>100</v>
      </c>
      <c r="Q324" s="44" t="s">
        <v>26</v>
      </c>
      <c r="R324" s="205">
        <v>95</v>
      </c>
      <c r="S324" s="205">
        <v>90</v>
      </c>
      <c r="T324" s="217" t="s">
        <v>28</v>
      </c>
    </row>
    <row r="325" spans="1:20" ht="13.5" customHeight="1">
      <c r="A325" s="7" t="s">
        <v>44</v>
      </c>
      <c r="B325" s="204">
        <v>73.3</v>
      </c>
      <c r="C325" s="204">
        <v>68</v>
      </c>
      <c r="D325" s="204">
        <v>83.3</v>
      </c>
      <c r="E325" s="204">
        <v>33.299999999999997</v>
      </c>
      <c r="F325" s="204">
        <v>50</v>
      </c>
      <c r="G325" s="204">
        <v>50</v>
      </c>
      <c r="H325" s="204">
        <v>100</v>
      </c>
      <c r="I325" s="204">
        <v>62.5</v>
      </c>
      <c r="J325" s="204">
        <v>70</v>
      </c>
      <c r="K325" s="204">
        <v>100</v>
      </c>
      <c r="L325" s="204">
        <v>100</v>
      </c>
      <c r="M325" s="204">
        <v>100</v>
      </c>
      <c r="N325" s="204">
        <v>100</v>
      </c>
      <c r="O325" s="204">
        <v>100</v>
      </c>
      <c r="P325" s="204">
        <v>100</v>
      </c>
      <c r="Q325" s="44" t="s">
        <v>26</v>
      </c>
      <c r="R325" s="205">
        <v>100</v>
      </c>
      <c r="S325" s="209">
        <v>58</v>
      </c>
      <c r="T325" s="217" t="s">
        <v>40</v>
      </c>
    </row>
    <row r="326" spans="1:20" ht="13.5" customHeight="1">
      <c r="A326" s="7" t="s">
        <v>42</v>
      </c>
      <c r="B326" s="204">
        <v>51.7</v>
      </c>
      <c r="C326" s="204">
        <v>49.4</v>
      </c>
      <c r="D326" s="204">
        <v>28.6</v>
      </c>
      <c r="E326" s="204">
        <v>0</v>
      </c>
      <c r="F326" s="204">
        <v>0</v>
      </c>
      <c r="G326" s="204">
        <v>33.299999999999997</v>
      </c>
      <c r="H326" s="204">
        <v>50</v>
      </c>
      <c r="I326" s="204">
        <v>25</v>
      </c>
      <c r="J326" s="204">
        <v>50</v>
      </c>
      <c r="K326" s="204">
        <v>33.299999999999997</v>
      </c>
      <c r="L326" s="204">
        <v>0</v>
      </c>
      <c r="M326" s="204">
        <v>33.299999999999997</v>
      </c>
      <c r="N326" s="204">
        <v>0</v>
      </c>
      <c r="O326" s="204">
        <v>28.6</v>
      </c>
      <c r="P326" s="204">
        <v>25</v>
      </c>
      <c r="Q326" s="44" t="s">
        <v>45</v>
      </c>
      <c r="R326" s="205">
        <v>95</v>
      </c>
      <c r="S326" s="219">
        <v>75</v>
      </c>
      <c r="T326" s="217" t="s">
        <v>40</v>
      </c>
    </row>
    <row r="327" spans="1:20" ht="13.5" customHeight="1">
      <c r="A327" s="7" t="s">
        <v>31</v>
      </c>
      <c r="B327" s="204">
        <v>50</v>
      </c>
      <c r="C327" s="204">
        <v>49.4</v>
      </c>
      <c r="D327" s="204">
        <v>44.4</v>
      </c>
      <c r="E327" s="204">
        <v>83.3</v>
      </c>
      <c r="F327" s="204">
        <v>100</v>
      </c>
      <c r="G327" s="204">
        <v>71.400000000000006</v>
      </c>
      <c r="H327" s="204">
        <v>100</v>
      </c>
      <c r="I327" s="204">
        <v>62.5</v>
      </c>
      <c r="J327" s="204">
        <v>33.299999999999997</v>
      </c>
      <c r="K327" s="204">
        <v>60</v>
      </c>
      <c r="L327" s="204">
        <v>100</v>
      </c>
      <c r="M327" s="204">
        <v>60</v>
      </c>
      <c r="N327" s="204">
        <v>100</v>
      </c>
      <c r="O327" s="204">
        <v>40</v>
      </c>
      <c r="P327" s="204">
        <v>50</v>
      </c>
      <c r="Q327" s="207" t="s">
        <v>45</v>
      </c>
      <c r="R327" s="205">
        <v>100</v>
      </c>
      <c r="S327" s="219">
        <v>68</v>
      </c>
      <c r="T327" s="217" t="s">
        <v>40</v>
      </c>
    </row>
    <row r="328" spans="1:20" ht="13.5" customHeight="1">
      <c r="A328" s="7" t="s">
        <v>60</v>
      </c>
      <c r="B328" s="204">
        <v>37.5</v>
      </c>
      <c r="C328" s="204">
        <v>38.1</v>
      </c>
      <c r="D328" s="204">
        <v>40</v>
      </c>
      <c r="E328" s="204">
        <v>0</v>
      </c>
      <c r="F328" s="204">
        <v>0</v>
      </c>
      <c r="G328" s="204">
        <v>50</v>
      </c>
      <c r="H328" s="204">
        <v>50</v>
      </c>
      <c r="I328" s="204">
        <v>0</v>
      </c>
      <c r="J328" s="204">
        <v>0</v>
      </c>
      <c r="K328" s="204">
        <v>0</v>
      </c>
      <c r="L328" s="204">
        <v>0</v>
      </c>
      <c r="M328" s="204">
        <v>0</v>
      </c>
      <c r="N328" s="204">
        <v>0</v>
      </c>
      <c r="O328" s="204">
        <v>16.7</v>
      </c>
      <c r="P328" s="204">
        <v>0</v>
      </c>
      <c r="Q328" s="44" t="s">
        <v>26</v>
      </c>
      <c r="R328" s="205">
        <v>85</v>
      </c>
      <c r="S328" s="205">
        <v>108</v>
      </c>
      <c r="T328" s="217" t="s">
        <v>35</v>
      </c>
    </row>
    <row r="329" spans="1:20" ht="13.5" customHeight="1">
      <c r="A329" s="7" t="s">
        <v>36</v>
      </c>
      <c r="B329" s="204">
        <v>45.7</v>
      </c>
      <c r="C329" s="204">
        <v>38.1</v>
      </c>
      <c r="D329" s="204">
        <v>56.2</v>
      </c>
      <c r="E329" s="204">
        <v>50</v>
      </c>
      <c r="F329" s="204">
        <v>50</v>
      </c>
      <c r="G329" s="204">
        <v>50</v>
      </c>
      <c r="H329" s="204">
        <v>50</v>
      </c>
      <c r="I329" s="204">
        <v>50</v>
      </c>
      <c r="J329" s="204">
        <v>50</v>
      </c>
      <c r="K329" s="204">
        <v>0</v>
      </c>
      <c r="L329" s="204">
        <v>0</v>
      </c>
      <c r="M329" s="204">
        <v>0</v>
      </c>
      <c r="N329" s="204">
        <v>0</v>
      </c>
      <c r="O329" s="204">
        <v>0</v>
      </c>
      <c r="P329" s="204">
        <v>0</v>
      </c>
      <c r="Q329" s="207" t="s">
        <v>45</v>
      </c>
      <c r="R329" s="205">
        <v>100</v>
      </c>
      <c r="S329" s="205">
        <v>78</v>
      </c>
      <c r="T329" s="217" t="s">
        <v>46</v>
      </c>
    </row>
    <row r="330" spans="1:20" ht="13.5" customHeight="1">
      <c r="A330" s="7" t="s">
        <v>61</v>
      </c>
      <c r="B330" s="204">
        <v>33.299999999999997</v>
      </c>
      <c r="C330" s="204">
        <v>39.1</v>
      </c>
      <c r="D330" s="204">
        <v>0</v>
      </c>
      <c r="E330" s="204">
        <v>25</v>
      </c>
      <c r="F330" s="204">
        <v>0</v>
      </c>
      <c r="G330" s="204">
        <v>33.299999999999997</v>
      </c>
      <c r="H330" s="204">
        <v>0</v>
      </c>
      <c r="I330" s="204">
        <v>14.3</v>
      </c>
      <c r="J330" s="204">
        <v>33.299999999999997</v>
      </c>
      <c r="K330" s="204">
        <v>0</v>
      </c>
      <c r="L330" s="204">
        <v>0</v>
      </c>
      <c r="M330" s="204">
        <v>0</v>
      </c>
      <c r="N330" s="204">
        <v>0</v>
      </c>
      <c r="O330" s="204">
        <v>0</v>
      </c>
      <c r="P330" s="204">
        <v>0</v>
      </c>
      <c r="Q330" s="44" t="s">
        <v>26</v>
      </c>
      <c r="R330" s="205">
        <v>90</v>
      </c>
      <c r="S330" s="205">
        <v>85</v>
      </c>
      <c r="T330" s="217" t="s">
        <v>28</v>
      </c>
    </row>
    <row r="331" spans="1:20" ht="13.5" customHeight="1">
      <c r="A331" s="7" t="s">
        <v>31</v>
      </c>
      <c r="B331" s="204">
        <v>54.8</v>
      </c>
      <c r="C331" s="204">
        <v>68</v>
      </c>
      <c r="D331" s="204">
        <v>75</v>
      </c>
      <c r="E331" s="204">
        <v>50</v>
      </c>
      <c r="F331" s="204">
        <v>100</v>
      </c>
      <c r="G331" s="204">
        <v>75</v>
      </c>
      <c r="H331" s="204">
        <v>100</v>
      </c>
      <c r="I331" s="204">
        <v>45</v>
      </c>
      <c r="J331" s="204">
        <v>50</v>
      </c>
      <c r="K331" s="204">
        <v>80</v>
      </c>
      <c r="L331" s="204">
        <v>100</v>
      </c>
      <c r="M331" s="204">
        <v>75</v>
      </c>
      <c r="N331" s="204">
        <v>100</v>
      </c>
      <c r="O331" s="204">
        <v>50</v>
      </c>
      <c r="P331" s="204">
        <v>100</v>
      </c>
      <c r="Q331" s="44" t="s">
        <v>26</v>
      </c>
      <c r="R331" s="205">
        <v>100</v>
      </c>
      <c r="S331" s="219">
        <v>98</v>
      </c>
      <c r="T331" s="217" t="s">
        <v>65</v>
      </c>
    </row>
    <row r="332" spans="1:20" ht="13.5" customHeight="1">
      <c r="A332" s="7" t="s">
        <v>29</v>
      </c>
      <c r="B332" s="204">
        <v>50</v>
      </c>
      <c r="C332" s="204">
        <v>50.8</v>
      </c>
      <c r="D332" s="204">
        <v>55.6</v>
      </c>
      <c r="E332" s="204">
        <v>100</v>
      </c>
      <c r="F332" s="204">
        <v>100</v>
      </c>
      <c r="G332" s="204">
        <v>50</v>
      </c>
      <c r="H332" s="204">
        <v>66.7</v>
      </c>
      <c r="I332" s="204">
        <v>100</v>
      </c>
      <c r="J332" s="204">
        <v>100</v>
      </c>
      <c r="K332" s="204">
        <v>66.7</v>
      </c>
      <c r="L332" s="204">
        <v>75</v>
      </c>
      <c r="M332" s="204">
        <v>66.7</v>
      </c>
      <c r="N332" s="204">
        <v>100</v>
      </c>
      <c r="O332" s="204">
        <v>66.7</v>
      </c>
      <c r="P332" s="204">
        <v>100</v>
      </c>
      <c r="Q332" s="207" t="s">
        <v>45</v>
      </c>
      <c r="R332" s="205">
        <v>80</v>
      </c>
      <c r="S332" s="205">
        <v>80</v>
      </c>
      <c r="T332" s="217" t="s">
        <v>46</v>
      </c>
    </row>
    <row r="333" spans="1:20" s="5" customFormat="1" ht="13.5" customHeight="1">
      <c r="A333" s="7" t="s">
        <v>31</v>
      </c>
      <c r="B333" s="204">
        <v>37.5</v>
      </c>
      <c r="C333" s="204">
        <v>38.799999999999997</v>
      </c>
      <c r="D333" s="204">
        <v>60</v>
      </c>
      <c r="E333" s="204">
        <v>33.299999999999997</v>
      </c>
      <c r="F333" s="204">
        <v>33.299999999999997</v>
      </c>
      <c r="G333" s="204">
        <v>50</v>
      </c>
      <c r="H333" s="204">
        <v>33.299999999999997</v>
      </c>
      <c r="I333" s="204">
        <v>40</v>
      </c>
      <c r="J333" s="204">
        <v>33.299999999999997</v>
      </c>
      <c r="K333" s="204">
        <v>100</v>
      </c>
      <c r="L333" s="204">
        <v>100</v>
      </c>
      <c r="M333" s="204">
        <v>66.7</v>
      </c>
      <c r="N333" s="204">
        <v>50</v>
      </c>
      <c r="O333" s="204">
        <v>66.7</v>
      </c>
      <c r="P333" s="204">
        <v>100</v>
      </c>
      <c r="Q333" s="207" t="s">
        <v>26</v>
      </c>
      <c r="R333" s="205">
        <v>90</v>
      </c>
      <c r="S333" s="205">
        <v>87</v>
      </c>
      <c r="T333" s="217" t="s">
        <v>28</v>
      </c>
    </row>
    <row r="334" spans="1:20" ht="13.5" customHeight="1">
      <c r="A334" s="7" t="s">
        <v>29</v>
      </c>
      <c r="B334" s="204">
        <v>72.7</v>
      </c>
      <c r="C334" s="204">
        <v>50.8</v>
      </c>
      <c r="D334" s="204">
        <v>46.7</v>
      </c>
      <c r="E334" s="204">
        <v>80</v>
      </c>
      <c r="F334" s="204">
        <v>75</v>
      </c>
      <c r="G334" s="204">
        <v>80</v>
      </c>
      <c r="H334" s="204">
        <v>75</v>
      </c>
      <c r="I334" s="204">
        <v>75</v>
      </c>
      <c r="J334" s="204">
        <v>66.7</v>
      </c>
      <c r="K334" s="204">
        <v>66.7</v>
      </c>
      <c r="L334" s="204">
        <v>75</v>
      </c>
      <c r="M334" s="204">
        <v>60</v>
      </c>
      <c r="N334" s="204">
        <v>66.7</v>
      </c>
      <c r="O334" s="204">
        <v>80</v>
      </c>
      <c r="P334" s="204">
        <v>75</v>
      </c>
      <c r="Q334" s="44" t="s">
        <v>30</v>
      </c>
      <c r="R334" s="205">
        <v>85</v>
      </c>
      <c r="S334" s="205">
        <v>55</v>
      </c>
      <c r="T334" s="217" t="s">
        <v>46</v>
      </c>
    </row>
    <row r="335" spans="1:20" ht="13.5" customHeight="1">
      <c r="A335" s="7" t="s">
        <v>42</v>
      </c>
      <c r="B335" s="204">
        <v>37.5</v>
      </c>
      <c r="C335" s="204">
        <v>38.1</v>
      </c>
      <c r="D335" s="204">
        <v>40</v>
      </c>
      <c r="E335" s="204">
        <v>33.299999999999997</v>
      </c>
      <c r="F335" s="204">
        <v>33.299999999999997</v>
      </c>
      <c r="G335" s="204">
        <v>33.299999999999997</v>
      </c>
      <c r="H335" s="204">
        <v>33.299999999999997</v>
      </c>
      <c r="I335" s="204">
        <v>40</v>
      </c>
      <c r="J335" s="204">
        <v>33.299999999999997</v>
      </c>
      <c r="K335" s="204">
        <v>33.299999999999997</v>
      </c>
      <c r="L335" s="204">
        <v>0</v>
      </c>
      <c r="M335" s="204">
        <v>33.299999999999997</v>
      </c>
      <c r="N335" s="204">
        <v>0</v>
      </c>
      <c r="O335" s="204">
        <v>16.7</v>
      </c>
      <c r="P335" s="204">
        <v>0</v>
      </c>
      <c r="Q335" s="44" t="s">
        <v>45</v>
      </c>
      <c r="R335" s="205">
        <v>90</v>
      </c>
      <c r="S335" s="205">
        <v>82</v>
      </c>
      <c r="T335" s="217" t="s">
        <v>46</v>
      </c>
    </row>
    <row r="336" spans="1:20" s="5" customFormat="1" ht="13.5" customHeight="1">
      <c r="A336" s="7" t="s">
        <v>41</v>
      </c>
      <c r="B336" s="204">
        <v>66.7</v>
      </c>
      <c r="C336" s="204">
        <v>76.2</v>
      </c>
      <c r="D336" s="204">
        <v>40</v>
      </c>
      <c r="E336" s="204">
        <v>60</v>
      </c>
      <c r="F336" s="204">
        <v>60</v>
      </c>
      <c r="G336" s="204">
        <v>80</v>
      </c>
      <c r="H336" s="204">
        <v>75</v>
      </c>
      <c r="I336" s="204">
        <v>62.5</v>
      </c>
      <c r="J336" s="204">
        <v>70</v>
      </c>
      <c r="K336" s="204">
        <v>100</v>
      </c>
      <c r="L336" s="204">
        <v>100</v>
      </c>
      <c r="M336" s="204">
        <v>100</v>
      </c>
      <c r="N336" s="204">
        <v>100</v>
      </c>
      <c r="O336" s="204">
        <v>40</v>
      </c>
      <c r="P336" s="204">
        <v>50</v>
      </c>
      <c r="Q336" s="44" t="s">
        <v>30</v>
      </c>
      <c r="R336" s="205">
        <v>110</v>
      </c>
      <c r="S336" s="205">
        <v>105</v>
      </c>
      <c r="T336" s="217" t="s">
        <v>35</v>
      </c>
    </row>
    <row r="337" spans="1:20" ht="13.5" customHeight="1">
      <c r="A337" s="7" t="s">
        <v>31</v>
      </c>
      <c r="B337" s="204">
        <v>55.6</v>
      </c>
      <c r="C337" s="204">
        <v>39.1</v>
      </c>
      <c r="D337" s="204">
        <v>33.299999999999997</v>
      </c>
      <c r="E337" s="204">
        <v>60</v>
      </c>
      <c r="F337" s="204">
        <v>100</v>
      </c>
      <c r="G337" s="204">
        <v>60</v>
      </c>
      <c r="H337" s="204">
        <v>100</v>
      </c>
      <c r="I337" s="204">
        <v>66.7</v>
      </c>
      <c r="J337" s="204">
        <v>80</v>
      </c>
      <c r="K337" s="204">
        <v>100</v>
      </c>
      <c r="L337" s="204">
        <v>100</v>
      </c>
      <c r="M337" s="204">
        <v>100</v>
      </c>
      <c r="N337" s="204">
        <v>100</v>
      </c>
      <c r="O337" s="204">
        <v>57.1</v>
      </c>
      <c r="P337" s="204">
        <v>66.7</v>
      </c>
      <c r="Q337" s="44" t="s">
        <v>45</v>
      </c>
      <c r="R337" s="205">
        <v>95</v>
      </c>
      <c r="S337" s="205">
        <v>90</v>
      </c>
      <c r="T337" s="217" t="s">
        <v>28</v>
      </c>
    </row>
    <row r="338" spans="1:20" ht="13.5" customHeight="1">
      <c r="A338" s="7" t="s">
        <v>42</v>
      </c>
      <c r="B338" s="204">
        <v>73.3</v>
      </c>
      <c r="C338" s="204">
        <v>76.2</v>
      </c>
      <c r="D338" s="204">
        <v>40</v>
      </c>
      <c r="E338" s="204">
        <v>60</v>
      </c>
      <c r="F338" s="204">
        <v>60</v>
      </c>
      <c r="G338" s="204">
        <v>85.7</v>
      </c>
      <c r="H338" s="204">
        <v>80</v>
      </c>
      <c r="I338" s="204">
        <v>62.5</v>
      </c>
      <c r="J338" s="204">
        <v>70</v>
      </c>
      <c r="K338" s="204">
        <v>0</v>
      </c>
      <c r="L338" s="204">
        <v>0</v>
      </c>
      <c r="M338" s="204">
        <v>50</v>
      </c>
      <c r="N338" s="204">
        <v>50</v>
      </c>
      <c r="O338" s="204">
        <v>71.400000000000006</v>
      </c>
      <c r="P338" s="204">
        <v>71.400000000000006</v>
      </c>
      <c r="Q338" s="207" t="s">
        <v>30</v>
      </c>
      <c r="R338" s="219">
        <v>108</v>
      </c>
      <c r="S338" s="205">
        <v>100</v>
      </c>
      <c r="T338" s="217" t="s">
        <v>35</v>
      </c>
    </row>
    <row r="339" spans="1:20" ht="13.5" customHeight="1">
      <c r="A339" s="7" t="s">
        <v>37</v>
      </c>
      <c r="B339" s="204">
        <v>59.1</v>
      </c>
      <c r="C339" s="204">
        <v>55.6</v>
      </c>
      <c r="D339" s="204">
        <v>50</v>
      </c>
      <c r="E339" s="204">
        <v>75</v>
      </c>
      <c r="F339" s="204">
        <v>66.7</v>
      </c>
      <c r="G339" s="204">
        <v>50</v>
      </c>
      <c r="H339" s="204">
        <v>50</v>
      </c>
      <c r="I339" s="204">
        <v>75</v>
      </c>
      <c r="J339" s="204">
        <v>100</v>
      </c>
      <c r="K339" s="204">
        <v>100</v>
      </c>
      <c r="L339" s="204">
        <v>100</v>
      </c>
      <c r="M339" s="204">
        <v>100</v>
      </c>
      <c r="N339" s="204">
        <v>100</v>
      </c>
      <c r="O339" s="204">
        <v>57.1</v>
      </c>
      <c r="P339" s="204">
        <v>66.7</v>
      </c>
      <c r="Q339" s="44" t="s">
        <v>26</v>
      </c>
      <c r="R339" s="219">
        <v>105</v>
      </c>
      <c r="S339" s="219">
        <v>65</v>
      </c>
      <c r="T339" s="217" t="s">
        <v>40</v>
      </c>
    </row>
    <row r="340" spans="1:20" ht="13.5" customHeight="1">
      <c r="A340" s="7" t="s">
        <v>43</v>
      </c>
      <c r="B340" s="204">
        <v>52.6</v>
      </c>
      <c r="C340" s="204">
        <v>71.400000000000006</v>
      </c>
      <c r="D340" s="204">
        <v>57.1</v>
      </c>
      <c r="E340" s="204">
        <v>75</v>
      </c>
      <c r="F340" s="204">
        <v>100</v>
      </c>
      <c r="G340" s="204">
        <v>66.7</v>
      </c>
      <c r="H340" s="204">
        <v>100</v>
      </c>
      <c r="I340" s="204">
        <v>75</v>
      </c>
      <c r="J340" s="204">
        <v>80</v>
      </c>
      <c r="K340" s="204">
        <v>100</v>
      </c>
      <c r="L340" s="204">
        <v>100</v>
      </c>
      <c r="M340" s="204">
        <v>100</v>
      </c>
      <c r="N340" s="204">
        <v>100</v>
      </c>
      <c r="O340" s="204">
        <v>66.7</v>
      </c>
      <c r="P340" s="204">
        <v>66.7</v>
      </c>
      <c r="Q340" s="44" t="s">
        <v>38</v>
      </c>
      <c r="R340" s="205">
        <v>85</v>
      </c>
      <c r="S340" s="219">
        <v>85</v>
      </c>
      <c r="T340" s="217" t="s">
        <v>28</v>
      </c>
    </row>
    <row r="341" spans="1:20" ht="13.5" customHeight="1">
      <c r="A341" s="7" t="s">
        <v>74</v>
      </c>
      <c r="B341" s="204">
        <v>29.3</v>
      </c>
      <c r="C341" s="204">
        <v>38.799999999999997</v>
      </c>
      <c r="D341" s="204">
        <v>30.8</v>
      </c>
      <c r="E341" s="204">
        <v>0</v>
      </c>
      <c r="F341" s="204">
        <v>0</v>
      </c>
      <c r="G341" s="204">
        <v>0</v>
      </c>
      <c r="H341" s="204">
        <v>0</v>
      </c>
      <c r="I341" s="204">
        <v>40</v>
      </c>
      <c r="J341" s="204">
        <v>0</v>
      </c>
      <c r="K341" s="204">
        <v>0</v>
      </c>
      <c r="L341" s="204">
        <v>0</v>
      </c>
      <c r="M341" s="204">
        <v>0</v>
      </c>
      <c r="N341" s="204">
        <v>0</v>
      </c>
      <c r="O341" s="204">
        <v>0</v>
      </c>
      <c r="P341" s="204">
        <v>0</v>
      </c>
      <c r="Q341" s="44" t="s">
        <v>26</v>
      </c>
      <c r="R341" s="205">
        <v>100</v>
      </c>
      <c r="S341" s="205">
        <v>75</v>
      </c>
      <c r="T341" s="217" t="s">
        <v>40</v>
      </c>
    </row>
    <row r="342" spans="1:20" ht="13.5" customHeight="1">
      <c r="A342" s="49" t="s">
        <v>76</v>
      </c>
      <c r="B342" s="204">
        <v>50</v>
      </c>
      <c r="C342" s="204">
        <v>55.6</v>
      </c>
      <c r="D342" s="204">
        <v>42.9</v>
      </c>
      <c r="E342" s="204">
        <v>33.299999999999997</v>
      </c>
      <c r="F342" s="204">
        <v>33.299999999999997</v>
      </c>
      <c r="G342" s="204">
        <v>50</v>
      </c>
      <c r="H342" s="204">
        <v>33.299999999999997</v>
      </c>
      <c r="I342" s="204">
        <v>40</v>
      </c>
      <c r="J342" s="204">
        <v>33.299999999999997</v>
      </c>
      <c r="K342" s="204">
        <v>33.299999999999997</v>
      </c>
      <c r="L342" s="204">
        <v>0</v>
      </c>
      <c r="M342" s="204">
        <v>20</v>
      </c>
      <c r="N342" s="204">
        <v>0</v>
      </c>
      <c r="O342" s="204">
        <v>16.7</v>
      </c>
      <c r="P342" s="204">
        <v>0</v>
      </c>
      <c r="Q342" s="207" t="s">
        <v>45</v>
      </c>
      <c r="R342" s="205">
        <v>80</v>
      </c>
      <c r="S342" s="205">
        <v>75</v>
      </c>
      <c r="T342" s="217" t="s">
        <v>40</v>
      </c>
    </row>
    <row r="343" spans="1:20" ht="13.5" customHeight="1">
      <c r="A343" s="7" t="s">
        <v>41</v>
      </c>
      <c r="B343" s="204">
        <v>67.7</v>
      </c>
      <c r="C343" s="204">
        <v>74.400000000000006</v>
      </c>
      <c r="D343" s="204">
        <v>100</v>
      </c>
      <c r="E343" s="204">
        <v>100</v>
      </c>
      <c r="F343" s="204">
        <v>100</v>
      </c>
      <c r="G343" s="204">
        <v>100</v>
      </c>
      <c r="H343" s="204">
        <v>100</v>
      </c>
      <c r="I343" s="204">
        <v>80</v>
      </c>
      <c r="J343" s="204">
        <v>100</v>
      </c>
      <c r="K343" s="204">
        <v>50</v>
      </c>
      <c r="L343" s="204">
        <v>50</v>
      </c>
      <c r="M343" s="204">
        <v>50</v>
      </c>
      <c r="N343" s="204">
        <v>50</v>
      </c>
      <c r="O343" s="204">
        <v>100</v>
      </c>
      <c r="P343" s="204">
        <v>100</v>
      </c>
      <c r="Q343" s="207" t="s">
        <v>26</v>
      </c>
      <c r="R343" s="205">
        <v>80</v>
      </c>
      <c r="S343" s="205">
        <v>70</v>
      </c>
      <c r="T343" s="217" t="s">
        <v>40</v>
      </c>
    </row>
    <row r="344" spans="1:20" ht="13.5" customHeight="1">
      <c r="A344" s="7" t="s">
        <v>29</v>
      </c>
      <c r="B344" s="204">
        <v>54.8</v>
      </c>
      <c r="C344" s="204">
        <v>76.5</v>
      </c>
      <c r="D344" s="204">
        <v>60</v>
      </c>
      <c r="E344" s="204">
        <v>100</v>
      </c>
      <c r="F344" s="204">
        <v>100</v>
      </c>
      <c r="G344" s="204">
        <v>100</v>
      </c>
      <c r="H344" s="204">
        <v>100</v>
      </c>
      <c r="I344" s="204">
        <v>75</v>
      </c>
      <c r="J344" s="204">
        <v>85.7</v>
      </c>
      <c r="K344" s="204">
        <v>100</v>
      </c>
      <c r="L344" s="204">
        <v>100</v>
      </c>
      <c r="M344" s="204">
        <v>100</v>
      </c>
      <c r="N344" s="204">
        <v>100</v>
      </c>
      <c r="O344" s="204">
        <v>100</v>
      </c>
      <c r="P344" s="204">
        <v>100</v>
      </c>
      <c r="Q344" s="207" t="s">
        <v>30</v>
      </c>
      <c r="R344" s="205">
        <v>78</v>
      </c>
      <c r="S344" s="205">
        <v>98</v>
      </c>
      <c r="T344" s="217" t="s">
        <v>40</v>
      </c>
    </row>
    <row r="345" spans="1:20" ht="13.5" customHeight="1">
      <c r="A345" s="7" t="s">
        <v>47</v>
      </c>
      <c r="B345" s="204">
        <v>71.400000000000006</v>
      </c>
      <c r="C345" s="204">
        <v>57.9</v>
      </c>
      <c r="D345" s="204">
        <v>75</v>
      </c>
      <c r="E345" s="204">
        <v>25</v>
      </c>
      <c r="F345" s="204">
        <v>0</v>
      </c>
      <c r="G345" s="204">
        <v>25</v>
      </c>
      <c r="H345" s="204">
        <v>0</v>
      </c>
      <c r="I345" s="204">
        <v>0</v>
      </c>
      <c r="J345" s="204">
        <v>0</v>
      </c>
      <c r="K345" s="204">
        <v>50</v>
      </c>
      <c r="L345" s="204">
        <v>50</v>
      </c>
      <c r="M345" s="204">
        <v>40</v>
      </c>
      <c r="N345" s="204">
        <v>50</v>
      </c>
      <c r="O345" s="204">
        <v>0</v>
      </c>
      <c r="P345" s="204">
        <v>0</v>
      </c>
      <c r="Q345" s="207" t="s">
        <v>23</v>
      </c>
      <c r="R345" s="205">
        <v>80</v>
      </c>
      <c r="S345" s="219">
        <v>77</v>
      </c>
      <c r="T345" s="217" t="s">
        <v>40</v>
      </c>
    </row>
    <row r="346" spans="1:20" ht="13.5" customHeight="1">
      <c r="A346" s="7" t="s">
        <v>22</v>
      </c>
      <c r="B346" s="204">
        <v>33.299999999999997</v>
      </c>
      <c r="C346" s="204">
        <v>38.799999999999997</v>
      </c>
      <c r="D346" s="204">
        <v>60</v>
      </c>
      <c r="E346" s="204">
        <v>50</v>
      </c>
      <c r="F346" s="204">
        <v>100</v>
      </c>
      <c r="G346" s="204">
        <v>50</v>
      </c>
      <c r="H346" s="204">
        <v>100</v>
      </c>
      <c r="I346" s="204">
        <v>100</v>
      </c>
      <c r="J346" s="204">
        <v>100</v>
      </c>
      <c r="K346" s="204">
        <v>50</v>
      </c>
      <c r="L346" s="204">
        <v>50</v>
      </c>
      <c r="M346" s="204">
        <v>50</v>
      </c>
      <c r="N346" s="204">
        <v>50</v>
      </c>
      <c r="O346" s="204">
        <v>40</v>
      </c>
      <c r="P346" s="204">
        <v>66.7</v>
      </c>
      <c r="Q346" s="207" t="s">
        <v>23</v>
      </c>
      <c r="R346" s="205">
        <v>80</v>
      </c>
      <c r="S346" s="205">
        <v>80</v>
      </c>
      <c r="T346" s="217" t="s">
        <v>39</v>
      </c>
    </row>
    <row r="347" spans="1:20" ht="13.5" customHeight="1">
      <c r="A347" s="7" t="s">
        <v>44</v>
      </c>
      <c r="B347" s="204">
        <v>72.7</v>
      </c>
      <c r="C347" s="204">
        <v>73.3</v>
      </c>
      <c r="D347" s="204">
        <v>81.8</v>
      </c>
      <c r="E347" s="204">
        <v>42.9</v>
      </c>
      <c r="F347" s="204">
        <v>25</v>
      </c>
      <c r="G347" s="204">
        <v>37.5</v>
      </c>
      <c r="H347" s="204">
        <v>20</v>
      </c>
      <c r="I347" s="204">
        <v>100</v>
      </c>
      <c r="J347" s="204">
        <v>100</v>
      </c>
      <c r="K347" s="204">
        <v>66.7</v>
      </c>
      <c r="L347" s="204">
        <v>66.7</v>
      </c>
      <c r="M347" s="204">
        <v>66.7</v>
      </c>
      <c r="N347" s="204">
        <v>66.7</v>
      </c>
      <c r="O347" s="204">
        <v>100</v>
      </c>
      <c r="P347" s="204">
        <v>100</v>
      </c>
      <c r="Q347" s="44" t="s">
        <v>30</v>
      </c>
      <c r="R347" s="205">
        <v>65</v>
      </c>
      <c r="S347" s="219">
        <v>85</v>
      </c>
      <c r="T347" s="217" t="s">
        <v>24</v>
      </c>
    </row>
    <row r="348" spans="1:20" ht="13.5" customHeight="1">
      <c r="A348" s="7" t="s">
        <v>44</v>
      </c>
      <c r="B348" s="204">
        <v>67.7</v>
      </c>
      <c r="C348" s="204">
        <v>55.6</v>
      </c>
      <c r="D348" s="204">
        <v>55.6</v>
      </c>
      <c r="E348" s="204">
        <v>80</v>
      </c>
      <c r="F348" s="204">
        <v>100</v>
      </c>
      <c r="G348" s="204">
        <v>83.3</v>
      </c>
      <c r="H348" s="204">
        <v>100</v>
      </c>
      <c r="I348" s="204">
        <v>70.599999999999994</v>
      </c>
      <c r="J348" s="204">
        <v>100</v>
      </c>
      <c r="K348" s="204">
        <v>100</v>
      </c>
      <c r="L348" s="204">
        <v>100</v>
      </c>
      <c r="M348" s="204">
        <v>50</v>
      </c>
      <c r="N348" s="204">
        <v>100</v>
      </c>
      <c r="O348" s="204">
        <v>100</v>
      </c>
      <c r="P348" s="204">
        <v>100</v>
      </c>
      <c r="Q348" s="207" t="s">
        <v>45</v>
      </c>
      <c r="R348" s="205">
        <v>100</v>
      </c>
      <c r="S348" s="218">
        <v>110</v>
      </c>
      <c r="T348" s="217" t="s">
        <v>35</v>
      </c>
    </row>
    <row r="349" spans="1:20" ht="13.5" customHeight="1">
      <c r="A349" s="7" t="s">
        <v>33</v>
      </c>
      <c r="B349" s="204">
        <v>29.3</v>
      </c>
      <c r="C349" s="204">
        <v>38.799999999999997</v>
      </c>
      <c r="D349" s="204">
        <v>30.8</v>
      </c>
      <c r="E349" s="204">
        <v>80</v>
      </c>
      <c r="F349" s="204">
        <v>50</v>
      </c>
      <c r="G349" s="204">
        <v>80</v>
      </c>
      <c r="H349" s="204">
        <v>50</v>
      </c>
      <c r="I349" s="204">
        <v>50</v>
      </c>
      <c r="J349" s="204">
        <v>50</v>
      </c>
      <c r="K349" s="204">
        <v>33.299999999999997</v>
      </c>
      <c r="L349" s="204">
        <v>50</v>
      </c>
      <c r="M349" s="204">
        <v>33.299999999999997</v>
      </c>
      <c r="N349" s="204">
        <v>50</v>
      </c>
      <c r="O349" s="204">
        <v>28.6</v>
      </c>
      <c r="P349" s="204">
        <v>25</v>
      </c>
      <c r="Q349" s="207" t="s">
        <v>45</v>
      </c>
      <c r="R349" s="205">
        <v>85</v>
      </c>
      <c r="S349" s="219">
        <v>75</v>
      </c>
      <c r="T349" s="217" t="s">
        <v>40</v>
      </c>
    </row>
    <row r="350" spans="1:20" ht="13.5" customHeight="1">
      <c r="A350" s="7" t="s">
        <v>33</v>
      </c>
      <c r="B350" s="204">
        <v>61.5</v>
      </c>
      <c r="C350" s="204">
        <v>38.1</v>
      </c>
      <c r="D350" s="204">
        <v>56.2</v>
      </c>
      <c r="E350" s="204">
        <v>80</v>
      </c>
      <c r="F350" s="204">
        <v>100</v>
      </c>
      <c r="G350" s="204">
        <v>83.3</v>
      </c>
      <c r="H350" s="204">
        <v>100</v>
      </c>
      <c r="I350" s="204">
        <v>70.599999999999994</v>
      </c>
      <c r="J350" s="204">
        <v>100</v>
      </c>
      <c r="K350" s="204">
        <v>100</v>
      </c>
      <c r="L350" s="204">
        <v>100</v>
      </c>
      <c r="M350" s="204">
        <v>100</v>
      </c>
      <c r="N350" s="204">
        <v>100</v>
      </c>
      <c r="O350" s="204">
        <v>100</v>
      </c>
      <c r="P350" s="204">
        <v>100</v>
      </c>
      <c r="Q350" s="44" t="s">
        <v>26</v>
      </c>
      <c r="R350" s="205">
        <v>80</v>
      </c>
      <c r="S350" s="205">
        <v>95</v>
      </c>
      <c r="T350" s="217" t="s">
        <v>24</v>
      </c>
    </row>
    <row r="351" spans="1:20" ht="13.5" customHeight="1">
      <c r="A351" s="7" t="s">
        <v>42</v>
      </c>
      <c r="B351" s="204">
        <v>50</v>
      </c>
      <c r="C351" s="204">
        <v>39.1</v>
      </c>
      <c r="D351" s="204">
        <v>25</v>
      </c>
      <c r="E351" s="204">
        <v>0</v>
      </c>
      <c r="F351" s="204">
        <v>0</v>
      </c>
      <c r="G351" s="204">
        <v>0</v>
      </c>
      <c r="H351" s="204">
        <v>0</v>
      </c>
      <c r="I351" s="204">
        <v>0</v>
      </c>
      <c r="J351" s="204">
        <v>0</v>
      </c>
      <c r="K351" s="204">
        <v>0</v>
      </c>
      <c r="L351" s="204">
        <v>0</v>
      </c>
      <c r="M351" s="204">
        <v>0</v>
      </c>
      <c r="N351" s="204">
        <v>0</v>
      </c>
      <c r="O351" s="204">
        <v>14.3</v>
      </c>
      <c r="P351" s="204">
        <v>0</v>
      </c>
      <c r="Q351" s="44" t="s">
        <v>45</v>
      </c>
      <c r="R351" s="219">
        <v>70</v>
      </c>
      <c r="S351" s="205">
        <v>77</v>
      </c>
      <c r="T351" s="217" t="s">
        <v>40</v>
      </c>
    </row>
    <row r="352" spans="1:20" ht="13.5" customHeight="1">
      <c r="A352" s="7" t="s">
        <v>43</v>
      </c>
      <c r="B352" s="204">
        <v>45.7</v>
      </c>
      <c r="C352" s="204">
        <v>39.1</v>
      </c>
      <c r="D352" s="204">
        <v>33.299999999999997</v>
      </c>
      <c r="E352" s="204">
        <v>66.7</v>
      </c>
      <c r="F352" s="204">
        <v>100</v>
      </c>
      <c r="G352" s="204">
        <v>80</v>
      </c>
      <c r="H352" s="204">
        <v>100</v>
      </c>
      <c r="I352" s="204">
        <v>70.599999999999994</v>
      </c>
      <c r="J352" s="204">
        <v>100</v>
      </c>
      <c r="K352" s="204">
        <v>100</v>
      </c>
      <c r="L352" s="204">
        <v>100</v>
      </c>
      <c r="M352" s="204">
        <v>50</v>
      </c>
      <c r="N352" s="204">
        <v>50</v>
      </c>
      <c r="O352" s="204">
        <v>33.299999999999997</v>
      </c>
      <c r="P352" s="204">
        <v>50</v>
      </c>
      <c r="Q352" s="44" t="s">
        <v>26</v>
      </c>
      <c r="R352" s="205">
        <v>70</v>
      </c>
      <c r="S352" s="219">
        <v>70</v>
      </c>
      <c r="T352" s="217" t="s">
        <v>40</v>
      </c>
    </row>
    <row r="353" spans="1:20" ht="13.5" customHeight="1">
      <c r="A353" s="7" t="s">
        <v>60</v>
      </c>
      <c r="B353" s="204">
        <v>28.2</v>
      </c>
      <c r="C353" s="204">
        <v>49</v>
      </c>
      <c r="D353" s="204">
        <v>41.7</v>
      </c>
      <c r="E353" s="204">
        <v>80</v>
      </c>
      <c r="F353" s="204">
        <v>50</v>
      </c>
      <c r="G353" s="204">
        <v>75</v>
      </c>
      <c r="H353" s="204">
        <v>50</v>
      </c>
      <c r="I353" s="204">
        <v>50</v>
      </c>
      <c r="J353" s="204">
        <v>50</v>
      </c>
      <c r="K353" s="204">
        <v>33.299999999999997</v>
      </c>
      <c r="L353" s="204">
        <v>0</v>
      </c>
      <c r="M353" s="204">
        <v>25</v>
      </c>
      <c r="N353" s="204">
        <v>0</v>
      </c>
      <c r="O353" s="204">
        <v>14.3</v>
      </c>
      <c r="P353" s="204">
        <v>0</v>
      </c>
      <c r="Q353" s="44" t="s">
        <v>26</v>
      </c>
      <c r="R353" s="205">
        <v>80</v>
      </c>
      <c r="S353" s="205">
        <v>72</v>
      </c>
      <c r="T353" s="217" t="s">
        <v>40</v>
      </c>
    </row>
    <row r="354" spans="1:20" ht="13.5" customHeight="1">
      <c r="A354" s="7" t="s">
        <v>74</v>
      </c>
      <c r="B354" s="204">
        <v>29.3</v>
      </c>
      <c r="C354" s="204">
        <v>74.400000000000006</v>
      </c>
      <c r="D354" s="204">
        <v>75</v>
      </c>
      <c r="E354" s="204">
        <v>33.299999999999997</v>
      </c>
      <c r="F354" s="204">
        <v>0</v>
      </c>
      <c r="G354" s="204">
        <v>33.299999999999997</v>
      </c>
      <c r="H354" s="204">
        <v>0</v>
      </c>
      <c r="I354" s="204">
        <v>25</v>
      </c>
      <c r="J354" s="204">
        <v>50</v>
      </c>
      <c r="K354" s="204">
        <v>0</v>
      </c>
      <c r="L354" s="204">
        <v>0</v>
      </c>
      <c r="M354" s="204">
        <v>0</v>
      </c>
      <c r="N354" s="204">
        <v>0</v>
      </c>
      <c r="O354" s="204">
        <v>40</v>
      </c>
      <c r="P354" s="204">
        <v>0</v>
      </c>
      <c r="Q354" s="207" t="s">
        <v>23</v>
      </c>
      <c r="R354" s="205">
        <v>110</v>
      </c>
      <c r="S354" s="219">
        <v>118</v>
      </c>
      <c r="T354" s="217" t="s">
        <v>35</v>
      </c>
    </row>
    <row r="355" spans="1:20" ht="13.5" customHeight="1">
      <c r="A355" s="7" t="s">
        <v>33</v>
      </c>
      <c r="B355" s="204">
        <v>50</v>
      </c>
      <c r="C355" s="204">
        <v>38.799999999999997</v>
      </c>
      <c r="D355" s="204">
        <v>30.8</v>
      </c>
      <c r="E355" s="204">
        <v>100</v>
      </c>
      <c r="F355" s="204">
        <v>100</v>
      </c>
      <c r="G355" s="204">
        <v>66.7</v>
      </c>
      <c r="H355" s="204">
        <v>100</v>
      </c>
      <c r="I355" s="204">
        <v>100</v>
      </c>
      <c r="J355" s="204">
        <v>100</v>
      </c>
      <c r="K355" s="204">
        <v>100</v>
      </c>
      <c r="L355" s="204">
        <v>100</v>
      </c>
      <c r="M355" s="204">
        <v>50</v>
      </c>
      <c r="N355" s="204">
        <v>100</v>
      </c>
      <c r="O355" s="204">
        <v>50</v>
      </c>
      <c r="P355" s="204">
        <v>100</v>
      </c>
      <c r="Q355" s="207" t="s">
        <v>45</v>
      </c>
      <c r="R355" s="219">
        <v>105</v>
      </c>
      <c r="S355" s="205">
        <v>80</v>
      </c>
      <c r="T355" s="217" t="s">
        <v>39</v>
      </c>
    </row>
    <row r="356" spans="1:20" ht="13.5" customHeight="1">
      <c r="A356" s="7" t="s">
        <v>60</v>
      </c>
      <c r="B356" s="204">
        <v>72.7</v>
      </c>
      <c r="C356" s="204">
        <v>38.799999999999997</v>
      </c>
      <c r="D356" s="204">
        <v>37.5</v>
      </c>
      <c r="E356" s="204">
        <v>25</v>
      </c>
      <c r="F356" s="204">
        <v>0</v>
      </c>
      <c r="G356" s="204">
        <v>33.299999999999997</v>
      </c>
      <c r="H356" s="204">
        <v>50</v>
      </c>
      <c r="I356" s="204">
        <v>61.5</v>
      </c>
      <c r="J356" s="204">
        <v>66.7</v>
      </c>
      <c r="K356" s="204">
        <v>66.7</v>
      </c>
      <c r="L356" s="204">
        <v>75</v>
      </c>
      <c r="M356" s="204">
        <v>80</v>
      </c>
      <c r="N356" s="204">
        <v>75</v>
      </c>
      <c r="O356" s="204">
        <v>80</v>
      </c>
      <c r="P356" s="204">
        <v>75</v>
      </c>
      <c r="Q356" s="44" t="s">
        <v>26</v>
      </c>
      <c r="R356" s="205">
        <v>105</v>
      </c>
      <c r="S356" s="219">
        <v>65</v>
      </c>
      <c r="T356" s="217" t="s">
        <v>40</v>
      </c>
    </row>
    <row r="357" spans="1:20" ht="13.5" customHeight="1">
      <c r="A357" s="7" t="s">
        <v>53</v>
      </c>
      <c r="B357" s="204">
        <v>61.5</v>
      </c>
      <c r="C357" s="204">
        <v>54.7</v>
      </c>
      <c r="D357" s="204">
        <v>60</v>
      </c>
      <c r="E357" s="204">
        <v>0</v>
      </c>
      <c r="F357" s="204">
        <v>0</v>
      </c>
      <c r="G357" s="204">
        <v>50</v>
      </c>
      <c r="H357" s="204">
        <v>0</v>
      </c>
      <c r="I357" s="204">
        <v>33.299999999999997</v>
      </c>
      <c r="J357" s="204">
        <v>0</v>
      </c>
      <c r="K357" s="204">
        <v>0</v>
      </c>
      <c r="L357" s="204">
        <v>0</v>
      </c>
      <c r="M357" s="204">
        <v>0</v>
      </c>
      <c r="N357" s="204">
        <v>0</v>
      </c>
      <c r="O357" s="204">
        <v>0</v>
      </c>
      <c r="P357" s="204">
        <v>0</v>
      </c>
      <c r="Q357" s="207" t="s">
        <v>23</v>
      </c>
      <c r="R357" s="205">
        <v>105</v>
      </c>
      <c r="S357" s="219">
        <v>102</v>
      </c>
      <c r="T357" s="217" t="s">
        <v>35</v>
      </c>
    </row>
    <row r="358" spans="1:20" ht="13.5" customHeight="1">
      <c r="A358" s="7" t="s">
        <v>53</v>
      </c>
      <c r="B358" s="204">
        <v>29.3</v>
      </c>
      <c r="C358" s="204">
        <v>22.2</v>
      </c>
      <c r="D358" s="204">
        <v>28.6</v>
      </c>
      <c r="E358" s="204">
        <v>0</v>
      </c>
      <c r="F358" s="204">
        <v>0</v>
      </c>
      <c r="G358" s="204">
        <v>0</v>
      </c>
      <c r="H358" s="204">
        <v>0</v>
      </c>
      <c r="I358" s="204">
        <v>40</v>
      </c>
      <c r="J358" s="204">
        <v>0</v>
      </c>
      <c r="K358" s="204">
        <v>0</v>
      </c>
      <c r="L358" s="204">
        <v>0</v>
      </c>
      <c r="M358" s="204">
        <v>50</v>
      </c>
      <c r="N358" s="204">
        <v>33.299999999999997</v>
      </c>
      <c r="O358" s="204">
        <v>0</v>
      </c>
      <c r="P358" s="204">
        <v>0</v>
      </c>
      <c r="Q358" s="207" t="s">
        <v>23</v>
      </c>
      <c r="R358" s="205">
        <v>105</v>
      </c>
      <c r="S358" s="205">
        <v>95</v>
      </c>
      <c r="T358" s="217" t="s">
        <v>27</v>
      </c>
    </row>
    <row r="359" spans="1:20" ht="13.5" customHeight="1">
      <c r="A359" s="7" t="s">
        <v>42</v>
      </c>
      <c r="B359" s="204">
        <v>72.7</v>
      </c>
      <c r="C359" s="204">
        <v>50.8</v>
      </c>
      <c r="D359" s="204">
        <v>46.7</v>
      </c>
      <c r="E359" s="204">
        <v>0</v>
      </c>
      <c r="F359" s="204">
        <v>0</v>
      </c>
      <c r="G359" s="204">
        <v>0</v>
      </c>
      <c r="H359" s="204">
        <v>0</v>
      </c>
      <c r="I359" s="204">
        <v>61.5</v>
      </c>
      <c r="J359" s="204">
        <v>66.7</v>
      </c>
      <c r="K359" s="204">
        <v>0</v>
      </c>
      <c r="L359" s="204">
        <v>0</v>
      </c>
      <c r="M359" s="204">
        <v>14.3</v>
      </c>
      <c r="N359" s="204">
        <v>0</v>
      </c>
      <c r="O359" s="204">
        <v>0</v>
      </c>
      <c r="P359" s="204">
        <v>0</v>
      </c>
      <c r="Q359" s="44" t="s">
        <v>23</v>
      </c>
      <c r="R359" s="205">
        <v>85</v>
      </c>
      <c r="S359" s="205">
        <v>82</v>
      </c>
      <c r="T359" s="217" t="s">
        <v>40</v>
      </c>
    </row>
    <row r="360" spans="1:20" ht="13.5" customHeight="1">
      <c r="A360" s="7" t="s">
        <v>33</v>
      </c>
      <c r="B360" s="204">
        <v>29.3</v>
      </c>
      <c r="C360" s="204">
        <v>36.9</v>
      </c>
      <c r="D360" s="204">
        <v>36.4</v>
      </c>
      <c r="E360" s="204">
        <v>50</v>
      </c>
      <c r="F360" s="204">
        <v>100</v>
      </c>
      <c r="G360" s="204">
        <v>50</v>
      </c>
      <c r="H360" s="204">
        <v>50</v>
      </c>
      <c r="I360" s="204">
        <v>57.1</v>
      </c>
      <c r="J360" s="204">
        <v>66.7</v>
      </c>
      <c r="K360" s="204">
        <v>100</v>
      </c>
      <c r="L360" s="204">
        <v>100</v>
      </c>
      <c r="M360" s="204">
        <v>100</v>
      </c>
      <c r="N360" s="204">
        <v>100</v>
      </c>
      <c r="O360" s="204">
        <v>50</v>
      </c>
      <c r="P360" s="204">
        <v>100</v>
      </c>
      <c r="Q360" s="207" t="s">
        <v>45</v>
      </c>
      <c r="R360" s="205">
        <v>90</v>
      </c>
      <c r="S360" s="219">
        <v>90</v>
      </c>
      <c r="T360" s="217" t="s">
        <v>28</v>
      </c>
    </row>
    <row r="361" spans="1:20" ht="13.5" customHeight="1">
      <c r="A361" s="7" t="s">
        <v>44</v>
      </c>
      <c r="B361" s="204">
        <v>63.6</v>
      </c>
      <c r="C361" s="204">
        <v>73.3</v>
      </c>
      <c r="D361" s="204">
        <v>80</v>
      </c>
      <c r="E361" s="204">
        <v>85.7</v>
      </c>
      <c r="F361" s="204">
        <v>80</v>
      </c>
      <c r="G361" s="204">
        <v>75</v>
      </c>
      <c r="H361" s="204">
        <v>75</v>
      </c>
      <c r="I361" s="204">
        <v>100</v>
      </c>
      <c r="J361" s="204">
        <v>100</v>
      </c>
      <c r="K361" s="204">
        <v>100</v>
      </c>
      <c r="L361" s="204">
        <v>100</v>
      </c>
      <c r="M361" s="204">
        <v>100</v>
      </c>
      <c r="N361" s="204">
        <v>100</v>
      </c>
      <c r="O361" s="204">
        <v>100</v>
      </c>
      <c r="P361" s="204">
        <v>100</v>
      </c>
      <c r="Q361" s="44" t="s">
        <v>23</v>
      </c>
      <c r="R361" s="205">
        <v>115</v>
      </c>
      <c r="S361" s="205">
        <v>90</v>
      </c>
      <c r="T361" s="217" t="s">
        <v>28</v>
      </c>
    </row>
    <row r="362" spans="1:20" ht="13.5" customHeight="1">
      <c r="A362" s="7" t="s">
        <v>77</v>
      </c>
      <c r="B362" s="204">
        <v>61.5</v>
      </c>
      <c r="C362" s="204">
        <v>55.6</v>
      </c>
      <c r="D362" s="204">
        <v>55.6</v>
      </c>
      <c r="E362" s="204">
        <v>40</v>
      </c>
      <c r="F362" s="204">
        <v>50</v>
      </c>
      <c r="G362" s="204">
        <v>40</v>
      </c>
      <c r="H362" s="204">
        <v>50</v>
      </c>
      <c r="I362" s="204">
        <v>63.6</v>
      </c>
      <c r="J362" s="204">
        <v>71.400000000000006</v>
      </c>
      <c r="K362" s="204">
        <v>25</v>
      </c>
      <c r="L362" s="204">
        <v>100</v>
      </c>
      <c r="M362" s="204">
        <v>25</v>
      </c>
      <c r="N362" s="204">
        <v>100</v>
      </c>
      <c r="O362" s="204">
        <v>40</v>
      </c>
      <c r="P362" s="204">
        <v>100</v>
      </c>
      <c r="Q362" s="44" t="s">
        <v>23</v>
      </c>
      <c r="R362" s="205">
        <v>80</v>
      </c>
      <c r="S362" s="205">
        <v>100</v>
      </c>
      <c r="T362" s="217" t="s">
        <v>65</v>
      </c>
    </row>
    <row r="363" spans="1:20" ht="13.5" customHeight="1">
      <c r="A363" s="7" t="s">
        <v>33</v>
      </c>
      <c r="B363" s="204">
        <v>59.1</v>
      </c>
      <c r="C363" s="204">
        <v>57.9</v>
      </c>
      <c r="D363" s="204">
        <v>69.599999999999994</v>
      </c>
      <c r="E363" s="204">
        <v>100</v>
      </c>
      <c r="F363" s="204">
        <v>100</v>
      </c>
      <c r="G363" s="204">
        <v>100</v>
      </c>
      <c r="H363" s="204">
        <v>100</v>
      </c>
      <c r="I363" s="204">
        <v>60</v>
      </c>
      <c r="J363" s="204">
        <v>66.7</v>
      </c>
      <c r="K363" s="204">
        <v>100</v>
      </c>
      <c r="L363" s="204">
        <v>100</v>
      </c>
      <c r="M363" s="204">
        <v>100</v>
      </c>
      <c r="N363" s="204">
        <v>100</v>
      </c>
      <c r="O363" s="204">
        <v>88.9</v>
      </c>
      <c r="P363" s="204">
        <v>66.7</v>
      </c>
      <c r="Q363" s="207" t="s">
        <v>23</v>
      </c>
      <c r="R363" s="205">
        <v>75</v>
      </c>
      <c r="S363" s="205">
        <v>75</v>
      </c>
      <c r="T363" s="217" t="s">
        <v>40</v>
      </c>
    </row>
    <row r="364" spans="1:20" ht="13.5" customHeight="1">
      <c r="A364" s="7" t="s">
        <v>41</v>
      </c>
      <c r="B364" s="204">
        <v>57.7</v>
      </c>
      <c r="C364" s="204">
        <v>60.6</v>
      </c>
      <c r="D364" s="204">
        <v>100</v>
      </c>
      <c r="E364" s="204">
        <v>40</v>
      </c>
      <c r="F364" s="204">
        <v>50</v>
      </c>
      <c r="G364" s="204">
        <v>60</v>
      </c>
      <c r="H364" s="204">
        <v>50</v>
      </c>
      <c r="I364" s="204">
        <v>40</v>
      </c>
      <c r="J364" s="204">
        <v>33.299999999999997</v>
      </c>
      <c r="K364" s="204">
        <v>100</v>
      </c>
      <c r="L364" s="204">
        <v>100</v>
      </c>
      <c r="M364" s="204">
        <v>100</v>
      </c>
      <c r="N364" s="204">
        <v>100</v>
      </c>
      <c r="O364" s="204">
        <v>88.9</v>
      </c>
      <c r="P364" s="204">
        <v>66.7</v>
      </c>
      <c r="Q364" s="44" t="s">
        <v>30</v>
      </c>
      <c r="R364" s="205">
        <v>85</v>
      </c>
      <c r="S364" s="205">
        <v>90</v>
      </c>
      <c r="T364" s="217" t="s">
        <v>27</v>
      </c>
    </row>
    <row r="365" spans="1:20" ht="13.5" customHeight="1">
      <c r="A365" s="7" t="s">
        <v>42</v>
      </c>
      <c r="B365" s="204">
        <v>45.7</v>
      </c>
      <c r="C365" s="204">
        <v>46.5</v>
      </c>
      <c r="D365" s="204">
        <v>60</v>
      </c>
      <c r="E365" s="204">
        <v>40</v>
      </c>
      <c r="F365" s="204">
        <v>50</v>
      </c>
      <c r="G365" s="204">
        <v>50</v>
      </c>
      <c r="H365" s="204">
        <v>50</v>
      </c>
      <c r="I365" s="204">
        <v>63.6</v>
      </c>
      <c r="J365" s="204">
        <v>71.400000000000006</v>
      </c>
      <c r="K365" s="204">
        <v>50</v>
      </c>
      <c r="L365" s="204">
        <v>0</v>
      </c>
      <c r="M365" s="204">
        <v>75</v>
      </c>
      <c r="N365" s="204">
        <v>0</v>
      </c>
      <c r="O365" s="204">
        <v>66.7</v>
      </c>
      <c r="P365" s="204">
        <v>0</v>
      </c>
      <c r="Q365" s="207" t="s">
        <v>23</v>
      </c>
      <c r="R365" s="205">
        <v>80</v>
      </c>
      <c r="S365" s="219">
        <v>80</v>
      </c>
      <c r="T365" s="217" t="s">
        <v>51</v>
      </c>
    </row>
    <row r="366" spans="1:20" ht="13.5" customHeight="1">
      <c r="A366" s="7" t="s">
        <v>33</v>
      </c>
      <c r="B366" s="204">
        <v>66.7</v>
      </c>
      <c r="C366" s="204">
        <v>59.6</v>
      </c>
      <c r="D366" s="204">
        <v>60</v>
      </c>
      <c r="E366" s="204">
        <v>85.7</v>
      </c>
      <c r="F366" s="204">
        <v>100</v>
      </c>
      <c r="G366" s="204">
        <v>83.3</v>
      </c>
      <c r="H366" s="204">
        <v>100</v>
      </c>
      <c r="I366" s="204">
        <v>80</v>
      </c>
      <c r="J366" s="204">
        <v>80</v>
      </c>
      <c r="K366" s="204">
        <v>100</v>
      </c>
      <c r="L366" s="204">
        <v>100</v>
      </c>
      <c r="M366" s="204">
        <v>100</v>
      </c>
      <c r="N366" s="204">
        <v>100</v>
      </c>
      <c r="O366" s="204">
        <v>100</v>
      </c>
      <c r="P366" s="204">
        <v>100</v>
      </c>
      <c r="Q366" s="44" t="s">
        <v>30</v>
      </c>
      <c r="R366" s="205">
        <v>100</v>
      </c>
      <c r="S366" s="205">
        <v>90</v>
      </c>
      <c r="T366" s="217" t="s">
        <v>28</v>
      </c>
    </row>
    <row r="367" spans="1:20" ht="13.5" customHeight="1">
      <c r="A367" s="7" t="s">
        <v>42</v>
      </c>
      <c r="B367" s="204">
        <v>42.9</v>
      </c>
      <c r="C367" s="204">
        <v>49.4</v>
      </c>
      <c r="D367" s="204">
        <v>50</v>
      </c>
      <c r="E367" s="204">
        <v>0</v>
      </c>
      <c r="F367" s="204">
        <v>0</v>
      </c>
      <c r="G367" s="204">
        <v>33.299999999999997</v>
      </c>
      <c r="H367" s="204">
        <v>0</v>
      </c>
      <c r="I367" s="204">
        <v>60</v>
      </c>
      <c r="J367" s="204">
        <v>0</v>
      </c>
      <c r="K367" s="204">
        <v>0</v>
      </c>
      <c r="L367" s="204">
        <v>0</v>
      </c>
      <c r="M367" s="204">
        <v>0</v>
      </c>
      <c r="N367" s="204">
        <v>0</v>
      </c>
      <c r="O367" s="204">
        <v>0</v>
      </c>
      <c r="P367" s="204">
        <v>0</v>
      </c>
      <c r="Q367" s="44" t="s">
        <v>45</v>
      </c>
      <c r="R367" s="205">
        <v>95</v>
      </c>
      <c r="S367" s="219">
        <v>98</v>
      </c>
      <c r="T367" s="217" t="s">
        <v>65</v>
      </c>
    </row>
    <row r="368" spans="1:20" ht="13.5" customHeight="1">
      <c r="A368" s="7" t="s">
        <v>31</v>
      </c>
      <c r="B368" s="204">
        <v>52.6</v>
      </c>
      <c r="C368" s="204">
        <v>100</v>
      </c>
      <c r="D368" s="204">
        <v>100</v>
      </c>
      <c r="E368" s="204">
        <v>85.7</v>
      </c>
      <c r="F368" s="204">
        <v>66.7</v>
      </c>
      <c r="G368" s="204">
        <v>100</v>
      </c>
      <c r="H368" s="204">
        <v>100</v>
      </c>
      <c r="I368" s="204">
        <v>71.400000000000006</v>
      </c>
      <c r="J368" s="204">
        <v>33.299999999999997</v>
      </c>
      <c r="K368" s="204">
        <v>100</v>
      </c>
      <c r="L368" s="204">
        <v>100</v>
      </c>
      <c r="M368" s="204">
        <v>100</v>
      </c>
      <c r="N368" s="204">
        <v>100</v>
      </c>
      <c r="O368" s="204">
        <v>100</v>
      </c>
      <c r="P368" s="204">
        <v>100</v>
      </c>
      <c r="Q368" s="207" t="s">
        <v>34</v>
      </c>
      <c r="R368" s="219">
        <v>80</v>
      </c>
      <c r="S368" s="205">
        <v>98</v>
      </c>
      <c r="T368" s="217" t="s">
        <v>65</v>
      </c>
    </row>
    <row r="369" spans="1:20" ht="13.5" customHeight="1">
      <c r="A369" s="7" t="s">
        <v>53</v>
      </c>
      <c r="B369" s="204">
        <v>59.1</v>
      </c>
      <c r="C369" s="204">
        <v>55.6</v>
      </c>
      <c r="D369" s="204">
        <v>50</v>
      </c>
      <c r="E369" s="204">
        <v>50</v>
      </c>
      <c r="F369" s="204">
        <v>50</v>
      </c>
      <c r="G369" s="204">
        <v>0</v>
      </c>
      <c r="H369" s="204">
        <v>0</v>
      </c>
      <c r="I369" s="204">
        <v>50</v>
      </c>
      <c r="J369" s="204">
        <v>50</v>
      </c>
      <c r="K369" s="204">
        <v>33.299999999999997</v>
      </c>
      <c r="L369" s="204">
        <v>0</v>
      </c>
      <c r="M369" s="204">
        <v>0</v>
      </c>
      <c r="N369" s="204">
        <v>0</v>
      </c>
      <c r="O369" s="204">
        <v>25</v>
      </c>
      <c r="P369" s="204">
        <v>33.299999999999997</v>
      </c>
      <c r="Q369" s="44" t="s">
        <v>23</v>
      </c>
      <c r="R369" s="205">
        <v>98</v>
      </c>
      <c r="S369" s="205">
        <v>80</v>
      </c>
      <c r="T369" s="217" t="s">
        <v>39</v>
      </c>
    </row>
    <row r="370" spans="1:20" ht="13.5" customHeight="1">
      <c r="A370" s="7" t="s">
        <v>41</v>
      </c>
      <c r="B370" s="204">
        <v>34.6</v>
      </c>
      <c r="C370" s="204">
        <v>38.1</v>
      </c>
      <c r="D370" s="204">
        <v>57.1</v>
      </c>
      <c r="E370" s="204">
        <v>50</v>
      </c>
      <c r="F370" s="204">
        <v>50</v>
      </c>
      <c r="G370" s="204">
        <v>100</v>
      </c>
      <c r="H370" s="204">
        <v>100</v>
      </c>
      <c r="I370" s="204">
        <v>50</v>
      </c>
      <c r="J370" s="204">
        <v>50</v>
      </c>
      <c r="K370" s="204">
        <v>100</v>
      </c>
      <c r="L370" s="204">
        <v>100</v>
      </c>
      <c r="M370" s="204">
        <v>100</v>
      </c>
      <c r="N370" s="204">
        <v>100</v>
      </c>
      <c r="O370" s="204">
        <v>100</v>
      </c>
      <c r="P370" s="204">
        <v>100</v>
      </c>
      <c r="Q370" s="44" t="s">
        <v>26</v>
      </c>
      <c r="R370" s="205">
        <v>80</v>
      </c>
      <c r="S370" s="205">
        <v>90</v>
      </c>
      <c r="T370" s="217" t="s">
        <v>24</v>
      </c>
    </row>
    <row r="371" spans="1:20" ht="13.5" customHeight="1">
      <c r="A371" s="7" t="s">
        <v>29</v>
      </c>
      <c r="B371" s="204">
        <v>54.8</v>
      </c>
      <c r="C371" s="204">
        <v>59.6</v>
      </c>
      <c r="D371" s="204">
        <v>80</v>
      </c>
      <c r="E371" s="204">
        <v>85.7</v>
      </c>
      <c r="F371" s="204">
        <v>100</v>
      </c>
      <c r="G371" s="204">
        <v>100</v>
      </c>
      <c r="H371" s="204">
        <v>100</v>
      </c>
      <c r="I371" s="204">
        <v>80</v>
      </c>
      <c r="J371" s="204">
        <v>80</v>
      </c>
      <c r="K371" s="204">
        <v>100</v>
      </c>
      <c r="L371" s="204">
        <v>100</v>
      </c>
      <c r="M371" s="204">
        <v>100</v>
      </c>
      <c r="N371" s="204">
        <v>100</v>
      </c>
      <c r="O371" s="204">
        <v>100</v>
      </c>
      <c r="P371" s="204">
        <v>100</v>
      </c>
      <c r="Q371" s="44" t="s">
        <v>30</v>
      </c>
      <c r="R371" s="205">
        <v>100</v>
      </c>
      <c r="S371" s="205">
        <v>90</v>
      </c>
      <c r="T371" s="217" t="s">
        <v>24</v>
      </c>
    </row>
    <row r="372" spans="1:20" ht="13.5" customHeight="1">
      <c r="A372" s="7" t="s">
        <v>37</v>
      </c>
      <c r="B372" s="204">
        <v>66.7</v>
      </c>
      <c r="C372" s="204">
        <v>49.4</v>
      </c>
      <c r="D372" s="204">
        <v>44.4</v>
      </c>
      <c r="E372" s="204">
        <v>57.1</v>
      </c>
      <c r="F372" s="204">
        <v>100</v>
      </c>
      <c r="G372" s="204">
        <v>57.1</v>
      </c>
      <c r="H372" s="204">
        <v>100</v>
      </c>
      <c r="I372" s="204">
        <v>64.7</v>
      </c>
      <c r="J372" s="204">
        <v>66.7</v>
      </c>
      <c r="K372" s="204">
        <v>50</v>
      </c>
      <c r="L372" s="204">
        <v>50</v>
      </c>
      <c r="M372" s="204">
        <v>33.299999999999997</v>
      </c>
      <c r="N372" s="204">
        <v>33.299999999999997</v>
      </c>
      <c r="O372" s="204">
        <v>66.7</v>
      </c>
      <c r="P372" s="204">
        <v>50</v>
      </c>
      <c r="Q372" s="44" t="s">
        <v>23</v>
      </c>
      <c r="R372" s="205">
        <v>115</v>
      </c>
      <c r="S372" s="205">
        <v>102</v>
      </c>
      <c r="T372" s="217" t="s">
        <v>35</v>
      </c>
    </row>
    <row r="373" spans="1:20" ht="13.5" customHeight="1">
      <c r="A373" s="7" t="s">
        <v>60</v>
      </c>
      <c r="B373" s="204">
        <v>29.3</v>
      </c>
      <c r="C373" s="204">
        <v>38.799999999999997</v>
      </c>
      <c r="D373" s="204">
        <v>30.8</v>
      </c>
      <c r="E373" s="204">
        <v>0</v>
      </c>
      <c r="F373" s="204">
        <v>0</v>
      </c>
      <c r="G373" s="204">
        <v>0</v>
      </c>
      <c r="H373" s="204">
        <v>0</v>
      </c>
      <c r="I373" s="204">
        <v>0</v>
      </c>
      <c r="J373" s="204">
        <v>0</v>
      </c>
      <c r="K373" s="204">
        <v>0</v>
      </c>
      <c r="L373" s="204">
        <v>0</v>
      </c>
      <c r="M373" s="204">
        <v>0</v>
      </c>
      <c r="N373" s="204">
        <v>0</v>
      </c>
      <c r="O373" s="204">
        <v>28.6</v>
      </c>
      <c r="P373" s="204">
        <v>0</v>
      </c>
      <c r="Q373" s="44" t="s">
        <v>45</v>
      </c>
      <c r="R373" s="205">
        <v>90</v>
      </c>
      <c r="S373" s="205">
        <v>108</v>
      </c>
      <c r="T373" s="217" t="s">
        <v>35</v>
      </c>
    </row>
    <row r="374" spans="1:20" ht="13.5" customHeight="1">
      <c r="A374" s="7" t="s">
        <v>25</v>
      </c>
      <c r="B374" s="204">
        <v>54.8</v>
      </c>
      <c r="C374" s="204">
        <v>63.6</v>
      </c>
      <c r="D374" s="204">
        <v>25</v>
      </c>
      <c r="E374" s="204">
        <v>60</v>
      </c>
      <c r="F374" s="204">
        <v>66.7</v>
      </c>
      <c r="G374" s="204">
        <v>40</v>
      </c>
      <c r="H374" s="204">
        <v>25</v>
      </c>
      <c r="I374" s="204">
        <v>64.7</v>
      </c>
      <c r="J374" s="204">
        <v>66.7</v>
      </c>
      <c r="K374" s="204">
        <v>0</v>
      </c>
      <c r="L374" s="204">
        <v>0</v>
      </c>
      <c r="M374" s="204">
        <v>0</v>
      </c>
      <c r="N374" s="204">
        <v>0</v>
      </c>
      <c r="O374" s="204">
        <v>0</v>
      </c>
      <c r="P374" s="204">
        <v>0</v>
      </c>
      <c r="Q374" s="207" t="s">
        <v>30</v>
      </c>
      <c r="R374" s="205">
        <v>70</v>
      </c>
      <c r="S374" s="205">
        <v>96</v>
      </c>
      <c r="T374" s="217" t="s">
        <v>48</v>
      </c>
    </row>
    <row r="375" spans="1:20" ht="13.5" customHeight="1">
      <c r="A375" s="7" t="s">
        <v>25</v>
      </c>
      <c r="B375" s="204">
        <v>51.7</v>
      </c>
      <c r="C375" s="204">
        <v>57.9</v>
      </c>
      <c r="D375" s="204">
        <v>60</v>
      </c>
      <c r="E375" s="204">
        <v>16.7</v>
      </c>
      <c r="F375" s="204">
        <v>20</v>
      </c>
      <c r="G375" s="204">
        <v>16.7</v>
      </c>
      <c r="H375" s="204">
        <v>0</v>
      </c>
      <c r="I375" s="204">
        <v>40</v>
      </c>
      <c r="J375" s="204">
        <v>33.299999999999997</v>
      </c>
      <c r="K375" s="204">
        <v>0</v>
      </c>
      <c r="L375" s="204">
        <v>0</v>
      </c>
      <c r="M375" s="204">
        <v>33.299999999999997</v>
      </c>
      <c r="N375" s="204">
        <v>0</v>
      </c>
      <c r="O375" s="204">
        <v>28.6</v>
      </c>
      <c r="P375" s="204">
        <v>0</v>
      </c>
      <c r="Q375" s="207" t="s">
        <v>23</v>
      </c>
      <c r="R375" s="205">
        <v>85</v>
      </c>
      <c r="S375" s="205">
        <v>75</v>
      </c>
      <c r="T375" s="217" t="s">
        <v>40</v>
      </c>
    </row>
    <row r="376" spans="1:20" ht="13.5" customHeight="1">
      <c r="A376" s="7" t="s">
        <v>31</v>
      </c>
      <c r="B376" s="204">
        <v>66.7</v>
      </c>
      <c r="C376" s="204">
        <v>50.8</v>
      </c>
      <c r="D376" s="204">
        <v>50</v>
      </c>
      <c r="E376" s="204">
        <v>60</v>
      </c>
      <c r="F376" s="204">
        <v>66.7</v>
      </c>
      <c r="G376" s="204">
        <v>50</v>
      </c>
      <c r="H376" s="204">
        <v>66.7</v>
      </c>
      <c r="I376" s="204">
        <v>64.7</v>
      </c>
      <c r="J376" s="204">
        <v>66.7</v>
      </c>
      <c r="K376" s="204">
        <v>66.7</v>
      </c>
      <c r="L376" s="204">
        <v>50</v>
      </c>
      <c r="M376" s="204">
        <v>33.299999999999997</v>
      </c>
      <c r="N376" s="204">
        <v>33.299999999999997</v>
      </c>
      <c r="O376" s="204">
        <v>50</v>
      </c>
      <c r="P376" s="204">
        <v>33.299999999999997</v>
      </c>
      <c r="Q376" s="44" t="s">
        <v>23</v>
      </c>
      <c r="R376" s="205">
        <v>100</v>
      </c>
      <c r="S376" s="205">
        <v>88</v>
      </c>
      <c r="T376" s="217" t="s">
        <v>28</v>
      </c>
    </row>
    <row r="377" spans="1:20" ht="13.5" customHeight="1">
      <c r="A377" s="7" t="s">
        <v>33</v>
      </c>
      <c r="B377" s="204">
        <v>29.3</v>
      </c>
      <c r="C377" s="204">
        <v>39.1</v>
      </c>
      <c r="D377" s="204">
        <v>33.299999999999997</v>
      </c>
      <c r="E377" s="204">
        <v>100</v>
      </c>
      <c r="F377" s="204">
        <v>100</v>
      </c>
      <c r="G377" s="204">
        <v>100</v>
      </c>
      <c r="H377" s="204">
        <v>100</v>
      </c>
      <c r="I377" s="204">
        <v>40</v>
      </c>
      <c r="J377" s="204">
        <v>33.299999999999997</v>
      </c>
      <c r="K377" s="204">
        <v>50</v>
      </c>
      <c r="L377" s="204">
        <v>50</v>
      </c>
      <c r="M377" s="204">
        <v>66.7</v>
      </c>
      <c r="N377" s="204">
        <v>100</v>
      </c>
      <c r="O377" s="204">
        <v>25</v>
      </c>
      <c r="P377" s="204">
        <v>50</v>
      </c>
      <c r="Q377" s="44" t="s">
        <v>30</v>
      </c>
      <c r="R377" s="205">
        <v>80</v>
      </c>
      <c r="S377" s="219">
        <v>74</v>
      </c>
      <c r="T377" s="217" t="s">
        <v>40</v>
      </c>
    </row>
    <row r="378" spans="1:20" ht="27" customHeight="1">
      <c r="A378" s="7" t="s">
        <v>33</v>
      </c>
      <c r="B378" s="204">
        <v>55.6</v>
      </c>
      <c r="C378" s="204">
        <v>68</v>
      </c>
      <c r="D378" s="204">
        <v>71.400000000000006</v>
      </c>
      <c r="E378" s="204">
        <v>100</v>
      </c>
      <c r="F378" s="204">
        <v>100</v>
      </c>
      <c r="G378" s="204">
        <v>100</v>
      </c>
      <c r="H378" s="204">
        <v>100</v>
      </c>
      <c r="I378" s="204">
        <v>75</v>
      </c>
      <c r="J378" s="204">
        <v>100</v>
      </c>
      <c r="K378" s="204">
        <v>66.7</v>
      </c>
      <c r="L378" s="204">
        <v>100</v>
      </c>
      <c r="M378" s="204">
        <v>100</v>
      </c>
      <c r="N378" s="204">
        <v>100</v>
      </c>
      <c r="O378" s="204">
        <v>33.299999999999997</v>
      </c>
      <c r="P378" s="204">
        <v>66.7</v>
      </c>
      <c r="Q378" s="44" t="s">
        <v>23</v>
      </c>
      <c r="R378" s="219">
        <v>110</v>
      </c>
      <c r="S378" s="205">
        <v>85</v>
      </c>
      <c r="T378" s="217" t="s">
        <v>28</v>
      </c>
    </row>
    <row r="379" spans="1:20" ht="13.5" customHeight="1">
      <c r="A379" s="7" t="s">
        <v>36</v>
      </c>
      <c r="B379" s="204">
        <v>55.6</v>
      </c>
      <c r="C379" s="204">
        <v>39.1</v>
      </c>
      <c r="D379" s="204">
        <v>33.299999999999997</v>
      </c>
      <c r="E379" s="204">
        <v>0</v>
      </c>
      <c r="F379" s="204">
        <v>0</v>
      </c>
      <c r="G379" s="204">
        <v>0</v>
      </c>
      <c r="H379" s="204">
        <v>0</v>
      </c>
      <c r="I379" s="204">
        <v>57.1</v>
      </c>
      <c r="J379" s="204">
        <v>60</v>
      </c>
      <c r="K379" s="204">
        <v>80</v>
      </c>
      <c r="L379" s="204">
        <v>80</v>
      </c>
      <c r="M379" s="204">
        <v>75</v>
      </c>
      <c r="N379" s="204">
        <v>75</v>
      </c>
      <c r="O379" s="204">
        <v>60</v>
      </c>
      <c r="P379" s="204">
        <v>75</v>
      </c>
      <c r="Q379" s="44" t="s">
        <v>45</v>
      </c>
      <c r="R379" s="205">
        <v>95</v>
      </c>
      <c r="S379" s="205">
        <v>88</v>
      </c>
      <c r="T379" s="217" t="s">
        <v>28</v>
      </c>
    </row>
    <row r="380" spans="1:20" ht="13.5" customHeight="1">
      <c r="A380" s="7" t="s">
        <v>31</v>
      </c>
      <c r="B380" s="204">
        <v>28.2</v>
      </c>
      <c r="C380" s="204">
        <v>49.4</v>
      </c>
      <c r="D380" s="204">
        <v>66.7</v>
      </c>
      <c r="E380" s="204">
        <v>60</v>
      </c>
      <c r="F380" s="204">
        <v>75</v>
      </c>
      <c r="G380" s="204">
        <v>50</v>
      </c>
      <c r="H380" s="204">
        <v>66.7</v>
      </c>
      <c r="I380" s="204">
        <v>60</v>
      </c>
      <c r="J380" s="204">
        <v>50</v>
      </c>
      <c r="K380" s="204">
        <v>100</v>
      </c>
      <c r="L380" s="204">
        <v>100</v>
      </c>
      <c r="M380" s="204">
        <v>100</v>
      </c>
      <c r="N380" s="204">
        <v>100</v>
      </c>
      <c r="O380" s="204">
        <v>100</v>
      </c>
      <c r="P380" s="204">
        <v>100</v>
      </c>
      <c r="Q380" s="44" t="s">
        <v>26</v>
      </c>
      <c r="R380" s="205">
        <v>85</v>
      </c>
      <c r="S380" s="219">
        <v>104</v>
      </c>
      <c r="T380" s="217" t="s">
        <v>35</v>
      </c>
    </row>
    <row r="381" spans="1:20" ht="13.5" customHeight="1">
      <c r="A381" s="7" t="s">
        <v>78</v>
      </c>
      <c r="B381" s="204">
        <v>45.2</v>
      </c>
      <c r="C381" s="204">
        <v>39.1</v>
      </c>
      <c r="D381" s="204">
        <v>57.1</v>
      </c>
      <c r="E381" s="204">
        <v>0</v>
      </c>
      <c r="F381" s="204">
        <v>0</v>
      </c>
      <c r="G381" s="204">
        <v>0</v>
      </c>
      <c r="H381" s="204">
        <v>0</v>
      </c>
      <c r="I381" s="204">
        <v>37.5</v>
      </c>
      <c r="J381" s="204">
        <v>0</v>
      </c>
      <c r="K381" s="204">
        <v>50</v>
      </c>
      <c r="L381" s="204">
        <v>0</v>
      </c>
      <c r="M381" s="204">
        <v>50</v>
      </c>
      <c r="N381" s="204">
        <v>0</v>
      </c>
      <c r="O381" s="204">
        <v>50</v>
      </c>
      <c r="P381" s="204">
        <v>50</v>
      </c>
      <c r="Q381" s="207" t="s">
        <v>26</v>
      </c>
      <c r="R381" s="205">
        <v>105</v>
      </c>
      <c r="S381" s="205">
        <v>94</v>
      </c>
      <c r="T381" s="217" t="s">
        <v>28</v>
      </c>
    </row>
    <row r="382" spans="1:20" ht="13.5" customHeight="1">
      <c r="A382" s="7" t="s">
        <v>31</v>
      </c>
      <c r="B382" s="204">
        <v>57.7</v>
      </c>
      <c r="C382" s="204">
        <v>55.6</v>
      </c>
      <c r="D382" s="204">
        <v>30</v>
      </c>
      <c r="E382" s="204">
        <v>100</v>
      </c>
      <c r="F382" s="204">
        <v>100</v>
      </c>
      <c r="G382" s="204">
        <v>80</v>
      </c>
      <c r="H382" s="204">
        <v>100</v>
      </c>
      <c r="I382" s="204">
        <v>75</v>
      </c>
      <c r="J382" s="204">
        <v>100</v>
      </c>
      <c r="K382" s="204">
        <v>100</v>
      </c>
      <c r="L382" s="204">
        <v>100</v>
      </c>
      <c r="M382" s="204">
        <v>75</v>
      </c>
      <c r="N382" s="204">
        <v>75</v>
      </c>
      <c r="O382" s="204">
        <v>60</v>
      </c>
      <c r="P382" s="204">
        <v>75</v>
      </c>
      <c r="Q382" s="44" t="s">
        <v>23</v>
      </c>
      <c r="R382" s="205">
        <v>100</v>
      </c>
      <c r="S382" s="205">
        <v>90</v>
      </c>
      <c r="T382" s="217" t="s">
        <v>28</v>
      </c>
    </row>
    <row r="383" spans="1:20" ht="13.5" customHeight="1">
      <c r="A383" s="7" t="s">
        <v>36</v>
      </c>
      <c r="B383" s="204">
        <v>34.6</v>
      </c>
      <c r="C383" s="204">
        <v>38.1</v>
      </c>
      <c r="D383" s="204">
        <v>57.1</v>
      </c>
      <c r="E383" s="204">
        <v>25</v>
      </c>
      <c r="F383" s="204">
        <v>50</v>
      </c>
      <c r="G383" s="204">
        <v>25</v>
      </c>
      <c r="H383" s="204">
        <v>50</v>
      </c>
      <c r="I383" s="204">
        <v>57.1</v>
      </c>
      <c r="J383" s="204">
        <v>60</v>
      </c>
      <c r="K383" s="204">
        <v>0</v>
      </c>
      <c r="L383" s="204">
        <v>0</v>
      </c>
      <c r="M383" s="204">
        <v>33.299999999999997</v>
      </c>
      <c r="N383" s="204">
        <v>50</v>
      </c>
      <c r="O383" s="204">
        <v>33.299999999999997</v>
      </c>
      <c r="P383" s="204">
        <v>66.7</v>
      </c>
      <c r="Q383" s="44" t="s">
        <v>26</v>
      </c>
      <c r="R383" s="205">
        <v>88</v>
      </c>
      <c r="S383" s="205">
        <v>90</v>
      </c>
      <c r="T383" s="217" t="s">
        <v>27</v>
      </c>
    </row>
    <row r="384" spans="1:20" ht="13.5" customHeight="1">
      <c r="A384" s="7" t="s">
        <v>36</v>
      </c>
      <c r="B384" s="204">
        <v>33.299999999999997</v>
      </c>
      <c r="C384" s="204">
        <v>57.9</v>
      </c>
      <c r="D384" s="204">
        <v>33.299999999999997</v>
      </c>
      <c r="E384" s="204">
        <v>0</v>
      </c>
      <c r="F384" s="204">
        <v>0</v>
      </c>
      <c r="G384" s="204">
        <v>25</v>
      </c>
      <c r="H384" s="204">
        <v>0</v>
      </c>
      <c r="I384" s="204">
        <v>37.5</v>
      </c>
      <c r="J384" s="204">
        <v>25</v>
      </c>
      <c r="K384" s="204">
        <v>40</v>
      </c>
      <c r="L384" s="204">
        <v>50</v>
      </c>
      <c r="M384" s="204">
        <v>40</v>
      </c>
      <c r="N384" s="204">
        <v>50</v>
      </c>
      <c r="O384" s="204">
        <v>40</v>
      </c>
      <c r="P384" s="204">
        <v>66.7</v>
      </c>
      <c r="Q384" s="207" t="s">
        <v>23</v>
      </c>
      <c r="R384" s="205">
        <v>80</v>
      </c>
      <c r="S384" s="219">
        <v>98</v>
      </c>
      <c r="T384" s="217" t="s">
        <v>32</v>
      </c>
    </row>
    <row r="385" spans="1:20" ht="13.5" customHeight="1">
      <c r="A385" s="7" t="s">
        <v>22</v>
      </c>
      <c r="B385" s="204">
        <v>45.7</v>
      </c>
      <c r="C385" s="204">
        <v>39.1</v>
      </c>
      <c r="D385" s="204">
        <v>33.299999999999997</v>
      </c>
      <c r="E385" s="204">
        <v>100</v>
      </c>
      <c r="F385" s="204">
        <v>100</v>
      </c>
      <c r="G385" s="204">
        <v>100</v>
      </c>
      <c r="H385" s="204">
        <v>100</v>
      </c>
      <c r="I385" s="204">
        <v>70.599999999999994</v>
      </c>
      <c r="J385" s="204">
        <v>100</v>
      </c>
      <c r="K385" s="204">
        <v>100</v>
      </c>
      <c r="L385" s="204">
        <v>100</v>
      </c>
      <c r="M385" s="204">
        <v>80</v>
      </c>
      <c r="N385" s="204">
        <v>66.7</v>
      </c>
      <c r="O385" s="204">
        <v>80</v>
      </c>
      <c r="P385" s="204">
        <v>75</v>
      </c>
      <c r="Q385" s="207" t="s">
        <v>26</v>
      </c>
      <c r="R385" s="205">
        <v>90</v>
      </c>
      <c r="S385" s="219">
        <v>100</v>
      </c>
      <c r="T385" s="217" t="s">
        <v>35</v>
      </c>
    </row>
    <row r="386" spans="1:20" ht="13.5" customHeight="1">
      <c r="A386" s="7" t="s">
        <v>33</v>
      </c>
      <c r="B386" s="204">
        <v>54.8</v>
      </c>
      <c r="C386" s="204">
        <v>49.4</v>
      </c>
      <c r="D386" s="204">
        <v>44.4</v>
      </c>
      <c r="E386" s="204">
        <v>100</v>
      </c>
      <c r="F386" s="204">
        <v>100</v>
      </c>
      <c r="G386" s="204">
        <v>83.3</v>
      </c>
      <c r="H386" s="204">
        <v>100</v>
      </c>
      <c r="I386" s="204">
        <v>75</v>
      </c>
      <c r="J386" s="204">
        <v>85.7</v>
      </c>
      <c r="K386" s="204">
        <v>66.7</v>
      </c>
      <c r="L386" s="204">
        <v>66.7</v>
      </c>
      <c r="M386" s="204">
        <v>66.7</v>
      </c>
      <c r="N386" s="204">
        <v>66.7</v>
      </c>
      <c r="O386" s="204">
        <v>71.400000000000006</v>
      </c>
      <c r="P386" s="204">
        <v>71.400000000000006</v>
      </c>
      <c r="Q386" s="44" t="s">
        <v>23</v>
      </c>
      <c r="R386" s="205">
        <v>105</v>
      </c>
      <c r="S386" s="205">
        <v>90</v>
      </c>
      <c r="T386" s="217" t="s">
        <v>28</v>
      </c>
    </row>
    <row r="387" spans="1:20" ht="13.5" customHeight="1">
      <c r="A387" s="7" t="s">
        <v>36</v>
      </c>
      <c r="B387" s="204">
        <v>28.2</v>
      </c>
      <c r="C387" s="204">
        <v>38.799999999999997</v>
      </c>
      <c r="D387" s="204">
        <v>14.3</v>
      </c>
      <c r="E387" s="204">
        <v>0</v>
      </c>
      <c r="F387" s="204">
        <v>0</v>
      </c>
      <c r="G387" s="204">
        <v>0</v>
      </c>
      <c r="H387" s="204">
        <v>0</v>
      </c>
      <c r="I387" s="204">
        <v>0</v>
      </c>
      <c r="J387" s="204">
        <v>0</v>
      </c>
      <c r="K387" s="204">
        <v>0</v>
      </c>
      <c r="L387" s="204">
        <v>0</v>
      </c>
      <c r="M387" s="204">
        <v>0</v>
      </c>
      <c r="N387" s="204">
        <v>0</v>
      </c>
      <c r="O387" s="204">
        <v>14.3</v>
      </c>
      <c r="P387" s="204">
        <v>0</v>
      </c>
      <c r="Q387" s="44" t="s">
        <v>45</v>
      </c>
      <c r="R387" s="205">
        <v>90</v>
      </c>
      <c r="S387" s="218">
        <v>108</v>
      </c>
      <c r="T387" s="217" t="s">
        <v>35</v>
      </c>
    </row>
    <row r="388" spans="1:20" s="5" customFormat="1" ht="13.5" customHeight="1">
      <c r="A388" s="7" t="s">
        <v>22</v>
      </c>
      <c r="B388" s="204">
        <v>45.7</v>
      </c>
      <c r="C388" s="204">
        <v>74.400000000000006</v>
      </c>
      <c r="D388" s="204">
        <v>90</v>
      </c>
      <c r="E388" s="204">
        <v>85.7</v>
      </c>
      <c r="F388" s="204">
        <v>80</v>
      </c>
      <c r="G388" s="204">
        <v>83.3</v>
      </c>
      <c r="H388" s="204">
        <v>66.7</v>
      </c>
      <c r="I388" s="204">
        <v>63.6</v>
      </c>
      <c r="J388" s="204">
        <v>71.400000000000006</v>
      </c>
      <c r="K388" s="204">
        <v>100</v>
      </c>
      <c r="L388" s="204">
        <v>100</v>
      </c>
      <c r="M388" s="204">
        <v>100</v>
      </c>
      <c r="N388" s="204">
        <v>100</v>
      </c>
      <c r="O388" s="204">
        <v>100</v>
      </c>
      <c r="P388" s="204">
        <v>100</v>
      </c>
      <c r="Q388" s="44" t="s">
        <v>23</v>
      </c>
      <c r="R388" s="205">
        <v>90</v>
      </c>
      <c r="S388" s="205">
        <v>75</v>
      </c>
      <c r="T388" s="217" t="s">
        <v>40</v>
      </c>
    </row>
    <row r="389" spans="1:20" ht="27" customHeight="1">
      <c r="A389" s="7" t="s">
        <v>42</v>
      </c>
      <c r="B389" s="204">
        <v>52.6</v>
      </c>
      <c r="C389" s="204">
        <v>63.6</v>
      </c>
      <c r="D389" s="204">
        <v>25</v>
      </c>
      <c r="E389" s="204">
        <v>0</v>
      </c>
      <c r="F389" s="204">
        <v>0</v>
      </c>
      <c r="G389" s="204">
        <v>40</v>
      </c>
      <c r="H389" s="204">
        <v>25</v>
      </c>
      <c r="I389" s="204">
        <v>40</v>
      </c>
      <c r="J389" s="204">
        <v>33.299999999999997</v>
      </c>
      <c r="K389" s="204">
        <v>0</v>
      </c>
      <c r="L389" s="204">
        <v>0</v>
      </c>
      <c r="M389" s="204">
        <v>0</v>
      </c>
      <c r="N389" s="204">
        <v>0</v>
      </c>
      <c r="O389" s="204">
        <v>0</v>
      </c>
      <c r="P389" s="204">
        <v>0</v>
      </c>
      <c r="Q389" s="207" t="s">
        <v>30</v>
      </c>
      <c r="R389" s="205">
        <v>75</v>
      </c>
      <c r="S389" s="205">
        <v>75</v>
      </c>
      <c r="T389" s="217" t="s">
        <v>46</v>
      </c>
    </row>
    <row r="390" spans="1:20" ht="13.5" customHeight="1">
      <c r="A390" s="7" t="s">
        <v>42</v>
      </c>
      <c r="B390" s="204">
        <v>54.8</v>
      </c>
      <c r="C390" s="204">
        <v>74.400000000000006</v>
      </c>
      <c r="D390" s="204">
        <v>71.400000000000006</v>
      </c>
      <c r="E390" s="204">
        <v>75</v>
      </c>
      <c r="F390" s="204">
        <v>80</v>
      </c>
      <c r="G390" s="204">
        <v>66.7</v>
      </c>
      <c r="H390" s="204">
        <v>83.3</v>
      </c>
      <c r="I390" s="204">
        <v>80</v>
      </c>
      <c r="J390" s="204">
        <v>80</v>
      </c>
      <c r="K390" s="204">
        <v>0</v>
      </c>
      <c r="L390" s="204">
        <v>0</v>
      </c>
      <c r="M390" s="204">
        <v>0</v>
      </c>
      <c r="N390" s="204">
        <v>0</v>
      </c>
      <c r="O390" s="204">
        <v>14.3</v>
      </c>
      <c r="P390" s="204">
        <v>25</v>
      </c>
      <c r="Q390" s="44" t="s">
        <v>23</v>
      </c>
      <c r="R390" s="205">
        <v>80</v>
      </c>
      <c r="S390" s="205">
        <v>75</v>
      </c>
      <c r="T390" s="217" t="s">
        <v>46</v>
      </c>
    </row>
    <row r="391" spans="1:20" ht="13.5" customHeight="1">
      <c r="A391" s="7" t="s">
        <v>42</v>
      </c>
      <c r="B391" s="204">
        <v>28.2</v>
      </c>
      <c r="C391" s="204">
        <v>55.6</v>
      </c>
      <c r="D391" s="204">
        <v>30</v>
      </c>
      <c r="E391" s="204">
        <v>60</v>
      </c>
      <c r="F391" s="204">
        <v>75</v>
      </c>
      <c r="G391" s="204">
        <v>60</v>
      </c>
      <c r="H391" s="204">
        <v>75</v>
      </c>
      <c r="I391" s="204">
        <v>60</v>
      </c>
      <c r="J391" s="204">
        <v>50</v>
      </c>
      <c r="K391" s="204">
        <v>50</v>
      </c>
      <c r="L391" s="204">
        <v>0</v>
      </c>
      <c r="M391" s="204">
        <v>0</v>
      </c>
      <c r="N391" s="204">
        <v>0</v>
      </c>
      <c r="O391" s="204">
        <v>28.6</v>
      </c>
      <c r="P391" s="204">
        <v>0</v>
      </c>
      <c r="Q391" s="44" t="s">
        <v>26</v>
      </c>
      <c r="R391" s="205">
        <v>90</v>
      </c>
      <c r="S391" s="205">
        <v>95</v>
      </c>
      <c r="T391" s="217" t="s">
        <v>24</v>
      </c>
    </row>
    <row r="392" spans="1:20" s="5" customFormat="1" ht="13.5" customHeight="1">
      <c r="A392" s="7" t="s">
        <v>31</v>
      </c>
      <c r="B392" s="204">
        <v>80</v>
      </c>
      <c r="C392" s="204">
        <v>36.9</v>
      </c>
      <c r="D392" s="204">
        <v>60</v>
      </c>
      <c r="E392" s="204">
        <v>80</v>
      </c>
      <c r="F392" s="204">
        <v>75</v>
      </c>
      <c r="G392" s="204">
        <v>60</v>
      </c>
      <c r="H392" s="204">
        <v>75</v>
      </c>
      <c r="I392" s="204">
        <v>50</v>
      </c>
      <c r="J392" s="204">
        <v>100</v>
      </c>
      <c r="K392" s="204">
        <v>100</v>
      </c>
      <c r="L392" s="204">
        <v>100</v>
      </c>
      <c r="M392" s="204">
        <v>50</v>
      </c>
      <c r="N392" s="204">
        <v>100</v>
      </c>
      <c r="O392" s="204">
        <v>50</v>
      </c>
      <c r="P392" s="204">
        <v>100</v>
      </c>
      <c r="Q392" s="207" t="s">
        <v>23</v>
      </c>
      <c r="R392" s="205">
        <v>110</v>
      </c>
      <c r="S392" s="219">
        <v>95</v>
      </c>
      <c r="T392" s="217" t="s">
        <v>27</v>
      </c>
    </row>
    <row r="393" spans="1:20" ht="13.5" customHeight="1">
      <c r="A393" s="7" t="s">
        <v>33</v>
      </c>
      <c r="B393" s="204">
        <v>80</v>
      </c>
      <c r="C393" s="204">
        <v>50.8</v>
      </c>
      <c r="D393" s="204">
        <v>55.6</v>
      </c>
      <c r="E393" s="204">
        <v>40</v>
      </c>
      <c r="F393" s="204">
        <v>100</v>
      </c>
      <c r="G393" s="204">
        <v>20</v>
      </c>
      <c r="H393" s="204">
        <v>50</v>
      </c>
      <c r="I393" s="204">
        <v>37.5</v>
      </c>
      <c r="J393" s="204">
        <v>25</v>
      </c>
      <c r="K393" s="204">
        <v>25</v>
      </c>
      <c r="L393" s="204">
        <v>100</v>
      </c>
      <c r="M393" s="204">
        <v>25</v>
      </c>
      <c r="N393" s="204">
        <v>100</v>
      </c>
      <c r="O393" s="204">
        <v>40</v>
      </c>
      <c r="P393" s="204">
        <v>100</v>
      </c>
      <c r="Q393" s="207" t="s">
        <v>23</v>
      </c>
      <c r="R393" s="205">
        <v>100</v>
      </c>
      <c r="S393" s="205">
        <v>94</v>
      </c>
      <c r="T393" s="217" t="s">
        <v>32</v>
      </c>
    </row>
    <row r="394" spans="1:20" ht="13.5" customHeight="1">
      <c r="A394" s="7" t="s">
        <v>31</v>
      </c>
      <c r="B394" s="204">
        <v>66.7</v>
      </c>
      <c r="C394" s="204">
        <v>38.1</v>
      </c>
      <c r="D394" s="204">
        <v>36.4</v>
      </c>
      <c r="E394" s="204">
        <v>75</v>
      </c>
      <c r="F394" s="204">
        <v>80</v>
      </c>
      <c r="G394" s="204">
        <v>75</v>
      </c>
      <c r="H394" s="204">
        <v>75</v>
      </c>
      <c r="I394" s="204">
        <v>80</v>
      </c>
      <c r="J394" s="204">
        <v>80</v>
      </c>
      <c r="K394" s="204">
        <v>100</v>
      </c>
      <c r="L394" s="204">
        <v>100</v>
      </c>
      <c r="M394" s="204">
        <v>100</v>
      </c>
      <c r="N394" s="204">
        <v>100</v>
      </c>
      <c r="O394" s="204">
        <v>100</v>
      </c>
      <c r="P394" s="204">
        <v>100</v>
      </c>
      <c r="Q394" s="44" t="s">
        <v>26</v>
      </c>
      <c r="R394" s="205">
        <v>100</v>
      </c>
      <c r="S394" s="219">
        <v>85</v>
      </c>
      <c r="T394" s="217" t="s">
        <v>27</v>
      </c>
    </row>
    <row r="395" spans="1:20" ht="13.5" customHeight="1">
      <c r="A395" s="7" t="s">
        <v>42</v>
      </c>
      <c r="B395" s="204">
        <v>54.8</v>
      </c>
      <c r="C395" s="204">
        <v>74.400000000000006</v>
      </c>
      <c r="D395" s="204">
        <v>71.400000000000006</v>
      </c>
      <c r="E395" s="204">
        <v>50</v>
      </c>
      <c r="F395" s="204">
        <v>0</v>
      </c>
      <c r="G395" s="204">
        <v>50</v>
      </c>
      <c r="H395" s="204">
        <v>0</v>
      </c>
      <c r="I395" s="204">
        <v>75</v>
      </c>
      <c r="J395" s="204">
        <v>85.7</v>
      </c>
      <c r="K395" s="204">
        <v>0</v>
      </c>
      <c r="L395" s="204">
        <v>0</v>
      </c>
      <c r="M395" s="204">
        <v>0</v>
      </c>
      <c r="N395" s="204">
        <v>0</v>
      </c>
      <c r="O395" s="204">
        <v>50</v>
      </c>
      <c r="P395" s="204">
        <v>66.7</v>
      </c>
      <c r="Q395" s="44" t="s">
        <v>23</v>
      </c>
      <c r="R395" s="205">
        <v>95</v>
      </c>
      <c r="S395" s="205">
        <v>108</v>
      </c>
      <c r="T395" s="217" t="s">
        <v>35</v>
      </c>
    </row>
    <row r="396" spans="1:20" ht="13.5" customHeight="1">
      <c r="A396" s="42" t="s">
        <v>69</v>
      </c>
      <c r="B396" s="204">
        <v>37.5</v>
      </c>
      <c r="C396" s="204">
        <v>38.799999999999997</v>
      </c>
      <c r="D396" s="204">
        <v>60</v>
      </c>
      <c r="E396" s="204">
        <v>100</v>
      </c>
      <c r="F396" s="204">
        <v>100</v>
      </c>
      <c r="G396" s="204">
        <v>100</v>
      </c>
      <c r="H396" s="204">
        <v>100</v>
      </c>
      <c r="I396" s="204">
        <v>66.7</v>
      </c>
      <c r="J396" s="204">
        <v>50</v>
      </c>
      <c r="K396" s="204">
        <v>100</v>
      </c>
      <c r="L396" s="204">
        <v>100</v>
      </c>
      <c r="M396" s="204">
        <v>100</v>
      </c>
      <c r="N396" s="204">
        <v>100</v>
      </c>
      <c r="O396" s="204">
        <v>100</v>
      </c>
      <c r="P396" s="204">
        <v>100</v>
      </c>
      <c r="Q396" s="44" t="s">
        <v>26</v>
      </c>
      <c r="R396" s="205">
        <v>100</v>
      </c>
      <c r="S396" s="205">
        <v>80</v>
      </c>
      <c r="T396" s="217" t="s">
        <v>39</v>
      </c>
    </row>
    <row r="397" spans="1:20" ht="13.5" customHeight="1">
      <c r="A397" s="7" t="s">
        <v>42</v>
      </c>
      <c r="B397" s="204">
        <v>16.7</v>
      </c>
      <c r="C397" s="204">
        <v>36.9</v>
      </c>
      <c r="D397" s="204">
        <v>40</v>
      </c>
      <c r="E397" s="204">
        <v>0</v>
      </c>
      <c r="F397" s="204">
        <v>0</v>
      </c>
      <c r="G397" s="204">
        <v>0</v>
      </c>
      <c r="H397" s="204">
        <v>0</v>
      </c>
      <c r="I397" s="204">
        <v>0</v>
      </c>
      <c r="J397" s="204">
        <v>0</v>
      </c>
      <c r="K397" s="204">
        <v>33.299999999999997</v>
      </c>
      <c r="L397" s="204">
        <v>0</v>
      </c>
      <c r="M397" s="204">
        <v>33.299999999999997</v>
      </c>
      <c r="N397" s="204">
        <v>0</v>
      </c>
      <c r="O397" s="204">
        <v>16.7</v>
      </c>
      <c r="P397" s="204">
        <v>0</v>
      </c>
      <c r="Q397" s="44" t="s">
        <v>45</v>
      </c>
      <c r="R397" s="205">
        <v>80</v>
      </c>
      <c r="S397" s="205">
        <v>85</v>
      </c>
      <c r="T397" s="217" t="s">
        <v>27</v>
      </c>
    </row>
    <row r="398" spans="1:20" ht="13.5" customHeight="1">
      <c r="A398" s="7" t="s">
        <v>64</v>
      </c>
      <c r="B398" s="204">
        <v>0</v>
      </c>
      <c r="C398" s="204">
        <v>36.9</v>
      </c>
      <c r="D398" s="204">
        <v>60</v>
      </c>
      <c r="E398" s="204">
        <v>0</v>
      </c>
      <c r="F398" s="204">
        <v>0</v>
      </c>
      <c r="G398" s="204">
        <v>0</v>
      </c>
      <c r="H398" s="204">
        <v>0</v>
      </c>
      <c r="I398" s="204">
        <v>0</v>
      </c>
      <c r="J398" s="204">
        <v>0</v>
      </c>
      <c r="K398" s="204">
        <v>33.299999999999997</v>
      </c>
      <c r="L398" s="204">
        <v>0</v>
      </c>
      <c r="M398" s="204">
        <v>20</v>
      </c>
      <c r="N398" s="204">
        <v>0</v>
      </c>
      <c r="O398" s="204">
        <v>16.7</v>
      </c>
      <c r="P398" s="204">
        <v>0</v>
      </c>
      <c r="Q398" s="207" t="s">
        <v>34</v>
      </c>
      <c r="R398" s="205">
        <v>100</v>
      </c>
      <c r="S398" s="205">
        <v>80</v>
      </c>
      <c r="T398" s="217" t="s">
        <v>46</v>
      </c>
    </row>
    <row r="399" spans="1:20" ht="13.5" customHeight="1">
      <c r="A399" s="7" t="s">
        <v>42</v>
      </c>
      <c r="B399" s="204">
        <v>16.7</v>
      </c>
      <c r="C399" s="204">
        <v>39.1</v>
      </c>
      <c r="D399" s="204">
        <v>0</v>
      </c>
      <c r="E399" s="204">
        <v>0</v>
      </c>
      <c r="F399" s="204">
        <v>0</v>
      </c>
      <c r="G399" s="204">
        <v>33.299999999999997</v>
      </c>
      <c r="H399" s="204">
        <v>50</v>
      </c>
      <c r="I399" s="204">
        <v>66.7</v>
      </c>
      <c r="J399" s="204">
        <v>50</v>
      </c>
      <c r="K399" s="204">
        <v>0</v>
      </c>
      <c r="L399" s="204">
        <v>0</v>
      </c>
      <c r="M399" s="204">
        <v>0</v>
      </c>
      <c r="N399" s="204">
        <v>0</v>
      </c>
      <c r="O399" s="204">
        <v>0</v>
      </c>
      <c r="P399" s="204">
        <v>0</v>
      </c>
      <c r="Q399" s="44" t="s">
        <v>45</v>
      </c>
      <c r="R399" s="205">
        <v>90</v>
      </c>
      <c r="S399" s="205">
        <v>76</v>
      </c>
      <c r="T399" s="217" t="s">
        <v>39</v>
      </c>
    </row>
    <row r="400" spans="1:20" ht="13.5" customHeight="1">
      <c r="A400" s="37" t="s">
        <v>57</v>
      </c>
      <c r="B400" s="204">
        <v>55.6</v>
      </c>
      <c r="C400" s="204">
        <v>59.6</v>
      </c>
      <c r="D400" s="204">
        <v>58.8</v>
      </c>
      <c r="E400" s="204">
        <v>50</v>
      </c>
      <c r="F400" s="204">
        <v>100</v>
      </c>
      <c r="G400" s="204">
        <v>50</v>
      </c>
      <c r="H400" s="204">
        <v>100</v>
      </c>
      <c r="I400" s="204">
        <v>57.1</v>
      </c>
      <c r="J400" s="204">
        <v>60</v>
      </c>
      <c r="K400" s="204">
        <v>75</v>
      </c>
      <c r="L400" s="204">
        <v>100</v>
      </c>
      <c r="M400" s="204">
        <v>75</v>
      </c>
      <c r="N400" s="204">
        <v>100</v>
      </c>
      <c r="O400" s="204">
        <v>100</v>
      </c>
      <c r="P400" s="204">
        <v>100</v>
      </c>
      <c r="Q400" s="206" t="s">
        <v>26</v>
      </c>
      <c r="R400" s="218">
        <v>92</v>
      </c>
      <c r="S400" s="199">
        <v>84</v>
      </c>
      <c r="T400" s="223" t="s">
        <v>46</v>
      </c>
    </row>
    <row r="401" spans="1:20" ht="13.5" customHeight="1">
      <c r="A401" s="37" t="s">
        <v>31</v>
      </c>
      <c r="B401" s="204">
        <v>63.6</v>
      </c>
      <c r="C401" s="204">
        <v>57.9</v>
      </c>
      <c r="D401" s="204">
        <v>75</v>
      </c>
      <c r="E401" s="204">
        <v>42.9</v>
      </c>
      <c r="F401" s="204">
        <v>75</v>
      </c>
      <c r="G401" s="204">
        <v>42.9</v>
      </c>
      <c r="H401" s="204">
        <v>75</v>
      </c>
      <c r="I401" s="204">
        <v>66.7</v>
      </c>
      <c r="J401" s="204">
        <v>66.7</v>
      </c>
      <c r="K401" s="204">
        <v>100</v>
      </c>
      <c r="L401" s="204">
        <v>100</v>
      </c>
      <c r="M401" s="204">
        <v>100</v>
      </c>
      <c r="N401" s="204">
        <v>100</v>
      </c>
      <c r="O401" s="204">
        <v>100</v>
      </c>
      <c r="P401" s="204">
        <v>100</v>
      </c>
      <c r="Q401" s="86" t="s">
        <v>26</v>
      </c>
      <c r="R401" s="199">
        <v>105</v>
      </c>
      <c r="S401" s="218">
        <v>94</v>
      </c>
      <c r="T401" s="223" t="s">
        <v>28</v>
      </c>
    </row>
    <row r="402" spans="1:20" ht="13.5" customHeight="1">
      <c r="A402" s="37" t="s">
        <v>53</v>
      </c>
      <c r="B402" s="204">
        <v>29.3</v>
      </c>
      <c r="C402" s="204">
        <v>39.1</v>
      </c>
      <c r="D402" s="204">
        <v>33.299999999999997</v>
      </c>
      <c r="E402" s="204">
        <v>0</v>
      </c>
      <c r="F402" s="204">
        <v>0</v>
      </c>
      <c r="G402" s="204">
        <v>33.299999999999997</v>
      </c>
      <c r="H402" s="204">
        <v>50</v>
      </c>
      <c r="I402" s="204">
        <v>50</v>
      </c>
      <c r="J402" s="204">
        <v>50</v>
      </c>
      <c r="K402" s="204">
        <v>0</v>
      </c>
      <c r="L402" s="204">
        <v>0</v>
      </c>
      <c r="M402" s="204">
        <v>0</v>
      </c>
      <c r="N402" s="204">
        <v>0</v>
      </c>
      <c r="O402" s="204">
        <v>25</v>
      </c>
      <c r="P402" s="204">
        <v>33.299999999999997</v>
      </c>
      <c r="Q402" s="86" t="s">
        <v>63</v>
      </c>
      <c r="R402" s="199">
        <v>80</v>
      </c>
      <c r="S402" s="218">
        <v>83</v>
      </c>
      <c r="T402" s="223" t="s">
        <v>46</v>
      </c>
    </row>
    <row r="403" spans="1:20" ht="13.5" customHeight="1">
      <c r="A403" s="37" t="s">
        <v>66</v>
      </c>
      <c r="B403" s="204">
        <v>60</v>
      </c>
      <c r="C403" s="204">
        <v>49</v>
      </c>
      <c r="D403" s="204">
        <v>75</v>
      </c>
      <c r="E403" s="204">
        <v>37.5</v>
      </c>
      <c r="F403" s="204">
        <v>50</v>
      </c>
      <c r="G403" s="204">
        <v>28.6</v>
      </c>
      <c r="H403" s="204">
        <v>50</v>
      </c>
      <c r="I403" s="204">
        <v>62.5</v>
      </c>
      <c r="J403" s="204">
        <v>33.299999999999997</v>
      </c>
      <c r="K403" s="204">
        <v>50</v>
      </c>
      <c r="L403" s="204">
        <v>50</v>
      </c>
      <c r="M403" s="204">
        <v>50</v>
      </c>
      <c r="N403" s="204">
        <v>50</v>
      </c>
      <c r="O403" s="204">
        <v>40</v>
      </c>
      <c r="P403" s="204">
        <v>50</v>
      </c>
      <c r="Q403" s="206" t="s">
        <v>26</v>
      </c>
      <c r="R403" s="199">
        <v>98</v>
      </c>
      <c r="S403" s="199">
        <v>96</v>
      </c>
      <c r="T403" s="223" t="s">
        <v>32</v>
      </c>
    </row>
    <row r="404" spans="1:20" ht="13.5" customHeight="1">
      <c r="A404" s="37" t="s">
        <v>33</v>
      </c>
      <c r="B404" s="204">
        <v>67.7</v>
      </c>
      <c r="C404" s="204">
        <v>86.4</v>
      </c>
      <c r="D404" s="204">
        <v>100</v>
      </c>
      <c r="E404" s="204">
        <v>85.7</v>
      </c>
      <c r="F404" s="204">
        <v>80</v>
      </c>
      <c r="G404" s="204">
        <v>87.5</v>
      </c>
      <c r="H404" s="204">
        <v>80</v>
      </c>
      <c r="I404" s="204">
        <v>63.6</v>
      </c>
      <c r="J404" s="204">
        <v>71.400000000000006</v>
      </c>
      <c r="K404" s="204">
        <v>66.7</v>
      </c>
      <c r="L404" s="204">
        <v>66.7</v>
      </c>
      <c r="M404" s="204">
        <v>66.7</v>
      </c>
      <c r="N404" s="204">
        <v>66.7</v>
      </c>
      <c r="O404" s="204">
        <v>100</v>
      </c>
      <c r="P404" s="204">
        <v>100</v>
      </c>
      <c r="Q404" s="86" t="s">
        <v>23</v>
      </c>
      <c r="R404" s="199">
        <v>80</v>
      </c>
      <c r="S404" s="199">
        <v>80</v>
      </c>
      <c r="T404" s="223" t="s">
        <v>46</v>
      </c>
    </row>
    <row r="405" spans="1:20" ht="13.5" customHeight="1">
      <c r="A405" s="37" t="s">
        <v>36</v>
      </c>
      <c r="B405" s="204">
        <v>62.5</v>
      </c>
      <c r="C405" s="204">
        <v>60.6</v>
      </c>
      <c r="D405" s="204">
        <v>50</v>
      </c>
      <c r="E405" s="204">
        <v>85.7</v>
      </c>
      <c r="F405" s="204">
        <v>66.7</v>
      </c>
      <c r="G405" s="204">
        <v>83.3</v>
      </c>
      <c r="H405" s="204">
        <v>0</v>
      </c>
      <c r="I405" s="204">
        <v>71.400000000000006</v>
      </c>
      <c r="J405" s="204">
        <v>33.299999999999997</v>
      </c>
      <c r="K405" s="204">
        <v>0</v>
      </c>
      <c r="L405" s="204">
        <v>0</v>
      </c>
      <c r="M405" s="204">
        <v>0</v>
      </c>
      <c r="N405" s="204">
        <v>0</v>
      </c>
      <c r="O405" s="204">
        <v>0</v>
      </c>
      <c r="P405" s="204">
        <v>0</v>
      </c>
      <c r="Q405" s="206" t="s">
        <v>23</v>
      </c>
      <c r="R405" s="199">
        <v>104</v>
      </c>
      <c r="S405" s="199">
        <v>78</v>
      </c>
      <c r="T405" s="223" t="s">
        <v>40</v>
      </c>
    </row>
    <row r="406" spans="1:20" ht="13.5" customHeight="1">
      <c r="A406" s="37" t="s">
        <v>31</v>
      </c>
      <c r="B406" s="204">
        <v>29.3</v>
      </c>
      <c r="C406" s="204">
        <v>36.9</v>
      </c>
      <c r="D406" s="204">
        <v>36.4</v>
      </c>
      <c r="E406" s="204">
        <v>50</v>
      </c>
      <c r="F406" s="204">
        <v>100</v>
      </c>
      <c r="G406" s="204">
        <v>50</v>
      </c>
      <c r="H406" s="204">
        <v>50</v>
      </c>
      <c r="I406" s="204">
        <v>57.1</v>
      </c>
      <c r="J406" s="204">
        <v>50</v>
      </c>
      <c r="K406" s="204">
        <v>25</v>
      </c>
      <c r="L406" s="204">
        <v>100</v>
      </c>
      <c r="M406" s="204">
        <v>33.299999999999997</v>
      </c>
      <c r="N406" s="204">
        <v>100</v>
      </c>
      <c r="O406" s="204">
        <v>28.6</v>
      </c>
      <c r="P406" s="204">
        <v>100</v>
      </c>
      <c r="Q406" s="206" t="s">
        <v>26</v>
      </c>
      <c r="R406" s="199">
        <v>106</v>
      </c>
      <c r="S406" s="199">
        <v>108</v>
      </c>
      <c r="T406" s="223" t="s">
        <v>35</v>
      </c>
    </row>
    <row r="407" spans="1:20" ht="13.5" customHeight="1">
      <c r="A407" s="37" t="s">
        <v>22</v>
      </c>
      <c r="B407" s="204">
        <v>55.6</v>
      </c>
      <c r="C407" s="204">
        <v>46.5</v>
      </c>
      <c r="D407" s="204">
        <v>50</v>
      </c>
      <c r="E407" s="204">
        <v>66.7</v>
      </c>
      <c r="F407" s="204">
        <v>66.7</v>
      </c>
      <c r="G407" s="204">
        <v>50</v>
      </c>
      <c r="H407" s="204">
        <v>50</v>
      </c>
      <c r="I407" s="204">
        <v>75</v>
      </c>
      <c r="J407" s="204">
        <v>100</v>
      </c>
      <c r="K407" s="204">
        <v>100</v>
      </c>
      <c r="L407" s="204">
        <v>100</v>
      </c>
      <c r="M407" s="204">
        <v>100</v>
      </c>
      <c r="N407" s="204">
        <v>100</v>
      </c>
      <c r="O407" s="204">
        <v>25</v>
      </c>
      <c r="P407" s="204">
        <v>33.299999999999997</v>
      </c>
      <c r="Q407" s="86" t="s">
        <v>26</v>
      </c>
      <c r="R407" s="199">
        <v>105</v>
      </c>
      <c r="S407" s="218">
        <v>98</v>
      </c>
      <c r="T407" s="223" t="s">
        <v>48</v>
      </c>
    </row>
    <row r="408" spans="1:20" ht="27" customHeight="1">
      <c r="A408" s="37" t="s">
        <v>31</v>
      </c>
      <c r="B408" s="204">
        <v>55.6</v>
      </c>
      <c r="C408" s="204">
        <v>49</v>
      </c>
      <c r="D408" s="204">
        <v>20</v>
      </c>
      <c r="E408" s="204">
        <v>50</v>
      </c>
      <c r="F408" s="204">
        <v>100</v>
      </c>
      <c r="G408" s="204">
        <v>50</v>
      </c>
      <c r="H408" s="204">
        <v>100</v>
      </c>
      <c r="I408" s="204">
        <v>25</v>
      </c>
      <c r="J408" s="204">
        <v>33.299999999999997</v>
      </c>
      <c r="K408" s="204">
        <v>66.7</v>
      </c>
      <c r="L408" s="204">
        <v>100</v>
      </c>
      <c r="M408" s="204">
        <v>50</v>
      </c>
      <c r="N408" s="204">
        <v>100</v>
      </c>
      <c r="O408" s="204">
        <v>25</v>
      </c>
      <c r="P408" s="204">
        <v>33.299999999999997</v>
      </c>
      <c r="Q408" s="86" t="s">
        <v>26</v>
      </c>
      <c r="R408" s="199">
        <v>119</v>
      </c>
      <c r="S408" s="199">
        <v>92</v>
      </c>
      <c r="T408" s="223" t="s">
        <v>24</v>
      </c>
    </row>
    <row r="409" spans="1:20" ht="13.5" customHeight="1">
      <c r="A409" s="37" t="s">
        <v>53</v>
      </c>
      <c r="B409" s="204">
        <v>66.7</v>
      </c>
      <c r="C409" s="204">
        <v>68</v>
      </c>
      <c r="D409" s="204">
        <v>60</v>
      </c>
      <c r="E409" s="204">
        <v>75</v>
      </c>
      <c r="F409" s="204">
        <v>50</v>
      </c>
      <c r="G409" s="204">
        <v>75</v>
      </c>
      <c r="H409" s="204">
        <v>50</v>
      </c>
      <c r="I409" s="204">
        <v>64.7</v>
      </c>
      <c r="J409" s="204">
        <v>66.7</v>
      </c>
      <c r="K409" s="204">
        <v>66.7</v>
      </c>
      <c r="L409" s="204">
        <v>66.7</v>
      </c>
      <c r="M409" s="204">
        <v>66.7</v>
      </c>
      <c r="N409" s="204">
        <v>66.7</v>
      </c>
      <c r="O409" s="204">
        <v>71.400000000000006</v>
      </c>
      <c r="P409" s="204">
        <v>71.400000000000006</v>
      </c>
      <c r="Q409" s="206" t="s">
        <v>23</v>
      </c>
      <c r="R409" s="199">
        <v>90</v>
      </c>
      <c r="S409" s="218">
        <v>80</v>
      </c>
      <c r="T409" s="223" t="s">
        <v>40</v>
      </c>
    </row>
    <row r="410" spans="1:20" ht="27" customHeight="1">
      <c r="A410" s="37" t="s">
        <v>36</v>
      </c>
      <c r="B410" s="204">
        <v>66.7</v>
      </c>
      <c r="C410" s="204">
        <v>59.6</v>
      </c>
      <c r="D410" s="204">
        <v>60</v>
      </c>
      <c r="E410" s="204">
        <v>60</v>
      </c>
      <c r="F410" s="204">
        <v>60</v>
      </c>
      <c r="G410" s="204">
        <v>77.8</v>
      </c>
      <c r="H410" s="204">
        <v>66.7</v>
      </c>
      <c r="I410" s="204">
        <v>62.5</v>
      </c>
      <c r="J410" s="204">
        <v>70</v>
      </c>
      <c r="K410" s="204">
        <v>33.299999999999997</v>
      </c>
      <c r="L410" s="204">
        <v>33.299999999999997</v>
      </c>
      <c r="M410" s="204">
        <v>0</v>
      </c>
      <c r="N410" s="204">
        <v>0</v>
      </c>
      <c r="O410" s="204">
        <v>14.3</v>
      </c>
      <c r="P410" s="204">
        <v>25</v>
      </c>
      <c r="Q410" s="86" t="s">
        <v>23</v>
      </c>
      <c r="R410" s="199">
        <v>100</v>
      </c>
      <c r="S410" s="199">
        <v>96</v>
      </c>
      <c r="T410" s="223" t="s">
        <v>65</v>
      </c>
    </row>
    <row r="411" spans="1:20" ht="13.5" customHeight="1">
      <c r="A411" s="37" t="s">
        <v>31</v>
      </c>
      <c r="B411" s="204">
        <v>55.6</v>
      </c>
      <c r="C411" s="204">
        <v>38.1</v>
      </c>
      <c r="D411" s="204">
        <v>12.5</v>
      </c>
      <c r="E411" s="204">
        <v>100</v>
      </c>
      <c r="F411" s="204">
        <v>100</v>
      </c>
      <c r="G411" s="204">
        <v>100</v>
      </c>
      <c r="H411" s="204">
        <v>100</v>
      </c>
      <c r="I411" s="204">
        <v>100</v>
      </c>
      <c r="J411" s="204">
        <v>100</v>
      </c>
      <c r="K411" s="204">
        <v>80</v>
      </c>
      <c r="L411" s="204">
        <v>80</v>
      </c>
      <c r="M411" s="204">
        <v>75</v>
      </c>
      <c r="N411" s="204">
        <v>75</v>
      </c>
      <c r="O411" s="204">
        <v>60</v>
      </c>
      <c r="P411" s="204">
        <v>75</v>
      </c>
      <c r="Q411" s="206" t="s">
        <v>26</v>
      </c>
      <c r="R411" s="199">
        <v>112</v>
      </c>
      <c r="S411" s="199">
        <v>105</v>
      </c>
      <c r="T411" s="223" t="s">
        <v>35</v>
      </c>
    </row>
    <row r="412" spans="1:20" ht="27" customHeight="1">
      <c r="A412" s="37" t="s">
        <v>44</v>
      </c>
      <c r="B412" s="204">
        <v>63.6</v>
      </c>
      <c r="C412" s="204">
        <v>100</v>
      </c>
      <c r="D412" s="204">
        <v>100</v>
      </c>
      <c r="E412" s="204">
        <v>80</v>
      </c>
      <c r="F412" s="204">
        <v>100</v>
      </c>
      <c r="G412" s="204">
        <v>71.400000000000006</v>
      </c>
      <c r="H412" s="204">
        <v>75</v>
      </c>
      <c r="I412" s="204">
        <v>75</v>
      </c>
      <c r="J412" s="204">
        <v>100</v>
      </c>
      <c r="K412" s="204">
        <v>100</v>
      </c>
      <c r="L412" s="204">
        <v>100</v>
      </c>
      <c r="M412" s="204">
        <v>100</v>
      </c>
      <c r="N412" s="204">
        <v>100</v>
      </c>
      <c r="O412" s="204">
        <v>100</v>
      </c>
      <c r="P412" s="204">
        <v>100</v>
      </c>
      <c r="Q412" s="86" t="s">
        <v>30</v>
      </c>
      <c r="R412" s="199">
        <v>95</v>
      </c>
      <c r="S412" s="199">
        <v>86</v>
      </c>
      <c r="T412" s="223" t="s">
        <v>24</v>
      </c>
    </row>
    <row r="413" spans="1:20" ht="13.5" customHeight="1">
      <c r="A413" s="37" t="s">
        <v>33</v>
      </c>
      <c r="B413" s="204">
        <v>63.6</v>
      </c>
      <c r="C413" s="204">
        <v>59.6</v>
      </c>
      <c r="D413" s="204">
        <v>40</v>
      </c>
      <c r="E413" s="204">
        <v>71.400000000000006</v>
      </c>
      <c r="F413" s="204">
        <v>80</v>
      </c>
      <c r="G413" s="204">
        <v>83.3</v>
      </c>
      <c r="H413" s="204">
        <v>100</v>
      </c>
      <c r="I413" s="204">
        <v>37.5</v>
      </c>
      <c r="J413" s="204">
        <v>66.7</v>
      </c>
      <c r="K413" s="204">
        <v>100</v>
      </c>
      <c r="L413" s="204">
        <v>100</v>
      </c>
      <c r="M413" s="204">
        <v>100</v>
      </c>
      <c r="N413" s="204">
        <v>100</v>
      </c>
      <c r="O413" s="204">
        <v>66.7</v>
      </c>
      <c r="P413" s="204">
        <v>66.7</v>
      </c>
      <c r="Q413" s="86" t="s">
        <v>26</v>
      </c>
      <c r="R413" s="199">
        <v>80</v>
      </c>
      <c r="S413" s="199">
        <v>87</v>
      </c>
      <c r="T413" s="223" t="s">
        <v>28</v>
      </c>
    </row>
    <row r="414" spans="1:20" ht="27" customHeight="1">
      <c r="A414" s="37" t="s">
        <v>60</v>
      </c>
      <c r="B414" s="204">
        <v>63.6</v>
      </c>
      <c r="C414" s="204">
        <v>50.8</v>
      </c>
      <c r="D414" s="204">
        <v>62.5</v>
      </c>
      <c r="E414" s="204">
        <v>25</v>
      </c>
      <c r="F414" s="204">
        <v>0</v>
      </c>
      <c r="G414" s="204">
        <v>40</v>
      </c>
      <c r="H414" s="204">
        <v>0</v>
      </c>
      <c r="I414" s="204">
        <v>50</v>
      </c>
      <c r="J414" s="204">
        <v>0</v>
      </c>
      <c r="K414" s="204">
        <v>0</v>
      </c>
      <c r="L414" s="204">
        <v>0</v>
      </c>
      <c r="M414" s="204">
        <v>0</v>
      </c>
      <c r="N414" s="204">
        <v>0</v>
      </c>
      <c r="O414" s="204">
        <v>50</v>
      </c>
      <c r="P414" s="204">
        <v>50</v>
      </c>
      <c r="Q414" s="206" t="s">
        <v>26</v>
      </c>
      <c r="R414" s="199">
        <v>94</v>
      </c>
      <c r="S414" s="218">
        <v>106</v>
      </c>
      <c r="T414" s="223" t="s">
        <v>35</v>
      </c>
    </row>
    <row r="415" spans="1:20" ht="13.5" customHeight="1">
      <c r="A415" s="37" t="s">
        <v>60</v>
      </c>
      <c r="B415" s="204">
        <v>29.3</v>
      </c>
      <c r="C415" s="204">
        <v>39.1</v>
      </c>
      <c r="D415" s="204">
        <v>33.299999999999997</v>
      </c>
      <c r="E415" s="204">
        <v>50</v>
      </c>
      <c r="F415" s="204">
        <v>0</v>
      </c>
      <c r="G415" s="204">
        <v>33.299999999999997</v>
      </c>
      <c r="H415" s="204">
        <v>0</v>
      </c>
      <c r="I415" s="204">
        <v>14.3</v>
      </c>
      <c r="J415" s="204">
        <v>0</v>
      </c>
      <c r="K415" s="204">
        <v>0</v>
      </c>
      <c r="L415" s="204">
        <v>0</v>
      </c>
      <c r="M415" s="204">
        <v>0</v>
      </c>
      <c r="N415" s="204">
        <v>0</v>
      </c>
      <c r="O415" s="204">
        <v>0</v>
      </c>
      <c r="P415" s="204">
        <v>0</v>
      </c>
      <c r="Q415" s="86" t="s">
        <v>26</v>
      </c>
      <c r="R415" s="199">
        <v>105</v>
      </c>
      <c r="S415" s="199">
        <v>110</v>
      </c>
      <c r="T415" s="223" t="s">
        <v>35</v>
      </c>
    </row>
    <row r="416" spans="1:20" ht="13.5" customHeight="1">
      <c r="A416" s="37" t="s">
        <v>41</v>
      </c>
      <c r="B416" s="204">
        <v>57.7</v>
      </c>
      <c r="C416" s="204">
        <v>49.4</v>
      </c>
      <c r="D416" s="204">
        <v>66.7</v>
      </c>
      <c r="E416" s="204">
        <v>25</v>
      </c>
      <c r="F416" s="204">
        <v>50</v>
      </c>
      <c r="G416" s="204">
        <v>25</v>
      </c>
      <c r="H416" s="204">
        <v>50</v>
      </c>
      <c r="I416" s="204">
        <v>57.1</v>
      </c>
      <c r="J416" s="204">
        <v>60</v>
      </c>
      <c r="K416" s="204">
        <v>33.299999999999997</v>
      </c>
      <c r="L416" s="204">
        <v>100</v>
      </c>
      <c r="M416" s="204">
        <v>33.299999999999997</v>
      </c>
      <c r="N416" s="204">
        <v>100</v>
      </c>
      <c r="O416" s="204">
        <v>100</v>
      </c>
      <c r="P416" s="204">
        <v>100</v>
      </c>
      <c r="Q416" s="86" t="s">
        <v>26</v>
      </c>
      <c r="R416" s="199">
        <v>102</v>
      </c>
      <c r="S416" s="199">
        <v>103</v>
      </c>
      <c r="T416" s="223" t="s">
        <v>35</v>
      </c>
    </row>
    <row r="417" spans="1:20" ht="13.5" customHeight="1">
      <c r="A417" s="37" t="s">
        <v>31</v>
      </c>
      <c r="B417" s="204">
        <v>84.2</v>
      </c>
      <c r="C417" s="204">
        <v>54.7</v>
      </c>
      <c r="D417" s="204">
        <v>60</v>
      </c>
      <c r="E417" s="204">
        <v>50</v>
      </c>
      <c r="F417" s="204">
        <v>50</v>
      </c>
      <c r="G417" s="204">
        <v>50</v>
      </c>
      <c r="H417" s="204">
        <v>50</v>
      </c>
      <c r="I417" s="204">
        <v>100</v>
      </c>
      <c r="J417" s="204">
        <v>100</v>
      </c>
      <c r="K417" s="204">
        <v>40</v>
      </c>
      <c r="L417" s="204">
        <v>40</v>
      </c>
      <c r="M417" s="204">
        <v>40</v>
      </c>
      <c r="N417" s="204">
        <v>40</v>
      </c>
      <c r="O417" s="204">
        <v>100</v>
      </c>
      <c r="P417" s="204">
        <v>100</v>
      </c>
      <c r="Q417" s="86" t="s">
        <v>26</v>
      </c>
      <c r="R417" s="199">
        <v>86</v>
      </c>
      <c r="S417" s="199">
        <v>81</v>
      </c>
      <c r="T417" s="223" t="s">
        <v>46</v>
      </c>
    </row>
    <row r="418" spans="1:20" s="5" customFormat="1" ht="27" customHeight="1">
      <c r="A418" s="37" t="s">
        <v>31</v>
      </c>
      <c r="B418" s="204">
        <v>84.2</v>
      </c>
      <c r="C418" s="204">
        <v>84.6</v>
      </c>
      <c r="D418" s="204">
        <v>100</v>
      </c>
      <c r="E418" s="204">
        <v>100</v>
      </c>
      <c r="F418" s="204">
        <v>100</v>
      </c>
      <c r="G418" s="204">
        <v>100</v>
      </c>
      <c r="H418" s="204">
        <v>100</v>
      </c>
      <c r="I418" s="204">
        <v>66.7</v>
      </c>
      <c r="J418" s="204">
        <v>66.7</v>
      </c>
      <c r="K418" s="204">
        <v>100</v>
      </c>
      <c r="L418" s="204">
        <v>100</v>
      </c>
      <c r="M418" s="204">
        <v>100</v>
      </c>
      <c r="N418" s="204">
        <v>100</v>
      </c>
      <c r="O418" s="204">
        <v>100</v>
      </c>
      <c r="P418" s="204">
        <v>100</v>
      </c>
      <c r="Q418" s="206" t="s">
        <v>30</v>
      </c>
      <c r="R418" s="199">
        <v>70</v>
      </c>
      <c r="S418" s="218">
        <v>77</v>
      </c>
      <c r="T418" s="223" t="s">
        <v>46</v>
      </c>
    </row>
    <row r="419" spans="1:20" ht="27" customHeight="1">
      <c r="A419" s="37" t="s">
        <v>31</v>
      </c>
      <c r="B419" s="204">
        <v>60</v>
      </c>
      <c r="C419" s="204">
        <v>87.5</v>
      </c>
      <c r="D419" s="204">
        <v>100</v>
      </c>
      <c r="E419" s="204">
        <v>80</v>
      </c>
      <c r="F419" s="204">
        <v>75</v>
      </c>
      <c r="G419" s="204">
        <v>100</v>
      </c>
      <c r="H419" s="204">
        <v>100</v>
      </c>
      <c r="I419" s="204">
        <v>45</v>
      </c>
      <c r="J419" s="204">
        <v>50</v>
      </c>
      <c r="K419" s="204">
        <v>100</v>
      </c>
      <c r="L419" s="204">
        <v>100</v>
      </c>
      <c r="M419" s="204">
        <v>100</v>
      </c>
      <c r="N419" s="204">
        <v>100</v>
      </c>
      <c r="O419" s="204">
        <v>100</v>
      </c>
      <c r="P419" s="204">
        <v>100</v>
      </c>
      <c r="Q419" s="206" t="s">
        <v>30</v>
      </c>
      <c r="R419" s="199">
        <v>92</v>
      </c>
      <c r="S419" s="218">
        <v>94</v>
      </c>
      <c r="T419" s="223" t="s">
        <v>35</v>
      </c>
    </row>
    <row r="420" spans="1:20" ht="13.5" customHeight="1">
      <c r="A420" s="37" t="s">
        <v>36</v>
      </c>
      <c r="B420" s="204">
        <v>28.2</v>
      </c>
      <c r="C420" s="204">
        <v>46.5</v>
      </c>
      <c r="D420" s="204">
        <v>23.1</v>
      </c>
      <c r="E420" s="204">
        <v>66.7</v>
      </c>
      <c r="F420" s="204">
        <v>0</v>
      </c>
      <c r="G420" s="204">
        <v>75</v>
      </c>
      <c r="H420" s="204">
        <v>50</v>
      </c>
      <c r="I420" s="204">
        <v>57.1</v>
      </c>
      <c r="J420" s="204">
        <v>50</v>
      </c>
      <c r="K420" s="204">
        <v>50</v>
      </c>
      <c r="L420" s="204">
        <v>50</v>
      </c>
      <c r="M420" s="204">
        <v>50</v>
      </c>
      <c r="N420" s="204">
        <v>50</v>
      </c>
      <c r="O420" s="204">
        <v>25</v>
      </c>
      <c r="P420" s="204">
        <v>25</v>
      </c>
      <c r="Q420" s="86" t="s">
        <v>26</v>
      </c>
      <c r="R420" s="199">
        <v>90</v>
      </c>
      <c r="S420" s="218">
        <v>100</v>
      </c>
      <c r="T420" s="223" t="s">
        <v>35</v>
      </c>
    </row>
    <row r="421" spans="1:20" ht="27" customHeight="1">
      <c r="A421" s="37" t="s">
        <v>31</v>
      </c>
      <c r="B421" s="204">
        <v>45.7</v>
      </c>
      <c r="C421" s="204">
        <v>59.6</v>
      </c>
      <c r="D421" s="204">
        <v>54.5</v>
      </c>
      <c r="E421" s="204">
        <v>66.7</v>
      </c>
      <c r="F421" s="204">
        <v>100</v>
      </c>
      <c r="G421" s="204">
        <v>66.7</v>
      </c>
      <c r="H421" s="204">
        <v>100</v>
      </c>
      <c r="I421" s="204">
        <v>63.6</v>
      </c>
      <c r="J421" s="204">
        <v>71.400000000000006</v>
      </c>
      <c r="K421" s="204">
        <v>100</v>
      </c>
      <c r="L421" s="204">
        <v>100</v>
      </c>
      <c r="M421" s="204">
        <v>75</v>
      </c>
      <c r="N421" s="204">
        <v>100</v>
      </c>
      <c r="O421" s="204">
        <v>42.9</v>
      </c>
      <c r="P421" s="204">
        <v>100</v>
      </c>
      <c r="Q421" s="206" t="s">
        <v>23</v>
      </c>
      <c r="R421" s="199">
        <v>95</v>
      </c>
      <c r="S421" s="199">
        <v>97</v>
      </c>
      <c r="T421" s="223" t="s">
        <v>35</v>
      </c>
    </row>
    <row r="422" spans="1:20" ht="13.5" customHeight="1">
      <c r="A422" s="37" t="s">
        <v>64</v>
      </c>
      <c r="B422" s="204">
        <v>60</v>
      </c>
      <c r="C422" s="204">
        <v>46.5</v>
      </c>
      <c r="D422" s="204">
        <v>57.1</v>
      </c>
      <c r="E422" s="204">
        <v>33.299999999999997</v>
      </c>
      <c r="F422" s="204">
        <v>33.299999999999997</v>
      </c>
      <c r="G422" s="204">
        <v>33.299999999999997</v>
      </c>
      <c r="H422" s="204">
        <v>33.299999999999997</v>
      </c>
      <c r="I422" s="204">
        <v>80</v>
      </c>
      <c r="J422" s="204">
        <v>80</v>
      </c>
      <c r="K422" s="204">
        <v>50</v>
      </c>
      <c r="L422" s="204">
        <v>50</v>
      </c>
      <c r="M422" s="204">
        <v>75</v>
      </c>
      <c r="N422" s="204">
        <v>66.7</v>
      </c>
      <c r="O422" s="204">
        <v>40</v>
      </c>
      <c r="P422" s="204">
        <v>50</v>
      </c>
      <c r="Q422" s="86" t="s">
        <v>26</v>
      </c>
      <c r="R422" s="199">
        <v>94</v>
      </c>
      <c r="S422" s="199">
        <v>92</v>
      </c>
      <c r="T422" s="223" t="s">
        <v>28</v>
      </c>
    </row>
    <row r="423" spans="1:20" s="5" customFormat="1" ht="27" customHeight="1">
      <c r="A423" s="37" t="s">
        <v>22</v>
      </c>
      <c r="B423" s="204">
        <v>62.5</v>
      </c>
      <c r="C423" s="204">
        <v>71.400000000000006</v>
      </c>
      <c r="D423" s="204">
        <v>75</v>
      </c>
      <c r="E423" s="204">
        <v>75</v>
      </c>
      <c r="F423" s="204">
        <v>100</v>
      </c>
      <c r="G423" s="204">
        <v>66.7</v>
      </c>
      <c r="H423" s="204">
        <v>100</v>
      </c>
      <c r="I423" s="204">
        <v>75</v>
      </c>
      <c r="J423" s="204">
        <v>80</v>
      </c>
      <c r="K423" s="204">
        <v>50</v>
      </c>
      <c r="L423" s="204">
        <v>100</v>
      </c>
      <c r="M423" s="204">
        <v>50</v>
      </c>
      <c r="N423" s="204">
        <v>100</v>
      </c>
      <c r="O423" s="204">
        <v>50</v>
      </c>
      <c r="P423" s="204">
        <v>100</v>
      </c>
      <c r="Q423" s="206" t="s">
        <v>30</v>
      </c>
      <c r="R423" s="199">
        <v>88</v>
      </c>
      <c r="S423" s="199">
        <v>97</v>
      </c>
      <c r="T423" s="223" t="s">
        <v>35</v>
      </c>
    </row>
    <row r="424" spans="1:20" ht="13.5" customHeight="1">
      <c r="A424" s="37" t="s">
        <v>47</v>
      </c>
      <c r="B424" s="204">
        <v>57.7</v>
      </c>
      <c r="C424" s="204">
        <v>36.9</v>
      </c>
      <c r="D424" s="204">
        <v>22.2</v>
      </c>
      <c r="E424" s="204">
        <v>0</v>
      </c>
      <c r="F424" s="204">
        <v>0</v>
      </c>
      <c r="G424" s="204">
        <v>0</v>
      </c>
      <c r="H424" s="204">
        <v>0</v>
      </c>
      <c r="I424" s="204">
        <v>0</v>
      </c>
      <c r="J424" s="204">
        <v>0</v>
      </c>
      <c r="K424" s="204">
        <v>33.299999999999997</v>
      </c>
      <c r="L424" s="204">
        <v>0</v>
      </c>
      <c r="M424" s="204">
        <v>33.299999999999997</v>
      </c>
      <c r="N424" s="204">
        <v>0</v>
      </c>
      <c r="O424" s="204">
        <v>25</v>
      </c>
      <c r="P424" s="204">
        <v>33.299999999999997</v>
      </c>
      <c r="Q424" s="206" t="s">
        <v>26</v>
      </c>
      <c r="R424" s="199">
        <v>116</v>
      </c>
      <c r="S424" s="199">
        <v>100</v>
      </c>
      <c r="T424" s="223" t="s">
        <v>65</v>
      </c>
    </row>
    <row r="425" spans="1:20" ht="13.5" customHeight="1">
      <c r="A425" s="37" t="s">
        <v>33</v>
      </c>
      <c r="B425" s="204">
        <v>51.7</v>
      </c>
      <c r="C425" s="204">
        <v>38.799999999999997</v>
      </c>
      <c r="D425" s="204">
        <v>37.5</v>
      </c>
      <c r="E425" s="204">
        <v>100</v>
      </c>
      <c r="F425" s="204">
        <v>100</v>
      </c>
      <c r="G425" s="204">
        <v>50</v>
      </c>
      <c r="H425" s="204">
        <v>100</v>
      </c>
      <c r="I425" s="204">
        <v>57.1</v>
      </c>
      <c r="J425" s="204">
        <v>66.7</v>
      </c>
      <c r="K425" s="204">
        <v>50</v>
      </c>
      <c r="L425" s="204">
        <v>100</v>
      </c>
      <c r="M425" s="204">
        <v>100</v>
      </c>
      <c r="N425" s="204">
        <v>100</v>
      </c>
      <c r="O425" s="204">
        <v>50</v>
      </c>
      <c r="P425" s="204">
        <v>100</v>
      </c>
      <c r="Q425" s="86" t="s">
        <v>26</v>
      </c>
      <c r="R425" s="199">
        <v>114</v>
      </c>
      <c r="S425" s="199">
        <v>84</v>
      </c>
      <c r="T425" s="224" t="s">
        <v>51</v>
      </c>
    </row>
    <row r="426" spans="1:20" ht="13.5" customHeight="1">
      <c r="A426" s="37" t="s">
        <v>77</v>
      </c>
      <c r="B426" s="204">
        <v>84.2</v>
      </c>
      <c r="C426" s="204">
        <v>60.6</v>
      </c>
      <c r="D426" s="204">
        <v>50</v>
      </c>
      <c r="E426" s="204">
        <v>80</v>
      </c>
      <c r="F426" s="204">
        <v>100</v>
      </c>
      <c r="G426" s="204">
        <v>80</v>
      </c>
      <c r="H426" s="204">
        <v>100</v>
      </c>
      <c r="I426" s="204">
        <v>75</v>
      </c>
      <c r="J426" s="204">
        <v>100</v>
      </c>
      <c r="K426" s="204">
        <v>50</v>
      </c>
      <c r="L426" s="204">
        <v>50</v>
      </c>
      <c r="M426" s="204">
        <v>50</v>
      </c>
      <c r="N426" s="204">
        <v>50</v>
      </c>
      <c r="O426" s="204">
        <v>66.7</v>
      </c>
      <c r="P426" s="204">
        <v>66.7</v>
      </c>
      <c r="Q426" s="86" t="s">
        <v>23</v>
      </c>
      <c r="R426" s="218">
        <v>80</v>
      </c>
      <c r="S426" s="199">
        <v>84</v>
      </c>
      <c r="T426" s="223" t="s">
        <v>51</v>
      </c>
    </row>
    <row r="427" spans="1:20" ht="13.5" customHeight="1">
      <c r="A427" s="37" t="s">
        <v>33</v>
      </c>
      <c r="B427" s="204">
        <v>57.7</v>
      </c>
      <c r="C427" s="204">
        <v>68</v>
      </c>
      <c r="D427" s="204">
        <v>100</v>
      </c>
      <c r="E427" s="204">
        <v>71.400000000000006</v>
      </c>
      <c r="F427" s="204">
        <v>50</v>
      </c>
      <c r="G427" s="204">
        <v>60</v>
      </c>
      <c r="H427" s="204">
        <v>50</v>
      </c>
      <c r="I427" s="204">
        <v>66.7</v>
      </c>
      <c r="J427" s="204">
        <v>80</v>
      </c>
      <c r="K427" s="204">
        <v>80</v>
      </c>
      <c r="L427" s="204">
        <v>80</v>
      </c>
      <c r="M427" s="204">
        <v>100</v>
      </c>
      <c r="N427" s="204">
        <v>100</v>
      </c>
      <c r="O427" s="204">
        <v>60</v>
      </c>
      <c r="P427" s="204">
        <v>75</v>
      </c>
      <c r="Q427" s="206" t="s">
        <v>26</v>
      </c>
      <c r="R427" s="218">
        <v>85</v>
      </c>
      <c r="S427" s="199">
        <v>78</v>
      </c>
      <c r="T427" s="223" t="s">
        <v>40</v>
      </c>
    </row>
    <row r="428" spans="1:20" ht="13.5" customHeight="1">
      <c r="A428" s="37" t="s">
        <v>33</v>
      </c>
      <c r="B428" s="204">
        <v>60</v>
      </c>
      <c r="C428" s="204">
        <v>73.3</v>
      </c>
      <c r="D428" s="204">
        <v>77.8</v>
      </c>
      <c r="E428" s="204">
        <v>75</v>
      </c>
      <c r="F428" s="204">
        <v>50</v>
      </c>
      <c r="G428" s="204">
        <v>75</v>
      </c>
      <c r="H428" s="204">
        <v>50</v>
      </c>
      <c r="I428" s="204">
        <v>64.7</v>
      </c>
      <c r="J428" s="204">
        <v>66.7</v>
      </c>
      <c r="K428" s="204">
        <v>50</v>
      </c>
      <c r="L428" s="204">
        <v>100</v>
      </c>
      <c r="M428" s="204">
        <v>50</v>
      </c>
      <c r="N428" s="204">
        <v>100</v>
      </c>
      <c r="O428" s="204">
        <v>50</v>
      </c>
      <c r="P428" s="204">
        <v>100</v>
      </c>
      <c r="Q428" s="86" t="s">
        <v>23</v>
      </c>
      <c r="R428" s="199">
        <v>82</v>
      </c>
      <c r="S428" s="199">
        <v>82</v>
      </c>
      <c r="T428" s="223" t="s">
        <v>51</v>
      </c>
    </row>
    <row r="429" spans="1:20" ht="13.5" customHeight="1">
      <c r="A429" s="206" t="s">
        <v>68</v>
      </c>
      <c r="B429" s="204">
        <v>84.2</v>
      </c>
      <c r="C429" s="204">
        <v>87.5</v>
      </c>
      <c r="D429" s="204">
        <v>100</v>
      </c>
      <c r="E429" s="204">
        <v>50</v>
      </c>
      <c r="F429" s="204">
        <v>100</v>
      </c>
      <c r="G429" s="204">
        <v>57.1</v>
      </c>
      <c r="H429" s="204">
        <v>100</v>
      </c>
      <c r="I429" s="204">
        <v>37.5</v>
      </c>
      <c r="J429" s="204">
        <v>66.7</v>
      </c>
      <c r="K429" s="204">
        <v>100</v>
      </c>
      <c r="L429" s="204">
        <v>100</v>
      </c>
      <c r="M429" s="204">
        <v>100</v>
      </c>
      <c r="N429" s="204">
        <v>100</v>
      </c>
      <c r="O429" s="204">
        <v>100</v>
      </c>
      <c r="P429" s="204">
        <v>100</v>
      </c>
      <c r="Q429" s="86" t="s">
        <v>23</v>
      </c>
      <c r="R429" s="218">
        <v>80</v>
      </c>
      <c r="S429" s="199">
        <v>80</v>
      </c>
      <c r="T429" s="223" t="s">
        <v>46</v>
      </c>
    </row>
    <row r="430" spans="1:20" ht="13.5" customHeight="1">
      <c r="A430" s="37" t="s">
        <v>25</v>
      </c>
      <c r="B430" s="204">
        <v>46.2</v>
      </c>
      <c r="C430" s="204">
        <v>49.4</v>
      </c>
      <c r="D430" s="204">
        <v>0</v>
      </c>
      <c r="E430" s="204">
        <v>0</v>
      </c>
      <c r="F430" s="204">
        <v>0</v>
      </c>
      <c r="G430" s="204">
        <v>0</v>
      </c>
      <c r="H430" s="204">
        <v>0</v>
      </c>
      <c r="I430" s="204">
        <v>0</v>
      </c>
      <c r="J430" s="204">
        <v>0</v>
      </c>
      <c r="K430" s="204">
        <v>0</v>
      </c>
      <c r="L430" s="204">
        <v>0</v>
      </c>
      <c r="M430" s="204">
        <v>0</v>
      </c>
      <c r="N430" s="204">
        <v>0</v>
      </c>
      <c r="O430" s="204">
        <v>28.6</v>
      </c>
      <c r="P430" s="204">
        <v>25</v>
      </c>
      <c r="Q430" s="86" t="s">
        <v>26</v>
      </c>
      <c r="R430" s="199">
        <v>100</v>
      </c>
      <c r="S430" s="199">
        <v>114</v>
      </c>
      <c r="T430" s="223" t="s">
        <v>35</v>
      </c>
    </row>
    <row r="431" spans="1:20" ht="13.5" customHeight="1">
      <c r="A431" s="37" t="s">
        <v>44</v>
      </c>
      <c r="B431" s="204">
        <v>72.7</v>
      </c>
      <c r="C431" s="204">
        <v>38.1</v>
      </c>
      <c r="D431" s="204">
        <v>56.2</v>
      </c>
      <c r="E431" s="204">
        <v>66.7</v>
      </c>
      <c r="F431" s="204">
        <v>100</v>
      </c>
      <c r="G431" s="204">
        <v>50</v>
      </c>
      <c r="H431" s="204">
        <v>100</v>
      </c>
      <c r="I431" s="204">
        <v>70.599999999999994</v>
      </c>
      <c r="J431" s="204">
        <v>100</v>
      </c>
      <c r="K431" s="204">
        <v>100</v>
      </c>
      <c r="L431" s="204">
        <v>100</v>
      </c>
      <c r="M431" s="204">
        <v>50</v>
      </c>
      <c r="N431" s="204">
        <v>100</v>
      </c>
      <c r="O431" s="204">
        <v>100</v>
      </c>
      <c r="P431" s="204">
        <v>100</v>
      </c>
      <c r="Q431" s="206" t="s">
        <v>23</v>
      </c>
      <c r="R431" s="199">
        <v>115</v>
      </c>
      <c r="S431" s="199">
        <v>90</v>
      </c>
      <c r="T431" s="223" t="s">
        <v>28</v>
      </c>
    </row>
    <row r="432" spans="1:20" ht="27" customHeight="1">
      <c r="A432" s="37" t="s">
        <v>60</v>
      </c>
      <c r="B432" s="204">
        <v>44.4</v>
      </c>
      <c r="C432" s="204">
        <v>46.5</v>
      </c>
      <c r="D432" s="204">
        <v>64.3</v>
      </c>
      <c r="E432" s="204">
        <v>16.7</v>
      </c>
      <c r="F432" s="204">
        <v>0</v>
      </c>
      <c r="G432" s="204">
        <v>20</v>
      </c>
      <c r="H432" s="204">
        <v>0</v>
      </c>
      <c r="I432" s="204">
        <v>33.299999999999997</v>
      </c>
      <c r="J432" s="204">
        <v>0</v>
      </c>
      <c r="K432" s="204">
        <v>0</v>
      </c>
      <c r="L432" s="204">
        <v>0</v>
      </c>
      <c r="M432" s="204">
        <v>0</v>
      </c>
      <c r="N432" s="204">
        <v>0</v>
      </c>
      <c r="O432" s="204">
        <v>0</v>
      </c>
      <c r="P432" s="204">
        <v>0</v>
      </c>
      <c r="Q432" s="86" t="s">
        <v>23</v>
      </c>
      <c r="R432" s="199">
        <v>88</v>
      </c>
      <c r="S432" s="199">
        <v>110</v>
      </c>
      <c r="T432" s="223" t="s">
        <v>35</v>
      </c>
    </row>
    <row r="433" spans="1:20" ht="13.5" customHeight="1">
      <c r="A433" s="37" t="s">
        <v>44</v>
      </c>
      <c r="B433" s="204">
        <v>46.2</v>
      </c>
      <c r="C433" s="204">
        <v>36.9</v>
      </c>
      <c r="D433" s="204">
        <v>42.9</v>
      </c>
      <c r="E433" s="204">
        <v>66.7</v>
      </c>
      <c r="F433" s="204">
        <v>100</v>
      </c>
      <c r="G433" s="204">
        <v>66.7</v>
      </c>
      <c r="H433" s="204">
        <v>100</v>
      </c>
      <c r="I433" s="204">
        <v>25</v>
      </c>
      <c r="J433" s="204">
        <v>50</v>
      </c>
      <c r="K433" s="204">
        <v>100</v>
      </c>
      <c r="L433" s="204">
        <v>100</v>
      </c>
      <c r="M433" s="204">
        <v>100</v>
      </c>
      <c r="N433" s="204">
        <v>100</v>
      </c>
      <c r="O433" s="204">
        <v>100</v>
      </c>
      <c r="P433" s="204">
        <v>100</v>
      </c>
      <c r="Q433" s="86" t="s">
        <v>26</v>
      </c>
      <c r="R433" s="199">
        <v>105</v>
      </c>
      <c r="S433" s="218">
        <v>105</v>
      </c>
      <c r="T433" s="223" t="s">
        <v>35</v>
      </c>
    </row>
    <row r="434" spans="1:20" ht="13.5" customHeight="1">
      <c r="A434" s="37" t="s">
        <v>36</v>
      </c>
      <c r="B434" s="204">
        <v>45.7</v>
      </c>
      <c r="C434" s="204">
        <v>54.7</v>
      </c>
      <c r="D434" s="204">
        <v>60</v>
      </c>
      <c r="E434" s="204">
        <v>25</v>
      </c>
      <c r="F434" s="204">
        <v>0</v>
      </c>
      <c r="G434" s="204">
        <v>0</v>
      </c>
      <c r="H434" s="204">
        <v>0</v>
      </c>
      <c r="I434" s="204">
        <v>50</v>
      </c>
      <c r="J434" s="204">
        <v>40</v>
      </c>
      <c r="K434" s="204">
        <v>0</v>
      </c>
      <c r="L434" s="204">
        <v>0</v>
      </c>
      <c r="M434" s="204">
        <v>0</v>
      </c>
      <c r="N434" s="204">
        <v>0</v>
      </c>
      <c r="O434" s="204">
        <v>50</v>
      </c>
      <c r="P434" s="204">
        <v>50</v>
      </c>
      <c r="Q434" s="86" t="s">
        <v>23</v>
      </c>
      <c r="R434" s="199">
        <v>115</v>
      </c>
      <c r="S434" s="215">
        <v>80</v>
      </c>
      <c r="T434" s="223" t="s">
        <v>40</v>
      </c>
    </row>
    <row r="435" spans="1:20" ht="27" customHeight="1">
      <c r="A435" s="37" t="s">
        <v>25</v>
      </c>
      <c r="B435" s="204">
        <v>52.6</v>
      </c>
      <c r="C435" s="204">
        <v>60.6</v>
      </c>
      <c r="D435" s="204">
        <v>40</v>
      </c>
      <c r="E435" s="204">
        <v>0</v>
      </c>
      <c r="F435" s="204">
        <v>0</v>
      </c>
      <c r="G435" s="204">
        <v>0</v>
      </c>
      <c r="H435" s="204">
        <v>0</v>
      </c>
      <c r="I435" s="204">
        <v>75</v>
      </c>
      <c r="J435" s="204">
        <v>50</v>
      </c>
      <c r="K435" s="204">
        <v>0</v>
      </c>
      <c r="L435" s="204">
        <v>0</v>
      </c>
      <c r="M435" s="204">
        <v>0</v>
      </c>
      <c r="N435" s="204">
        <v>0</v>
      </c>
      <c r="O435" s="204">
        <v>0</v>
      </c>
      <c r="P435" s="204">
        <v>0</v>
      </c>
      <c r="Q435" s="86" t="s">
        <v>23</v>
      </c>
      <c r="R435" s="199">
        <v>80</v>
      </c>
      <c r="S435" s="199">
        <v>82</v>
      </c>
      <c r="T435" s="223" t="s">
        <v>40</v>
      </c>
    </row>
    <row r="436" spans="1:20" ht="13.5" customHeight="1">
      <c r="A436" s="37" t="s">
        <v>22</v>
      </c>
      <c r="B436" s="204">
        <v>51.7</v>
      </c>
      <c r="C436" s="204">
        <v>22.2</v>
      </c>
      <c r="D436" s="204">
        <v>28.6</v>
      </c>
      <c r="E436" s="204">
        <v>100</v>
      </c>
      <c r="F436" s="204">
        <v>100</v>
      </c>
      <c r="G436" s="204">
        <v>100</v>
      </c>
      <c r="H436" s="204">
        <v>100</v>
      </c>
      <c r="I436" s="204">
        <v>80</v>
      </c>
      <c r="J436" s="204">
        <v>100</v>
      </c>
      <c r="K436" s="204">
        <v>50</v>
      </c>
      <c r="L436" s="204">
        <v>50</v>
      </c>
      <c r="M436" s="204">
        <v>50</v>
      </c>
      <c r="N436" s="204">
        <v>50</v>
      </c>
      <c r="O436" s="204">
        <v>25</v>
      </c>
      <c r="P436" s="204">
        <v>25</v>
      </c>
      <c r="Q436" s="206" t="s">
        <v>23</v>
      </c>
      <c r="R436" s="199">
        <v>96</v>
      </c>
      <c r="S436" s="199">
        <v>99</v>
      </c>
      <c r="T436" s="223" t="s">
        <v>35</v>
      </c>
    </row>
    <row r="437" spans="1:20" ht="13.5" customHeight="1">
      <c r="A437" s="37" t="s">
        <v>42</v>
      </c>
      <c r="B437" s="204">
        <v>45.7</v>
      </c>
      <c r="C437" s="204">
        <v>39.1</v>
      </c>
      <c r="D437" s="204">
        <v>33.299999999999997</v>
      </c>
      <c r="E437" s="204">
        <v>40</v>
      </c>
      <c r="F437" s="204">
        <v>50</v>
      </c>
      <c r="G437" s="204">
        <v>50</v>
      </c>
      <c r="H437" s="204">
        <v>50</v>
      </c>
      <c r="I437" s="204">
        <v>63.6</v>
      </c>
      <c r="J437" s="204">
        <v>71.400000000000006</v>
      </c>
      <c r="K437" s="204">
        <v>50</v>
      </c>
      <c r="L437" s="204">
        <v>50</v>
      </c>
      <c r="M437" s="204">
        <v>50</v>
      </c>
      <c r="N437" s="204">
        <v>50</v>
      </c>
      <c r="O437" s="204">
        <v>33.299999999999997</v>
      </c>
      <c r="P437" s="204">
        <v>0</v>
      </c>
      <c r="Q437" s="206" t="s">
        <v>45</v>
      </c>
      <c r="R437" s="199">
        <v>102</v>
      </c>
      <c r="S437" s="199">
        <v>82</v>
      </c>
      <c r="T437" s="223" t="s">
        <v>46</v>
      </c>
    </row>
    <row r="438" spans="1:20" ht="13.5" customHeight="1">
      <c r="A438" s="37" t="s">
        <v>33</v>
      </c>
      <c r="B438" s="204">
        <v>84.2</v>
      </c>
      <c r="C438" s="204">
        <v>36.9</v>
      </c>
      <c r="D438" s="204">
        <v>33.299999999999997</v>
      </c>
      <c r="E438" s="204">
        <v>66.7</v>
      </c>
      <c r="F438" s="204">
        <v>66.7</v>
      </c>
      <c r="G438" s="204">
        <v>50</v>
      </c>
      <c r="H438" s="204">
        <v>50</v>
      </c>
      <c r="I438" s="204">
        <v>100</v>
      </c>
      <c r="J438" s="204">
        <v>100</v>
      </c>
      <c r="K438" s="204">
        <v>100</v>
      </c>
      <c r="L438" s="204">
        <v>100</v>
      </c>
      <c r="M438" s="204">
        <v>66.7</v>
      </c>
      <c r="N438" s="204">
        <v>100</v>
      </c>
      <c r="O438" s="204">
        <v>66.7</v>
      </c>
      <c r="P438" s="204">
        <v>100</v>
      </c>
      <c r="Q438" s="86" t="s">
        <v>26</v>
      </c>
      <c r="R438" s="199">
        <v>102</v>
      </c>
      <c r="S438" s="199">
        <v>88</v>
      </c>
      <c r="T438" s="223" t="s">
        <v>24</v>
      </c>
    </row>
    <row r="439" spans="1:20" ht="27" customHeight="1">
      <c r="A439" s="37" t="s">
        <v>33</v>
      </c>
      <c r="B439" s="204">
        <v>60</v>
      </c>
      <c r="C439" s="204">
        <v>59.6</v>
      </c>
      <c r="D439" s="204">
        <v>54.5</v>
      </c>
      <c r="E439" s="204">
        <v>85.7</v>
      </c>
      <c r="F439" s="204">
        <v>100</v>
      </c>
      <c r="G439" s="204">
        <v>85.7</v>
      </c>
      <c r="H439" s="204">
        <v>100</v>
      </c>
      <c r="I439" s="204">
        <v>100</v>
      </c>
      <c r="J439" s="204">
        <v>100</v>
      </c>
      <c r="K439" s="204">
        <v>100</v>
      </c>
      <c r="L439" s="204">
        <v>100</v>
      </c>
      <c r="M439" s="204">
        <v>100</v>
      </c>
      <c r="N439" s="204">
        <v>100</v>
      </c>
      <c r="O439" s="204">
        <v>100</v>
      </c>
      <c r="P439" s="204">
        <v>100</v>
      </c>
      <c r="Q439" s="86" t="s">
        <v>30</v>
      </c>
      <c r="R439" s="199">
        <v>96</v>
      </c>
      <c r="S439" s="199">
        <v>94</v>
      </c>
      <c r="T439" s="223" t="s">
        <v>28</v>
      </c>
    </row>
    <row r="440" spans="1:20" ht="13.5" customHeight="1">
      <c r="A440" s="37" t="s">
        <v>64</v>
      </c>
      <c r="B440" s="204">
        <v>29.3</v>
      </c>
      <c r="C440" s="204">
        <v>36.9</v>
      </c>
      <c r="D440" s="204">
        <v>36.4</v>
      </c>
      <c r="E440" s="204">
        <v>0</v>
      </c>
      <c r="F440" s="204">
        <v>0</v>
      </c>
      <c r="G440" s="204">
        <v>0</v>
      </c>
      <c r="H440" s="204">
        <v>0</v>
      </c>
      <c r="I440" s="204">
        <v>40</v>
      </c>
      <c r="J440" s="204">
        <v>50</v>
      </c>
      <c r="K440" s="204">
        <v>50</v>
      </c>
      <c r="L440" s="204">
        <v>50</v>
      </c>
      <c r="M440" s="204">
        <v>50</v>
      </c>
      <c r="N440" s="204">
        <v>50</v>
      </c>
      <c r="O440" s="204">
        <v>42.9</v>
      </c>
      <c r="P440" s="204">
        <v>0</v>
      </c>
      <c r="Q440" s="210" t="s">
        <v>26</v>
      </c>
      <c r="R440" s="211">
        <v>95</v>
      </c>
      <c r="S440" s="211">
        <v>80</v>
      </c>
      <c r="T440" s="224" t="s">
        <v>51</v>
      </c>
    </row>
    <row r="441" spans="1:20" ht="13.5" customHeight="1">
      <c r="A441" s="37" t="s">
        <v>47</v>
      </c>
      <c r="B441" s="204">
        <v>52.6</v>
      </c>
      <c r="C441" s="204">
        <v>62.5</v>
      </c>
      <c r="D441" s="204">
        <v>33.299999999999997</v>
      </c>
      <c r="E441" s="204">
        <v>0</v>
      </c>
      <c r="F441" s="204">
        <v>0</v>
      </c>
      <c r="G441" s="204">
        <v>25</v>
      </c>
      <c r="H441" s="204">
        <v>25</v>
      </c>
      <c r="I441" s="204">
        <v>40</v>
      </c>
      <c r="J441" s="204">
        <v>33.299999999999997</v>
      </c>
      <c r="K441" s="204">
        <v>0</v>
      </c>
      <c r="L441" s="204">
        <v>0</v>
      </c>
      <c r="M441" s="204">
        <v>0</v>
      </c>
      <c r="N441" s="204">
        <v>0</v>
      </c>
      <c r="O441" s="204">
        <v>33.299999999999997</v>
      </c>
      <c r="P441" s="204">
        <v>33.299999999999997</v>
      </c>
      <c r="Q441" s="206" t="s">
        <v>34</v>
      </c>
      <c r="R441" s="218">
        <v>70</v>
      </c>
      <c r="S441" s="199">
        <v>90</v>
      </c>
      <c r="T441" s="223" t="s">
        <v>24</v>
      </c>
    </row>
    <row r="442" spans="1:20" ht="13.5" customHeight="1">
      <c r="A442" s="37" t="s">
        <v>22</v>
      </c>
      <c r="B442" s="204">
        <v>66.7</v>
      </c>
      <c r="C442" s="204">
        <v>68</v>
      </c>
      <c r="D442" s="204">
        <v>60</v>
      </c>
      <c r="E442" s="204">
        <v>60</v>
      </c>
      <c r="F442" s="204">
        <v>60</v>
      </c>
      <c r="G442" s="204">
        <v>70</v>
      </c>
      <c r="H442" s="204">
        <v>66.7</v>
      </c>
      <c r="I442" s="204">
        <v>62.5</v>
      </c>
      <c r="J442" s="204">
        <v>70</v>
      </c>
      <c r="K442" s="204">
        <v>100</v>
      </c>
      <c r="L442" s="204">
        <v>100</v>
      </c>
      <c r="M442" s="204">
        <v>100</v>
      </c>
      <c r="N442" s="204">
        <v>100</v>
      </c>
      <c r="O442" s="204">
        <v>100</v>
      </c>
      <c r="P442" s="204">
        <v>100</v>
      </c>
      <c r="Q442" s="206" t="s">
        <v>23</v>
      </c>
      <c r="R442" s="199">
        <v>100</v>
      </c>
      <c r="S442" s="218">
        <v>80</v>
      </c>
      <c r="T442" s="224" t="s">
        <v>46</v>
      </c>
    </row>
    <row r="443" spans="1:20" ht="13.5" customHeight="1">
      <c r="A443" s="37" t="s">
        <v>25</v>
      </c>
      <c r="B443" s="204">
        <v>57.7</v>
      </c>
      <c r="C443" s="204">
        <v>50.8</v>
      </c>
      <c r="D443" s="204">
        <v>42.9</v>
      </c>
      <c r="E443" s="204">
        <v>40</v>
      </c>
      <c r="F443" s="204">
        <v>50</v>
      </c>
      <c r="G443" s="204">
        <v>50</v>
      </c>
      <c r="H443" s="204">
        <v>50</v>
      </c>
      <c r="I443" s="204">
        <v>40</v>
      </c>
      <c r="J443" s="204">
        <v>33.299999999999997</v>
      </c>
      <c r="K443" s="204">
        <v>0</v>
      </c>
      <c r="L443" s="204">
        <v>0</v>
      </c>
      <c r="M443" s="204">
        <v>0</v>
      </c>
      <c r="N443" s="204">
        <v>0</v>
      </c>
      <c r="O443" s="204">
        <v>25</v>
      </c>
      <c r="P443" s="204">
        <v>33.299999999999997</v>
      </c>
      <c r="Q443" s="86" t="s">
        <v>26</v>
      </c>
      <c r="R443" s="199">
        <v>100</v>
      </c>
      <c r="S443" s="218">
        <v>86</v>
      </c>
      <c r="T443" s="223" t="s">
        <v>28</v>
      </c>
    </row>
    <row r="444" spans="1:20" ht="13.5" customHeight="1">
      <c r="A444" s="37" t="s">
        <v>53</v>
      </c>
      <c r="B444" s="204">
        <v>51.7</v>
      </c>
      <c r="C444" s="204">
        <v>38.799999999999997</v>
      </c>
      <c r="D444" s="204">
        <v>37.5</v>
      </c>
      <c r="E444" s="204">
        <v>0</v>
      </c>
      <c r="F444" s="204">
        <v>0</v>
      </c>
      <c r="G444" s="204">
        <v>0</v>
      </c>
      <c r="H444" s="204">
        <v>0</v>
      </c>
      <c r="I444" s="204">
        <v>0</v>
      </c>
      <c r="J444" s="204">
        <v>0</v>
      </c>
      <c r="K444" s="204">
        <v>0</v>
      </c>
      <c r="L444" s="204">
        <v>0</v>
      </c>
      <c r="M444" s="204">
        <v>0</v>
      </c>
      <c r="N444" s="204">
        <v>0</v>
      </c>
      <c r="O444" s="204">
        <v>25</v>
      </c>
      <c r="P444" s="204">
        <v>0</v>
      </c>
      <c r="Q444" s="206" t="s">
        <v>26</v>
      </c>
      <c r="R444" s="199">
        <v>90</v>
      </c>
      <c r="S444" s="199">
        <v>84</v>
      </c>
      <c r="T444" s="223" t="s">
        <v>46</v>
      </c>
    </row>
    <row r="445" spans="1:20" ht="13.5" customHeight="1">
      <c r="A445" s="37" t="s">
        <v>31</v>
      </c>
      <c r="B445" s="204">
        <v>72.7</v>
      </c>
      <c r="C445" s="204">
        <v>55.6</v>
      </c>
      <c r="D445" s="204">
        <v>55.6</v>
      </c>
      <c r="E445" s="204">
        <v>66.7</v>
      </c>
      <c r="F445" s="204">
        <v>100</v>
      </c>
      <c r="G445" s="204">
        <v>66.7</v>
      </c>
      <c r="H445" s="204">
        <v>100</v>
      </c>
      <c r="I445" s="204">
        <v>70.599999999999994</v>
      </c>
      <c r="J445" s="204">
        <v>100</v>
      </c>
      <c r="K445" s="204">
        <v>50</v>
      </c>
      <c r="L445" s="204">
        <v>50</v>
      </c>
      <c r="M445" s="204">
        <v>50</v>
      </c>
      <c r="N445" s="204">
        <v>50</v>
      </c>
      <c r="O445" s="204">
        <v>100</v>
      </c>
      <c r="P445" s="204">
        <v>100</v>
      </c>
      <c r="Q445" s="206" t="s">
        <v>26</v>
      </c>
      <c r="R445" s="199">
        <v>72</v>
      </c>
      <c r="S445" s="218">
        <v>100</v>
      </c>
      <c r="T445" s="223" t="s">
        <v>65</v>
      </c>
    </row>
    <row r="446" spans="1:20" ht="13.5" customHeight="1">
      <c r="A446" s="37" t="s">
        <v>31</v>
      </c>
      <c r="B446" s="204">
        <v>60</v>
      </c>
      <c r="C446" s="204">
        <v>36.9</v>
      </c>
      <c r="D446" s="204">
        <v>53.8</v>
      </c>
      <c r="E446" s="204">
        <v>60</v>
      </c>
      <c r="F446" s="204">
        <v>75</v>
      </c>
      <c r="G446" s="204">
        <v>75</v>
      </c>
      <c r="H446" s="204">
        <v>66.7</v>
      </c>
      <c r="I446" s="204">
        <v>66.7</v>
      </c>
      <c r="J446" s="204">
        <v>66.7</v>
      </c>
      <c r="K446" s="204">
        <v>100</v>
      </c>
      <c r="L446" s="204">
        <v>100</v>
      </c>
      <c r="M446" s="204">
        <v>100</v>
      </c>
      <c r="N446" s="204">
        <v>100</v>
      </c>
      <c r="O446" s="204">
        <v>66.7</v>
      </c>
      <c r="P446" s="204">
        <v>100</v>
      </c>
      <c r="Q446" s="206" t="s">
        <v>23</v>
      </c>
      <c r="R446" s="199">
        <v>105</v>
      </c>
      <c r="S446" s="218">
        <v>115</v>
      </c>
      <c r="T446" s="223" t="s">
        <v>35</v>
      </c>
    </row>
    <row r="447" spans="1:20" ht="13.5" customHeight="1">
      <c r="A447" s="37" t="s">
        <v>33</v>
      </c>
      <c r="B447" s="204">
        <v>44.4</v>
      </c>
      <c r="C447" s="204">
        <v>55.6</v>
      </c>
      <c r="D447" s="204">
        <v>58.3</v>
      </c>
      <c r="E447" s="204">
        <v>33.299999999999997</v>
      </c>
      <c r="F447" s="204">
        <v>50</v>
      </c>
      <c r="G447" s="204">
        <v>50</v>
      </c>
      <c r="H447" s="204">
        <v>100</v>
      </c>
      <c r="I447" s="204">
        <v>22.2</v>
      </c>
      <c r="J447" s="204">
        <v>50</v>
      </c>
      <c r="K447" s="204">
        <v>100</v>
      </c>
      <c r="L447" s="204">
        <v>100</v>
      </c>
      <c r="M447" s="204">
        <v>100</v>
      </c>
      <c r="N447" s="204">
        <v>100</v>
      </c>
      <c r="O447" s="204">
        <v>66.7</v>
      </c>
      <c r="P447" s="204">
        <v>100</v>
      </c>
      <c r="Q447" s="206" t="s">
        <v>23</v>
      </c>
      <c r="R447" s="199">
        <v>90</v>
      </c>
      <c r="S447" s="199">
        <v>114</v>
      </c>
      <c r="T447" s="224" t="s">
        <v>35</v>
      </c>
    </row>
    <row r="448" spans="1:20" ht="13.5" customHeight="1">
      <c r="A448" s="37" t="s">
        <v>79</v>
      </c>
      <c r="B448" s="204">
        <v>33.299999999999997</v>
      </c>
      <c r="C448" s="204">
        <v>36.9</v>
      </c>
      <c r="D448" s="204">
        <v>33.299999999999997</v>
      </c>
      <c r="E448" s="204">
        <v>80</v>
      </c>
      <c r="F448" s="204">
        <v>75</v>
      </c>
      <c r="G448" s="204">
        <v>66.7</v>
      </c>
      <c r="H448" s="204">
        <v>66.7</v>
      </c>
      <c r="I448" s="204">
        <v>100</v>
      </c>
      <c r="J448" s="204">
        <v>100</v>
      </c>
      <c r="K448" s="204">
        <v>100</v>
      </c>
      <c r="L448" s="204">
        <v>100</v>
      </c>
      <c r="M448" s="204">
        <v>100</v>
      </c>
      <c r="N448" s="204">
        <v>100</v>
      </c>
      <c r="O448" s="204">
        <v>100</v>
      </c>
      <c r="P448" s="204">
        <v>100</v>
      </c>
      <c r="Q448" s="206" t="s">
        <v>26</v>
      </c>
      <c r="R448" s="199">
        <v>117</v>
      </c>
      <c r="S448" s="218">
        <v>78</v>
      </c>
      <c r="T448" s="223" t="s">
        <v>46</v>
      </c>
    </row>
    <row r="449" spans="1:22" ht="13.5" customHeight="1">
      <c r="A449" s="37" t="s">
        <v>60</v>
      </c>
      <c r="B449" s="204">
        <v>71.400000000000006</v>
      </c>
      <c r="C449" s="204">
        <v>22.2</v>
      </c>
      <c r="D449" s="204">
        <v>0</v>
      </c>
      <c r="E449" s="204">
        <v>33.299999999999997</v>
      </c>
      <c r="F449" s="204">
        <v>0</v>
      </c>
      <c r="G449" s="204">
        <v>16.7</v>
      </c>
      <c r="H449" s="204">
        <v>0</v>
      </c>
      <c r="I449" s="204">
        <v>33.299999999999997</v>
      </c>
      <c r="J449" s="204">
        <v>33.299999999999997</v>
      </c>
      <c r="K449" s="204">
        <v>0</v>
      </c>
      <c r="L449" s="204">
        <v>0</v>
      </c>
      <c r="M449" s="204">
        <v>50</v>
      </c>
      <c r="N449" s="204">
        <v>33.299999999999997</v>
      </c>
      <c r="O449" s="204">
        <v>66.7</v>
      </c>
      <c r="P449" s="204">
        <v>50</v>
      </c>
      <c r="Q449" s="86" t="s">
        <v>45</v>
      </c>
      <c r="R449" s="199">
        <v>95</v>
      </c>
      <c r="S449" s="218">
        <v>108</v>
      </c>
      <c r="T449" s="223" t="s">
        <v>35</v>
      </c>
    </row>
    <row r="450" spans="1:22" ht="27" customHeight="1">
      <c r="A450" s="37" t="s">
        <v>36</v>
      </c>
      <c r="B450" s="204">
        <v>60</v>
      </c>
      <c r="C450" s="204">
        <v>54.7</v>
      </c>
      <c r="D450" s="204">
        <v>25</v>
      </c>
      <c r="E450" s="204">
        <v>42.9</v>
      </c>
      <c r="F450" s="204">
        <v>25</v>
      </c>
      <c r="G450" s="204">
        <v>40</v>
      </c>
      <c r="H450" s="204">
        <v>25</v>
      </c>
      <c r="I450" s="204">
        <v>45</v>
      </c>
      <c r="J450" s="204">
        <v>50</v>
      </c>
      <c r="K450" s="204">
        <v>0</v>
      </c>
      <c r="L450" s="204">
        <v>0</v>
      </c>
      <c r="M450" s="204">
        <v>50</v>
      </c>
      <c r="N450" s="204">
        <v>0</v>
      </c>
      <c r="O450" s="204">
        <v>50</v>
      </c>
      <c r="P450" s="204">
        <v>0</v>
      </c>
      <c r="Q450" s="86" t="s">
        <v>26</v>
      </c>
      <c r="R450" s="199">
        <v>93</v>
      </c>
      <c r="S450" s="199">
        <v>86</v>
      </c>
      <c r="T450" s="223" t="s">
        <v>28</v>
      </c>
    </row>
    <row r="451" spans="1:22" ht="13.5" customHeight="1">
      <c r="A451" s="37" t="s">
        <v>36</v>
      </c>
      <c r="B451" s="204">
        <v>45.7</v>
      </c>
      <c r="C451" s="204">
        <v>55.6</v>
      </c>
      <c r="D451" s="204">
        <v>55.6</v>
      </c>
      <c r="E451" s="204">
        <v>50</v>
      </c>
      <c r="F451" s="204">
        <v>33.299999999999997</v>
      </c>
      <c r="G451" s="204">
        <v>50</v>
      </c>
      <c r="H451" s="204">
        <v>33.299999999999997</v>
      </c>
      <c r="I451" s="204">
        <v>28.6</v>
      </c>
      <c r="J451" s="204">
        <v>33.299999999999997</v>
      </c>
      <c r="K451" s="204">
        <v>33.299999999999997</v>
      </c>
      <c r="L451" s="204">
        <v>50</v>
      </c>
      <c r="M451" s="204">
        <v>33.299999999999997</v>
      </c>
      <c r="N451" s="204">
        <v>50</v>
      </c>
      <c r="O451" s="204">
        <v>33.299999999999997</v>
      </c>
      <c r="P451" s="204">
        <v>0</v>
      </c>
      <c r="Q451" s="206" t="s">
        <v>26</v>
      </c>
      <c r="R451" s="199">
        <v>120</v>
      </c>
      <c r="S451" s="218">
        <v>90</v>
      </c>
      <c r="T451" s="223" t="s">
        <v>28</v>
      </c>
    </row>
    <row r="452" spans="1:22" ht="27" customHeight="1">
      <c r="A452" s="37" t="s">
        <v>22</v>
      </c>
      <c r="B452" s="204">
        <v>73.3</v>
      </c>
      <c r="C452" s="204">
        <v>74.400000000000006</v>
      </c>
      <c r="D452" s="204">
        <v>81.8</v>
      </c>
      <c r="E452" s="204">
        <v>62.5</v>
      </c>
      <c r="F452" s="204">
        <v>66.7</v>
      </c>
      <c r="G452" s="204">
        <v>66.7</v>
      </c>
      <c r="H452" s="204">
        <v>33.299999999999997</v>
      </c>
      <c r="I452" s="204">
        <v>62.5</v>
      </c>
      <c r="J452" s="204">
        <v>70</v>
      </c>
      <c r="K452" s="204">
        <v>100</v>
      </c>
      <c r="L452" s="204">
        <v>100</v>
      </c>
      <c r="M452" s="204">
        <v>66.7</v>
      </c>
      <c r="N452" s="204">
        <v>66.7</v>
      </c>
      <c r="O452" s="204">
        <v>71.400000000000006</v>
      </c>
      <c r="P452" s="204">
        <v>71.400000000000006</v>
      </c>
      <c r="Q452" s="206" t="s">
        <v>26</v>
      </c>
      <c r="R452" s="199">
        <v>78</v>
      </c>
      <c r="S452" s="218">
        <v>80</v>
      </c>
      <c r="T452" s="223" t="s">
        <v>39</v>
      </c>
    </row>
    <row r="453" spans="1:22" ht="13.5" customHeight="1">
      <c r="A453" s="37" t="s">
        <v>29</v>
      </c>
      <c r="B453" s="204">
        <v>84.2</v>
      </c>
      <c r="C453" s="204">
        <v>59.6</v>
      </c>
      <c r="D453" s="204">
        <v>54.5</v>
      </c>
      <c r="E453" s="204">
        <v>80</v>
      </c>
      <c r="F453" s="204">
        <v>100</v>
      </c>
      <c r="G453" s="204">
        <v>71.400000000000006</v>
      </c>
      <c r="H453" s="204">
        <v>75</v>
      </c>
      <c r="I453" s="204">
        <v>75</v>
      </c>
      <c r="J453" s="204">
        <v>100</v>
      </c>
      <c r="K453" s="204">
        <v>100</v>
      </c>
      <c r="L453" s="204">
        <v>100</v>
      </c>
      <c r="M453" s="204">
        <v>100</v>
      </c>
      <c r="N453" s="204">
        <v>100</v>
      </c>
      <c r="O453" s="204">
        <v>50</v>
      </c>
      <c r="P453" s="204">
        <v>50</v>
      </c>
      <c r="Q453" s="86" t="s">
        <v>23</v>
      </c>
      <c r="R453" s="199">
        <v>93</v>
      </c>
      <c r="S453" s="199">
        <v>88</v>
      </c>
      <c r="T453" s="223" t="s">
        <v>28</v>
      </c>
    </row>
    <row r="454" spans="1:22" ht="13.5" customHeight="1">
      <c r="A454" s="37" t="s">
        <v>53</v>
      </c>
      <c r="B454" s="204">
        <v>28.2</v>
      </c>
      <c r="C454" s="204">
        <v>38.799999999999997</v>
      </c>
      <c r="D454" s="204">
        <v>14.3</v>
      </c>
      <c r="E454" s="204">
        <v>0</v>
      </c>
      <c r="F454" s="204">
        <v>0</v>
      </c>
      <c r="G454" s="204">
        <v>50</v>
      </c>
      <c r="H454" s="204">
        <v>50</v>
      </c>
      <c r="I454" s="204">
        <v>57.1</v>
      </c>
      <c r="J454" s="204">
        <v>66.7</v>
      </c>
      <c r="K454" s="204">
        <v>33.299999999999997</v>
      </c>
      <c r="L454" s="204">
        <v>0</v>
      </c>
      <c r="M454" s="204">
        <v>0</v>
      </c>
      <c r="N454" s="204">
        <v>0</v>
      </c>
      <c r="O454" s="204">
        <v>42.9</v>
      </c>
      <c r="P454" s="204">
        <v>0</v>
      </c>
      <c r="Q454" s="206" t="s">
        <v>45</v>
      </c>
      <c r="R454" s="218">
        <v>99</v>
      </c>
      <c r="S454" s="218">
        <v>84</v>
      </c>
      <c r="T454" s="223" t="s">
        <v>46</v>
      </c>
    </row>
    <row r="455" spans="1:22" ht="13.5" customHeight="1">
      <c r="A455" s="37" t="s">
        <v>36</v>
      </c>
      <c r="B455" s="204">
        <v>60</v>
      </c>
      <c r="C455" s="204">
        <v>49.4</v>
      </c>
      <c r="D455" s="204">
        <v>57.1</v>
      </c>
      <c r="E455" s="204">
        <v>50</v>
      </c>
      <c r="F455" s="204">
        <v>0</v>
      </c>
      <c r="G455" s="204">
        <v>66.7</v>
      </c>
      <c r="H455" s="204">
        <v>0</v>
      </c>
      <c r="I455" s="204">
        <v>40</v>
      </c>
      <c r="J455" s="204">
        <v>0</v>
      </c>
      <c r="K455" s="204">
        <v>0</v>
      </c>
      <c r="L455" s="204">
        <v>0</v>
      </c>
      <c r="M455" s="204">
        <v>0</v>
      </c>
      <c r="N455" s="204">
        <v>0</v>
      </c>
      <c r="O455" s="204">
        <v>25</v>
      </c>
      <c r="P455" s="204">
        <v>0</v>
      </c>
      <c r="Q455" s="86" t="s">
        <v>45</v>
      </c>
      <c r="R455" s="199">
        <v>87</v>
      </c>
      <c r="S455" s="218">
        <v>112</v>
      </c>
      <c r="T455" s="223" t="s">
        <v>35</v>
      </c>
    </row>
    <row r="456" spans="1:22" ht="13.5" customHeight="1">
      <c r="A456" s="37" t="s">
        <v>22</v>
      </c>
      <c r="B456" s="204">
        <v>60</v>
      </c>
      <c r="C456" s="204">
        <v>38.1</v>
      </c>
      <c r="D456" s="204">
        <v>56.2</v>
      </c>
      <c r="E456" s="204">
        <v>37.5</v>
      </c>
      <c r="F456" s="204">
        <v>50</v>
      </c>
      <c r="G456" s="204">
        <v>50</v>
      </c>
      <c r="H456" s="204">
        <v>66.7</v>
      </c>
      <c r="I456" s="204">
        <v>100</v>
      </c>
      <c r="J456" s="204">
        <v>100</v>
      </c>
      <c r="K456" s="204">
        <v>100</v>
      </c>
      <c r="L456" s="204">
        <v>100</v>
      </c>
      <c r="M456" s="204">
        <v>60</v>
      </c>
      <c r="N456" s="204">
        <v>33.299999999999997</v>
      </c>
      <c r="O456" s="204">
        <v>66.7</v>
      </c>
      <c r="P456" s="204">
        <v>50</v>
      </c>
      <c r="Q456" s="206" t="s">
        <v>45</v>
      </c>
      <c r="R456" s="199">
        <v>97</v>
      </c>
      <c r="S456" s="199">
        <v>98</v>
      </c>
      <c r="T456" s="223" t="s">
        <v>65</v>
      </c>
    </row>
    <row r="457" spans="1:22" ht="13.5" customHeight="1">
      <c r="A457" s="37" t="s">
        <v>60</v>
      </c>
      <c r="B457" s="204">
        <v>33.299999999999997</v>
      </c>
      <c r="C457" s="204">
        <v>38.1</v>
      </c>
      <c r="D457" s="204">
        <v>40</v>
      </c>
      <c r="E457" s="204">
        <v>0</v>
      </c>
      <c r="F457" s="204">
        <v>0</v>
      </c>
      <c r="G457" s="204">
        <v>0</v>
      </c>
      <c r="H457" s="204">
        <v>0</v>
      </c>
      <c r="I457" s="204">
        <v>37.5</v>
      </c>
      <c r="J457" s="204">
        <v>25</v>
      </c>
      <c r="K457" s="204">
        <v>0</v>
      </c>
      <c r="L457" s="204">
        <v>0</v>
      </c>
      <c r="M457" s="204">
        <v>0</v>
      </c>
      <c r="N457" s="204">
        <v>0</v>
      </c>
      <c r="O457" s="204">
        <v>66.7</v>
      </c>
      <c r="P457" s="204">
        <v>50</v>
      </c>
      <c r="Q457" s="40" t="s">
        <v>23</v>
      </c>
      <c r="R457" s="199">
        <v>100</v>
      </c>
      <c r="S457" s="199">
        <v>84</v>
      </c>
      <c r="T457" s="223" t="s">
        <v>51</v>
      </c>
    </row>
    <row r="458" spans="1:22" ht="27" customHeight="1">
      <c r="A458" s="37" t="s">
        <v>22</v>
      </c>
      <c r="B458" s="204">
        <v>72.7</v>
      </c>
      <c r="C458" s="204">
        <v>49</v>
      </c>
      <c r="D458" s="204">
        <v>75</v>
      </c>
      <c r="E458" s="204">
        <v>33.299999999999997</v>
      </c>
      <c r="F458" s="204">
        <v>33.299999999999997</v>
      </c>
      <c r="G458" s="204">
        <v>25</v>
      </c>
      <c r="H458" s="204">
        <v>25</v>
      </c>
      <c r="I458" s="204">
        <v>61.5</v>
      </c>
      <c r="J458" s="204">
        <v>66.7</v>
      </c>
      <c r="K458" s="204">
        <v>50</v>
      </c>
      <c r="L458" s="204">
        <v>50</v>
      </c>
      <c r="M458" s="204">
        <v>60</v>
      </c>
      <c r="N458" s="204">
        <v>50</v>
      </c>
      <c r="O458" s="204">
        <v>100</v>
      </c>
      <c r="P458" s="204">
        <v>100</v>
      </c>
      <c r="Q458" s="206" t="s">
        <v>45</v>
      </c>
      <c r="R458" s="199">
        <v>87</v>
      </c>
      <c r="S458" s="199">
        <v>75</v>
      </c>
      <c r="T458" s="223" t="s">
        <v>51</v>
      </c>
    </row>
    <row r="459" spans="1:22" ht="13.5" customHeight="1">
      <c r="A459" s="37" t="s">
        <v>36</v>
      </c>
      <c r="B459" s="204">
        <v>67.7</v>
      </c>
      <c r="C459" s="204">
        <v>39.1</v>
      </c>
      <c r="D459" s="204">
        <v>28.6</v>
      </c>
      <c r="E459" s="204">
        <v>75</v>
      </c>
      <c r="F459" s="204">
        <v>66.7</v>
      </c>
      <c r="G459" s="204">
        <v>80</v>
      </c>
      <c r="H459" s="204">
        <v>75</v>
      </c>
      <c r="I459" s="204">
        <v>28.6</v>
      </c>
      <c r="J459" s="204">
        <v>33.299999999999997</v>
      </c>
      <c r="K459" s="204">
        <v>50</v>
      </c>
      <c r="L459" s="204">
        <v>50</v>
      </c>
      <c r="M459" s="204">
        <v>50</v>
      </c>
      <c r="N459" s="204">
        <v>50</v>
      </c>
      <c r="O459" s="204">
        <v>33.299999999999997</v>
      </c>
      <c r="P459" s="204">
        <v>50</v>
      </c>
      <c r="Q459" s="206" t="s">
        <v>45</v>
      </c>
      <c r="R459" s="199">
        <v>97</v>
      </c>
      <c r="S459" s="199">
        <v>85</v>
      </c>
      <c r="T459" s="223" t="s">
        <v>28</v>
      </c>
    </row>
    <row r="460" spans="1:22" ht="13.5" customHeight="1">
      <c r="A460" s="37" t="s">
        <v>31</v>
      </c>
      <c r="B460" s="204">
        <v>33.299999999999997</v>
      </c>
      <c r="C460" s="204">
        <v>36.9</v>
      </c>
      <c r="D460" s="204">
        <v>60</v>
      </c>
      <c r="E460" s="204">
        <v>80</v>
      </c>
      <c r="F460" s="204">
        <v>75</v>
      </c>
      <c r="G460" s="204">
        <v>60</v>
      </c>
      <c r="H460" s="204">
        <v>66.7</v>
      </c>
      <c r="I460" s="204">
        <v>66.7</v>
      </c>
      <c r="J460" s="204">
        <v>100</v>
      </c>
      <c r="K460" s="204">
        <v>100</v>
      </c>
      <c r="L460" s="204">
        <v>100</v>
      </c>
      <c r="M460" s="204">
        <v>100</v>
      </c>
      <c r="N460" s="204">
        <v>100</v>
      </c>
      <c r="O460" s="204">
        <v>66.7</v>
      </c>
      <c r="P460" s="204">
        <v>50</v>
      </c>
      <c r="Q460" s="206" t="s">
        <v>26</v>
      </c>
      <c r="R460" s="199">
        <v>96</v>
      </c>
      <c r="S460" s="218">
        <v>110</v>
      </c>
      <c r="T460" s="223" t="s">
        <v>35</v>
      </c>
    </row>
    <row r="461" spans="1:22" ht="13.5" customHeight="1">
      <c r="A461" s="37" t="s">
        <v>36</v>
      </c>
      <c r="B461" s="204">
        <v>33.299999999999997</v>
      </c>
      <c r="C461" s="204">
        <v>36.9</v>
      </c>
      <c r="D461" s="204">
        <v>33.299999999999997</v>
      </c>
      <c r="E461" s="204">
        <v>33.299999999999997</v>
      </c>
      <c r="F461" s="204">
        <v>33.299999999999997</v>
      </c>
      <c r="G461" s="204">
        <v>33.299999999999997</v>
      </c>
      <c r="H461" s="204">
        <v>33.299999999999997</v>
      </c>
      <c r="I461" s="204">
        <v>40</v>
      </c>
      <c r="J461" s="204">
        <v>0</v>
      </c>
      <c r="K461" s="204">
        <v>0</v>
      </c>
      <c r="L461" s="204">
        <v>0</v>
      </c>
      <c r="M461" s="204">
        <v>0</v>
      </c>
      <c r="N461" s="204">
        <v>0</v>
      </c>
      <c r="O461" s="204">
        <v>0</v>
      </c>
      <c r="P461" s="204">
        <v>0</v>
      </c>
      <c r="Q461" s="206" t="s">
        <v>45</v>
      </c>
      <c r="R461" s="199">
        <v>92</v>
      </c>
      <c r="S461" s="218">
        <v>100</v>
      </c>
      <c r="T461" s="223" t="s">
        <v>35</v>
      </c>
    </row>
    <row r="462" spans="1:22" ht="13.5" customHeight="1">
      <c r="A462" s="212" t="s">
        <v>22</v>
      </c>
      <c r="B462" s="204">
        <v>71.400000000000006</v>
      </c>
      <c r="C462" s="204">
        <v>49.4</v>
      </c>
      <c r="D462" s="204">
        <v>75</v>
      </c>
      <c r="E462" s="204">
        <v>60</v>
      </c>
      <c r="F462" s="204">
        <v>75</v>
      </c>
      <c r="G462" s="204">
        <v>66.7</v>
      </c>
      <c r="H462" s="204">
        <v>75</v>
      </c>
      <c r="I462" s="204">
        <v>66.7</v>
      </c>
      <c r="J462" s="204">
        <v>66.7</v>
      </c>
      <c r="K462" s="204">
        <v>100</v>
      </c>
      <c r="L462" s="204">
        <v>100</v>
      </c>
      <c r="M462" s="204">
        <v>100</v>
      </c>
      <c r="N462" s="204">
        <v>100</v>
      </c>
      <c r="O462" s="204">
        <v>66.7</v>
      </c>
      <c r="P462" s="204">
        <v>100</v>
      </c>
      <c r="Q462" s="206" t="s">
        <v>34</v>
      </c>
      <c r="R462" s="199">
        <v>92</v>
      </c>
      <c r="S462" s="199">
        <v>96</v>
      </c>
      <c r="T462" s="223" t="s">
        <v>35</v>
      </c>
    </row>
    <row r="463" spans="1:22" ht="13.5" customHeight="1">
      <c r="A463" s="37" t="s">
        <v>54</v>
      </c>
      <c r="B463" s="204">
        <v>50</v>
      </c>
      <c r="C463" s="204">
        <v>49</v>
      </c>
      <c r="D463" s="204">
        <v>66.7</v>
      </c>
      <c r="E463" s="204">
        <v>40</v>
      </c>
      <c r="F463" s="204">
        <v>50</v>
      </c>
      <c r="G463" s="204">
        <v>75</v>
      </c>
      <c r="H463" s="204">
        <v>100</v>
      </c>
      <c r="I463" s="204">
        <v>66.7</v>
      </c>
      <c r="J463" s="204">
        <v>100</v>
      </c>
      <c r="K463" s="204">
        <v>66.7</v>
      </c>
      <c r="L463" s="204">
        <v>100</v>
      </c>
      <c r="M463" s="204">
        <v>60</v>
      </c>
      <c r="N463" s="204">
        <v>66.7</v>
      </c>
      <c r="O463" s="204">
        <v>75</v>
      </c>
      <c r="P463" s="204">
        <v>66.7</v>
      </c>
      <c r="Q463" s="206" t="s">
        <v>45</v>
      </c>
      <c r="R463" s="199">
        <v>95</v>
      </c>
      <c r="S463" s="218">
        <v>106</v>
      </c>
      <c r="T463" s="223" t="s">
        <v>35</v>
      </c>
    </row>
    <row r="464" spans="1:22" ht="13.5" customHeight="1">
      <c r="A464" s="7" t="s">
        <v>22</v>
      </c>
      <c r="B464" s="204">
        <v>55.6</v>
      </c>
      <c r="C464" s="204">
        <v>39.1</v>
      </c>
      <c r="D464" s="204">
        <v>33.299999999999997</v>
      </c>
      <c r="E464" s="204">
        <v>100</v>
      </c>
      <c r="F464" s="204">
        <v>100</v>
      </c>
      <c r="G464" s="204">
        <v>100</v>
      </c>
      <c r="H464" s="204">
        <v>100</v>
      </c>
      <c r="I464" s="204">
        <v>60</v>
      </c>
      <c r="J464" s="204">
        <v>66.7</v>
      </c>
      <c r="K464" s="204">
        <v>100</v>
      </c>
      <c r="L464" s="204">
        <v>100</v>
      </c>
      <c r="M464" s="204">
        <v>66.7</v>
      </c>
      <c r="N464" s="204">
        <v>100</v>
      </c>
      <c r="O464" s="204">
        <v>40</v>
      </c>
      <c r="P464" s="204">
        <v>100</v>
      </c>
      <c r="Q464" s="44" t="s">
        <v>45</v>
      </c>
      <c r="R464" s="205">
        <v>78</v>
      </c>
      <c r="S464" s="219">
        <v>90</v>
      </c>
      <c r="T464" s="217" t="s">
        <v>24</v>
      </c>
      <c r="U464">
        <v>2.5</v>
      </c>
      <c r="V464">
        <v>145</v>
      </c>
    </row>
    <row r="465" spans="1:22" ht="13.5" customHeight="1">
      <c r="A465" s="7" t="s">
        <v>22</v>
      </c>
      <c r="B465" s="204">
        <v>63.6</v>
      </c>
      <c r="C465" s="204">
        <v>57.9</v>
      </c>
      <c r="D465" s="204">
        <v>75</v>
      </c>
      <c r="E465" s="204">
        <v>100</v>
      </c>
      <c r="F465" s="204">
        <v>100</v>
      </c>
      <c r="G465" s="204">
        <v>100</v>
      </c>
      <c r="H465" s="204">
        <v>100</v>
      </c>
      <c r="I465" s="204">
        <v>100</v>
      </c>
      <c r="J465" s="204">
        <v>100</v>
      </c>
      <c r="K465" s="204">
        <v>100</v>
      </c>
      <c r="L465" s="204">
        <v>100</v>
      </c>
      <c r="M465" s="204">
        <v>100</v>
      </c>
      <c r="N465" s="204">
        <v>100</v>
      </c>
      <c r="O465" s="204">
        <v>100</v>
      </c>
      <c r="P465" s="204">
        <v>100</v>
      </c>
      <c r="Q465" s="44" t="s">
        <v>23</v>
      </c>
      <c r="R465" s="205">
        <v>102</v>
      </c>
      <c r="S465" s="219">
        <v>98</v>
      </c>
      <c r="T465" s="217" t="s">
        <v>65</v>
      </c>
      <c r="U465">
        <v>2.5</v>
      </c>
      <c r="V465">
        <v>104</v>
      </c>
    </row>
    <row r="466" spans="1:22" ht="13.5" customHeight="1">
      <c r="A466" s="42" t="s">
        <v>80</v>
      </c>
      <c r="B466" s="204">
        <v>67.7</v>
      </c>
      <c r="C466" s="204">
        <v>73.3</v>
      </c>
      <c r="D466" s="204">
        <v>80</v>
      </c>
      <c r="E466" s="204">
        <v>71.400000000000006</v>
      </c>
      <c r="F466" s="204">
        <v>80</v>
      </c>
      <c r="G466" s="204">
        <v>83.3</v>
      </c>
      <c r="H466" s="204">
        <v>100</v>
      </c>
      <c r="I466" s="204">
        <v>61.5</v>
      </c>
      <c r="J466" s="204">
        <v>66.7</v>
      </c>
      <c r="K466" s="204">
        <v>100</v>
      </c>
      <c r="L466" s="204">
        <v>100</v>
      </c>
      <c r="M466" s="204">
        <v>100</v>
      </c>
      <c r="N466" s="204">
        <v>100</v>
      </c>
      <c r="O466" s="204">
        <v>50</v>
      </c>
      <c r="P466" s="204">
        <v>50</v>
      </c>
      <c r="Q466" s="44" t="s">
        <v>26</v>
      </c>
      <c r="R466" s="219">
        <v>94</v>
      </c>
      <c r="S466" s="205">
        <v>100</v>
      </c>
      <c r="T466" s="217" t="s">
        <v>48</v>
      </c>
      <c r="U466">
        <v>2.5</v>
      </c>
      <c r="V466">
        <v>107</v>
      </c>
    </row>
    <row r="467" spans="1:22" ht="13.5" customHeight="1">
      <c r="A467" s="7" t="s">
        <v>36</v>
      </c>
      <c r="B467" s="204">
        <v>29.3</v>
      </c>
      <c r="C467" s="204">
        <v>36.9</v>
      </c>
      <c r="D467" s="204">
        <v>36.4</v>
      </c>
      <c r="E467" s="204">
        <v>66.7</v>
      </c>
      <c r="F467" s="204">
        <v>0</v>
      </c>
      <c r="G467" s="204">
        <v>66.7</v>
      </c>
      <c r="H467" s="204">
        <v>0</v>
      </c>
      <c r="I467" s="204">
        <v>55.6</v>
      </c>
      <c r="J467" s="204">
        <v>33.299999999999997</v>
      </c>
      <c r="K467" s="204">
        <v>0</v>
      </c>
      <c r="L467" s="204">
        <v>0</v>
      </c>
      <c r="M467" s="204">
        <v>0</v>
      </c>
      <c r="N467" s="204">
        <v>0</v>
      </c>
      <c r="O467" s="204">
        <v>25</v>
      </c>
      <c r="P467" s="204">
        <v>0</v>
      </c>
      <c r="Q467" s="44" t="s">
        <v>45</v>
      </c>
      <c r="R467" s="205">
        <v>84</v>
      </c>
      <c r="S467" s="205">
        <v>106</v>
      </c>
      <c r="T467" s="217" t="s">
        <v>35</v>
      </c>
      <c r="U467">
        <v>2.5</v>
      </c>
      <c r="V467">
        <v>115</v>
      </c>
    </row>
    <row r="468" spans="1:22" ht="13.5" customHeight="1">
      <c r="A468" s="7" t="s">
        <v>60</v>
      </c>
      <c r="B468" s="204">
        <v>62.5</v>
      </c>
      <c r="C468" s="204">
        <v>71.400000000000006</v>
      </c>
      <c r="D468" s="204">
        <v>75</v>
      </c>
      <c r="E468" s="204">
        <v>66.7</v>
      </c>
      <c r="F468" s="204">
        <v>0</v>
      </c>
      <c r="G468" s="204">
        <v>66.7</v>
      </c>
      <c r="H468" s="204">
        <v>0</v>
      </c>
      <c r="I468" s="204">
        <v>71.400000000000006</v>
      </c>
      <c r="J468" s="204">
        <v>33.299999999999997</v>
      </c>
      <c r="K468" s="204">
        <v>0</v>
      </c>
      <c r="L468" s="204">
        <v>0</v>
      </c>
      <c r="M468" s="204">
        <v>0</v>
      </c>
      <c r="N468" s="204">
        <v>0</v>
      </c>
      <c r="O468" s="204">
        <v>0</v>
      </c>
      <c r="P468" s="204">
        <v>0</v>
      </c>
      <c r="Q468" s="44" t="s">
        <v>30</v>
      </c>
      <c r="R468" s="205">
        <v>80</v>
      </c>
      <c r="S468" s="205">
        <v>92</v>
      </c>
      <c r="T468" s="217" t="s">
        <v>28</v>
      </c>
      <c r="U468">
        <v>3.5</v>
      </c>
      <c r="V468">
        <v>120</v>
      </c>
    </row>
    <row r="469" spans="1:22" ht="13.5" customHeight="1">
      <c r="A469" s="7" t="s">
        <v>42</v>
      </c>
      <c r="B469" s="204">
        <v>29.3</v>
      </c>
      <c r="C469" s="204">
        <v>22.2</v>
      </c>
      <c r="D469" s="204">
        <v>28.6</v>
      </c>
      <c r="E469" s="204">
        <v>0</v>
      </c>
      <c r="F469" s="204">
        <v>0</v>
      </c>
      <c r="G469" s="204">
        <v>0</v>
      </c>
      <c r="H469" s="204">
        <v>0</v>
      </c>
      <c r="I469" s="204">
        <v>14.3</v>
      </c>
      <c r="J469" s="204">
        <v>0</v>
      </c>
      <c r="K469" s="204">
        <v>0</v>
      </c>
      <c r="L469" s="204">
        <v>0</v>
      </c>
      <c r="M469" s="204">
        <v>0</v>
      </c>
      <c r="N469" s="204">
        <v>0</v>
      </c>
      <c r="O469" s="204">
        <v>0</v>
      </c>
      <c r="P469" s="204">
        <v>0</v>
      </c>
      <c r="Q469" s="44" t="s">
        <v>45</v>
      </c>
      <c r="R469" s="219">
        <v>80</v>
      </c>
      <c r="S469" s="205">
        <v>104</v>
      </c>
      <c r="T469" s="217" t="s">
        <v>35</v>
      </c>
      <c r="U469">
        <v>2.5</v>
      </c>
      <c r="V469">
        <v>112</v>
      </c>
    </row>
    <row r="470" spans="1:22" ht="13.5" customHeight="1">
      <c r="A470" s="7" t="s">
        <v>42</v>
      </c>
      <c r="B470" s="204">
        <v>63.6</v>
      </c>
      <c r="C470" s="204">
        <v>59.6</v>
      </c>
      <c r="D470" s="204">
        <v>40</v>
      </c>
      <c r="E470" s="204">
        <v>0</v>
      </c>
      <c r="F470" s="204">
        <v>0</v>
      </c>
      <c r="G470" s="204">
        <v>0</v>
      </c>
      <c r="H470" s="204">
        <v>0</v>
      </c>
      <c r="I470" s="204">
        <v>0</v>
      </c>
      <c r="J470" s="204">
        <v>0</v>
      </c>
      <c r="K470" s="204">
        <v>50</v>
      </c>
      <c r="L470" s="204">
        <v>50</v>
      </c>
      <c r="M470" s="204">
        <v>50</v>
      </c>
      <c r="N470" s="204">
        <v>50</v>
      </c>
      <c r="O470" s="204">
        <v>66.7</v>
      </c>
      <c r="P470" s="204">
        <v>66.7</v>
      </c>
      <c r="Q470" s="44" t="s">
        <v>23</v>
      </c>
      <c r="R470" s="205">
        <v>105</v>
      </c>
      <c r="S470" s="219">
        <v>96</v>
      </c>
      <c r="T470" s="217" t="s">
        <v>48</v>
      </c>
      <c r="U470">
        <v>2.5</v>
      </c>
      <c r="V470">
        <v>98</v>
      </c>
    </row>
    <row r="471" spans="1:22" ht="13.5" customHeight="1">
      <c r="A471" s="7" t="s">
        <v>43</v>
      </c>
      <c r="B471" s="204">
        <v>67.7</v>
      </c>
      <c r="C471" s="204">
        <v>86.4</v>
      </c>
      <c r="D471" s="204">
        <v>100</v>
      </c>
      <c r="E471" s="204">
        <v>50</v>
      </c>
      <c r="F471" s="204">
        <v>100</v>
      </c>
      <c r="G471" s="204">
        <v>66.7</v>
      </c>
      <c r="H471" s="204">
        <v>100</v>
      </c>
      <c r="I471" s="204">
        <v>63.6</v>
      </c>
      <c r="J471" s="204">
        <v>71.400000000000006</v>
      </c>
      <c r="K471" s="204">
        <v>100</v>
      </c>
      <c r="L471" s="204">
        <v>100</v>
      </c>
      <c r="M471" s="204">
        <v>50</v>
      </c>
      <c r="N471" s="204">
        <v>50</v>
      </c>
      <c r="O471" s="204">
        <v>100</v>
      </c>
      <c r="P471" s="204">
        <v>100</v>
      </c>
      <c r="Q471" s="207" t="s">
        <v>30</v>
      </c>
      <c r="R471" s="205">
        <v>80</v>
      </c>
      <c r="S471" s="205">
        <v>76</v>
      </c>
      <c r="T471" s="217" t="s">
        <v>40</v>
      </c>
      <c r="U471">
        <v>3.5</v>
      </c>
      <c r="V471">
        <v>122</v>
      </c>
    </row>
    <row r="472" spans="1:22" ht="13.5" customHeight="1">
      <c r="A472" s="7" t="s">
        <v>42</v>
      </c>
      <c r="B472" s="204">
        <v>67.7</v>
      </c>
      <c r="C472" s="204">
        <v>38.1</v>
      </c>
      <c r="D472" s="204">
        <v>25</v>
      </c>
      <c r="E472" s="204">
        <v>66.7</v>
      </c>
      <c r="F472" s="204">
        <v>66.7</v>
      </c>
      <c r="G472" s="204">
        <v>66.7</v>
      </c>
      <c r="H472" s="204">
        <v>66.7</v>
      </c>
      <c r="I472" s="204">
        <v>28.6</v>
      </c>
      <c r="J472" s="204">
        <v>33.299999999999997</v>
      </c>
      <c r="K472" s="204">
        <v>0</v>
      </c>
      <c r="L472" s="204">
        <v>0</v>
      </c>
      <c r="M472" s="204">
        <v>0</v>
      </c>
      <c r="N472" s="204">
        <v>0</v>
      </c>
      <c r="O472" s="204">
        <v>33.299999999999997</v>
      </c>
      <c r="P472" s="204">
        <v>33.299999999999997</v>
      </c>
      <c r="Q472" s="44" t="s">
        <v>45</v>
      </c>
      <c r="R472" s="205">
        <v>80</v>
      </c>
      <c r="S472" s="205">
        <v>94</v>
      </c>
      <c r="T472" s="217" t="s">
        <v>27</v>
      </c>
      <c r="U472">
        <v>2.5</v>
      </c>
      <c r="V472">
        <v>105</v>
      </c>
    </row>
    <row r="473" spans="1:22" ht="13.5" customHeight="1">
      <c r="A473" s="7" t="s">
        <v>60</v>
      </c>
      <c r="B473" s="204">
        <v>66.7</v>
      </c>
      <c r="C473" s="204">
        <v>59.6</v>
      </c>
      <c r="D473" s="204">
        <v>60</v>
      </c>
      <c r="E473" s="204">
        <v>60</v>
      </c>
      <c r="F473" s="204">
        <v>66.7</v>
      </c>
      <c r="G473" s="204">
        <v>50</v>
      </c>
      <c r="H473" s="204">
        <v>66.7</v>
      </c>
      <c r="I473" s="204">
        <v>64.7</v>
      </c>
      <c r="J473" s="204">
        <v>66.7</v>
      </c>
      <c r="K473" s="204">
        <v>0</v>
      </c>
      <c r="L473" s="204">
        <v>0</v>
      </c>
      <c r="M473" s="204">
        <v>20</v>
      </c>
      <c r="N473" s="204">
        <v>25</v>
      </c>
      <c r="O473" s="204">
        <v>33.299999999999997</v>
      </c>
      <c r="P473" s="204">
        <v>33.299999999999997</v>
      </c>
      <c r="Q473" s="207" t="s">
        <v>30</v>
      </c>
      <c r="R473" s="205">
        <v>86</v>
      </c>
      <c r="S473" s="205">
        <v>90</v>
      </c>
      <c r="T473" s="217" t="s">
        <v>27</v>
      </c>
      <c r="U473">
        <v>3.5</v>
      </c>
      <c r="V473">
        <v>115</v>
      </c>
    </row>
    <row r="474" spans="1:22" ht="13.5" customHeight="1">
      <c r="A474" s="42" t="s">
        <v>49</v>
      </c>
      <c r="B474" s="204">
        <v>66.7</v>
      </c>
      <c r="C474" s="204">
        <v>71.400000000000006</v>
      </c>
      <c r="D474" s="204">
        <v>75</v>
      </c>
      <c r="E474" s="204">
        <v>80</v>
      </c>
      <c r="F474" s="204">
        <v>75</v>
      </c>
      <c r="G474" s="204">
        <v>100</v>
      </c>
      <c r="H474" s="204">
        <v>100</v>
      </c>
      <c r="I474" s="204">
        <v>45</v>
      </c>
      <c r="J474" s="204">
        <v>50</v>
      </c>
      <c r="K474" s="204">
        <v>100</v>
      </c>
      <c r="L474" s="204">
        <v>100</v>
      </c>
      <c r="M474" s="204">
        <v>100</v>
      </c>
      <c r="N474" s="204">
        <v>100</v>
      </c>
      <c r="O474" s="204">
        <v>50</v>
      </c>
      <c r="P474" s="204">
        <v>66.7</v>
      </c>
      <c r="Q474" s="207" t="s">
        <v>30</v>
      </c>
      <c r="R474" s="205">
        <v>88</v>
      </c>
      <c r="S474" s="205">
        <v>82</v>
      </c>
      <c r="T474" s="217" t="s">
        <v>40</v>
      </c>
      <c r="U474">
        <v>3.5</v>
      </c>
      <c r="V474">
        <v>105</v>
      </c>
    </row>
    <row r="475" spans="1:22" ht="13.5" customHeight="1">
      <c r="A475" s="7" t="s">
        <v>31</v>
      </c>
      <c r="B475" s="204">
        <v>67.7</v>
      </c>
      <c r="C475" s="204">
        <v>74.400000000000006</v>
      </c>
      <c r="D475" s="204">
        <v>100</v>
      </c>
      <c r="E475" s="204">
        <v>33.299999999999997</v>
      </c>
      <c r="F475" s="204">
        <v>100</v>
      </c>
      <c r="G475" s="204">
        <v>33.299999999999997</v>
      </c>
      <c r="H475" s="204">
        <v>100</v>
      </c>
      <c r="I475" s="204">
        <v>50</v>
      </c>
      <c r="J475" s="204">
        <v>50</v>
      </c>
      <c r="K475" s="204">
        <v>50</v>
      </c>
      <c r="L475" s="204">
        <v>100</v>
      </c>
      <c r="M475" s="204">
        <v>50</v>
      </c>
      <c r="N475" s="204">
        <v>100</v>
      </c>
      <c r="O475" s="204">
        <v>66.7</v>
      </c>
      <c r="P475" s="204">
        <v>100</v>
      </c>
      <c r="Q475" s="44" t="s">
        <v>30</v>
      </c>
      <c r="R475" s="205">
        <v>94</v>
      </c>
      <c r="S475" s="205">
        <v>100</v>
      </c>
      <c r="T475" s="217" t="s">
        <v>48</v>
      </c>
      <c r="U475">
        <v>2.5</v>
      </c>
      <c r="V475">
        <v>65</v>
      </c>
    </row>
    <row r="476" spans="1:22" ht="13.5" customHeight="1">
      <c r="A476" s="7" t="s">
        <v>31</v>
      </c>
      <c r="B476" s="204">
        <v>63.6</v>
      </c>
      <c r="C476" s="204">
        <v>50.8</v>
      </c>
      <c r="D476" s="204">
        <v>62.5</v>
      </c>
      <c r="E476" s="204">
        <v>100</v>
      </c>
      <c r="F476" s="204">
        <v>100</v>
      </c>
      <c r="G476" s="204">
        <v>100</v>
      </c>
      <c r="H476" s="204">
        <v>100</v>
      </c>
      <c r="I476" s="204">
        <v>100</v>
      </c>
      <c r="J476" s="204">
        <v>100</v>
      </c>
      <c r="K476" s="204">
        <v>100</v>
      </c>
      <c r="L476" s="204">
        <v>100</v>
      </c>
      <c r="M476" s="204">
        <v>100</v>
      </c>
      <c r="N476" s="204">
        <v>100</v>
      </c>
      <c r="O476" s="204">
        <v>100</v>
      </c>
      <c r="P476" s="204">
        <v>100</v>
      </c>
      <c r="Q476" s="44" t="s">
        <v>26</v>
      </c>
      <c r="R476" s="205">
        <v>105</v>
      </c>
      <c r="S476" s="205">
        <v>96</v>
      </c>
      <c r="T476" s="217" t="s">
        <v>65</v>
      </c>
      <c r="U476">
        <v>2.5</v>
      </c>
      <c r="V476">
        <v>125</v>
      </c>
    </row>
    <row r="477" spans="1:22" ht="13.5" customHeight="1">
      <c r="A477" s="7" t="s">
        <v>42</v>
      </c>
      <c r="B477" s="204">
        <v>63.6</v>
      </c>
      <c r="C477" s="204">
        <v>46.5</v>
      </c>
      <c r="D477" s="204">
        <v>60</v>
      </c>
      <c r="E477" s="204">
        <v>42.9</v>
      </c>
      <c r="F477" s="204">
        <v>75</v>
      </c>
      <c r="G477" s="204">
        <v>42.9</v>
      </c>
      <c r="H477" s="204">
        <v>75</v>
      </c>
      <c r="I477" s="204">
        <v>66.7</v>
      </c>
      <c r="J477" s="204">
        <v>66.7</v>
      </c>
      <c r="K477" s="204">
        <v>0</v>
      </c>
      <c r="L477" s="204">
        <v>0</v>
      </c>
      <c r="M477" s="204">
        <v>0</v>
      </c>
      <c r="N477" s="204">
        <v>0</v>
      </c>
      <c r="O477" s="204">
        <v>0</v>
      </c>
      <c r="P477" s="204">
        <v>0</v>
      </c>
      <c r="Q477" s="44" t="s">
        <v>26</v>
      </c>
      <c r="R477" s="205">
        <v>104</v>
      </c>
      <c r="S477" s="205">
        <v>100</v>
      </c>
      <c r="T477" s="217" t="s">
        <v>48</v>
      </c>
      <c r="U477">
        <v>2.5</v>
      </c>
      <c r="V477">
        <v>105</v>
      </c>
    </row>
    <row r="478" spans="1:22" ht="27" customHeight="1">
      <c r="A478" s="7" t="s">
        <v>29</v>
      </c>
      <c r="B478" s="204">
        <v>63.6</v>
      </c>
      <c r="C478" s="204">
        <v>73.3</v>
      </c>
      <c r="D478" s="204">
        <v>80</v>
      </c>
      <c r="E478" s="204">
        <v>66.7</v>
      </c>
      <c r="F478" s="204">
        <v>100</v>
      </c>
      <c r="G478" s="204">
        <v>100</v>
      </c>
      <c r="H478" s="204">
        <v>100</v>
      </c>
      <c r="I478" s="204">
        <v>100</v>
      </c>
      <c r="J478" s="204">
        <v>100</v>
      </c>
      <c r="K478" s="204">
        <v>100</v>
      </c>
      <c r="L478" s="204">
        <v>100</v>
      </c>
      <c r="M478" s="204">
        <v>100</v>
      </c>
      <c r="N478" s="204">
        <v>100</v>
      </c>
      <c r="O478" s="204">
        <v>100</v>
      </c>
      <c r="P478" s="204">
        <v>100</v>
      </c>
      <c r="Q478" s="207" t="s">
        <v>26</v>
      </c>
      <c r="R478" s="205">
        <v>80</v>
      </c>
      <c r="S478" s="205">
        <v>90</v>
      </c>
      <c r="T478" s="217" t="s">
        <v>24</v>
      </c>
      <c r="U478">
        <v>2.5</v>
      </c>
      <c r="V478">
        <v>60</v>
      </c>
    </row>
    <row r="479" spans="1:22" ht="13.5" customHeight="1">
      <c r="A479" s="7" t="s">
        <v>22</v>
      </c>
      <c r="B479" s="204">
        <v>66.7</v>
      </c>
      <c r="C479" s="204">
        <v>59.6</v>
      </c>
      <c r="D479" s="204">
        <v>60</v>
      </c>
      <c r="E479" s="204">
        <v>80</v>
      </c>
      <c r="F479" s="204">
        <v>100</v>
      </c>
      <c r="G479" s="204">
        <v>77.8</v>
      </c>
      <c r="H479" s="204">
        <v>66.7</v>
      </c>
      <c r="I479" s="204">
        <v>62.5</v>
      </c>
      <c r="J479" s="204">
        <v>70</v>
      </c>
      <c r="K479" s="204">
        <v>100</v>
      </c>
      <c r="L479" s="204">
        <v>100</v>
      </c>
      <c r="M479" s="204">
        <v>100</v>
      </c>
      <c r="N479" s="204">
        <v>100</v>
      </c>
      <c r="O479" s="204">
        <v>100</v>
      </c>
      <c r="P479" s="204">
        <v>100</v>
      </c>
      <c r="Q479" s="44" t="s">
        <v>23</v>
      </c>
      <c r="R479" s="205">
        <v>78</v>
      </c>
      <c r="S479" s="205">
        <v>90</v>
      </c>
      <c r="T479" s="217" t="s">
        <v>28</v>
      </c>
      <c r="U479">
        <v>2.5</v>
      </c>
      <c r="V479">
        <v>61</v>
      </c>
    </row>
    <row r="480" spans="1:22" ht="13.5" customHeight="1">
      <c r="A480" s="7" t="s">
        <v>47</v>
      </c>
      <c r="B480" s="204">
        <v>28.2</v>
      </c>
      <c r="C480" s="204">
        <v>38.1</v>
      </c>
      <c r="D480" s="204">
        <v>33.299999999999997</v>
      </c>
      <c r="E480" s="204">
        <v>0</v>
      </c>
      <c r="F480" s="204">
        <v>0</v>
      </c>
      <c r="G480" s="204">
        <v>0</v>
      </c>
      <c r="H480" s="204">
        <v>0</v>
      </c>
      <c r="I480" s="204">
        <v>0</v>
      </c>
      <c r="J480" s="204">
        <v>0</v>
      </c>
      <c r="K480" s="204">
        <v>0</v>
      </c>
      <c r="L480" s="204">
        <v>0</v>
      </c>
      <c r="M480" s="204">
        <v>50</v>
      </c>
      <c r="N480" s="204">
        <v>50</v>
      </c>
      <c r="O480" s="204">
        <v>25</v>
      </c>
      <c r="P480" s="204">
        <v>33.299999999999997</v>
      </c>
      <c r="Q480" s="44" t="s">
        <v>45</v>
      </c>
      <c r="R480" s="205">
        <v>85</v>
      </c>
      <c r="S480" s="205">
        <v>82</v>
      </c>
      <c r="T480" s="217" t="s">
        <v>39</v>
      </c>
      <c r="U480">
        <v>2.5</v>
      </c>
      <c r="V480">
        <v>145</v>
      </c>
    </row>
    <row r="481" spans="1:22" ht="13.5" customHeight="1">
      <c r="A481" s="7" t="s">
        <v>41</v>
      </c>
      <c r="B481" s="204">
        <v>44.4</v>
      </c>
      <c r="C481" s="204">
        <v>54.7</v>
      </c>
      <c r="D481" s="204">
        <v>60</v>
      </c>
      <c r="E481" s="204">
        <v>42.9</v>
      </c>
      <c r="F481" s="204">
        <v>100</v>
      </c>
      <c r="G481" s="204">
        <v>42.9</v>
      </c>
      <c r="H481" s="204">
        <v>100</v>
      </c>
      <c r="I481" s="204">
        <v>50</v>
      </c>
      <c r="J481" s="204">
        <v>100</v>
      </c>
      <c r="K481" s="204">
        <v>50</v>
      </c>
      <c r="L481" s="204">
        <v>100</v>
      </c>
      <c r="M481" s="204">
        <v>50</v>
      </c>
      <c r="N481" s="204">
        <v>100</v>
      </c>
      <c r="O481" s="204">
        <v>60</v>
      </c>
      <c r="P481" s="204">
        <v>100</v>
      </c>
      <c r="Q481" s="44" t="s">
        <v>26</v>
      </c>
      <c r="R481" s="205">
        <v>100</v>
      </c>
      <c r="S481" s="205">
        <v>76</v>
      </c>
      <c r="T481" s="217" t="s">
        <v>40</v>
      </c>
      <c r="U481">
        <v>2.5</v>
      </c>
      <c r="V481">
        <v>115</v>
      </c>
    </row>
    <row r="482" spans="1:22" ht="13.5" customHeight="1">
      <c r="A482" s="7" t="s">
        <v>36</v>
      </c>
      <c r="B482" s="204">
        <v>61.5</v>
      </c>
      <c r="C482" s="204">
        <v>55.6</v>
      </c>
      <c r="D482" s="204">
        <v>55.6</v>
      </c>
      <c r="E482" s="204">
        <v>42.9</v>
      </c>
      <c r="F482" s="204">
        <v>66.7</v>
      </c>
      <c r="G482" s="204">
        <v>50</v>
      </c>
      <c r="H482" s="204">
        <v>75</v>
      </c>
      <c r="I482" s="204">
        <v>62.5</v>
      </c>
      <c r="J482" s="204">
        <v>50</v>
      </c>
      <c r="K482" s="204">
        <v>50</v>
      </c>
      <c r="L482" s="204">
        <v>0</v>
      </c>
      <c r="M482" s="204">
        <v>75</v>
      </c>
      <c r="N482" s="204">
        <v>0</v>
      </c>
      <c r="O482" s="204">
        <v>66.7</v>
      </c>
      <c r="P482" s="204">
        <v>0</v>
      </c>
      <c r="Q482" s="44" t="s">
        <v>23</v>
      </c>
      <c r="R482" s="205">
        <v>110</v>
      </c>
      <c r="S482" s="219">
        <v>106</v>
      </c>
      <c r="T482" s="217" t="s">
        <v>35</v>
      </c>
      <c r="U482">
        <v>2.5</v>
      </c>
      <c r="V482">
        <v>110</v>
      </c>
    </row>
    <row r="483" spans="1:22" ht="13.5" customHeight="1">
      <c r="A483" s="7" t="s">
        <v>42</v>
      </c>
      <c r="B483" s="204">
        <v>54.8</v>
      </c>
      <c r="C483" s="204">
        <v>57.9</v>
      </c>
      <c r="D483" s="204">
        <v>0</v>
      </c>
      <c r="E483" s="204">
        <v>66.7</v>
      </c>
      <c r="F483" s="204">
        <v>0</v>
      </c>
      <c r="G483" s="204">
        <v>40</v>
      </c>
      <c r="H483" s="204">
        <v>33.299999999999997</v>
      </c>
      <c r="I483" s="204">
        <v>50</v>
      </c>
      <c r="J483" s="204">
        <v>33.299999999999997</v>
      </c>
      <c r="K483" s="204">
        <v>0</v>
      </c>
      <c r="L483" s="204">
        <v>0</v>
      </c>
      <c r="M483" s="204">
        <v>33.299999999999997</v>
      </c>
      <c r="N483" s="204">
        <v>33.299999999999997</v>
      </c>
      <c r="O483" s="204">
        <v>50</v>
      </c>
      <c r="P483" s="204">
        <v>33.299999999999997</v>
      </c>
      <c r="Q483" s="44" t="s">
        <v>30</v>
      </c>
      <c r="R483" s="205">
        <v>110</v>
      </c>
      <c r="S483" s="205">
        <v>104</v>
      </c>
      <c r="T483" s="217" t="s">
        <v>35</v>
      </c>
      <c r="U483">
        <v>2.5</v>
      </c>
      <c r="V483">
        <v>88</v>
      </c>
    </row>
    <row r="484" spans="1:22" ht="13.5" customHeight="1">
      <c r="A484" s="7" t="s">
        <v>53</v>
      </c>
      <c r="B484" s="204">
        <v>45.2</v>
      </c>
      <c r="C484" s="204">
        <v>49.4</v>
      </c>
      <c r="D484" s="204">
        <v>57.1</v>
      </c>
      <c r="E484" s="204">
        <v>33.299999999999997</v>
      </c>
      <c r="F484" s="204">
        <v>50</v>
      </c>
      <c r="G484" s="204">
        <v>0</v>
      </c>
      <c r="H484" s="204">
        <v>0</v>
      </c>
      <c r="I484" s="204">
        <v>22.2</v>
      </c>
      <c r="J484" s="204">
        <v>50</v>
      </c>
      <c r="K484" s="204">
        <v>0</v>
      </c>
      <c r="L484" s="204">
        <v>0</v>
      </c>
      <c r="M484" s="204">
        <v>0</v>
      </c>
      <c r="N484" s="204">
        <v>0</v>
      </c>
      <c r="O484" s="204">
        <v>0</v>
      </c>
      <c r="P484" s="204">
        <v>0</v>
      </c>
      <c r="Q484" s="44" t="s">
        <v>45</v>
      </c>
      <c r="R484" s="205">
        <v>75</v>
      </c>
      <c r="S484" s="205">
        <v>102</v>
      </c>
      <c r="T484" s="217" t="s">
        <v>48</v>
      </c>
      <c r="U484">
        <v>2.5</v>
      </c>
      <c r="V484">
        <v>117</v>
      </c>
    </row>
    <row r="485" spans="1:22" ht="13.5" customHeight="1">
      <c r="A485" s="7" t="s">
        <v>22</v>
      </c>
      <c r="B485" s="204">
        <v>34.6</v>
      </c>
      <c r="C485" s="204">
        <v>55.6</v>
      </c>
      <c r="D485" s="204">
        <v>75</v>
      </c>
      <c r="E485" s="204">
        <v>100</v>
      </c>
      <c r="F485" s="204">
        <v>100</v>
      </c>
      <c r="G485" s="204">
        <v>100</v>
      </c>
      <c r="H485" s="204">
        <v>100</v>
      </c>
      <c r="I485" s="204">
        <v>66.7</v>
      </c>
      <c r="J485" s="204">
        <v>100</v>
      </c>
      <c r="K485" s="204">
        <v>100</v>
      </c>
      <c r="L485" s="204">
        <v>100</v>
      </c>
      <c r="M485" s="204">
        <v>100</v>
      </c>
      <c r="N485" s="204">
        <v>100</v>
      </c>
      <c r="O485" s="204">
        <v>100</v>
      </c>
      <c r="P485" s="204">
        <v>100</v>
      </c>
      <c r="Q485" s="44" t="s">
        <v>23</v>
      </c>
      <c r="R485" s="205">
        <v>105</v>
      </c>
      <c r="S485" s="219">
        <v>98</v>
      </c>
      <c r="T485" s="217" t="s">
        <v>65</v>
      </c>
      <c r="U485">
        <v>2.5</v>
      </c>
      <c r="V485">
        <v>108</v>
      </c>
    </row>
    <row r="486" spans="1:22" ht="13.5" customHeight="1">
      <c r="A486" s="7" t="s">
        <v>33</v>
      </c>
      <c r="B486" s="204">
        <v>50</v>
      </c>
      <c r="C486" s="204">
        <v>46.5</v>
      </c>
      <c r="D486" s="204">
        <v>75</v>
      </c>
      <c r="E486" s="204">
        <v>66.7</v>
      </c>
      <c r="F486" s="204">
        <v>100</v>
      </c>
      <c r="G486" s="204">
        <v>33.299999999999997</v>
      </c>
      <c r="H486" s="204">
        <v>100</v>
      </c>
      <c r="I486" s="204">
        <v>66.7</v>
      </c>
      <c r="J486" s="204">
        <v>100</v>
      </c>
      <c r="K486" s="204">
        <v>33.299999999999997</v>
      </c>
      <c r="L486" s="204">
        <v>50</v>
      </c>
      <c r="M486" s="204">
        <v>33.299999999999997</v>
      </c>
      <c r="N486" s="204">
        <v>50</v>
      </c>
      <c r="O486" s="204">
        <v>50</v>
      </c>
      <c r="P486" s="204">
        <v>100</v>
      </c>
      <c r="Q486" s="44" t="s">
        <v>23</v>
      </c>
      <c r="R486" s="205">
        <v>115</v>
      </c>
      <c r="S486" s="222">
        <v>84</v>
      </c>
      <c r="T486" s="217" t="s">
        <v>46</v>
      </c>
      <c r="U486">
        <v>2.5</v>
      </c>
      <c r="V486">
        <v>94</v>
      </c>
    </row>
    <row r="487" spans="1:22" ht="13.5" customHeight="1">
      <c r="A487" s="7" t="s">
        <v>22</v>
      </c>
      <c r="B487" s="204">
        <v>60</v>
      </c>
      <c r="C487" s="204">
        <v>57.9</v>
      </c>
      <c r="D487" s="204">
        <v>33.299999999999997</v>
      </c>
      <c r="E487" s="204">
        <v>75</v>
      </c>
      <c r="F487" s="204">
        <v>100</v>
      </c>
      <c r="G487" s="204">
        <v>75</v>
      </c>
      <c r="H487" s="204">
        <v>100</v>
      </c>
      <c r="I487" s="204">
        <v>80</v>
      </c>
      <c r="J487" s="204">
        <v>80</v>
      </c>
      <c r="K487" s="204">
        <v>100</v>
      </c>
      <c r="L487" s="204">
        <v>100</v>
      </c>
      <c r="M487" s="204">
        <v>100</v>
      </c>
      <c r="N487" s="204">
        <v>100</v>
      </c>
      <c r="O487" s="204">
        <v>71.400000000000006</v>
      </c>
      <c r="P487" s="204">
        <v>71.400000000000006</v>
      </c>
      <c r="Q487" s="44" t="s">
        <v>26</v>
      </c>
      <c r="R487" s="205">
        <v>84</v>
      </c>
      <c r="S487" s="205">
        <v>92</v>
      </c>
      <c r="T487" s="217" t="s">
        <v>24</v>
      </c>
      <c r="U487">
        <v>2.5</v>
      </c>
      <c r="V487">
        <v>95</v>
      </c>
    </row>
    <row r="488" spans="1:22" ht="13.5" customHeight="1">
      <c r="A488" s="7" t="s">
        <v>53</v>
      </c>
      <c r="B488" s="204">
        <v>57.7</v>
      </c>
      <c r="C488" s="204">
        <v>59.6</v>
      </c>
      <c r="D488" s="204">
        <v>60</v>
      </c>
      <c r="E488" s="204">
        <v>40</v>
      </c>
      <c r="F488" s="204">
        <v>0</v>
      </c>
      <c r="G488" s="204">
        <v>40</v>
      </c>
      <c r="H488" s="204">
        <v>0</v>
      </c>
      <c r="I488" s="204">
        <v>50</v>
      </c>
      <c r="J488" s="204">
        <v>0</v>
      </c>
      <c r="K488" s="204">
        <v>0</v>
      </c>
      <c r="L488" s="204">
        <v>0</v>
      </c>
      <c r="M488" s="204">
        <v>12.5</v>
      </c>
      <c r="N488" s="204">
        <v>0</v>
      </c>
      <c r="O488" s="204">
        <v>25</v>
      </c>
      <c r="P488" s="204">
        <v>33.299999999999997</v>
      </c>
      <c r="Q488" s="44" t="s">
        <v>23</v>
      </c>
      <c r="R488" s="205">
        <v>100</v>
      </c>
      <c r="S488" s="205">
        <v>82</v>
      </c>
      <c r="T488" s="217" t="s">
        <v>40</v>
      </c>
      <c r="U488">
        <v>2.5</v>
      </c>
      <c r="V488">
        <v>87</v>
      </c>
    </row>
    <row r="489" spans="1:22" ht="13.5" customHeight="1">
      <c r="A489" s="7" t="s">
        <v>47</v>
      </c>
      <c r="B489" s="204">
        <v>45.7</v>
      </c>
      <c r="C489" s="204">
        <v>38.1</v>
      </c>
      <c r="D489" s="204">
        <v>56.2</v>
      </c>
      <c r="E489" s="204">
        <v>50</v>
      </c>
      <c r="F489" s="204">
        <v>0</v>
      </c>
      <c r="G489" s="204">
        <v>80</v>
      </c>
      <c r="H489" s="204">
        <v>66.7</v>
      </c>
      <c r="I489" s="204">
        <v>50</v>
      </c>
      <c r="J489" s="204">
        <v>50</v>
      </c>
      <c r="K489" s="204">
        <v>40</v>
      </c>
      <c r="L489" s="204">
        <v>40</v>
      </c>
      <c r="M489" s="204">
        <v>40</v>
      </c>
      <c r="N489" s="204">
        <v>40</v>
      </c>
      <c r="O489" s="204">
        <v>33.299999999999997</v>
      </c>
      <c r="P489" s="204">
        <v>33.299999999999997</v>
      </c>
      <c r="Q489" s="44" t="s">
        <v>26</v>
      </c>
      <c r="R489" s="205">
        <v>80</v>
      </c>
      <c r="S489" s="205">
        <v>96</v>
      </c>
      <c r="T489" s="217" t="s">
        <v>65</v>
      </c>
      <c r="U489">
        <v>2.5</v>
      </c>
      <c r="V489">
        <v>107</v>
      </c>
    </row>
    <row r="490" spans="1:22" ht="13.5" customHeight="1">
      <c r="A490" s="7" t="s">
        <v>43</v>
      </c>
      <c r="B490" s="204">
        <v>72.7</v>
      </c>
      <c r="C490" s="204">
        <v>38.1</v>
      </c>
      <c r="D490" s="204">
        <v>56.2</v>
      </c>
      <c r="E490" s="204">
        <v>50</v>
      </c>
      <c r="F490" s="204">
        <v>33.299999999999997</v>
      </c>
      <c r="G490" s="204">
        <v>50</v>
      </c>
      <c r="H490" s="204">
        <v>40</v>
      </c>
      <c r="I490" s="204">
        <v>28.6</v>
      </c>
      <c r="J490" s="204">
        <v>33.299999999999997</v>
      </c>
      <c r="K490" s="204">
        <v>66.7</v>
      </c>
      <c r="L490" s="204">
        <v>100</v>
      </c>
      <c r="M490" s="204">
        <v>75</v>
      </c>
      <c r="N490" s="204">
        <v>100</v>
      </c>
      <c r="O490" s="204">
        <v>66.7</v>
      </c>
      <c r="P490" s="204">
        <v>100</v>
      </c>
      <c r="Q490" s="44" t="s">
        <v>23</v>
      </c>
      <c r="R490" s="205">
        <v>110</v>
      </c>
      <c r="S490" s="205">
        <v>90</v>
      </c>
      <c r="T490" s="217" t="s">
        <v>28</v>
      </c>
      <c r="U490">
        <v>2.5</v>
      </c>
      <c r="V490">
        <v>104</v>
      </c>
    </row>
    <row r="491" spans="1:22" ht="13.5" customHeight="1">
      <c r="A491" s="7" t="s">
        <v>36</v>
      </c>
      <c r="B491" s="204">
        <v>50</v>
      </c>
      <c r="C491" s="204">
        <v>38.799999999999997</v>
      </c>
      <c r="D491" s="204">
        <v>60</v>
      </c>
      <c r="E491" s="204">
        <v>25</v>
      </c>
      <c r="F491" s="204">
        <v>0</v>
      </c>
      <c r="G491" s="204">
        <v>25</v>
      </c>
      <c r="H491" s="204">
        <v>0</v>
      </c>
      <c r="I491" s="204">
        <v>62.5</v>
      </c>
      <c r="J491" s="204">
        <v>33.299999999999997</v>
      </c>
      <c r="K491" s="204">
        <v>0</v>
      </c>
      <c r="L491" s="204">
        <v>0</v>
      </c>
      <c r="M491" s="204">
        <v>0</v>
      </c>
      <c r="N491" s="204">
        <v>0</v>
      </c>
      <c r="O491" s="204">
        <v>0</v>
      </c>
      <c r="P491" s="204">
        <v>0</v>
      </c>
      <c r="Q491" s="44" t="s">
        <v>23</v>
      </c>
      <c r="R491" s="205">
        <v>70</v>
      </c>
      <c r="S491" s="205">
        <v>78</v>
      </c>
      <c r="T491" s="217" t="s">
        <v>40</v>
      </c>
      <c r="U491">
        <v>2.5</v>
      </c>
      <c r="V491">
        <v>70</v>
      </c>
    </row>
    <row r="492" spans="1:22" ht="13.5" customHeight="1">
      <c r="A492" s="7" t="s">
        <v>66</v>
      </c>
      <c r="B492" s="204">
        <v>59.1</v>
      </c>
      <c r="C492" s="204">
        <v>50.8</v>
      </c>
      <c r="D492" s="204">
        <v>42.9</v>
      </c>
      <c r="E492" s="204">
        <v>0</v>
      </c>
      <c r="F492" s="204">
        <v>0</v>
      </c>
      <c r="G492" s="204">
        <v>0</v>
      </c>
      <c r="H492" s="204">
        <v>0</v>
      </c>
      <c r="I492" s="204">
        <v>25</v>
      </c>
      <c r="J492" s="204">
        <v>33.299999999999997</v>
      </c>
      <c r="K492" s="204">
        <v>0</v>
      </c>
      <c r="L492" s="204">
        <v>0</v>
      </c>
      <c r="M492" s="204">
        <v>0</v>
      </c>
      <c r="N492" s="204">
        <v>0</v>
      </c>
      <c r="O492" s="204">
        <v>57.1</v>
      </c>
      <c r="P492" s="204">
        <v>66.7</v>
      </c>
      <c r="Q492" s="44" t="s">
        <v>26</v>
      </c>
      <c r="R492" s="205">
        <v>82</v>
      </c>
      <c r="S492" s="205">
        <v>98</v>
      </c>
      <c r="T492" s="217" t="s">
        <v>32</v>
      </c>
      <c r="U492">
        <v>2.5</v>
      </c>
      <c r="V492">
        <v>85</v>
      </c>
    </row>
    <row r="493" spans="1:22" ht="13.5" customHeight="1">
      <c r="A493" s="7" t="s">
        <v>62</v>
      </c>
      <c r="B493" s="204">
        <v>45.2</v>
      </c>
      <c r="C493" s="204">
        <v>38.799999999999997</v>
      </c>
      <c r="D493" s="204">
        <v>40</v>
      </c>
      <c r="E493" s="204">
        <v>0</v>
      </c>
      <c r="F493" s="204">
        <v>0</v>
      </c>
      <c r="G493" s="204">
        <v>0</v>
      </c>
      <c r="H493" s="204">
        <v>0</v>
      </c>
      <c r="I493" s="204">
        <v>37.5</v>
      </c>
      <c r="J493" s="204">
        <v>0</v>
      </c>
      <c r="K493" s="204">
        <v>50</v>
      </c>
      <c r="L493" s="204">
        <v>50</v>
      </c>
      <c r="M493" s="204">
        <v>0</v>
      </c>
      <c r="N493" s="204">
        <v>0</v>
      </c>
      <c r="O493" s="204">
        <v>33.299999999999997</v>
      </c>
      <c r="P493" s="204">
        <v>0</v>
      </c>
      <c r="Q493" s="44" t="s">
        <v>45</v>
      </c>
      <c r="R493" s="205">
        <v>80</v>
      </c>
      <c r="S493" s="205">
        <v>80</v>
      </c>
      <c r="T493" s="217" t="s">
        <v>51</v>
      </c>
      <c r="U493">
        <v>2.5</v>
      </c>
      <c r="V493">
        <v>119</v>
      </c>
    </row>
    <row r="494" spans="1:22" s="5" customFormat="1" ht="13.5" customHeight="1">
      <c r="A494" s="7" t="s">
        <v>31</v>
      </c>
      <c r="B494" s="204">
        <v>73.3</v>
      </c>
      <c r="C494" s="204">
        <v>73.3</v>
      </c>
      <c r="D494" s="204">
        <v>77.8</v>
      </c>
      <c r="E494" s="204">
        <v>60</v>
      </c>
      <c r="F494" s="204">
        <v>60</v>
      </c>
      <c r="G494" s="204">
        <v>83.3</v>
      </c>
      <c r="H494" s="204">
        <v>75</v>
      </c>
      <c r="I494" s="204">
        <v>62.5</v>
      </c>
      <c r="J494" s="204">
        <v>70</v>
      </c>
      <c r="K494" s="204">
        <v>33.299999999999997</v>
      </c>
      <c r="L494" s="204">
        <v>33.299999999999997</v>
      </c>
      <c r="M494" s="204">
        <v>50</v>
      </c>
      <c r="N494" s="204">
        <v>50</v>
      </c>
      <c r="O494" s="204">
        <v>14.3</v>
      </c>
      <c r="P494" s="204">
        <v>25</v>
      </c>
      <c r="Q494" s="44" t="s">
        <v>30</v>
      </c>
      <c r="R494" s="205">
        <v>90</v>
      </c>
      <c r="S494" s="205">
        <v>100</v>
      </c>
      <c r="T494" s="217" t="s">
        <v>35</v>
      </c>
      <c r="U494" s="5">
        <v>2.5</v>
      </c>
      <c r="V494" s="5">
        <v>90</v>
      </c>
    </row>
    <row r="495" spans="1:22" ht="13.5" customHeight="1">
      <c r="A495" s="7" t="s">
        <v>22</v>
      </c>
      <c r="B495" s="204">
        <v>45.7</v>
      </c>
      <c r="C495" s="204">
        <v>46.5</v>
      </c>
      <c r="D495" s="204">
        <v>60</v>
      </c>
      <c r="E495" s="204">
        <v>100</v>
      </c>
      <c r="F495" s="204">
        <v>100</v>
      </c>
      <c r="G495" s="204">
        <v>75</v>
      </c>
      <c r="H495" s="204">
        <v>75</v>
      </c>
      <c r="I495" s="204">
        <v>50</v>
      </c>
      <c r="J495" s="204">
        <v>40</v>
      </c>
      <c r="K495" s="204">
        <v>66.7</v>
      </c>
      <c r="L495" s="204">
        <v>75</v>
      </c>
      <c r="M495" s="204">
        <v>66.7</v>
      </c>
      <c r="N495" s="204">
        <v>75</v>
      </c>
      <c r="O495" s="204">
        <v>80</v>
      </c>
      <c r="P495" s="204">
        <v>75</v>
      </c>
      <c r="Q495" s="44" t="s">
        <v>26</v>
      </c>
      <c r="R495" s="205">
        <v>90</v>
      </c>
      <c r="S495" s="205">
        <v>100</v>
      </c>
      <c r="T495" s="217" t="s">
        <v>32</v>
      </c>
      <c r="U495">
        <v>2.5</v>
      </c>
      <c r="V495">
        <v>104</v>
      </c>
    </row>
    <row r="496" spans="1:22" ht="27" customHeight="1">
      <c r="A496" s="7" t="s">
        <v>22</v>
      </c>
      <c r="B496" s="204">
        <v>84.2</v>
      </c>
      <c r="C496" s="204">
        <v>84.6</v>
      </c>
      <c r="D496" s="204">
        <v>100</v>
      </c>
      <c r="E496" s="204">
        <v>100</v>
      </c>
      <c r="F496" s="204">
        <v>100</v>
      </c>
      <c r="G496" s="204">
        <v>100</v>
      </c>
      <c r="H496" s="204">
        <v>100</v>
      </c>
      <c r="I496" s="204">
        <v>100</v>
      </c>
      <c r="J496" s="204">
        <v>100</v>
      </c>
      <c r="K496" s="204">
        <v>100</v>
      </c>
      <c r="L496" s="204">
        <v>100</v>
      </c>
      <c r="M496" s="204">
        <v>100</v>
      </c>
      <c r="N496" s="204">
        <v>100</v>
      </c>
      <c r="O496" s="204">
        <v>100</v>
      </c>
      <c r="P496" s="204">
        <v>100</v>
      </c>
      <c r="Q496" s="44" t="s">
        <v>38</v>
      </c>
      <c r="R496" s="205">
        <v>98</v>
      </c>
      <c r="S496" s="205">
        <v>96</v>
      </c>
      <c r="T496" s="217" t="s">
        <v>32</v>
      </c>
      <c r="U496">
        <v>3.5</v>
      </c>
      <c r="V496">
        <v>98</v>
      </c>
    </row>
    <row r="497" spans="1:22" ht="13.5" customHeight="1">
      <c r="A497" s="7" t="s">
        <v>60</v>
      </c>
      <c r="B497" s="204">
        <v>55.6</v>
      </c>
      <c r="C497" s="204">
        <v>38.799999999999997</v>
      </c>
      <c r="D497" s="204">
        <v>30.8</v>
      </c>
      <c r="E497" s="204">
        <v>0</v>
      </c>
      <c r="F497" s="204">
        <v>0</v>
      </c>
      <c r="G497" s="204">
        <v>0</v>
      </c>
      <c r="H497" s="204">
        <v>0</v>
      </c>
      <c r="I497" s="204">
        <v>60</v>
      </c>
      <c r="J497" s="204">
        <v>66.7</v>
      </c>
      <c r="K497" s="204">
        <v>50</v>
      </c>
      <c r="L497" s="204">
        <v>50</v>
      </c>
      <c r="M497" s="204">
        <v>50</v>
      </c>
      <c r="N497" s="204">
        <v>50</v>
      </c>
      <c r="O497" s="204">
        <v>0</v>
      </c>
      <c r="P497" s="204">
        <v>0</v>
      </c>
      <c r="Q497" s="44" t="s">
        <v>26</v>
      </c>
      <c r="R497" s="205">
        <v>105</v>
      </c>
      <c r="S497" s="205">
        <v>98</v>
      </c>
      <c r="T497" s="217" t="s">
        <v>65</v>
      </c>
      <c r="U497">
        <v>2.5</v>
      </c>
      <c r="V497">
        <v>130</v>
      </c>
    </row>
    <row r="498" spans="1:22" ht="13.5" customHeight="1">
      <c r="A498" s="7" t="s">
        <v>31</v>
      </c>
      <c r="B498" s="204">
        <v>51.7</v>
      </c>
      <c r="C498" s="204">
        <v>49</v>
      </c>
      <c r="D498" s="204">
        <v>40</v>
      </c>
      <c r="E498" s="204">
        <v>50</v>
      </c>
      <c r="F498" s="204">
        <v>50</v>
      </c>
      <c r="G498" s="204">
        <v>50</v>
      </c>
      <c r="H498" s="204">
        <v>50</v>
      </c>
      <c r="I498" s="204">
        <v>55.6</v>
      </c>
      <c r="J498" s="204">
        <v>33.299999999999997</v>
      </c>
      <c r="K498" s="204">
        <v>100</v>
      </c>
      <c r="L498" s="204">
        <v>100</v>
      </c>
      <c r="M498" s="204">
        <v>50</v>
      </c>
      <c r="N498" s="204">
        <v>50</v>
      </c>
      <c r="O498" s="204">
        <v>25</v>
      </c>
      <c r="P498" s="204">
        <v>33.299999999999997</v>
      </c>
      <c r="Q498" s="44" t="s">
        <v>26</v>
      </c>
      <c r="R498" s="205">
        <v>88</v>
      </c>
      <c r="S498" s="205">
        <v>92</v>
      </c>
      <c r="T498" s="217" t="s">
        <v>27</v>
      </c>
      <c r="U498">
        <v>2.5</v>
      </c>
      <c r="V498">
        <v>102</v>
      </c>
    </row>
    <row r="499" spans="1:22" ht="13.5" customHeight="1">
      <c r="A499" s="7" t="s">
        <v>44</v>
      </c>
      <c r="B499" s="204">
        <v>45.7</v>
      </c>
      <c r="C499" s="204">
        <v>73.3</v>
      </c>
      <c r="D499" s="204">
        <v>81.8</v>
      </c>
      <c r="E499" s="204">
        <v>71.400000000000006</v>
      </c>
      <c r="F499" s="204">
        <v>80</v>
      </c>
      <c r="G499" s="204">
        <v>62.5</v>
      </c>
      <c r="H499" s="204">
        <v>60</v>
      </c>
      <c r="I499" s="204">
        <v>61.5</v>
      </c>
      <c r="J499" s="204">
        <v>66.7</v>
      </c>
      <c r="K499" s="204">
        <v>100</v>
      </c>
      <c r="L499" s="204">
        <v>100</v>
      </c>
      <c r="M499" s="204">
        <v>100</v>
      </c>
      <c r="N499" s="204">
        <v>100</v>
      </c>
      <c r="O499" s="204">
        <v>100</v>
      </c>
      <c r="P499" s="204">
        <v>100</v>
      </c>
      <c r="Q499" s="44" t="s">
        <v>23</v>
      </c>
      <c r="R499" s="205">
        <v>80</v>
      </c>
      <c r="S499" s="205">
        <v>100</v>
      </c>
      <c r="T499" s="217" t="s">
        <v>65</v>
      </c>
      <c r="U499">
        <v>2.5</v>
      </c>
      <c r="V499">
        <v>88</v>
      </c>
    </row>
    <row r="500" spans="1:22" ht="13.5" customHeight="1">
      <c r="A500" s="7" t="s">
        <v>53</v>
      </c>
      <c r="B500" s="204">
        <v>52.6</v>
      </c>
      <c r="C500" s="204">
        <v>54.7</v>
      </c>
      <c r="D500" s="204">
        <v>40</v>
      </c>
      <c r="E500" s="204">
        <v>33.299999999999997</v>
      </c>
      <c r="F500" s="204">
        <v>0</v>
      </c>
      <c r="G500" s="204">
        <v>33.299999999999997</v>
      </c>
      <c r="H500" s="204">
        <v>0</v>
      </c>
      <c r="I500" s="204">
        <v>0</v>
      </c>
      <c r="J500" s="204">
        <v>0</v>
      </c>
      <c r="K500" s="204">
        <v>0</v>
      </c>
      <c r="L500" s="204">
        <v>0</v>
      </c>
      <c r="M500" s="204">
        <v>0</v>
      </c>
      <c r="N500" s="204">
        <v>0</v>
      </c>
      <c r="O500" s="204">
        <v>0</v>
      </c>
      <c r="P500" s="204">
        <v>0</v>
      </c>
      <c r="Q500" s="44" t="s">
        <v>26</v>
      </c>
      <c r="R500" s="205">
        <v>80</v>
      </c>
      <c r="S500" s="205">
        <v>80</v>
      </c>
      <c r="T500" s="217" t="s">
        <v>46</v>
      </c>
      <c r="U500">
        <v>2.5</v>
      </c>
      <c r="V500">
        <v>100</v>
      </c>
    </row>
    <row r="501" spans="1:22" ht="13.5" customHeight="1">
      <c r="A501" s="7" t="s">
        <v>53</v>
      </c>
      <c r="B501" s="204">
        <v>60</v>
      </c>
      <c r="C501" s="204">
        <v>59.6</v>
      </c>
      <c r="D501" s="204">
        <v>54.5</v>
      </c>
      <c r="E501" s="204">
        <v>0</v>
      </c>
      <c r="F501" s="204">
        <v>0</v>
      </c>
      <c r="G501" s="204">
        <v>0</v>
      </c>
      <c r="H501" s="204">
        <v>0</v>
      </c>
      <c r="I501" s="204">
        <v>0</v>
      </c>
      <c r="J501" s="204">
        <v>0</v>
      </c>
      <c r="K501" s="204">
        <v>50</v>
      </c>
      <c r="L501" s="204">
        <v>50</v>
      </c>
      <c r="M501" s="204">
        <v>50</v>
      </c>
      <c r="N501" s="204">
        <v>50</v>
      </c>
      <c r="O501" s="204">
        <v>0</v>
      </c>
      <c r="P501" s="204">
        <v>0</v>
      </c>
      <c r="Q501" s="44" t="s">
        <v>26</v>
      </c>
      <c r="R501" s="205">
        <v>68</v>
      </c>
      <c r="S501" s="205">
        <v>90</v>
      </c>
      <c r="T501" s="217" t="s">
        <v>28</v>
      </c>
      <c r="U501">
        <v>2.5</v>
      </c>
      <c r="V501">
        <v>76</v>
      </c>
    </row>
    <row r="502" spans="1:22" ht="13.5" customHeight="1">
      <c r="A502" s="7" t="s">
        <v>22</v>
      </c>
      <c r="B502" s="204">
        <v>66.7</v>
      </c>
      <c r="C502" s="204">
        <v>74.400000000000006</v>
      </c>
      <c r="D502" s="204">
        <v>81.8</v>
      </c>
      <c r="E502" s="204">
        <v>75</v>
      </c>
      <c r="F502" s="204">
        <v>80</v>
      </c>
      <c r="G502" s="204">
        <v>66.7</v>
      </c>
      <c r="H502" s="204">
        <v>83.3</v>
      </c>
      <c r="I502" s="204">
        <v>80</v>
      </c>
      <c r="J502" s="204">
        <v>80</v>
      </c>
      <c r="K502" s="204">
        <v>100</v>
      </c>
      <c r="L502" s="204">
        <v>100</v>
      </c>
      <c r="M502" s="204">
        <v>66.7</v>
      </c>
      <c r="N502" s="204">
        <v>100</v>
      </c>
      <c r="O502" s="204">
        <v>40</v>
      </c>
      <c r="P502" s="204">
        <v>100</v>
      </c>
      <c r="Q502" s="44" t="s">
        <v>23</v>
      </c>
      <c r="R502" s="205">
        <v>95</v>
      </c>
      <c r="S502" s="205">
        <v>82</v>
      </c>
      <c r="T502" s="217" t="s">
        <v>39</v>
      </c>
      <c r="U502">
        <v>2.5</v>
      </c>
      <c r="V502">
        <v>90</v>
      </c>
    </row>
    <row r="503" spans="1:22" ht="13.5" customHeight="1">
      <c r="A503" s="7" t="s">
        <v>33</v>
      </c>
      <c r="B503" s="204">
        <v>34.6</v>
      </c>
      <c r="C503" s="204">
        <v>57.9</v>
      </c>
      <c r="D503" s="204">
        <v>60</v>
      </c>
      <c r="E503" s="204">
        <v>60</v>
      </c>
      <c r="F503" s="204">
        <v>100</v>
      </c>
      <c r="G503" s="204">
        <v>83.3</v>
      </c>
      <c r="H503" s="204">
        <v>100</v>
      </c>
      <c r="I503" s="204">
        <v>66.7</v>
      </c>
      <c r="J503" s="204">
        <v>80</v>
      </c>
      <c r="K503" s="204">
        <v>75</v>
      </c>
      <c r="L503" s="204">
        <v>100</v>
      </c>
      <c r="M503" s="204">
        <v>100</v>
      </c>
      <c r="N503" s="204">
        <v>100</v>
      </c>
      <c r="O503" s="204">
        <v>100</v>
      </c>
      <c r="P503" s="204">
        <v>100</v>
      </c>
      <c r="Q503" s="44" t="s">
        <v>23</v>
      </c>
      <c r="R503" s="205">
        <v>70</v>
      </c>
      <c r="S503" s="205">
        <v>94</v>
      </c>
      <c r="T503" s="217" t="s">
        <v>27</v>
      </c>
      <c r="U503">
        <v>2.5</v>
      </c>
      <c r="V503">
        <v>76</v>
      </c>
    </row>
    <row r="504" spans="1:22" ht="27" customHeight="1">
      <c r="A504" s="7" t="s">
        <v>42</v>
      </c>
      <c r="B504" s="204">
        <v>0</v>
      </c>
      <c r="C504" s="204">
        <v>36.9</v>
      </c>
      <c r="D504" s="204">
        <v>53.8</v>
      </c>
      <c r="E504" s="204">
        <v>66.7</v>
      </c>
      <c r="F504" s="204">
        <v>0</v>
      </c>
      <c r="G504" s="204">
        <v>66.7</v>
      </c>
      <c r="H504" s="204">
        <v>0</v>
      </c>
      <c r="I504" s="204">
        <v>66.7</v>
      </c>
      <c r="J504" s="204">
        <v>66.7</v>
      </c>
      <c r="K504" s="204">
        <v>0</v>
      </c>
      <c r="L504" s="204">
        <v>0</v>
      </c>
      <c r="M504" s="204">
        <v>0</v>
      </c>
      <c r="N504" s="204">
        <v>0</v>
      </c>
      <c r="O504" s="204">
        <v>0</v>
      </c>
      <c r="P504" s="204">
        <v>0</v>
      </c>
      <c r="Q504" s="44" t="s">
        <v>23</v>
      </c>
      <c r="R504" s="205">
        <v>94</v>
      </c>
      <c r="S504" s="205">
        <v>102</v>
      </c>
      <c r="T504" s="217" t="s">
        <v>32</v>
      </c>
      <c r="U504">
        <v>2.5</v>
      </c>
      <c r="V504">
        <v>93</v>
      </c>
    </row>
    <row r="505" spans="1:22" ht="13.5" customHeight="1">
      <c r="A505" s="7" t="s">
        <v>33</v>
      </c>
      <c r="B505" s="204">
        <v>28.2</v>
      </c>
      <c r="C505" s="204">
        <v>38.1</v>
      </c>
      <c r="D505" s="204">
        <v>33.299999999999997</v>
      </c>
      <c r="E505" s="204">
        <v>100</v>
      </c>
      <c r="F505" s="204">
        <v>100</v>
      </c>
      <c r="G505" s="204">
        <v>33.299999999999997</v>
      </c>
      <c r="H505" s="204">
        <v>50</v>
      </c>
      <c r="I505" s="204">
        <v>50</v>
      </c>
      <c r="J505" s="204">
        <v>50</v>
      </c>
      <c r="K505" s="204">
        <v>50</v>
      </c>
      <c r="L505" s="204">
        <v>100</v>
      </c>
      <c r="M505" s="204">
        <v>100</v>
      </c>
      <c r="N505" s="204">
        <v>100</v>
      </c>
      <c r="O505" s="204">
        <v>50</v>
      </c>
      <c r="P505" s="204">
        <v>100</v>
      </c>
      <c r="Q505" s="44" t="s">
        <v>26</v>
      </c>
      <c r="R505" s="205">
        <v>75</v>
      </c>
      <c r="S505" s="205">
        <v>96</v>
      </c>
      <c r="T505" s="217" t="s">
        <v>65</v>
      </c>
      <c r="U505">
        <v>2.5</v>
      </c>
      <c r="V505">
        <v>108</v>
      </c>
    </row>
    <row r="506" spans="1:22" ht="13.5" customHeight="1">
      <c r="A506" s="7" t="s">
        <v>60</v>
      </c>
      <c r="B506" s="204">
        <v>54.8</v>
      </c>
      <c r="C506" s="204">
        <v>76.2</v>
      </c>
      <c r="D506" s="204">
        <v>40</v>
      </c>
      <c r="E506" s="204">
        <v>42.9</v>
      </c>
      <c r="F506" s="204">
        <v>25</v>
      </c>
      <c r="G506" s="204">
        <v>50</v>
      </c>
      <c r="H506" s="204">
        <v>33.299999999999997</v>
      </c>
      <c r="I506" s="204">
        <v>45</v>
      </c>
      <c r="J506" s="204">
        <v>50</v>
      </c>
      <c r="K506" s="204">
        <v>0</v>
      </c>
      <c r="L506" s="204">
        <v>0</v>
      </c>
      <c r="M506" s="204">
        <v>0</v>
      </c>
      <c r="N506" s="204">
        <v>0</v>
      </c>
      <c r="O506" s="204">
        <v>33.299999999999997</v>
      </c>
      <c r="P506" s="204">
        <v>33.299999999999997</v>
      </c>
      <c r="Q506" s="44" t="s">
        <v>30</v>
      </c>
      <c r="R506" s="205">
        <v>86</v>
      </c>
      <c r="S506" s="205">
        <v>92</v>
      </c>
      <c r="T506" s="217" t="s">
        <v>65</v>
      </c>
      <c r="U506">
        <v>2.5</v>
      </c>
      <c r="V506">
        <v>81</v>
      </c>
    </row>
    <row r="507" spans="1:22" ht="13.5" customHeight="1">
      <c r="A507" s="7" t="s">
        <v>54</v>
      </c>
      <c r="B507" s="204">
        <v>60</v>
      </c>
      <c r="C507" s="204">
        <v>100</v>
      </c>
      <c r="D507" s="204">
        <v>100</v>
      </c>
      <c r="E507" s="204">
        <v>100</v>
      </c>
      <c r="F507" s="204">
        <v>100</v>
      </c>
      <c r="G507" s="204">
        <v>100</v>
      </c>
      <c r="H507" s="204">
        <v>100</v>
      </c>
      <c r="I507" s="204">
        <v>64.7</v>
      </c>
      <c r="J507" s="204">
        <v>66.7</v>
      </c>
      <c r="K507" s="204">
        <v>100</v>
      </c>
      <c r="L507" s="204">
        <v>100</v>
      </c>
      <c r="M507" s="204">
        <v>100</v>
      </c>
      <c r="N507" s="204">
        <v>100</v>
      </c>
      <c r="O507" s="204">
        <v>50</v>
      </c>
      <c r="P507" s="204">
        <v>66.7</v>
      </c>
      <c r="Q507" s="44" t="s">
        <v>56</v>
      </c>
      <c r="R507" s="205">
        <v>80</v>
      </c>
      <c r="S507" s="205">
        <v>88</v>
      </c>
      <c r="T507" s="217" t="s">
        <v>24</v>
      </c>
      <c r="U507">
        <v>3.5</v>
      </c>
      <c r="V507">
        <v>76</v>
      </c>
    </row>
    <row r="508" spans="1:22" ht="13.5" customHeight="1">
      <c r="A508" s="7" t="s">
        <v>60</v>
      </c>
      <c r="B508" s="204">
        <v>52.6</v>
      </c>
      <c r="C508" s="204">
        <v>54.7</v>
      </c>
      <c r="D508" s="204">
        <v>40</v>
      </c>
      <c r="E508" s="204">
        <v>0</v>
      </c>
      <c r="F508" s="204">
        <v>0</v>
      </c>
      <c r="G508" s="204">
        <v>0</v>
      </c>
      <c r="H508" s="204">
        <v>0</v>
      </c>
      <c r="I508" s="204">
        <v>0</v>
      </c>
      <c r="J508" s="204">
        <v>0</v>
      </c>
      <c r="K508" s="204">
        <v>0</v>
      </c>
      <c r="L508" s="204">
        <v>0</v>
      </c>
      <c r="M508" s="204">
        <v>0</v>
      </c>
      <c r="N508" s="204">
        <v>0</v>
      </c>
      <c r="O508" s="204">
        <v>33.299999999999997</v>
      </c>
      <c r="P508" s="204">
        <v>33.299999999999997</v>
      </c>
      <c r="Q508" s="44" t="s">
        <v>23</v>
      </c>
      <c r="R508" s="205">
        <v>85</v>
      </c>
      <c r="S508" s="205">
        <v>100</v>
      </c>
      <c r="T508" s="217" t="s">
        <v>65</v>
      </c>
      <c r="U508">
        <v>2.5</v>
      </c>
      <c r="V508">
        <v>85</v>
      </c>
    </row>
    <row r="509" spans="1:22" ht="27" customHeight="1">
      <c r="A509" s="7" t="s">
        <v>22</v>
      </c>
      <c r="B509" s="204">
        <v>34.6</v>
      </c>
      <c r="C509" s="204">
        <v>50.8</v>
      </c>
      <c r="D509" s="204">
        <v>42.9</v>
      </c>
      <c r="E509" s="204">
        <v>42.9</v>
      </c>
      <c r="F509" s="204">
        <v>75</v>
      </c>
      <c r="G509" s="204">
        <v>42.9</v>
      </c>
      <c r="H509" s="204">
        <v>75</v>
      </c>
      <c r="I509" s="204">
        <v>100</v>
      </c>
      <c r="J509" s="204">
        <v>100</v>
      </c>
      <c r="K509" s="204">
        <v>100</v>
      </c>
      <c r="L509" s="204">
        <v>100</v>
      </c>
      <c r="M509" s="204">
        <v>100</v>
      </c>
      <c r="N509" s="204">
        <v>100</v>
      </c>
      <c r="O509" s="204">
        <v>66.7</v>
      </c>
      <c r="P509" s="204">
        <v>50</v>
      </c>
      <c r="Q509" s="44" t="s">
        <v>26</v>
      </c>
      <c r="R509" s="205">
        <v>90</v>
      </c>
      <c r="S509" s="205">
        <v>100</v>
      </c>
      <c r="T509" s="217" t="s">
        <v>35</v>
      </c>
      <c r="U509">
        <v>2.5</v>
      </c>
      <c r="V509">
        <v>87</v>
      </c>
    </row>
    <row r="510" spans="1:22" ht="27" customHeight="1">
      <c r="A510" s="7" t="s">
        <v>53</v>
      </c>
      <c r="B510" s="204">
        <v>52.6</v>
      </c>
      <c r="C510" s="204">
        <v>76.5</v>
      </c>
      <c r="D510" s="204">
        <v>60</v>
      </c>
      <c r="E510" s="204">
        <v>0</v>
      </c>
      <c r="F510" s="204">
        <v>0</v>
      </c>
      <c r="G510" s="204">
        <v>0</v>
      </c>
      <c r="H510" s="204">
        <v>0</v>
      </c>
      <c r="I510" s="204">
        <v>75</v>
      </c>
      <c r="J510" s="204">
        <v>80</v>
      </c>
      <c r="K510" s="204">
        <v>0</v>
      </c>
      <c r="L510" s="204">
        <v>0</v>
      </c>
      <c r="M510" s="204">
        <v>0</v>
      </c>
      <c r="N510" s="204">
        <v>0</v>
      </c>
      <c r="O510" s="204">
        <v>66.7</v>
      </c>
      <c r="P510" s="204">
        <v>66.7</v>
      </c>
      <c r="Q510" s="44" t="s">
        <v>34</v>
      </c>
      <c r="R510" s="205">
        <v>105</v>
      </c>
      <c r="S510" s="205">
        <v>80</v>
      </c>
      <c r="T510" s="217" t="s">
        <v>24</v>
      </c>
      <c r="U510">
        <v>2.5</v>
      </c>
      <c r="V510">
        <v>63</v>
      </c>
    </row>
    <row r="511" spans="1:22" ht="13.5" customHeight="1">
      <c r="A511" s="7" t="s">
        <v>62</v>
      </c>
      <c r="B511" s="204">
        <v>0</v>
      </c>
      <c r="C511" s="204">
        <v>38.799999999999997</v>
      </c>
      <c r="D511" s="204">
        <v>14.3</v>
      </c>
      <c r="E511" s="204">
        <v>0</v>
      </c>
      <c r="F511" s="204">
        <v>0</v>
      </c>
      <c r="G511" s="204">
        <v>0</v>
      </c>
      <c r="H511" s="204">
        <v>0</v>
      </c>
      <c r="I511" s="204">
        <v>0</v>
      </c>
      <c r="J511" s="204">
        <v>0</v>
      </c>
      <c r="K511" s="204">
        <v>0</v>
      </c>
      <c r="L511" s="204">
        <v>0</v>
      </c>
      <c r="M511" s="204">
        <v>0</v>
      </c>
      <c r="N511" s="204">
        <v>0</v>
      </c>
      <c r="O511" s="204">
        <v>0</v>
      </c>
      <c r="P511" s="204">
        <v>0</v>
      </c>
      <c r="Q511" s="44" t="s">
        <v>26</v>
      </c>
      <c r="R511" s="205">
        <v>75</v>
      </c>
      <c r="S511" s="205">
        <v>94</v>
      </c>
      <c r="T511" s="217" t="s">
        <v>24</v>
      </c>
      <c r="U511">
        <v>2.5</v>
      </c>
      <c r="V511">
        <v>83</v>
      </c>
    </row>
    <row r="512" spans="1:22" ht="13.5" customHeight="1">
      <c r="A512" s="7" t="s">
        <v>41</v>
      </c>
      <c r="B512" s="204">
        <v>45.7</v>
      </c>
      <c r="C512" s="204">
        <v>49</v>
      </c>
      <c r="D512" s="204">
        <v>75</v>
      </c>
      <c r="E512" s="204">
        <v>42.9</v>
      </c>
      <c r="F512" s="204">
        <v>66.7</v>
      </c>
      <c r="G512" s="204">
        <v>50</v>
      </c>
      <c r="H512" s="204">
        <v>66.7</v>
      </c>
      <c r="I512" s="204">
        <v>62.5</v>
      </c>
      <c r="J512" s="204">
        <v>50</v>
      </c>
      <c r="K512" s="204">
        <v>100</v>
      </c>
      <c r="L512" s="204">
        <v>100</v>
      </c>
      <c r="M512" s="204">
        <v>100</v>
      </c>
      <c r="N512" s="204">
        <v>100</v>
      </c>
      <c r="O512" s="204">
        <v>100</v>
      </c>
      <c r="P512" s="204">
        <v>100</v>
      </c>
      <c r="Q512" s="44" t="s">
        <v>26</v>
      </c>
      <c r="R512" s="205">
        <v>101</v>
      </c>
      <c r="S512" s="205">
        <v>104</v>
      </c>
      <c r="T512" s="217" t="s">
        <v>48</v>
      </c>
      <c r="U512">
        <v>2.5</v>
      </c>
      <c r="V512">
        <v>130</v>
      </c>
    </row>
    <row r="513" spans="1:22" ht="13.5" customHeight="1">
      <c r="A513" s="7" t="s">
        <v>33</v>
      </c>
      <c r="B513" s="204">
        <v>73.3</v>
      </c>
      <c r="C513" s="204">
        <v>100</v>
      </c>
      <c r="D513" s="204">
        <v>100</v>
      </c>
      <c r="E513" s="204">
        <v>85.7</v>
      </c>
      <c r="F513" s="204">
        <v>66.7</v>
      </c>
      <c r="G513" s="204">
        <v>100</v>
      </c>
      <c r="H513" s="204">
        <v>100</v>
      </c>
      <c r="I513" s="204">
        <v>80</v>
      </c>
      <c r="J513" s="204">
        <v>80</v>
      </c>
      <c r="K513" s="204">
        <v>100</v>
      </c>
      <c r="L513" s="204">
        <v>100</v>
      </c>
      <c r="M513" s="204">
        <v>100</v>
      </c>
      <c r="N513" s="204">
        <v>100</v>
      </c>
      <c r="O513" s="204">
        <v>100</v>
      </c>
      <c r="P513" s="204">
        <v>100</v>
      </c>
      <c r="Q513" s="44" t="s">
        <v>30</v>
      </c>
      <c r="R513" s="205">
        <v>92</v>
      </c>
      <c r="S513" s="205">
        <v>78</v>
      </c>
      <c r="T513" s="217" t="s">
        <v>40</v>
      </c>
      <c r="U513">
        <v>2.5</v>
      </c>
      <c r="V513">
        <v>68</v>
      </c>
    </row>
    <row r="514" spans="1:22" ht="13.5" customHeight="1">
      <c r="A514" s="7" t="s">
        <v>41</v>
      </c>
      <c r="B514" s="204">
        <v>54.8</v>
      </c>
      <c r="C514" s="204">
        <v>63.6</v>
      </c>
      <c r="D514" s="204">
        <v>25</v>
      </c>
      <c r="E514" s="204">
        <v>75</v>
      </c>
      <c r="F514" s="204">
        <v>100</v>
      </c>
      <c r="G514" s="204">
        <v>40</v>
      </c>
      <c r="H514" s="204">
        <v>33.299999999999997</v>
      </c>
      <c r="I514" s="204">
        <v>60</v>
      </c>
      <c r="J514" s="204">
        <v>100</v>
      </c>
      <c r="K514" s="204">
        <v>100</v>
      </c>
      <c r="L514" s="204">
        <v>100</v>
      </c>
      <c r="M514" s="204">
        <v>100</v>
      </c>
      <c r="N514" s="204">
        <v>100</v>
      </c>
      <c r="O514" s="204">
        <v>40</v>
      </c>
      <c r="P514" s="204">
        <v>100</v>
      </c>
      <c r="Q514" s="44" t="s">
        <v>23</v>
      </c>
      <c r="R514" s="205">
        <v>82</v>
      </c>
      <c r="S514" s="205">
        <v>98</v>
      </c>
      <c r="T514" s="217" t="s">
        <v>48</v>
      </c>
      <c r="U514">
        <v>2.5</v>
      </c>
      <c r="V514">
        <v>59</v>
      </c>
    </row>
    <row r="515" spans="1:22" ht="13.5" customHeight="1">
      <c r="A515" s="7" t="s">
        <v>44</v>
      </c>
      <c r="B515" s="204">
        <v>73.3</v>
      </c>
      <c r="C515" s="204">
        <v>68</v>
      </c>
      <c r="D515" s="204">
        <v>83.3</v>
      </c>
      <c r="E515" s="204">
        <v>50</v>
      </c>
      <c r="F515" s="204">
        <v>100</v>
      </c>
      <c r="G515" s="204">
        <v>50</v>
      </c>
      <c r="H515" s="204">
        <v>100</v>
      </c>
      <c r="I515" s="204">
        <v>50</v>
      </c>
      <c r="J515" s="204">
        <v>33.299999999999997</v>
      </c>
      <c r="K515" s="204">
        <v>100</v>
      </c>
      <c r="L515" s="204">
        <v>100</v>
      </c>
      <c r="M515" s="204">
        <v>100</v>
      </c>
      <c r="N515" s="204">
        <v>100</v>
      </c>
      <c r="O515" s="204">
        <v>100</v>
      </c>
      <c r="P515" s="204">
        <v>100</v>
      </c>
      <c r="Q515" s="44" t="s">
        <v>26</v>
      </c>
      <c r="R515" s="205">
        <v>96</v>
      </c>
      <c r="S515" s="205">
        <v>102</v>
      </c>
      <c r="T515" s="217" t="s">
        <v>35</v>
      </c>
      <c r="U515">
        <v>2.5</v>
      </c>
      <c r="V515">
        <v>105</v>
      </c>
    </row>
    <row r="516" spans="1:22" ht="13.5" customHeight="1">
      <c r="A516" s="7" t="s">
        <v>36</v>
      </c>
      <c r="B516" s="204">
        <v>72.7</v>
      </c>
      <c r="C516" s="204">
        <v>38.1</v>
      </c>
      <c r="D516" s="204">
        <v>56.2</v>
      </c>
      <c r="E516" s="204">
        <v>50</v>
      </c>
      <c r="F516" s="204">
        <v>33.299999999999997</v>
      </c>
      <c r="G516" s="204">
        <v>50</v>
      </c>
      <c r="H516" s="204">
        <v>33.299999999999997</v>
      </c>
      <c r="I516" s="204">
        <v>28.6</v>
      </c>
      <c r="J516" s="204">
        <v>33.299999999999997</v>
      </c>
      <c r="K516" s="204">
        <v>33.299999999999997</v>
      </c>
      <c r="L516" s="204">
        <v>0</v>
      </c>
      <c r="M516" s="204">
        <v>33.299999999999997</v>
      </c>
      <c r="N516" s="204">
        <v>0</v>
      </c>
      <c r="O516" s="204">
        <v>33.299999999999997</v>
      </c>
      <c r="P516" s="204">
        <v>50</v>
      </c>
      <c r="Q516" s="44" t="s">
        <v>26</v>
      </c>
      <c r="R516" s="205">
        <v>101</v>
      </c>
      <c r="S516" s="205">
        <v>100</v>
      </c>
      <c r="T516" s="217" t="s">
        <v>65</v>
      </c>
      <c r="U516">
        <v>2.5</v>
      </c>
      <c r="V516">
        <v>108</v>
      </c>
    </row>
    <row r="517" spans="1:22" ht="13.5" customHeight="1">
      <c r="A517" s="7" t="s">
        <v>43</v>
      </c>
      <c r="B517" s="204">
        <v>52.6</v>
      </c>
      <c r="C517" s="204">
        <v>80</v>
      </c>
      <c r="D517" s="204">
        <v>100</v>
      </c>
      <c r="E517" s="204">
        <v>75</v>
      </c>
      <c r="F517" s="204">
        <v>100</v>
      </c>
      <c r="G517" s="204">
        <v>50</v>
      </c>
      <c r="H517" s="204">
        <v>100</v>
      </c>
      <c r="I517" s="204">
        <v>75</v>
      </c>
      <c r="J517" s="204">
        <v>80</v>
      </c>
      <c r="K517" s="204">
        <v>100</v>
      </c>
      <c r="L517" s="204">
        <v>100</v>
      </c>
      <c r="M517" s="204">
        <v>100</v>
      </c>
      <c r="N517" s="204">
        <v>100</v>
      </c>
      <c r="O517" s="204">
        <v>33.299999999999997</v>
      </c>
      <c r="P517" s="204">
        <v>33.299999999999997</v>
      </c>
      <c r="Q517" s="44" t="s">
        <v>30</v>
      </c>
      <c r="R517" s="205">
        <v>92</v>
      </c>
      <c r="S517" s="205">
        <v>84</v>
      </c>
      <c r="T517" s="217" t="s">
        <v>39</v>
      </c>
      <c r="U517">
        <v>2.5</v>
      </c>
      <c r="V517">
        <v>59</v>
      </c>
    </row>
    <row r="518" spans="1:22" ht="13.5" customHeight="1">
      <c r="A518" s="7" t="s">
        <v>42</v>
      </c>
      <c r="B518" s="204">
        <v>60</v>
      </c>
      <c r="C518" s="204">
        <v>54.7</v>
      </c>
      <c r="D518" s="204">
        <v>25</v>
      </c>
      <c r="E518" s="204">
        <v>42.9</v>
      </c>
      <c r="F518" s="204">
        <v>25</v>
      </c>
      <c r="G518" s="204">
        <v>42.9</v>
      </c>
      <c r="H518" s="204">
        <v>20</v>
      </c>
      <c r="I518" s="204">
        <v>45</v>
      </c>
      <c r="J518" s="204">
        <v>50</v>
      </c>
      <c r="K518" s="204">
        <v>40</v>
      </c>
      <c r="L518" s="204">
        <v>40</v>
      </c>
      <c r="M518" s="204">
        <v>40</v>
      </c>
      <c r="N518" s="204">
        <v>40</v>
      </c>
      <c r="O518" s="204">
        <v>33.299999999999997</v>
      </c>
      <c r="P518" s="204">
        <v>33.299999999999997</v>
      </c>
      <c r="Q518" s="44" t="s">
        <v>26</v>
      </c>
      <c r="R518" s="205">
        <v>93</v>
      </c>
      <c r="S518" s="205">
        <v>84</v>
      </c>
      <c r="T518" s="217" t="s">
        <v>46</v>
      </c>
      <c r="U518">
        <v>2.5</v>
      </c>
      <c r="V518">
        <v>94</v>
      </c>
    </row>
    <row r="519" spans="1:22" ht="13.5" customHeight="1">
      <c r="A519" s="42" t="s">
        <v>68</v>
      </c>
      <c r="B519" s="204">
        <v>60</v>
      </c>
      <c r="C519" s="204">
        <v>49</v>
      </c>
      <c r="D519" s="204">
        <v>75</v>
      </c>
      <c r="E519" s="204">
        <v>16.7</v>
      </c>
      <c r="F519" s="204">
        <v>20</v>
      </c>
      <c r="G519" s="204">
        <v>40</v>
      </c>
      <c r="H519" s="204">
        <v>40</v>
      </c>
      <c r="I519" s="204">
        <v>33.299999999999997</v>
      </c>
      <c r="J519" s="204">
        <v>33.299999999999997</v>
      </c>
      <c r="K519" s="204">
        <v>66.7</v>
      </c>
      <c r="L519" s="204">
        <v>100</v>
      </c>
      <c r="M519" s="204">
        <v>66.7</v>
      </c>
      <c r="N519" s="204">
        <v>100</v>
      </c>
      <c r="O519" s="204">
        <v>100</v>
      </c>
      <c r="P519" s="204">
        <v>100</v>
      </c>
      <c r="Q519" s="44" t="s">
        <v>26</v>
      </c>
      <c r="R519" s="205">
        <v>98</v>
      </c>
      <c r="S519" s="205">
        <v>86</v>
      </c>
      <c r="T519" s="217" t="s">
        <v>27</v>
      </c>
      <c r="U519">
        <v>2.5</v>
      </c>
      <c r="V519">
        <v>80</v>
      </c>
    </row>
    <row r="520" spans="1:22" ht="13.5" customHeight="1">
      <c r="A520" s="7" t="s">
        <v>42</v>
      </c>
      <c r="B520" s="204">
        <v>50</v>
      </c>
      <c r="C520" s="204">
        <v>73.3</v>
      </c>
      <c r="D520" s="204">
        <v>50</v>
      </c>
      <c r="E520" s="204">
        <v>62.5</v>
      </c>
      <c r="F520" s="204">
        <v>66.7</v>
      </c>
      <c r="G520" s="204">
        <v>66.7</v>
      </c>
      <c r="H520" s="204">
        <v>50</v>
      </c>
      <c r="I520" s="204">
        <v>37.5</v>
      </c>
      <c r="J520" s="204">
        <v>25</v>
      </c>
      <c r="K520" s="204">
        <v>0</v>
      </c>
      <c r="L520" s="204">
        <v>0</v>
      </c>
      <c r="M520" s="204">
        <v>0</v>
      </c>
      <c r="N520" s="204">
        <v>0</v>
      </c>
      <c r="O520" s="204">
        <v>75</v>
      </c>
      <c r="P520" s="204">
        <v>66.7</v>
      </c>
      <c r="Q520" s="44" t="s">
        <v>23</v>
      </c>
      <c r="R520" s="205">
        <v>80</v>
      </c>
      <c r="S520" s="205">
        <v>88</v>
      </c>
      <c r="T520" s="217" t="s">
        <v>28</v>
      </c>
      <c r="U520">
        <v>2.5</v>
      </c>
      <c r="V520">
        <v>76</v>
      </c>
    </row>
    <row r="521" spans="1:22" ht="13.5" customHeight="1">
      <c r="A521" s="7" t="s">
        <v>25</v>
      </c>
      <c r="B521" s="204">
        <v>33.299999999999997</v>
      </c>
      <c r="C521" s="204">
        <v>49.4</v>
      </c>
      <c r="D521" s="204">
        <v>0</v>
      </c>
      <c r="E521" s="204">
        <v>33.299999999999997</v>
      </c>
      <c r="F521" s="204">
        <v>33.299999999999997</v>
      </c>
      <c r="G521" s="204">
        <v>20</v>
      </c>
      <c r="H521" s="204">
        <v>0</v>
      </c>
      <c r="I521" s="204">
        <v>14.3</v>
      </c>
      <c r="J521" s="204">
        <v>33.299999999999997</v>
      </c>
      <c r="K521" s="204">
        <v>0</v>
      </c>
      <c r="L521" s="204">
        <v>0</v>
      </c>
      <c r="M521" s="204">
        <v>0</v>
      </c>
      <c r="N521" s="204">
        <v>0</v>
      </c>
      <c r="O521" s="204">
        <v>0</v>
      </c>
      <c r="P521" s="204">
        <v>0</v>
      </c>
      <c r="Q521" s="44" t="s">
        <v>26</v>
      </c>
      <c r="R521" s="205">
        <v>105</v>
      </c>
      <c r="S521" s="205">
        <v>106</v>
      </c>
      <c r="T521" s="217" t="s">
        <v>35</v>
      </c>
      <c r="U521">
        <v>2.5</v>
      </c>
      <c r="V521">
        <v>129</v>
      </c>
    </row>
    <row r="522" spans="1:22" ht="13.5" customHeight="1">
      <c r="A522" s="7" t="s">
        <v>53</v>
      </c>
      <c r="B522" s="204">
        <v>54.8</v>
      </c>
      <c r="C522" s="204">
        <v>57.9</v>
      </c>
      <c r="D522" s="204">
        <v>0</v>
      </c>
      <c r="E522" s="204">
        <v>50</v>
      </c>
      <c r="F522" s="204">
        <v>50</v>
      </c>
      <c r="G522" s="204">
        <v>50</v>
      </c>
      <c r="H522" s="204">
        <v>50</v>
      </c>
      <c r="I522" s="204">
        <v>50</v>
      </c>
      <c r="J522" s="204">
        <v>0</v>
      </c>
      <c r="K522" s="204">
        <v>40</v>
      </c>
      <c r="L522" s="204">
        <v>40</v>
      </c>
      <c r="M522" s="204">
        <v>40</v>
      </c>
      <c r="N522" s="204">
        <v>40</v>
      </c>
      <c r="O522" s="204">
        <v>33.299999999999997</v>
      </c>
      <c r="P522" s="204">
        <v>33.299999999999997</v>
      </c>
      <c r="Q522" s="44" t="s">
        <v>26</v>
      </c>
      <c r="R522" s="205">
        <v>88</v>
      </c>
      <c r="S522" s="205">
        <v>86</v>
      </c>
      <c r="T522" s="217" t="s">
        <v>51</v>
      </c>
      <c r="U522">
        <v>2.5</v>
      </c>
      <c r="V522">
        <v>90</v>
      </c>
    </row>
    <row r="523" spans="1:22" ht="13.5" customHeight="1">
      <c r="A523" s="7" t="s">
        <v>33</v>
      </c>
      <c r="B523" s="204">
        <v>37.5</v>
      </c>
      <c r="C523" s="204">
        <v>36.9</v>
      </c>
      <c r="D523" s="204">
        <v>60</v>
      </c>
      <c r="E523" s="204">
        <v>80</v>
      </c>
      <c r="F523" s="204">
        <v>75</v>
      </c>
      <c r="G523" s="204">
        <v>66.7</v>
      </c>
      <c r="H523" s="204">
        <v>66.7</v>
      </c>
      <c r="I523" s="204">
        <v>66.7</v>
      </c>
      <c r="J523" s="204">
        <v>100</v>
      </c>
      <c r="K523" s="204">
        <v>100</v>
      </c>
      <c r="L523" s="204">
        <v>100</v>
      </c>
      <c r="M523" s="204">
        <v>100</v>
      </c>
      <c r="N523" s="204">
        <v>100</v>
      </c>
      <c r="O523" s="204">
        <v>100</v>
      </c>
      <c r="P523" s="204">
        <v>100</v>
      </c>
      <c r="Q523" s="44" t="s">
        <v>26</v>
      </c>
      <c r="R523" s="205">
        <v>97</v>
      </c>
      <c r="S523" s="205">
        <v>104</v>
      </c>
      <c r="T523" s="217" t="s">
        <v>32</v>
      </c>
      <c r="U523">
        <v>2.5</v>
      </c>
      <c r="V523">
        <v>115</v>
      </c>
    </row>
    <row r="524" spans="1:22" ht="13.5" customHeight="1">
      <c r="A524" s="7" t="s">
        <v>44</v>
      </c>
      <c r="B524" s="204">
        <v>60</v>
      </c>
      <c r="C524" s="204">
        <v>55.6</v>
      </c>
      <c r="D524" s="204">
        <v>42.9</v>
      </c>
      <c r="E524" s="204">
        <v>33.299999999999997</v>
      </c>
      <c r="F524" s="204">
        <v>33.299999999999997</v>
      </c>
      <c r="G524" s="204">
        <v>55.6</v>
      </c>
      <c r="H524" s="204">
        <v>50</v>
      </c>
      <c r="I524" s="204">
        <v>14.3</v>
      </c>
      <c r="J524" s="204">
        <v>33.299999999999997</v>
      </c>
      <c r="K524" s="204">
        <v>50</v>
      </c>
      <c r="L524" s="204">
        <v>50</v>
      </c>
      <c r="M524" s="204">
        <v>75</v>
      </c>
      <c r="N524" s="204">
        <v>66.7</v>
      </c>
      <c r="O524" s="204">
        <v>75</v>
      </c>
      <c r="P524" s="204">
        <v>66.7</v>
      </c>
      <c r="Q524" s="44" t="s">
        <v>45</v>
      </c>
      <c r="R524" s="205">
        <v>88</v>
      </c>
      <c r="S524" s="205">
        <v>80</v>
      </c>
      <c r="T524" s="217" t="s">
        <v>46</v>
      </c>
      <c r="U524">
        <v>2.5</v>
      </c>
      <c r="V524">
        <v>135</v>
      </c>
    </row>
    <row r="525" spans="1:22" ht="13.5" customHeight="1">
      <c r="A525" s="7" t="s">
        <v>22</v>
      </c>
      <c r="B525" s="204">
        <v>73.3</v>
      </c>
      <c r="C525" s="204">
        <v>68</v>
      </c>
      <c r="D525" s="204">
        <v>83.3</v>
      </c>
      <c r="E525" s="204">
        <v>85.7</v>
      </c>
      <c r="F525" s="204">
        <v>80</v>
      </c>
      <c r="G525" s="204">
        <v>80</v>
      </c>
      <c r="H525" s="204">
        <v>80</v>
      </c>
      <c r="I525" s="204">
        <v>60</v>
      </c>
      <c r="J525" s="204">
        <v>100</v>
      </c>
      <c r="K525" s="204">
        <v>40</v>
      </c>
      <c r="L525" s="204">
        <v>40</v>
      </c>
      <c r="M525" s="204">
        <v>40</v>
      </c>
      <c r="N525" s="204">
        <v>40</v>
      </c>
      <c r="O525" s="204">
        <v>33.299999999999997</v>
      </c>
      <c r="P525" s="204">
        <v>33.299999999999997</v>
      </c>
      <c r="Q525" s="44" t="s">
        <v>26</v>
      </c>
      <c r="R525" s="205">
        <v>101</v>
      </c>
      <c r="S525" s="205">
        <v>94</v>
      </c>
      <c r="T525" s="217" t="s">
        <v>28</v>
      </c>
      <c r="U525">
        <v>2.5</v>
      </c>
      <c r="V525">
        <v>112</v>
      </c>
    </row>
    <row r="526" spans="1:22" ht="13.5" customHeight="1">
      <c r="A526" s="7" t="s">
        <v>33</v>
      </c>
      <c r="B526" s="204">
        <v>72.7</v>
      </c>
      <c r="C526" s="204">
        <v>36.9</v>
      </c>
      <c r="D526" s="204">
        <v>53.8</v>
      </c>
      <c r="E526" s="204">
        <v>75</v>
      </c>
      <c r="F526" s="204">
        <v>66.7</v>
      </c>
      <c r="G526" s="204">
        <v>75</v>
      </c>
      <c r="H526" s="204">
        <v>66.7</v>
      </c>
      <c r="I526" s="204">
        <v>28.6</v>
      </c>
      <c r="J526" s="204">
        <v>33.299999999999997</v>
      </c>
      <c r="K526" s="204">
        <v>100</v>
      </c>
      <c r="L526" s="204">
        <v>100</v>
      </c>
      <c r="M526" s="204">
        <v>100</v>
      </c>
      <c r="N526" s="204">
        <v>100</v>
      </c>
      <c r="O526" s="204">
        <v>33.299999999999997</v>
      </c>
      <c r="P526" s="204">
        <v>33.299999999999997</v>
      </c>
      <c r="Q526" s="44" t="s">
        <v>23</v>
      </c>
      <c r="R526" s="205">
        <v>82</v>
      </c>
      <c r="S526" s="205">
        <v>82</v>
      </c>
      <c r="T526" s="217" t="s">
        <v>51</v>
      </c>
      <c r="U526">
        <v>2.5</v>
      </c>
      <c r="V526">
        <v>71</v>
      </c>
    </row>
    <row r="527" spans="1:22" ht="13.5" customHeight="1">
      <c r="A527" s="7" t="s">
        <v>25</v>
      </c>
      <c r="B527" s="204">
        <v>37.5</v>
      </c>
      <c r="C527" s="204">
        <v>22.2</v>
      </c>
      <c r="D527" s="204">
        <v>25</v>
      </c>
      <c r="E527" s="204">
        <v>0</v>
      </c>
      <c r="F527" s="204">
        <v>0</v>
      </c>
      <c r="G527" s="204">
        <v>0</v>
      </c>
      <c r="H527" s="204">
        <v>0</v>
      </c>
      <c r="I527" s="204">
        <v>0</v>
      </c>
      <c r="J527" s="204">
        <v>0</v>
      </c>
      <c r="K527" s="204">
        <v>0</v>
      </c>
      <c r="L527" s="204">
        <v>0</v>
      </c>
      <c r="M527" s="204">
        <v>50</v>
      </c>
      <c r="N527" s="204">
        <v>0</v>
      </c>
      <c r="O527" s="204">
        <v>50</v>
      </c>
      <c r="P527" s="204">
        <v>0</v>
      </c>
      <c r="Q527" s="44" t="s">
        <v>45</v>
      </c>
      <c r="R527" s="205">
        <v>80</v>
      </c>
      <c r="S527" s="205">
        <v>92</v>
      </c>
      <c r="T527" s="217" t="s">
        <v>28</v>
      </c>
      <c r="U527">
        <v>2.5</v>
      </c>
      <c r="V527">
        <v>98</v>
      </c>
    </row>
    <row r="528" spans="1:22" ht="13.5" customHeight="1">
      <c r="A528" s="7" t="s">
        <v>31</v>
      </c>
      <c r="B528" s="204">
        <v>20</v>
      </c>
      <c r="C528" s="204">
        <v>38.799999999999997</v>
      </c>
      <c r="D528" s="204">
        <v>33.299999999999997</v>
      </c>
      <c r="E528" s="204">
        <v>100</v>
      </c>
      <c r="F528" s="204">
        <v>100</v>
      </c>
      <c r="G528" s="204">
        <v>100</v>
      </c>
      <c r="H528" s="204">
        <v>100</v>
      </c>
      <c r="I528" s="204">
        <v>50</v>
      </c>
      <c r="J528" s="204">
        <v>50</v>
      </c>
      <c r="K528" s="204">
        <v>100</v>
      </c>
      <c r="L528" s="204">
        <v>100</v>
      </c>
      <c r="M528" s="204">
        <v>100</v>
      </c>
      <c r="N528" s="204">
        <v>100</v>
      </c>
      <c r="O528" s="204">
        <v>100</v>
      </c>
      <c r="P528" s="204">
        <v>100</v>
      </c>
      <c r="Q528" s="44" t="s">
        <v>63</v>
      </c>
      <c r="R528" s="205">
        <v>90</v>
      </c>
      <c r="S528" s="205">
        <v>80</v>
      </c>
      <c r="T528" s="10" t="s">
        <v>46</v>
      </c>
    </row>
    <row r="529" spans="1:20" ht="13.5" customHeight="1">
      <c r="A529" s="7" t="s">
        <v>60</v>
      </c>
      <c r="B529" s="204">
        <v>42.9</v>
      </c>
      <c r="C529" s="204">
        <v>57.9</v>
      </c>
      <c r="D529" s="204">
        <v>33.299999999999997</v>
      </c>
      <c r="E529" s="204">
        <v>25</v>
      </c>
      <c r="F529" s="204">
        <v>25</v>
      </c>
      <c r="G529" s="204">
        <v>33.299999999999997</v>
      </c>
      <c r="H529" s="204">
        <v>33.299999999999997</v>
      </c>
      <c r="I529" s="204">
        <v>50</v>
      </c>
      <c r="J529" s="204">
        <v>40</v>
      </c>
      <c r="K529" s="204">
        <v>0</v>
      </c>
      <c r="L529" s="204">
        <v>0</v>
      </c>
      <c r="M529" s="204">
        <v>0</v>
      </c>
      <c r="N529" s="204">
        <v>0</v>
      </c>
      <c r="O529" s="204">
        <v>33.299999999999997</v>
      </c>
      <c r="P529" s="204">
        <v>33.299999999999997</v>
      </c>
      <c r="Q529" s="44" t="s">
        <v>26</v>
      </c>
      <c r="R529" s="205">
        <v>105</v>
      </c>
      <c r="S529" s="205">
        <v>110</v>
      </c>
      <c r="T529" s="10" t="s">
        <v>35</v>
      </c>
    </row>
    <row r="530" spans="1:20" ht="13.5" customHeight="1">
      <c r="A530" s="7" t="s">
        <v>25</v>
      </c>
      <c r="B530" s="204">
        <v>58</v>
      </c>
      <c r="C530" s="204">
        <v>38.1</v>
      </c>
      <c r="D530" s="204">
        <v>28.6</v>
      </c>
      <c r="E530" s="204">
        <v>50</v>
      </c>
      <c r="F530" s="204">
        <v>50</v>
      </c>
      <c r="G530" s="204">
        <v>50</v>
      </c>
      <c r="H530" s="204">
        <v>50</v>
      </c>
      <c r="I530" s="204">
        <v>25</v>
      </c>
      <c r="J530" s="204">
        <v>25</v>
      </c>
      <c r="K530" s="204">
        <v>0</v>
      </c>
      <c r="L530" s="204">
        <v>0</v>
      </c>
      <c r="M530" s="204">
        <v>0</v>
      </c>
      <c r="N530" s="204">
        <v>0</v>
      </c>
      <c r="O530" s="204">
        <v>0</v>
      </c>
      <c r="P530" s="204">
        <v>0</v>
      </c>
      <c r="Q530" s="44" t="s">
        <v>45</v>
      </c>
      <c r="R530" s="205">
        <v>95</v>
      </c>
      <c r="S530" s="205">
        <v>105</v>
      </c>
      <c r="T530" s="10" t="s">
        <v>35</v>
      </c>
    </row>
    <row r="531" spans="1:20" ht="27" customHeight="1">
      <c r="A531" s="7" t="s">
        <v>60</v>
      </c>
      <c r="B531" s="204">
        <v>50</v>
      </c>
      <c r="C531" s="204">
        <v>46.5</v>
      </c>
      <c r="D531" s="204">
        <v>64.3</v>
      </c>
      <c r="E531" s="204">
        <v>0</v>
      </c>
      <c r="F531" s="204">
        <v>0</v>
      </c>
      <c r="G531" s="204">
        <v>0</v>
      </c>
      <c r="H531" s="204">
        <v>0</v>
      </c>
      <c r="I531" s="204">
        <v>0</v>
      </c>
      <c r="J531" s="204">
        <v>0</v>
      </c>
      <c r="K531" s="204">
        <v>50</v>
      </c>
      <c r="L531" s="204">
        <v>50</v>
      </c>
      <c r="M531" s="204">
        <v>50</v>
      </c>
      <c r="N531" s="204">
        <v>50</v>
      </c>
      <c r="O531" s="204">
        <v>20</v>
      </c>
      <c r="P531" s="204">
        <v>20</v>
      </c>
      <c r="Q531" s="44" t="s">
        <v>26</v>
      </c>
      <c r="R531" s="205">
        <v>105</v>
      </c>
      <c r="S531" s="205">
        <v>105</v>
      </c>
      <c r="T531" s="10" t="s">
        <v>35</v>
      </c>
    </row>
    <row r="532" spans="1:20" ht="27" customHeight="1">
      <c r="A532" s="7" t="s">
        <v>31</v>
      </c>
      <c r="B532" s="204">
        <v>50</v>
      </c>
      <c r="C532" s="204">
        <v>36.9</v>
      </c>
      <c r="D532" s="204">
        <v>30</v>
      </c>
      <c r="E532" s="204">
        <v>100</v>
      </c>
      <c r="F532" s="204">
        <v>100</v>
      </c>
      <c r="G532" s="204">
        <v>100</v>
      </c>
      <c r="H532" s="204">
        <v>100</v>
      </c>
      <c r="I532" s="204">
        <v>100</v>
      </c>
      <c r="J532" s="204">
        <v>100</v>
      </c>
      <c r="K532" s="204">
        <v>50</v>
      </c>
      <c r="L532" s="204">
        <v>50</v>
      </c>
      <c r="M532" s="204">
        <v>50</v>
      </c>
      <c r="N532" s="204">
        <v>50</v>
      </c>
      <c r="O532" s="204">
        <v>20</v>
      </c>
      <c r="P532" s="204">
        <v>20</v>
      </c>
      <c r="Q532" s="44" t="s">
        <v>45</v>
      </c>
      <c r="R532" s="205">
        <v>95</v>
      </c>
      <c r="S532" s="205">
        <v>95</v>
      </c>
      <c r="T532" s="10" t="s">
        <v>27</v>
      </c>
    </row>
    <row r="533" spans="1:20" ht="13.5" customHeight="1">
      <c r="A533" s="7" t="s">
        <v>60</v>
      </c>
      <c r="B533" s="204">
        <v>55.6</v>
      </c>
      <c r="C533" s="204">
        <v>38.1</v>
      </c>
      <c r="D533" s="204">
        <v>30.8</v>
      </c>
      <c r="E533" s="204">
        <v>25</v>
      </c>
      <c r="F533" s="204">
        <v>25</v>
      </c>
      <c r="G533" s="204">
        <v>33.299999999999997</v>
      </c>
      <c r="H533" s="204">
        <v>33.299999999999997</v>
      </c>
      <c r="I533" s="204">
        <v>62.5</v>
      </c>
      <c r="J533" s="204">
        <v>62.5</v>
      </c>
      <c r="K533" s="204">
        <v>0</v>
      </c>
      <c r="L533" s="204">
        <v>0</v>
      </c>
      <c r="M533" s="204">
        <v>0</v>
      </c>
      <c r="N533" s="204">
        <v>0</v>
      </c>
      <c r="O533" s="204">
        <v>0</v>
      </c>
      <c r="P533" s="204">
        <v>0</v>
      </c>
      <c r="Q533" s="44" t="s">
        <v>45</v>
      </c>
      <c r="R533" s="205">
        <v>100</v>
      </c>
      <c r="S533" s="205">
        <v>70</v>
      </c>
      <c r="T533" s="10" t="s">
        <v>40</v>
      </c>
    </row>
    <row r="534" spans="1:20" ht="13.5" customHeight="1">
      <c r="A534" s="7" t="s">
        <v>31</v>
      </c>
      <c r="B534" s="204">
        <v>68.400000000000006</v>
      </c>
      <c r="C534" s="204">
        <v>86.4</v>
      </c>
      <c r="D534" s="204">
        <v>100</v>
      </c>
      <c r="E534" s="204">
        <v>100</v>
      </c>
      <c r="F534" s="204">
        <v>100</v>
      </c>
      <c r="G534" s="204">
        <v>100</v>
      </c>
      <c r="H534" s="204">
        <v>100</v>
      </c>
      <c r="I534" s="204">
        <v>66.7</v>
      </c>
      <c r="J534" s="204">
        <v>66.7</v>
      </c>
      <c r="K534" s="204">
        <v>100</v>
      </c>
      <c r="L534" s="204">
        <v>100</v>
      </c>
      <c r="M534" s="204">
        <v>100</v>
      </c>
      <c r="N534" s="204">
        <v>100</v>
      </c>
      <c r="O534" s="204">
        <v>100</v>
      </c>
      <c r="P534" s="204">
        <v>100</v>
      </c>
      <c r="Q534" s="44" t="s">
        <v>30</v>
      </c>
      <c r="R534" s="205">
        <v>100</v>
      </c>
      <c r="S534" s="205">
        <v>105</v>
      </c>
      <c r="T534" s="10" t="s">
        <v>35</v>
      </c>
    </row>
    <row r="535" spans="1:20" ht="13.5" customHeight="1">
      <c r="A535" s="7" t="s">
        <v>60</v>
      </c>
      <c r="B535" s="204">
        <v>42.9</v>
      </c>
      <c r="C535" s="204">
        <v>36.9</v>
      </c>
      <c r="D535" s="204">
        <v>16.7</v>
      </c>
      <c r="E535" s="204">
        <v>0</v>
      </c>
      <c r="F535" s="204">
        <v>0</v>
      </c>
      <c r="G535" s="204">
        <v>0</v>
      </c>
      <c r="H535" s="204">
        <v>0</v>
      </c>
      <c r="I535" s="204">
        <v>0</v>
      </c>
      <c r="J535" s="204">
        <v>0</v>
      </c>
      <c r="K535" s="204">
        <v>0</v>
      </c>
      <c r="L535" s="204">
        <v>0</v>
      </c>
      <c r="M535" s="204">
        <v>0</v>
      </c>
      <c r="N535" s="204">
        <v>0</v>
      </c>
      <c r="O535" s="204">
        <v>33.299999999999997</v>
      </c>
      <c r="P535" s="204">
        <v>33.299999999999997</v>
      </c>
      <c r="Q535" s="44" t="s">
        <v>45</v>
      </c>
      <c r="R535" s="205">
        <v>95</v>
      </c>
      <c r="S535" s="205">
        <v>110</v>
      </c>
      <c r="T535" s="10" t="s">
        <v>35</v>
      </c>
    </row>
    <row r="536" spans="1:20" ht="13.5" customHeight="1">
      <c r="A536" s="7" t="s">
        <v>25</v>
      </c>
      <c r="B536" s="204">
        <v>58</v>
      </c>
      <c r="C536" s="204">
        <v>38.1</v>
      </c>
      <c r="D536" s="204">
        <v>28.6</v>
      </c>
      <c r="E536" s="204">
        <v>0</v>
      </c>
      <c r="F536" s="204">
        <v>0</v>
      </c>
      <c r="G536" s="204">
        <v>0</v>
      </c>
      <c r="H536" s="204">
        <v>0</v>
      </c>
      <c r="I536" s="204">
        <v>0</v>
      </c>
      <c r="J536" s="204">
        <v>0</v>
      </c>
      <c r="K536" s="204">
        <v>0</v>
      </c>
      <c r="L536" s="204">
        <v>0</v>
      </c>
      <c r="M536" s="204">
        <v>0</v>
      </c>
      <c r="N536" s="204">
        <v>0</v>
      </c>
      <c r="O536" s="204">
        <v>75</v>
      </c>
      <c r="P536" s="204">
        <v>75</v>
      </c>
      <c r="Q536" s="44" t="s">
        <v>45</v>
      </c>
      <c r="R536" s="205">
        <v>95</v>
      </c>
      <c r="S536" s="205">
        <v>75</v>
      </c>
      <c r="T536" s="10" t="s">
        <v>40</v>
      </c>
    </row>
    <row r="537" spans="1:20" ht="13.5" customHeight="1">
      <c r="A537" s="7" t="s">
        <v>22</v>
      </c>
      <c r="B537" s="204">
        <v>57.7</v>
      </c>
      <c r="C537" s="204">
        <v>74.400000000000006</v>
      </c>
      <c r="D537" s="204">
        <v>85.7</v>
      </c>
      <c r="E537" s="204">
        <v>75</v>
      </c>
      <c r="F537" s="204">
        <v>75</v>
      </c>
      <c r="G537" s="204">
        <v>66.7</v>
      </c>
      <c r="H537" s="204">
        <v>60</v>
      </c>
      <c r="I537" s="204">
        <v>50</v>
      </c>
      <c r="J537" s="204">
        <v>46.2</v>
      </c>
      <c r="K537" s="204">
        <v>100</v>
      </c>
      <c r="L537" s="204">
        <v>100</v>
      </c>
      <c r="M537" s="204">
        <v>100</v>
      </c>
      <c r="N537" s="204">
        <v>100</v>
      </c>
      <c r="O537" s="204">
        <v>50</v>
      </c>
      <c r="P537" s="204">
        <v>50</v>
      </c>
      <c r="Q537" s="44" t="s">
        <v>26</v>
      </c>
      <c r="R537" s="205">
        <v>100</v>
      </c>
      <c r="S537" s="205">
        <v>85</v>
      </c>
      <c r="T537" s="10" t="s">
        <v>27</v>
      </c>
    </row>
    <row r="538" spans="1:20" ht="27" customHeight="1">
      <c r="A538" s="7" t="s">
        <v>60</v>
      </c>
      <c r="B538" s="204">
        <v>62.5</v>
      </c>
      <c r="C538" s="204">
        <v>38.799999999999997</v>
      </c>
      <c r="D538" s="204">
        <v>44.4</v>
      </c>
      <c r="E538" s="204">
        <v>40</v>
      </c>
      <c r="F538" s="204">
        <v>40</v>
      </c>
      <c r="G538" s="204">
        <v>40</v>
      </c>
      <c r="H538" s="204">
        <v>40</v>
      </c>
      <c r="I538" s="204">
        <v>33.299999999999997</v>
      </c>
      <c r="J538" s="204">
        <v>33.299999999999997</v>
      </c>
      <c r="K538" s="204">
        <v>50</v>
      </c>
      <c r="L538" s="204">
        <v>50</v>
      </c>
      <c r="M538" s="204">
        <v>50</v>
      </c>
      <c r="N538" s="204">
        <v>50</v>
      </c>
      <c r="O538" s="204">
        <v>0</v>
      </c>
      <c r="P538" s="204">
        <v>0</v>
      </c>
      <c r="Q538" s="44" t="s">
        <v>45</v>
      </c>
      <c r="R538" s="205">
        <v>95</v>
      </c>
      <c r="S538" s="205">
        <v>75</v>
      </c>
      <c r="T538" s="10" t="s">
        <v>40</v>
      </c>
    </row>
    <row r="539" spans="1:20" ht="13.5" customHeight="1">
      <c r="A539" s="7" t="s">
        <v>22</v>
      </c>
      <c r="B539" s="204">
        <v>57.7</v>
      </c>
      <c r="C539" s="204">
        <v>57.9</v>
      </c>
      <c r="D539" s="204">
        <v>62.5</v>
      </c>
      <c r="E539" s="204">
        <v>57.1</v>
      </c>
      <c r="F539" s="204">
        <v>50</v>
      </c>
      <c r="G539" s="204">
        <v>66.7</v>
      </c>
      <c r="H539" s="204">
        <v>60</v>
      </c>
      <c r="I539" s="204">
        <v>50</v>
      </c>
      <c r="J539" s="204">
        <v>46.2</v>
      </c>
      <c r="K539" s="204">
        <v>100</v>
      </c>
      <c r="L539" s="204">
        <v>100</v>
      </c>
      <c r="M539" s="204">
        <v>50</v>
      </c>
      <c r="N539" s="204">
        <v>50</v>
      </c>
      <c r="O539" s="204">
        <v>100</v>
      </c>
      <c r="P539" s="204">
        <v>100</v>
      </c>
      <c r="Q539" s="44" t="s">
        <v>45</v>
      </c>
      <c r="R539" s="205">
        <v>85</v>
      </c>
      <c r="S539" s="205">
        <v>93</v>
      </c>
      <c r="T539" s="10" t="s">
        <v>28</v>
      </c>
    </row>
    <row r="540" spans="1:20" ht="27" customHeight="1">
      <c r="A540" s="7" t="s">
        <v>22</v>
      </c>
      <c r="B540" s="204">
        <v>71.400000000000006</v>
      </c>
      <c r="C540" s="204">
        <v>57.9</v>
      </c>
      <c r="D540" s="204">
        <v>33.299999999999997</v>
      </c>
      <c r="E540" s="204">
        <v>50</v>
      </c>
      <c r="F540" s="204">
        <v>50</v>
      </c>
      <c r="G540" s="204">
        <v>50</v>
      </c>
      <c r="H540" s="204">
        <v>50</v>
      </c>
      <c r="I540" s="204">
        <v>100</v>
      </c>
      <c r="J540" s="204">
        <v>100</v>
      </c>
      <c r="K540" s="204">
        <v>100</v>
      </c>
      <c r="L540" s="204">
        <v>100</v>
      </c>
      <c r="M540" s="204">
        <v>100</v>
      </c>
      <c r="N540" s="204">
        <v>100</v>
      </c>
      <c r="O540" s="204">
        <v>100</v>
      </c>
      <c r="P540" s="204">
        <v>100</v>
      </c>
      <c r="Q540" s="44" t="s">
        <v>26</v>
      </c>
      <c r="R540" s="205">
        <v>105</v>
      </c>
      <c r="S540" s="205">
        <v>100</v>
      </c>
      <c r="T540" s="10" t="s">
        <v>35</v>
      </c>
    </row>
    <row r="541" spans="1:20" ht="13.5" customHeight="1">
      <c r="A541" s="7" t="s">
        <v>60</v>
      </c>
      <c r="B541" s="204">
        <v>42.9</v>
      </c>
      <c r="C541" s="204">
        <v>36.9</v>
      </c>
      <c r="D541" s="204">
        <v>16.7</v>
      </c>
      <c r="E541" s="204">
        <v>0</v>
      </c>
      <c r="F541" s="204">
        <v>0</v>
      </c>
      <c r="G541" s="204">
        <v>33.299999999999997</v>
      </c>
      <c r="H541" s="204">
        <v>0</v>
      </c>
      <c r="I541" s="204">
        <v>16.7</v>
      </c>
      <c r="J541" s="204">
        <v>16.7</v>
      </c>
      <c r="K541" s="204">
        <v>0</v>
      </c>
      <c r="L541" s="204">
        <v>0</v>
      </c>
      <c r="M541" s="204">
        <v>0</v>
      </c>
      <c r="N541" s="204">
        <v>0</v>
      </c>
      <c r="O541" s="204">
        <v>33.299999999999997</v>
      </c>
      <c r="P541" s="204">
        <v>33.299999999999997</v>
      </c>
      <c r="Q541" s="44" t="s">
        <v>45</v>
      </c>
      <c r="R541" s="205">
        <v>85</v>
      </c>
      <c r="S541" s="205">
        <v>98</v>
      </c>
      <c r="T541" s="10" t="s">
        <v>32</v>
      </c>
    </row>
    <row r="542" spans="1:20" ht="13.5" customHeight="1">
      <c r="A542" s="7" t="s">
        <v>33</v>
      </c>
      <c r="B542" s="204">
        <v>100</v>
      </c>
      <c r="C542" s="204">
        <v>76.2</v>
      </c>
      <c r="D542" s="204">
        <v>80</v>
      </c>
      <c r="E542" s="204">
        <v>100</v>
      </c>
      <c r="F542" s="204">
        <v>100</v>
      </c>
      <c r="G542" s="204">
        <v>100</v>
      </c>
      <c r="H542" s="204">
        <v>100</v>
      </c>
      <c r="I542" s="204">
        <v>50</v>
      </c>
      <c r="J542" s="204">
        <v>50</v>
      </c>
      <c r="K542" s="204">
        <v>100</v>
      </c>
      <c r="L542" s="204">
        <v>100</v>
      </c>
      <c r="M542" s="204">
        <v>100</v>
      </c>
      <c r="N542" s="204">
        <v>100</v>
      </c>
      <c r="O542" s="204">
        <v>100</v>
      </c>
      <c r="P542" s="204">
        <v>100</v>
      </c>
      <c r="Q542" s="44" t="s">
        <v>23</v>
      </c>
      <c r="R542" s="205">
        <v>105</v>
      </c>
      <c r="S542" s="205">
        <v>77</v>
      </c>
      <c r="T542" s="10" t="s">
        <v>46</v>
      </c>
    </row>
    <row r="543" spans="1:20" ht="13.5" customHeight="1">
      <c r="A543" s="7" t="s">
        <v>62</v>
      </c>
      <c r="B543" s="204">
        <v>45.2</v>
      </c>
      <c r="C543" s="204">
        <v>22.2</v>
      </c>
      <c r="D543" s="204">
        <v>30</v>
      </c>
      <c r="E543" s="204">
        <v>40</v>
      </c>
      <c r="F543" s="204">
        <v>40</v>
      </c>
      <c r="G543" s="204">
        <v>40</v>
      </c>
      <c r="H543" s="204">
        <v>40</v>
      </c>
      <c r="I543" s="204">
        <v>16.7</v>
      </c>
      <c r="J543" s="204">
        <v>16.7</v>
      </c>
      <c r="K543" s="204">
        <v>0</v>
      </c>
      <c r="L543" s="204">
        <v>0</v>
      </c>
      <c r="M543" s="204">
        <v>0</v>
      </c>
      <c r="N543" s="204">
        <v>0</v>
      </c>
      <c r="O543" s="204">
        <v>0</v>
      </c>
      <c r="P543" s="204">
        <v>0</v>
      </c>
      <c r="Q543" s="44" t="s">
        <v>45</v>
      </c>
      <c r="R543" s="205">
        <v>80</v>
      </c>
      <c r="S543" s="205">
        <v>103</v>
      </c>
      <c r="T543" s="10" t="s">
        <v>35</v>
      </c>
    </row>
    <row r="544" spans="1:20" ht="13.5" customHeight="1">
      <c r="A544" s="7" t="s">
        <v>31</v>
      </c>
      <c r="B544" s="204">
        <v>45.2</v>
      </c>
      <c r="C544" s="204">
        <v>36.9</v>
      </c>
      <c r="D544" s="204">
        <v>42.9</v>
      </c>
      <c r="E544" s="204">
        <v>100</v>
      </c>
      <c r="F544" s="204">
        <v>100</v>
      </c>
      <c r="G544" s="204">
        <v>100</v>
      </c>
      <c r="H544" s="204">
        <v>100</v>
      </c>
      <c r="I544" s="204">
        <v>50</v>
      </c>
      <c r="J544" s="204">
        <v>50</v>
      </c>
      <c r="K544" s="204">
        <v>100</v>
      </c>
      <c r="L544" s="204">
        <v>100</v>
      </c>
      <c r="M544" s="204">
        <v>100</v>
      </c>
      <c r="N544" s="204">
        <v>100</v>
      </c>
      <c r="O544" s="204">
        <v>33.299999999999997</v>
      </c>
      <c r="P544" s="204">
        <v>33.299999999999997</v>
      </c>
      <c r="Q544" s="44" t="s">
        <v>26</v>
      </c>
      <c r="R544" s="205">
        <v>100</v>
      </c>
      <c r="S544" s="205">
        <v>97</v>
      </c>
      <c r="T544" s="100" t="s">
        <v>65</v>
      </c>
    </row>
    <row r="545" spans="1:20" ht="13.5" customHeight="1">
      <c r="A545" s="7" t="s">
        <v>31</v>
      </c>
      <c r="B545" s="204">
        <v>54.5</v>
      </c>
      <c r="C545" s="204">
        <v>54.7</v>
      </c>
      <c r="D545" s="204">
        <v>60</v>
      </c>
      <c r="E545" s="204">
        <v>100</v>
      </c>
      <c r="F545" s="204">
        <v>100</v>
      </c>
      <c r="G545" s="204">
        <v>100</v>
      </c>
      <c r="H545" s="204">
        <v>100</v>
      </c>
      <c r="I545" s="204">
        <v>100</v>
      </c>
      <c r="J545" s="204">
        <v>100</v>
      </c>
      <c r="K545" s="204">
        <v>100</v>
      </c>
      <c r="L545" s="204">
        <v>100</v>
      </c>
      <c r="M545" s="204">
        <v>100</v>
      </c>
      <c r="N545" s="204">
        <v>100</v>
      </c>
      <c r="O545" s="204">
        <v>100</v>
      </c>
      <c r="P545" s="204">
        <v>100</v>
      </c>
      <c r="Q545" s="44" t="s">
        <v>26</v>
      </c>
      <c r="R545" s="205">
        <v>85</v>
      </c>
      <c r="S545" s="205">
        <v>68</v>
      </c>
      <c r="T545" s="10" t="s">
        <v>40</v>
      </c>
    </row>
    <row r="546" spans="1:20" ht="13.5" customHeight="1">
      <c r="A546" s="7" t="s">
        <v>31</v>
      </c>
      <c r="B546" s="204">
        <v>68.400000000000006</v>
      </c>
      <c r="C546" s="204">
        <v>76.2</v>
      </c>
      <c r="D546" s="204">
        <v>100</v>
      </c>
      <c r="E546" s="204">
        <v>100</v>
      </c>
      <c r="F546" s="204">
        <v>100</v>
      </c>
      <c r="G546" s="204">
        <v>100</v>
      </c>
      <c r="H546" s="204">
        <v>100</v>
      </c>
      <c r="I546" s="204">
        <v>75</v>
      </c>
      <c r="J546" s="204">
        <v>75</v>
      </c>
      <c r="K546" s="204">
        <v>100</v>
      </c>
      <c r="L546" s="204">
        <v>100</v>
      </c>
      <c r="M546" s="204">
        <v>100</v>
      </c>
      <c r="N546" s="204">
        <v>100</v>
      </c>
      <c r="O546" s="204">
        <v>100</v>
      </c>
      <c r="P546" s="204">
        <v>100</v>
      </c>
      <c r="Q546" s="44" t="s">
        <v>23</v>
      </c>
      <c r="R546" s="205">
        <v>105</v>
      </c>
      <c r="S546" s="205">
        <v>95</v>
      </c>
      <c r="T546" s="57" t="s">
        <v>27</v>
      </c>
    </row>
    <row r="547" spans="1:20" ht="13.5" customHeight="1">
      <c r="A547" s="7" t="s">
        <v>31</v>
      </c>
      <c r="B547" s="204">
        <v>42.9</v>
      </c>
      <c r="C547" s="204">
        <v>36.9</v>
      </c>
      <c r="D547" s="204">
        <v>16.7</v>
      </c>
      <c r="E547" s="204">
        <v>50</v>
      </c>
      <c r="F547" s="204">
        <v>50</v>
      </c>
      <c r="G547" s="204">
        <v>100</v>
      </c>
      <c r="H547" s="204">
        <v>100</v>
      </c>
      <c r="I547" s="204">
        <v>50</v>
      </c>
      <c r="J547" s="204">
        <v>50</v>
      </c>
      <c r="K547" s="204">
        <v>100</v>
      </c>
      <c r="L547" s="204">
        <v>100</v>
      </c>
      <c r="M547" s="204">
        <v>100</v>
      </c>
      <c r="N547" s="204">
        <v>100</v>
      </c>
      <c r="O547" s="204">
        <v>60</v>
      </c>
      <c r="P547" s="204">
        <v>60</v>
      </c>
      <c r="Q547" s="44" t="s">
        <v>26</v>
      </c>
      <c r="R547" s="205">
        <v>90</v>
      </c>
      <c r="S547" s="205">
        <v>90</v>
      </c>
      <c r="T547" s="57" t="s">
        <v>28</v>
      </c>
    </row>
    <row r="548" spans="1:20" ht="13.5" customHeight="1">
      <c r="A548" s="42" t="s">
        <v>68</v>
      </c>
      <c r="B548" s="204">
        <v>55.6</v>
      </c>
      <c r="C548" s="204">
        <v>55.6</v>
      </c>
      <c r="D548" s="204">
        <v>58.3</v>
      </c>
      <c r="E548" s="204">
        <v>100</v>
      </c>
      <c r="F548" s="204">
        <v>100</v>
      </c>
      <c r="G548" s="204">
        <v>100</v>
      </c>
      <c r="H548" s="204">
        <v>100</v>
      </c>
      <c r="I548" s="204">
        <v>100</v>
      </c>
      <c r="J548" s="204">
        <v>100</v>
      </c>
      <c r="K548" s="204">
        <v>100</v>
      </c>
      <c r="L548" s="204">
        <v>100</v>
      </c>
      <c r="M548" s="204">
        <v>100</v>
      </c>
      <c r="N548" s="204">
        <v>100</v>
      </c>
      <c r="O548" s="204">
        <v>100</v>
      </c>
      <c r="P548" s="204">
        <v>100</v>
      </c>
      <c r="Q548" s="44" t="s">
        <v>45</v>
      </c>
      <c r="R548" s="205">
        <v>95</v>
      </c>
      <c r="S548" s="205">
        <v>100</v>
      </c>
      <c r="T548" s="10" t="s">
        <v>35</v>
      </c>
    </row>
    <row r="549" spans="1:20" ht="13.5" customHeight="1">
      <c r="A549" s="7" t="s">
        <v>22</v>
      </c>
      <c r="B549" s="204">
        <v>47.1</v>
      </c>
      <c r="C549" s="204">
        <v>55.6</v>
      </c>
      <c r="D549" s="204">
        <v>50</v>
      </c>
      <c r="E549" s="204">
        <v>66.7</v>
      </c>
      <c r="F549" s="204">
        <v>66.7</v>
      </c>
      <c r="G549" s="204">
        <v>16.7</v>
      </c>
      <c r="H549" s="204">
        <v>16.7</v>
      </c>
      <c r="I549" s="204">
        <v>36.4</v>
      </c>
      <c r="J549" s="204">
        <v>36.4</v>
      </c>
      <c r="K549" s="204">
        <v>40</v>
      </c>
      <c r="L549" s="204">
        <v>40</v>
      </c>
      <c r="M549" s="204">
        <v>25</v>
      </c>
      <c r="N549" s="204">
        <v>25</v>
      </c>
      <c r="O549" s="204">
        <v>42.9</v>
      </c>
      <c r="P549" s="204">
        <v>42.9</v>
      </c>
      <c r="Q549" s="44" t="s">
        <v>45</v>
      </c>
      <c r="R549" s="205">
        <v>95</v>
      </c>
      <c r="S549" s="205">
        <v>95</v>
      </c>
      <c r="T549" s="10" t="s">
        <v>24</v>
      </c>
    </row>
    <row r="550" spans="1:20" ht="13.5" customHeight="1">
      <c r="A550" s="7" t="s">
        <v>33</v>
      </c>
      <c r="B550" s="204">
        <v>58</v>
      </c>
      <c r="C550" s="204">
        <v>60.6</v>
      </c>
      <c r="D550" s="204">
        <v>100</v>
      </c>
      <c r="E550" s="204">
        <v>50</v>
      </c>
      <c r="F550" s="204">
        <v>50</v>
      </c>
      <c r="G550" s="204">
        <v>66.7</v>
      </c>
      <c r="H550" s="204">
        <v>66.7</v>
      </c>
      <c r="I550" s="204">
        <v>50</v>
      </c>
      <c r="J550" s="204">
        <v>50</v>
      </c>
      <c r="K550" s="204">
        <v>100</v>
      </c>
      <c r="L550" s="204">
        <v>100</v>
      </c>
      <c r="M550" s="204">
        <v>100</v>
      </c>
      <c r="N550" s="204">
        <v>100</v>
      </c>
      <c r="O550" s="204">
        <v>100</v>
      </c>
      <c r="P550" s="204">
        <v>100</v>
      </c>
      <c r="Q550" s="44" t="s">
        <v>26</v>
      </c>
      <c r="R550" s="205">
        <v>90</v>
      </c>
      <c r="S550" s="205">
        <v>75</v>
      </c>
      <c r="T550" s="10" t="s">
        <v>40</v>
      </c>
    </row>
    <row r="551" spans="1:20" ht="13.5" customHeight="1">
      <c r="A551" s="7" t="s">
        <v>36</v>
      </c>
      <c r="B551" s="204">
        <v>57.7</v>
      </c>
      <c r="C551" s="204">
        <v>38.1</v>
      </c>
      <c r="D551" s="204">
        <v>33.299999999999997</v>
      </c>
      <c r="E551" s="204">
        <v>14.3</v>
      </c>
      <c r="F551" s="204">
        <v>14.3</v>
      </c>
      <c r="G551" s="204">
        <v>14.3</v>
      </c>
      <c r="H551" s="204">
        <v>14.3</v>
      </c>
      <c r="I551" s="204">
        <v>36.4</v>
      </c>
      <c r="J551" s="204">
        <v>36.4</v>
      </c>
      <c r="K551" s="204">
        <v>33.299999999999997</v>
      </c>
      <c r="L551" s="204">
        <v>33.299999999999997</v>
      </c>
      <c r="M551" s="204">
        <v>50</v>
      </c>
      <c r="N551" s="204">
        <v>50</v>
      </c>
      <c r="O551" s="204">
        <v>33.299999999999997</v>
      </c>
      <c r="P551" s="204">
        <v>33.299999999999997</v>
      </c>
      <c r="Q551" s="44" t="s">
        <v>26</v>
      </c>
      <c r="R551" s="205">
        <v>90</v>
      </c>
      <c r="S551" s="205">
        <v>85</v>
      </c>
      <c r="T551" s="10" t="s">
        <v>28</v>
      </c>
    </row>
    <row r="552" spans="1:20" ht="13.5" customHeight="1">
      <c r="A552" s="7" t="s">
        <v>44</v>
      </c>
      <c r="B552" s="204">
        <v>58</v>
      </c>
      <c r="C552" s="204">
        <v>55.6</v>
      </c>
      <c r="D552" s="204">
        <v>66.7</v>
      </c>
      <c r="E552" s="204">
        <v>50</v>
      </c>
      <c r="F552" s="204">
        <v>50</v>
      </c>
      <c r="G552" s="204">
        <v>50</v>
      </c>
      <c r="H552" s="204">
        <v>50</v>
      </c>
      <c r="I552" s="204">
        <v>25</v>
      </c>
      <c r="J552" s="204">
        <v>25</v>
      </c>
      <c r="K552" s="204">
        <v>50</v>
      </c>
      <c r="L552" s="204">
        <v>50</v>
      </c>
      <c r="M552" s="204">
        <v>50</v>
      </c>
      <c r="N552" s="204">
        <v>50</v>
      </c>
      <c r="O552" s="204">
        <v>75</v>
      </c>
      <c r="P552" s="204">
        <v>75</v>
      </c>
      <c r="Q552" s="44" t="s">
        <v>45</v>
      </c>
      <c r="R552" s="205">
        <v>95</v>
      </c>
      <c r="S552" s="205">
        <v>85</v>
      </c>
      <c r="T552" s="10" t="s">
        <v>28</v>
      </c>
    </row>
    <row r="553" spans="1:20" ht="13.5" customHeight="1">
      <c r="A553" s="7" t="s">
        <v>44</v>
      </c>
      <c r="B553" s="204">
        <v>92.3</v>
      </c>
      <c r="C553" s="204">
        <v>74.400000000000006</v>
      </c>
      <c r="D553" s="204">
        <v>85.7</v>
      </c>
      <c r="E553" s="204">
        <v>100</v>
      </c>
      <c r="F553" s="204">
        <v>100</v>
      </c>
      <c r="G553" s="204">
        <v>100</v>
      </c>
      <c r="H553" s="204">
        <v>100</v>
      </c>
      <c r="I553" s="204">
        <v>100</v>
      </c>
      <c r="J553" s="204">
        <v>100</v>
      </c>
      <c r="K553" s="204">
        <v>100</v>
      </c>
      <c r="L553" s="204">
        <v>100</v>
      </c>
      <c r="M553" s="204">
        <v>100</v>
      </c>
      <c r="N553" s="204">
        <v>100</v>
      </c>
      <c r="O553" s="204">
        <v>100</v>
      </c>
      <c r="P553" s="204">
        <v>100</v>
      </c>
      <c r="Q553" s="44" t="s">
        <v>26</v>
      </c>
      <c r="R553" s="205">
        <v>105</v>
      </c>
      <c r="S553" s="205">
        <v>95</v>
      </c>
      <c r="T553" s="10" t="s">
        <v>28</v>
      </c>
    </row>
    <row r="554" spans="1:20" ht="27" customHeight="1">
      <c r="A554" s="7" t="s">
        <v>36</v>
      </c>
      <c r="B554" s="204">
        <v>45.2</v>
      </c>
      <c r="C554" s="204">
        <v>49</v>
      </c>
      <c r="D554" s="204">
        <v>25</v>
      </c>
      <c r="E554" s="204">
        <v>0</v>
      </c>
      <c r="F554" s="204">
        <v>0</v>
      </c>
      <c r="G554" s="204">
        <v>0</v>
      </c>
      <c r="H554" s="204">
        <v>0</v>
      </c>
      <c r="I554" s="204">
        <v>50</v>
      </c>
      <c r="J554" s="204">
        <v>50</v>
      </c>
      <c r="K554" s="204">
        <v>0</v>
      </c>
      <c r="L554" s="204">
        <v>0</v>
      </c>
      <c r="M554" s="204">
        <v>0</v>
      </c>
      <c r="N554" s="204">
        <v>0</v>
      </c>
      <c r="O554" s="204">
        <v>33.299999999999997</v>
      </c>
      <c r="P554" s="204">
        <v>33.299999999999997</v>
      </c>
      <c r="Q554" s="44" t="s">
        <v>45</v>
      </c>
      <c r="R554" s="205">
        <v>95</v>
      </c>
      <c r="S554" s="205">
        <v>95</v>
      </c>
      <c r="T554" s="10" t="s">
        <v>24</v>
      </c>
    </row>
    <row r="555" spans="1:20" ht="13.5" customHeight="1">
      <c r="A555" s="7" t="s">
        <v>36</v>
      </c>
      <c r="B555" s="204">
        <v>57.7</v>
      </c>
      <c r="C555" s="204">
        <v>38.1</v>
      </c>
      <c r="D555" s="204">
        <v>33.299999999999997</v>
      </c>
      <c r="E555" s="204">
        <v>50</v>
      </c>
      <c r="F555" s="204">
        <v>50</v>
      </c>
      <c r="G555" s="204">
        <v>33.299999999999997</v>
      </c>
      <c r="H555" s="204">
        <v>33.299999999999997</v>
      </c>
      <c r="I555" s="204">
        <v>36.4</v>
      </c>
      <c r="J555" s="204">
        <v>36.4</v>
      </c>
      <c r="K555" s="204">
        <v>0</v>
      </c>
      <c r="L555" s="204">
        <v>0</v>
      </c>
      <c r="M555" s="204">
        <v>20</v>
      </c>
      <c r="N555" s="204">
        <v>20</v>
      </c>
      <c r="O555" s="204">
        <v>33.299999999999997</v>
      </c>
      <c r="P555" s="204">
        <v>33.299999999999997</v>
      </c>
      <c r="Q555" s="44" t="s">
        <v>45</v>
      </c>
      <c r="R555" s="205">
        <v>95</v>
      </c>
      <c r="S555" s="205">
        <v>105</v>
      </c>
      <c r="T555" s="10" t="s">
        <v>35</v>
      </c>
    </row>
    <row r="556" spans="1:20" ht="13.5" customHeight="1">
      <c r="A556" s="7" t="s">
        <v>53</v>
      </c>
      <c r="B556" s="204">
        <v>34.6</v>
      </c>
      <c r="C556" s="204">
        <v>49</v>
      </c>
      <c r="D556" s="204">
        <v>40</v>
      </c>
      <c r="E556" s="204">
        <v>14.3</v>
      </c>
      <c r="F556" s="204">
        <v>14.3</v>
      </c>
      <c r="G556" s="204">
        <v>14.3</v>
      </c>
      <c r="H556" s="204">
        <v>14.3</v>
      </c>
      <c r="I556" s="204">
        <v>36.4</v>
      </c>
      <c r="J556" s="204">
        <v>36.4</v>
      </c>
      <c r="K556" s="204">
        <v>0</v>
      </c>
      <c r="L556" s="204">
        <v>0</v>
      </c>
      <c r="M556" s="204">
        <v>0</v>
      </c>
      <c r="N556" s="204">
        <v>0</v>
      </c>
      <c r="O556" s="204">
        <v>0</v>
      </c>
      <c r="P556" s="204">
        <v>0</v>
      </c>
      <c r="Q556" s="44" t="s">
        <v>45</v>
      </c>
      <c r="R556" s="205">
        <v>95</v>
      </c>
      <c r="S556" s="205">
        <v>95</v>
      </c>
      <c r="T556" s="10" t="s">
        <v>28</v>
      </c>
    </row>
    <row r="557" spans="1:20" ht="13.5" customHeight="1">
      <c r="A557" s="7" t="s">
        <v>31</v>
      </c>
      <c r="B557" s="204">
        <v>57.7</v>
      </c>
      <c r="C557" s="204">
        <v>59.6</v>
      </c>
      <c r="D557" s="204">
        <v>60</v>
      </c>
      <c r="E557" s="204">
        <v>57.1</v>
      </c>
      <c r="F557" s="204">
        <v>50</v>
      </c>
      <c r="G557" s="204">
        <v>66.7</v>
      </c>
      <c r="H557" s="204">
        <v>60</v>
      </c>
      <c r="I557" s="204">
        <v>50</v>
      </c>
      <c r="J557" s="204">
        <v>46.2</v>
      </c>
      <c r="K557" s="204">
        <v>100</v>
      </c>
      <c r="L557" s="204">
        <v>100</v>
      </c>
      <c r="M557" s="204">
        <v>100</v>
      </c>
      <c r="N557" s="204">
        <v>100</v>
      </c>
      <c r="O557" s="204">
        <v>42.9</v>
      </c>
      <c r="P557" s="204">
        <v>42.9</v>
      </c>
      <c r="Q557" s="44" t="s">
        <v>26</v>
      </c>
      <c r="R557" s="205">
        <v>95</v>
      </c>
      <c r="S557" s="205">
        <v>80</v>
      </c>
      <c r="T557" s="10" t="s">
        <v>46</v>
      </c>
    </row>
    <row r="558" spans="1:20" ht="13.5" customHeight="1">
      <c r="A558" s="7" t="s">
        <v>47</v>
      </c>
      <c r="B558" s="204">
        <v>59.1</v>
      </c>
      <c r="C558" s="204">
        <v>38.1</v>
      </c>
      <c r="D558" s="204">
        <v>32.4</v>
      </c>
      <c r="E558" s="204">
        <v>66.7</v>
      </c>
      <c r="F558" s="204">
        <v>66.7</v>
      </c>
      <c r="G558" s="204">
        <v>20</v>
      </c>
      <c r="H558" s="204">
        <v>20</v>
      </c>
      <c r="I558" s="204">
        <v>36.4</v>
      </c>
      <c r="J558" s="204">
        <v>36.4</v>
      </c>
      <c r="K558" s="204">
        <v>40</v>
      </c>
      <c r="L558" s="204">
        <v>40</v>
      </c>
      <c r="M558" s="204">
        <v>33.299999999999997</v>
      </c>
      <c r="N558" s="204">
        <v>33.299999999999997</v>
      </c>
      <c r="O558" s="204">
        <v>42.9</v>
      </c>
      <c r="P558" s="204">
        <v>42.9</v>
      </c>
      <c r="Q558" s="44" t="s">
        <v>26</v>
      </c>
      <c r="R558" s="205">
        <v>90</v>
      </c>
      <c r="S558" s="205">
        <v>80</v>
      </c>
      <c r="T558" s="10" t="s">
        <v>39</v>
      </c>
    </row>
    <row r="559" spans="1:20" ht="13.5" customHeight="1">
      <c r="A559" s="7" t="s">
        <v>42</v>
      </c>
      <c r="B559" s="204">
        <v>47.1</v>
      </c>
      <c r="C559" s="204">
        <v>68</v>
      </c>
      <c r="D559" s="204">
        <v>50</v>
      </c>
      <c r="E559" s="204">
        <v>57.1</v>
      </c>
      <c r="F559" s="204">
        <v>50</v>
      </c>
      <c r="G559" s="204">
        <v>66.7</v>
      </c>
      <c r="H559" s="204">
        <v>60</v>
      </c>
      <c r="I559" s="204">
        <v>50</v>
      </c>
      <c r="J559" s="204">
        <v>46.2</v>
      </c>
      <c r="K559" s="204">
        <v>50</v>
      </c>
      <c r="L559" s="204">
        <v>50</v>
      </c>
      <c r="M559" s="204">
        <v>50</v>
      </c>
      <c r="N559" s="204">
        <v>50</v>
      </c>
      <c r="O559" s="204">
        <v>0</v>
      </c>
      <c r="P559" s="204">
        <v>0</v>
      </c>
      <c r="Q559" s="44" t="s">
        <v>45</v>
      </c>
      <c r="R559" s="205">
        <v>80</v>
      </c>
      <c r="S559" s="205">
        <v>90</v>
      </c>
      <c r="T559" s="10" t="s">
        <v>24</v>
      </c>
    </row>
    <row r="560" spans="1:20" ht="13.5" customHeight="1">
      <c r="A560" s="7" t="s">
        <v>42</v>
      </c>
      <c r="B560" s="204">
        <v>50</v>
      </c>
      <c r="C560" s="204">
        <v>54.7</v>
      </c>
      <c r="D560" s="204">
        <v>57.1</v>
      </c>
      <c r="E560" s="204">
        <v>0</v>
      </c>
      <c r="F560" s="204">
        <v>0</v>
      </c>
      <c r="G560" s="204">
        <v>0</v>
      </c>
      <c r="H560" s="204">
        <v>0</v>
      </c>
      <c r="I560" s="204">
        <v>33.299999999999997</v>
      </c>
      <c r="J560" s="204">
        <v>33.299999999999997</v>
      </c>
      <c r="K560" s="204">
        <v>33.299999999999997</v>
      </c>
      <c r="L560" s="204">
        <v>33.299999999999997</v>
      </c>
      <c r="M560" s="204">
        <v>25</v>
      </c>
      <c r="N560" s="204">
        <v>25</v>
      </c>
      <c r="O560" s="204">
        <v>20</v>
      </c>
      <c r="P560" s="204">
        <v>20</v>
      </c>
      <c r="Q560" s="44" t="s">
        <v>26</v>
      </c>
      <c r="R560" s="205">
        <v>90</v>
      </c>
      <c r="S560" s="205">
        <v>105</v>
      </c>
      <c r="T560" s="57" t="s">
        <v>35</v>
      </c>
    </row>
    <row r="561" spans="1:20" ht="13.5" customHeight="1">
      <c r="A561" s="7" t="s">
        <v>42</v>
      </c>
      <c r="B561" s="204">
        <v>42.9</v>
      </c>
      <c r="C561" s="204">
        <v>38.1</v>
      </c>
      <c r="D561" s="204">
        <v>35.700000000000003</v>
      </c>
      <c r="E561" s="204">
        <v>40</v>
      </c>
      <c r="F561" s="204">
        <v>40</v>
      </c>
      <c r="G561" s="204">
        <v>40</v>
      </c>
      <c r="H561" s="204">
        <v>40</v>
      </c>
      <c r="I561" s="204">
        <v>16.7</v>
      </c>
      <c r="J561" s="204">
        <v>16.7</v>
      </c>
      <c r="K561" s="204">
        <v>0</v>
      </c>
      <c r="L561" s="204">
        <v>0</v>
      </c>
      <c r="M561" s="204">
        <v>50</v>
      </c>
      <c r="N561" s="204">
        <v>50</v>
      </c>
      <c r="O561" s="204">
        <v>33.299999999999997</v>
      </c>
      <c r="P561" s="204">
        <v>33.299999999999997</v>
      </c>
      <c r="Q561" s="44" t="s">
        <v>26</v>
      </c>
      <c r="R561" s="205">
        <v>110</v>
      </c>
      <c r="S561" s="205">
        <v>95</v>
      </c>
      <c r="T561" s="10" t="s">
        <v>28</v>
      </c>
    </row>
    <row r="562" spans="1:20" ht="13.5" customHeight="1">
      <c r="A562" s="7" t="s">
        <v>22</v>
      </c>
      <c r="B562" s="204">
        <v>28.6</v>
      </c>
      <c r="C562" s="204">
        <v>39.1</v>
      </c>
      <c r="D562" s="204">
        <v>40</v>
      </c>
      <c r="E562" s="204">
        <v>33.299999999999997</v>
      </c>
      <c r="F562" s="204">
        <v>33.299999999999997</v>
      </c>
      <c r="G562" s="204">
        <v>100</v>
      </c>
      <c r="H562" s="204">
        <v>100</v>
      </c>
      <c r="I562" s="204">
        <v>33.299999999999997</v>
      </c>
      <c r="J562" s="204">
        <v>33.299999999999997</v>
      </c>
      <c r="K562" s="204">
        <v>100</v>
      </c>
      <c r="L562" s="204">
        <v>100</v>
      </c>
      <c r="M562" s="204">
        <v>50</v>
      </c>
      <c r="N562" s="204">
        <v>50</v>
      </c>
      <c r="O562" s="204">
        <v>33.299999999999997</v>
      </c>
      <c r="P562" s="204">
        <v>33.299999999999997</v>
      </c>
      <c r="Q562" s="44" t="s">
        <v>45</v>
      </c>
      <c r="R562" s="205">
        <v>105</v>
      </c>
      <c r="S562" s="205">
        <v>105</v>
      </c>
      <c r="T562" s="10" t="s">
        <v>35</v>
      </c>
    </row>
    <row r="563" spans="1:20" ht="13.5" customHeight="1">
      <c r="A563" s="7" t="s">
        <v>36</v>
      </c>
      <c r="B563" s="204">
        <v>43.8</v>
      </c>
      <c r="C563" s="204">
        <v>55.6</v>
      </c>
      <c r="D563" s="204">
        <v>20</v>
      </c>
      <c r="E563" s="204">
        <v>50</v>
      </c>
      <c r="F563" s="204">
        <v>50</v>
      </c>
      <c r="G563" s="204">
        <v>50</v>
      </c>
      <c r="H563" s="204">
        <v>50</v>
      </c>
      <c r="I563" s="204">
        <v>60</v>
      </c>
      <c r="J563" s="204">
        <v>60</v>
      </c>
      <c r="K563" s="204">
        <v>0</v>
      </c>
      <c r="L563" s="204">
        <v>0</v>
      </c>
      <c r="M563" s="204">
        <v>0</v>
      </c>
      <c r="N563" s="204">
        <v>0</v>
      </c>
      <c r="O563" s="204">
        <v>20</v>
      </c>
      <c r="P563" s="204">
        <v>20</v>
      </c>
      <c r="Q563" s="44" t="s">
        <v>45</v>
      </c>
      <c r="R563" s="205">
        <v>95</v>
      </c>
      <c r="S563" s="205">
        <v>85</v>
      </c>
      <c r="T563" s="10" t="s">
        <v>24</v>
      </c>
    </row>
    <row r="564" spans="1:20" ht="13.5" customHeight="1">
      <c r="A564" s="7" t="s">
        <v>60</v>
      </c>
      <c r="B564" s="204">
        <v>40</v>
      </c>
      <c r="C564" s="204">
        <v>38.799999999999997</v>
      </c>
      <c r="D564" s="204">
        <v>44.4</v>
      </c>
      <c r="E564" s="204">
        <v>0</v>
      </c>
      <c r="F564" s="204">
        <v>0</v>
      </c>
      <c r="G564" s="204">
        <v>0</v>
      </c>
      <c r="H564" s="204">
        <v>0</v>
      </c>
      <c r="I564" s="204">
        <v>66.7</v>
      </c>
      <c r="J564" s="204">
        <v>66.7</v>
      </c>
      <c r="K564" s="204">
        <v>0</v>
      </c>
      <c r="L564" s="204">
        <v>0</v>
      </c>
      <c r="M564" s="204">
        <v>0</v>
      </c>
      <c r="N564" s="204">
        <v>0</v>
      </c>
      <c r="O564" s="204">
        <v>0</v>
      </c>
      <c r="P564" s="204">
        <v>0</v>
      </c>
      <c r="Q564" s="44" t="s">
        <v>26</v>
      </c>
      <c r="R564" s="205">
        <v>105</v>
      </c>
      <c r="S564" s="205">
        <v>105</v>
      </c>
      <c r="T564" s="10" t="s">
        <v>35</v>
      </c>
    </row>
    <row r="565" spans="1:20" ht="13.5" customHeight="1">
      <c r="A565" s="7" t="s">
        <v>25</v>
      </c>
      <c r="B565" s="204">
        <v>45.2</v>
      </c>
      <c r="C565" s="204">
        <v>36.9</v>
      </c>
      <c r="D565" s="204">
        <v>42.9</v>
      </c>
      <c r="E565" s="204">
        <v>33.299999999999997</v>
      </c>
      <c r="F565" s="204">
        <v>33.299999999999997</v>
      </c>
      <c r="G565" s="204">
        <v>0</v>
      </c>
      <c r="H565" s="204">
        <v>0</v>
      </c>
      <c r="I565" s="204">
        <v>33.299999999999997</v>
      </c>
      <c r="J565" s="204">
        <v>33.299999999999997</v>
      </c>
      <c r="K565" s="204">
        <v>0</v>
      </c>
      <c r="L565" s="204">
        <v>0</v>
      </c>
      <c r="M565" s="204">
        <v>0</v>
      </c>
      <c r="N565" s="204">
        <v>0</v>
      </c>
      <c r="O565" s="204">
        <v>0</v>
      </c>
      <c r="P565" s="204">
        <v>0</v>
      </c>
      <c r="Q565" s="44" t="s">
        <v>45</v>
      </c>
      <c r="R565" s="205">
        <v>80</v>
      </c>
      <c r="S565" s="205">
        <v>80</v>
      </c>
      <c r="T565" s="10" t="s">
        <v>40</v>
      </c>
    </row>
    <row r="566" spans="1:20" ht="13.5" customHeight="1">
      <c r="A566" s="7" t="s">
        <v>25</v>
      </c>
      <c r="B566" s="204">
        <v>68.400000000000006</v>
      </c>
      <c r="C566" s="204">
        <v>59.6</v>
      </c>
      <c r="D566" s="204">
        <v>58.8</v>
      </c>
      <c r="E566" s="204">
        <v>0</v>
      </c>
      <c r="F566" s="204">
        <v>0</v>
      </c>
      <c r="G566" s="204">
        <v>0</v>
      </c>
      <c r="H566" s="204">
        <v>0</v>
      </c>
      <c r="I566" s="204">
        <v>75</v>
      </c>
      <c r="J566" s="204">
        <v>75</v>
      </c>
      <c r="K566" s="204">
        <v>33.299999999999997</v>
      </c>
      <c r="L566" s="204">
        <v>33.299999999999997</v>
      </c>
      <c r="M566" s="204">
        <v>50</v>
      </c>
      <c r="N566" s="204">
        <v>50</v>
      </c>
      <c r="O566" s="204">
        <v>0</v>
      </c>
      <c r="P566" s="204">
        <v>0</v>
      </c>
      <c r="Q566" s="44" t="s">
        <v>26</v>
      </c>
      <c r="R566" s="205">
        <v>90</v>
      </c>
      <c r="S566" s="205">
        <v>90</v>
      </c>
      <c r="T566" s="57" t="s">
        <v>28</v>
      </c>
    </row>
    <row r="567" spans="1:20" ht="13.5" customHeight="1">
      <c r="A567" s="7" t="s">
        <v>31</v>
      </c>
      <c r="B567" s="204">
        <v>50</v>
      </c>
      <c r="C567" s="204">
        <v>54.7</v>
      </c>
      <c r="D567" s="204">
        <v>57.1</v>
      </c>
      <c r="E567" s="204">
        <v>50</v>
      </c>
      <c r="F567" s="204">
        <v>50</v>
      </c>
      <c r="G567" s="204">
        <v>33.299999999999997</v>
      </c>
      <c r="H567" s="204">
        <v>33.299999999999997</v>
      </c>
      <c r="I567" s="204">
        <v>50</v>
      </c>
      <c r="J567" s="204">
        <v>50</v>
      </c>
      <c r="K567" s="204">
        <v>100</v>
      </c>
      <c r="L567" s="204">
        <v>100</v>
      </c>
      <c r="M567" s="204">
        <v>100</v>
      </c>
      <c r="N567" s="204">
        <v>100</v>
      </c>
      <c r="O567" s="204">
        <v>50</v>
      </c>
      <c r="P567" s="204">
        <v>50</v>
      </c>
      <c r="Q567" s="44" t="s">
        <v>26</v>
      </c>
      <c r="R567" s="205">
        <v>90</v>
      </c>
      <c r="S567" s="205">
        <v>95</v>
      </c>
      <c r="T567" s="10" t="s">
        <v>27</v>
      </c>
    </row>
    <row r="568" spans="1:20" ht="13.5" customHeight="1">
      <c r="A568" s="7" t="s">
        <v>31</v>
      </c>
      <c r="B568" s="204">
        <v>34.6</v>
      </c>
      <c r="C568" s="204">
        <v>38.1</v>
      </c>
      <c r="D568" s="204">
        <v>57.1</v>
      </c>
      <c r="E568" s="204">
        <v>66.7</v>
      </c>
      <c r="F568" s="204">
        <v>66.7</v>
      </c>
      <c r="G568" s="204">
        <v>66.7</v>
      </c>
      <c r="H568" s="204">
        <v>66.7</v>
      </c>
      <c r="I568" s="204">
        <v>36.4</v>
      </c>
      <c r="J568" s="204">
        <v>36.4</v>
      </c>
      <c r="K568" s="204">
        <v>40</v>
      </c>
      <c r="L568" s="204">
        <v>40</v>
      </c>
      <c r="M568" s="204">
        <v>50</v>
      </c>
      <c r="N568" s="204">
        <v>50</v>
      </c>
      <c r="O568" s="204">
        <v>42.9</v>
      </c>
      <c r="P568" s="204">
        <v>42.9</v>
      </c>
      <c r="Q568" s="44" t="s">
        <v>26</v>
      </c>
      <c r="R568" s="205">
        <v>110</v>
      </c>
      <c r="S568" s="205">
        <v>120</v>
      </c>
      <c r="T568" s="10" t="s">
        <v>35</v>
      </c>
    </row>
    <row r="569" spans="1:20" ht="13.5" customHeight="1">
      <c r="A569" s="7" t="s">
        <v>42</v>
      </c>
      <c r="B569" s="204">
        <v>58</v>
      </c>
      <c r="C569" s="204">
        <v>46.5</v>
      </c>
      <c r="D569" s="204">
        <v>57.1</v>
      </c>
      <c r="E569" s="204">
        <v>25</v>
      </c>
      <c r="F569" s="204">
        <v>25</v>
      </c>
      <c r="G569" s="204">
        <v>25</v>
      </c>
      <c r="H569" s="204">
        <v>25</v>
      </c>
      <c r="I569" s="204">
        <v>37.5</v>
      </c>
      <c r="J569" s="204">
        <v>37.5</v>
      </c>
      <c r="K569" s="204">
        <v>0</v>
      </c>
      <c r="L569" s="204">
        <v>0</v>
      </c>
      <c r="M569" s="204">
        <v>0</v>
      </c>
      <c r="N569" s="204">
        <v>0</v>
      </c>
      <c r="O569" s="204">
        <v>50</v>
      </c>
      <c r="P569" s="204">
        <v>50</v>
      </c>
      <c r="Q569" s="44" t="s">
        <v>26</v>
      </c>
      <c r="R569" s="205">
        <v>100</v>
      </c>
      <c r="S569" s="205">
        <v>90</v>
      </c>
      <c r="T569" s="10" t="s">
        <v>27</v>
      </c>
    </row>
    <row r="570" spans="1:20" ht="13.5" customHeight="1">
      <c r="A570" s="7" t="s">
        <v>44</v>
      </c>
      <c r="B570" s="204">
        <v>76.900000000000006</v>
      </c>
      <c r="C570" s="204">
        <v>59.6</v>
      </c>
      <c r="D570" s="204">
        <v>60</v>
      </c>
      <c r="E570" s="204">
        <v>100</v>
      </c>
      <c r="F570" s="204">
        <v>100</v>
      </c>
      <c r="G570" s="204">
        <v>100</v>
      </c>
      <c r="H570" s="204">
        <v>100</v>
      </c>
      <c r="I570" s="204">
        <v>75</v>
      </c>
      <c r="J570" s="204">
        <v>75</v>
      </c>
      <c r="K570" s="204">
        <v>100</v>
      </c>
      <c r="L570" s="204">
        <v>100</v>
      </c>
      <c r="M570" s="204">
        <v>100</v>
      </c>
      <c r="N570" s="204">
        <v>100</v>
      </c>
      <c r="O570" s="204">
        <v>100</v>
      </c>
      <c r="P570" s="204">
        <v>100</v>
      </c>
      <c r="Q570" s="44" t="s">
        <v>26</v>
      </c>
      <c r="R570" s="205">
        <v>100</v>
      </c>
      <c r="S570" s="205">
        <v>85</v>
      </c>
      <c r="T570" s="57" t="s">
        <v>27</v>
      </c>
    </row>
    <row r="571" spans="1:20" ht="13.5" customHeight="1">
      <c r="A571" s="7" t="s">
        <v>36</v>
      </c>
      <c r="B571" s="204">
        <v>45.2</v>
      </c>
      <c r="C571" s="204">
        <v>38.1</v>
      </c>
      <c r="D571" s="204">
        <v>28.6</v>
      </c>
      <c r="E571" s="204">
        <v>0</v>
      </c>
      <c r="F571" s="204">
        <v>0</v>
      </c>
      <c r="G571" s="204">
        <v>0</v>
      </c>
      <c r="H571" s="204">
        <v>0</v>
      </c>
      <c r="I571" s="204">
        <v>50</v>
      </c>
      <c r="J571" s="204">
        <v>50</v>
      </c>
      <c r="K571" s="204">
        <v>33.299999999999997</v>
      </c>
      <c r="L571" s="204">
        <v>33.299999999999997</v>
      </c>
      <c r="M571" s="204">
        <v>33.299999999999997</v>
      </c>
      <c r="N571" s="204">
        <v>33.299999999999997</v>
      </c>
      <c r="O571" s="204">
        <v>42.9</v>
      </c>
      <c r="P571" s="204">
        <v>42.9</v>
      </c>
      <c r="Q571" s="44" t="s">
        <v>45</v>
      </c>
      <c r="R571" s="205">
        <v>80</v>
      </c>
      <c r="S571" s="205">
        <v>65</v>
      </c>
      <c r="T571" s="10" t="s">
        <v>40</v>
      </c>
    </row>
    <row r="572" spans="1:20" ht="13.5" customHeight="1">
      <c r="A572" s="7" t="s">
        <v>36</v>
      </c>
      <c r="B572" s="204">
        <v>50</v>
      </c>
      <c r="C572" s="204">
        <v>68</v>
      </c>
      <c r="D572" s="204">
        <v>54.5</v>
      </c>
      <c r="E572" s="204">
        <v>0</v>
      </c>
      <c r="F572" s="204">
        <v>0</v>
      </c>
      <c r="G572" s="204">
        <v>0</v>
      </c>
      <c r="H572" s="204">
        <v>0</v>
      </c>
      <c r="I572" s="204">
        <v>25</v>
      </c>
      <c r="J572" s="204">
        <v>25</v>
      </c>
      <c r="K572" s="204">
        <v>0</v>
      </c>
      <c r="L572" s="204">
        <v>0</v>
      </c>
      <c r="M572" s="204">
        <v>0</v>
      </c>
      <c r="N572" s="204">
        <v>0</v>
      </c>
      <c r="O572" s="204">
        <v>50</v>
      </c>
      <c r="P572" s="204">
        <v>50</v>
      </c>
      <c r="Q572" s="44" t="s">
        <v>26</v>
      </c>
      <c r="R572" s="205">
        <v>90</v>
      </c>
      <c r="S572" s="205">
        <v>90</v>
      </c>
      <c r="T572" s="57" t="s">
        <v>24</v>
      </c>
    </row>
    <row r="573" spans="1:20" ht="13.5" customHeight="1">
      <c r="A573" s="7" t="s">
        <v>36</v>
      </c>
      <c r="B573" s="204">
        <v>50</v>
      </c>
      <c r="C573" s="204">
        <v>54.7</v>
      </c>
      <c r="D573" s="204">
        <v>57.1</v>
      </c>
      <c r="E573" s="204">
        <v>50</v>
      </c>
      <c r="F573" s="204">
        <v>50</v>
      </c>
      <c r="G573" s="204">
        <v>33.299999999999997</v>
      </c>
      <c r="H573" s="204">
        <v>33.299999999999997</v>
      </c>
      <c r="I573" s="204">
        <v>66.7</v>
      </c>
      <c r="J573" s="204">
        <v>66.7</v>
      </c>
      <c r="K573" s="204">
        <v>33.299999999999997</v>
      </c>
      <c r="L573" s="204">
        <v>33.299999999999997</v>
      </c>
      <c r="M573" s="204">
        <v>50</v>
      </c>
      <c r="N573" s="204">
        <v>50</v>
      </c>
      <c r="O573" s="204">
        <v>0</v>
      </c>
      <c r="P573" s="204">
        <v>0</v>
      </c>
      <c r="Q573" s="44" t="s">
        <v>26</v>
      </c>
      <c r="R573" s="205">
        <v>90</v>
      </c>
      <c r="S573" s="205">
        <v>100</v>
      </c>
      <c r="T573" s="57" t="s">
        <v>32</v>
      </c>
    </row>
    <row r="574" spans="1:20" ht="13.5" customHeight="1">
      <c r="A574" s="7" t="s">
        <v>36</v>
      </c>
      <c r="B574" s="204">
        <v>44.4</v>
      </c>
      <c r="C574" s="204">
        <v>39.1</v>
      </c>
      <c r="D574" s="204">
        <v>52.4</v>
      </c>
      <c r="E574" s="204">
        <v>50</v>
      </c>
      <c r="F574" s="204">
        <v>50</v>
      </c>
      <c r="G574" s="204">
        <v>33.299999999999997</v>
      </c>
      <c r="H574" s="204">
        <v>33.299999999999997</v>
      </c>
      <c r="I574" s="204">
        <v>60</v>
      </c>
      <c r="J574" s="204">
        <v>66.7</v>
      </c>
      <c r="K574" s="204">
        <v>0</v>
      </c>
      <c r="L574" s="204">
        <v>0</v>
      </c>
      <c r="M574" s="204">
        <v>0</v>
      </c>
      <c r="N574" s="204">
        <v>0</v>
      </c>
      <c r="O574" s="204">
        <v>33.299999999999997</v>
      </c>
      <c r="P574" s="204">
        <v>33.299999999999997</v>
      </c>
      <c r="Q574" s="44" t="s">
        <v>45</v>
      </c>
      <c r="R574" s="205">
        <v>105</v>
      </c>
      <c r="S574" s="205">
        <v>99</v>
      </c>
      <c r="T574" s="10" t="s">
        <v>35</v>
      </c>
    </row>
    <row r="575" spans="1:20" ht="13.5" customHeight="1">
      <c r="A575" s="7" t="s">
        <v>37</v>
      </c>
      <c r="B575" s="204">
        <v>63.6</v>
      </c>
      <c r="C575" s="204">
        <v>49</v>
      </c>
      <c r="D575" s="204">
        <v>100</v>
      </c>
      <c r="E575" s="204">
        <v>40</v>
      </c>
      <c r="F575" s="204">
        <v>40</v>
      </c>
      <c r="G575" s="204">
        <v>40</v>
      </c>
      <c r="H575" s="204">
        <v>40</v>
      </c>
      <c r="I575" s="204">
        <v>33.299999999999997</v>
      </c>
      <c r="J575" s="204">
        <v>33.299999999999997</v>
      </c>
      <c r="K575" s="204">
        <v>100</v>
      </c>
      <c r="L575" s="204">
        <v>100</v>
      </c>
      <c r="M575" s="204">
        <v>100</v>
      </c>
      <c r="N575" s="204">
        <v>100</v>
      </c>
      <c r="O575" s="204">
        <v>100</v>
      </c>
      <c r="P575" s="204">
        <v>100</v>
      </c>
      <c r="Q575" s="44" t="s">
        <v>26</v>
      </c>
      <c r="R575" s="205">
        <v>95</v>
      </c>
      <c r="S575" s="205">
        <v>107</v>
      </c>
      <c r="T575" s="10" t="s">
        <v>35</v>
      </c>
    </row>
    <row r="576" spans="1:20" ht="13.5" customHeight="1">
      <c r="A576" s="7" t="s">
        <v>22</v>
      </c>
      <c r="B576" s="204">
        <v>58</v>
      </c>
      <c r="C576" s="204">
        <v>73.3</v>
      </c>
      <c r="D576" s="204">
        <v>83.3</v>
      </c>
      <c r="E576" s="204">
        <v>100</v>
      </c>
      <c r="F576" s="204">
        <v>100</v>
      </c>
      <c r="G576" s="204">
        <v>100</v>
      </c>
      <c r="H576" s="204">
        <v>100</v>
      </c>
      <c r="I576" s="204">
        <v>66.7</v>
      </c>
      <c r="J576" s="204">
        <v>66.7</v>
      </c>
      <c r="K576" s="204">
        <v>100</v>
      </c>
      <c r="L576" s="204">
        <v>100</v>
      </c>
      <c r="M576" s="204">
        <v>100</v>
      </c>
      <c r="N576" s="204">
        <v>100</v>
      </c>
      <c r="O576" s="204">
        <v>50</v>
      </c>
      <c r="P576" s="204">
        <v>50</v>
      </c>
      <c r="Q576" s="44" t="s">
        <v>26</v>
      </c>
      <c r="R576" s="205">
        <v>75</v>
      </c>
      <c r="S576" s="205">
        <v>65</v>
      </c>
      <c r="T576" s="10" t="s">
        <v>40</v>
      </c>
    </row>
    <row r="577" spans="1:20" ht="13.5" customHeight="1">
      <c r="A577" s="7" t="s">
        <v>42</v>
      </c>
      <c r="B577" s="204">
        <v>28.6</v>
      </c>
      <c r="C577" s="204">
        <v>36.9</v>
      </c>
      <c r="D577" s="204">
        <v>30</v>
      </c>
      <c r="E577" s="204">
        <v>0</v>
      </c>
      <c r="F577" s="204">
        <v>0</v>
      </c>
      <c r="G577" s="204">
        <v>0</v>
      </c>
      <c r="H577" s="204">
        <v>0</v>
      </c>
      <c r="I577" s="204">
        <v>0</v>
      </c>
      <c r="J577" s="204">
        <v>0</v>
      </c>
      <c r="K577" s="204">
        <v>0</v>
      </c>
      <c r="L577" s="204">
        <v>0</v>
      </c>
      <c r="M577" s="204">
        <v>50</v>
      </c>
      <c r="N577" s="204">
        <v>50</v>
      </c>
      <c r="O577" s="204">
        <v>37.5</v>
      </c>
      <c r="P577" s="204">
        <v>37.5</v>
      </c>
      <c r="Q577" s="44" t="s">
        <v>26</v>
      </c>
      <c r="R577" s="205">
        <v>95</v>
      </c>
      <c r="S577" s="205">
        <v>105</v>
      </c>
      <c r="T577" s="10" t="s">
        <v>35</v>
      </c>
    </row>
    <row r="578" spans="1:20" ht="13.5" customHeight="1">
      <c r="A578" s="7" t="s">
        <v>33</v>
      </c>
      <c r="B578" s="204">
        <v>68.400000000000006</v>
      </c>
      <c r="C578" s="204">
        <v>60.6</v>
      </c>
      <c r="D578" s="204">
        <v>66.7</v>
      </c>
      <c r="E578" s="204">
        <v>100</v>
      </c>
      <c r="F578" s="204">
        <v>100</v>
      </c>
      <c r="G578" s="204">
        <v>100</v>
      </c>
      <c r="H578" s="204">
        <v>100</v>
      </c>
      <c r="I578" s="204">
        <v>66.7</v>
      </c>
      <c r="J578" s="204">
        <v>66.7</v>
      </c>
      <c r="K578" s="204">
        <v>100</v>
      </c>
      <c r="L578" s="204">
        <v>100</v>
      </c>
      <c r="M578" s="204">
        <v>100</v>
      </c>
      <c r="N578" s="204">
        <v>100</v>
      </c>
      <c r="O578" s="204">
        <v>50</v>
      </c>
      <c r="P578" s="204">
        <v>50</v>
      </c>
      <c r="Q578" s="44" t="s">
        <v>23</v>
      </c>
      <c r="R578" s="205">
        <v>110</v>
      </c>
      <c r="S578" s="205">
        <v>85</v>
      </c>
      <c r="T578" s="10" t="s">
        <v>27</v>
      </c>
    </row>
    <row r="579" spans="1:20" ht="13.5" customHeight="1">
      <c r="A579" s="7" t="s">
        <v>53</v>
      </c>
      <c r="B579" s="204">
        <v>42.9</v>
      </c>
      <c r="C579" s="204">
        <v>36.9</v>
      </c>
      <c r="D579" s="204">
        <v>16.7</v>
      </c>
      <c r="E579" s="204">
        <v>33.299999999999997</v>
      </c>
      <c r="F579" s="204">
        <v>33.299999999999997</v>
      </c>
      <c r="G579" s="204">
        <v>33.299999999999997</v>
      </c>
      <c r="H579" s="204">
        <v>33.299999999999997</v>
      </c>
      <c r="I579" s="204">
        <v>42.9</v>
      </c>
      <c r="J579" s="204">
        <v>42.9</v>
      </c>
      <c r="K579" s="204">
        <v>0</v>
      </c>
      <c r="L579" s="204">
        <v>0</v>
      </c>
      <c r="M579" s="204">
        <v>0</v>
      </c>
      <c r="N579" s="204">
        <v>0</v>
      </c>
      <c r="O579" s="204">
        <v>33.299999999999997</v>
      </c>
      <c r="P579" s="204">
        <v>33.299999999999997</v>
      </c>
      <c r="Q579" s="44" t="s">
        <v>45</v>
      </c>
      <c r="R579" s="205">
        <v>95</v>
      </c>
      <c r="S579" s="205">
        <v>90</v>
      </c>
      <c r="T579" s="10" t="s">
        <v>28</v>
      </c>
    </row>
    <row r="580" spans="1:20" ht="13.5" customHeight="1">
      <c r="A580" s="7" t="s">
        <v>44</v>
      </c>
      <c r="B580" s="204">
        <v>47.1</v>
      </c>
      <c r="C580" s="204">
        <v>54.7</v>
      </c>
      <c r="D580" s="204">
        <v>53.8</v>
      </c>
      <c r="E580" s="204">
        <v>40</v>
      </c>
      <c r="F580" s="204">
        <v>40</v>
      </c>
      <c r="G580" s="204">
        <v>33.299999999999997</v>
      </c>
      <c r="H580" s="204">
        <v>33.299999999999997</v>
      </c>
      <c r="I580" s="204">
        <v>50</v>
      </c>
      <c r="J580" s="204">
        <v>46.2</v>
      </c>
      <c r="K580" s="204">
        <v>100</v>
      </c>
      <c r="L580" s="204">
        <v>100</v>
      </c>
      <c r="M580" s="204">
        <v>100</v>
      </c>
      <c r="N580" s="204">
        <v>100</v>
      </c>
      <c r="O580" s="204">
        <v>33.299999999999997</v>
      </c>
      <c r="P580" s="204">
        <v>33.299999999999997</v>
      </c>
      <c r="Q580" s="44" t="s">
        <v>26</v>
      </c>
      <c r="R580" s="205">
        <v>90</v>
      </c>
      <c r="S580" s="205">
        <v>95</v>
      </c>
      <c r="T580" s="100" t="s">
        <v>24</v>
      </c>
    </row>
    <row r="581" spans="1:20" ht="13.5" customHeight="1">
      <c r="A581" s="7" t="s">
        <v>47</v>
      </c>
      <c r="B581" s="204">
        <v>55.6</v>
      </c>
      <c r="C581" s="204">
        <v>38.1</v>
      </c>
      <c r="D581" s="204">
        <v>30.8</v>
      </c>
      <c r="E581" s="204">
        <v>0</v>
      </c>
      <c r="F581" s="204">
        <v>0</v>
      </c>
      <c r="G581" s="204">
        <v>0</v>
      </c>
      <c r="H581" s="204">
        <v>0</v>
      </c>
      <c r="I581" s="204">
        <v>33.299999999999997</v>
      </c>
      <c r="J581" s="204">
        <v>33.299999999999997</v>
      </c>
      <c r="K581" s="204">
        <v>50</v>
      </c>
      <c r="L581" s="204">
        <v>50</v>
      </c>
      <c r="M581" s="204">
        <v>50</v>
      </c>
      <c r="N581" s="204">
        <v>50</v>
      </c>
      <c r="O581" s="204">
        <v>40</v>
      </c>
      <c r="P581" s="204">
        <v>40</v>
      </c>
      <c r="Q581" s="44" t="s">
        <v>45</v>
      </c>
      <c r="R581" s="205">
        <v>80</v>
      </c>
      <c r="S581" s="205">
        <v>80</v>
      </c>
      <c r="T581" s="10" t="s">
        <v>40</v>
      </c>
    </row>
    <row r="582" spans="1:20" ht="13.5" customHeight="1">
      <c r="A582" s="7" t="s">
        <v>25</v>
      </c>
      <c r="B582" s="204">
        <v>57.7</v>
      </c>
      <c r="C582" s="204">
        <v>55.6</v>
      </c>
      <c r="D582" s="204">
        <v>30</v>
      </c>
      <c r="E582" s="204">
        <v>57.1</v>
      </c>
      <c r="F582" s="204">
        <v>50</v>
      </c>
      <c r="G582" s="204">
        <v>66.7</v>
      </c>
      <c r="H582" s="204">
        <v>60</v>
      </c>
      <c r="I582" s="204">
        <v>50</v>
      </c>
      <c r="J582" s="204">
        <v>46.2</v>
      </c>
      <c r="K582" s="204">
        <v>0</v>
      </c>
      <c r="L582" s="204">
        <v>0</v>
      </c>
      <c r="M582" s="204">
        <v>0</v>
      </c>
      <c r="N582" s="204">
        <v>0</v>
      </c>
      <c r="O582" s="204">
        <v>33.299999999999997</v>
      </c>
      <c r="P582" s="204">
        <v>0</v>
      </c>
      <c r="Q582" s="44" t="s">
        <v>26</v>
      </c>
      <c r="R582" s="205">
        <v>85</v>
      </c>
      <c r="S582" s="205">
        <v>70</v>
      </c>
      <c r="T582" s="10" t="s">
        <v>46</v>
      </c>
    </row>
    <row r="583" spans="1:20" ht="13.5" customHeight="1">
      <c r="A583" s="7" t="s">
        <v>36</v>
      </c>
      <c r="B583" s="204">
        <v>50</v>
      </c>
      <c r="C583" s="204">
        <v>39.1</v>
      </c>
      <c r="D583" s="204">
        <v>75</v>
      </c>
      <c r="E583" s="204">
        <v>0</v>
      </c>
      <c r="F583" s="204">
        <v>0</v>
      </c>
      <c r="G583" s="204">
        <v>0</v>
      </c>
      <c r="H583" s="204">
        <v>0</v>
      </c>
      <c r="I583" s="204">
        <v>28.6</v>
      </c>
      <c r="J583" s="204">
        <v>28.6</v>
      </c>
      <c r="K583" s="204">
        <v>50</v>
      </c>
      <c r="L583" s="204">
        <v>50</v>
      </c>
      <c r="M583" s="204">
        <v>66.7</v>
      </c>
      <c r="N583" s="204">
        <v>66.7</v>
      </c>
      <c r="O583" s="204">
        <v>40</v>
      </c>
      <c r="P583" s="204">
        <v>40</v>
      </c>
      <c r="Q583" s="44" t="s">
        <v>26</v>
      </c>
      <c r="R583" s="205">
        <v>95</v>
      </c>
      <c r="S583" s="205">
        <v>90</v>
      </c>
      <c r="T583" s="10" t="s">
        <v>28</v>
      </c>
    </row>
    <row r="584" spans="1:20" ht="13.5" customHeight="1">
      <c r="A584" s="7" t="s">
        <v>22</v>
      </c>
      <c r="B584" s="204">
        <v>76.900000000000006</v>
      </c>
      <c r="C584" s="204">
        <v>57.9</v>
      </c>
      <c r="D584" s="204">
        <v>62.5</v>
      </c>
      <c r="E584" s="204">
        <v>100</v>
      </c>
      <c r="F584" s="204">
        <v>100</v>
      </c>
      <c r="G584" s="204">
        <v>100</v>
      </c>
      <c r="H584" s="204">
        <v>100</v>
      </c>
      <c r="I584" s="204">
        <v>75</v>
      </c>
      <c r="J584" s="204">
        <v>75</v>
      </c>
      <c r="K584" s="204">
        <v>100</v>
      </c>
      <c r="L584" s="204">
        <v>100</v>
      </c>
      <c r="M584" s="204">
        <v>100</v>
      </c>
      <c r="N584" s="204">
        <v>100</v>
      </c>
      <c r="O584" s="204">
        <v>100</v>
      </c>
      <c r="P584" s="204">
        <v>100</v>
      </c>
      <c r="Q584" s="44" t="s">
        <v>26</v>
      </c>
      <c r="R584" s="205">
        <v>105</v>
      </c>
      <c r="S584" s="205">
        <v>105</v>
      </c>
      <c r="T584" s="10" t="s">
        <v>35</v>
      </c>
    </row>
    <row r="585" spans="1:20" ht="13.5" customHeight="1">
      <c r="A585" s="7" t="s">
        <v>36</v>
      </c>
      <c r="B585" s="204">
        <v>42.9</v>
      </c>
      <c r="C585" s="204">
        <v>36.9</v>
      </c>
      <c r="D585" s="204">
        <v>16.7</v>
      </c>
      <c r="E585" s="204">
        <v>0</v>
      </c>
      <c r="F585" s="204">
        <v>0</v>
      </c>
      <c r="G585" s="204">
        <v>0</v>
      </c>
      <c r="H585" s="204">
        <v>0</v>
      </c>
      <c r="I585" s="204">
        <v>33.299999999999997</v>
      </c>
      <c r="J585" s="204">
        <v>33.299999999999997</v>
      </c>
      <c r="K585" s="204">
        <v>0</v>
      </c>
      <c r="L585" s="204">
        <v>0</v>
      </c>
      <c r="M585" s="204">
        <v>0</v>
      </c>
      <c r="N585" s="204">
        <v>0</v>
      </c>
      <c r="O585" s="204">
        <v>33.299999999999997</v>
      </c>
      <c r="P585" s="204">
        <v>33.299999999999997</v>
      </c>
      <c r="Q585" s="44" t="s">
        <v>45</v>
      </c>
      <c r="R585" s="205">
        <v>100</v>
      </c>
      <c r="S585" s="205">
        <v>105</v>
      </c>
      <c r="T585" s="10" t="s">
        <v>48</v>
      </c>
    </row>
    <row r="586" spans="1:20" ht="13.5" customHeight="1">
      <c r="A586" s="7" t="s">
        <v>60</v>
      </c>
      <c r="B586" s="204">
        <v>57.7</v>
      </c>
      <c r="C586" s="204">
        <v>55.6</v>
      </c>
      <c r="D586" s="204">
        <v>30</v>
      </c>
      <c r="E586" s="204">
        <v>40</v>
      </c>
      <c r="F586" s="204">
        <v>40</v>
      </c>
      <c r="G586" s="204">
        <v>40</v>
      </c>
      <c r="H586" s="204">
        <v>40</v>
      </c>
      <c r="I586" s="204">
        <v>50</v>
      </c>
      <c r="J586" s="204">
        <v>46.2</v>
      </c>
      <c r="K586" s="204">
        <v>0</v>
      </c>
      <c r="L586" s="204">
        <v>0</v>
      </c>
      <c r="M586" s="204">
        <v>0</v>
      </c>
      <c r="N586" s="204">
        <v>0</v>
      </c>
      <c r="O586" s="204">
        <v>25</v>
      </c>
      <c r="P586" s="204">
        <v>0</v>
      </c>
      <c r="Q586" s="44" t="s">
        <v>45</v>
      </c>
      <c r="R586" s="205">
        <v>100</v>
      </c>
      <c r="S586" s="205">
        <v>85</v>
      </c>
      <c r="T586" s="10" t="s">
        <v>28</v>
      </c>
    </row>
    <row r="587" spans="1:20" ht="13.5" customHeight="1">
      <c r="A587" s="7" t="s">
        <v>42</v>
      </c>
      <c r="B587" s="204">
        <v>50</v>
      </c>
      <c r="C587" s="204">
        <v>22.2</v>
      </c>
      <c r="D587" s="204">
        <v>30</v>
      </c>
      <c r="E587" s="204">
        <v>0</v>
      </c>
      <c r="F587" s="204">
        <v>0</v>
      </c>
      <c r="G587" s="204">
        <v>0</v>
      </c>
      <c r="H587" s="204">
        <v>0</v>
      </c>
      <c r="I587" s="204">
        <v>28.6</v>
      </c>
      <c r="J587" s="204">
        <v>28.6</v>
      </c>
      <c r="K587" s="204">
        <v>0</v>
      </c>
      <c r="L587" s="204">
        <v>0</v>
      </c>
      <c r="M587" s="204">
        <v>0</v>
      </c>
      <c r="N587" s="204">
        <v>0</v>
      </c>
      <c r="O587" s="204">
        <v>40</v>
      </c>
      <c r="P587" s="204">
        <v>40</v>
      </c>
      <c r="Q587" s="44" t="s">
        <v>45</v>
      </c>
      <c r="R587" s="205">
        <v>90</v>
      </c>
      <c r="S587" s="205">
        <v>105</v>
      </c>
      <c r="T587" s="10" t="s">
        <v>35</v>
      </c>
    </row>
    <row r="588" spans="1:20" ht="13.5" customHeight="1">
      <c r="A588" s="7" t="s">
        <v>43</v>
      </c>
      <c r="B588" s="204">
        <v>45.2</v>
      </c>
      <c r="C588" s="204">
        <v>49.4</v>
      </c>
      <c r="D588" s="204">
        <v>57.1</v>
      </c>
      <c r="E588" s="204">
        <v>60</v>
      </c>
      <c r="F588" s="204">
        <v>60</v>
      </c>
      <c r="G588" s="204">
        <v>33.299999999999997</v>
      </c>
      <c r="H588" s="204">
        <v>33.299999999999997</v>
      </c>
      <c r="I588" s="204">
        <v>60</v>
      </c>
      <c r="J588" s="204">
        <v>66.7</v>
      </c>
      <c r="K588" s="204">
        <v>75</v>
      </c>
      <c r="L588" s="204">
        <v>75</v>
      </c>
      <c r="M588" s="204">
        <v>40</v>
      </c>
      <c r="N588" s="204">
        <v>40</v>
      </c>
      <c r="O588" s="204">
        <v>33.299999999999997</v>
      </c>
      <c r="P588" s="204">
        <v>33.299999999999997</v>
      </c>
      <c r="Q588" s="44" t="s">
        <v>45</v>
      </c>
      <c r="R588" s="205">
        <v>95</v>
      </c>
      <c r="S588" s="205">
        <v>100</v>
      </c>
      <c r="T588" s="100" t="s">
        <v>35</v>
      </c>
    </row>
    <row r="589" spans="1:20" ht="13.5" customHeight="1">
      <c r="A589" s="7" t="s">
        <v>36</v>
      </c>
      <c r="B589" s="204">
        <v>57.7</v>
      </c>
      <c r="C589" s="204">
        <v>38.1</v>
      </c>
      <c r="D589" s="204">
        <v>33.299999999999997</v>
      </c>
      <c r="E589" s="204">
        <v>0</v>
      </c>
      <c r="F589" s="204">
        <v>0</v>
      </c>
      <c r="G589" s="204">
        <v>0</v>
      </c>
      <c r="H589" s="204">
        <v>0</v>
      </c>
      <c r="I589" s="204">
        <v>36.4</v>
      </c>
      <c r="J589" s="204">
        <v>36.4</v>
      </c>
      <c r="K589" s="204">
        <v>0</v>
      </c>
      <c r="L589" s="204">
        <v>0</v>
      </c>
      <c r="M589" s="204">
        <v>0</v>
      </c>
      <c r="N589" s="204">
        <v>0</v>
      </c>
      <c r="O589" s="204">
        <v>50</v>
      </c>
      <c r="P589" s="204">
        <v>50</v>
      </c>
      <c r="Q589" s="44" t="s">
        <v>45</v>
      </c>
      <c r="R589" s="205">
        <v>85</v>
      </c>
      <c r="S589" s="205">
        <v>110</v>
      </c>
      <c r="T589" s="10" t="s">
        <v>35</v>
      </c>
    </row>
    <row r="590" spans="1:20" ht="13.5" customHeight="1">
      <c r="A590" s="7" t="s">
        <v>74</v>
      </c>
      <c r="B590" s="204">
        <v>57.7</v>
      </c>
      <c r="C590" s="204">
        <v>49.4</v>
      </c>
      <c r="D590" s="204">
        <v>66.7</v>
      </c>
      <c r="E590" s="204">
        <v>14.3</v>
      </c>
      <c r="F590" s="204">
        <v>14.3</v>
      </c>
      <c r="G590" s="204">
        <v>25</v>
      </c>
      <c r="H590" s="204">
        <v>25</v>
      </c>
      <c r="I590" s="204">
        <v>36.4</v>
      </c>
      <c r="J590" s="204">
        <v>36.4</v>
      </c>
      <c r="K590" s="204">
        <v>0</v>
      </c>
      <c r="L590" s="204">
        <v>0</v>
      </c>
      <c r="M590" s="204">
        <v>50</v>
      </c>
      <c r="N590" s="204">
        <v>50</v>
      </c>
      <c r="O590" s="204">
        <v>42.9</v>
      </c>
      <c r="P590" s="204">
        <v>42.9</v>
      </c>
      <c r="Q590" s="44" t="s">
        <v>26</v>
      </c>
      <c r="R590" s="205">
        <v>85</v>
      </c>
      <c r="S590" s="205">
        <v>85</v>
      </c>
      <c r="T590" s="10" t="s">
        <v>24</v>
      </c>
    </row>
    <row r="591" spans="1:20" ht="13.5" customHeight="1">
      <c r="A591" s="7" t="s">
        <v>31</v>
      </c>
      <c r="B591" s="204">
        <v>57.7</v>
      </c>
      <c r="C591" s="204">
        <v>49</v>
      </c>
      <c r="D591" s="204">
        <v>41.7</v>
      </c>
      <c r="E591" s="204">
        <v>50</v>
      </c>
      <c r="F591" s="204">
        <v>50</v>
      </c>
      <c r="G591" s="204">
        <v>50</v>
      </c>
      <c r="H591" s="204">
        <v>50</v>
      </c>
      <c r="I591" s="204">
        <v>100</v>
      </c>
      <c r="J591" s="204">
        <v>100</v>
      </c>
      <c r="K591" s="204">
        <v>33.299999999999997</v>
      </c>
      <c r="L591" s="204">
        <v>33.299999999999997</v>
      </c>
      <c r="M591" s="204">
        <v>50</v>
      </c>
      <c r="N591" s="204">
        <v>50</v>
      </c>
      <c r="O591" s="204">
        <v>50</v>
      </c>
      <c r="P591" s="204">
        <v>50</v>
      </c>
      <c r="Q591" s="44" t="s">
        <v>45</v>
      </c>
      <c r="R591" s="205">
        <v>95</v>
      </c>
      <c r="S591" s="205">
        <v>95</v>
      </c>
      <c r="T591" s="10" t="s">
        <v>28</v>
      </c>
    </row>
    <row r="592" spans="1:20" ht="27" customHeight="1">
      <c r="A592" s="7" t="s">
        <v>36</v>
      </c>
      <c r="B592" s="204">
        <v>20</v>
      </c>
      <c r="C592" s="204">
        <v>39.1</v>
      </c>
      <c r="D592" s="204">
        <v>33.299999999999997</v>
      </c>
      <c r="E592" s="204">
        <v>0</v>
      </c>
      <c r="F592" s="204">
        <v>0</v>
      </c>
      <c r="G592" s="204">
        <v>0</v>
      </c>
      <c r="H592" s="204">
        <v>0</v>
      </c>
      <c r="I592" s="204">
        <v>50</v>
      </c>
      <c r="J592" s="204">
        <v>50</v>
      </c>
      <c r="K592" s="204">
        <v>0</v>
      </c>
      <c r="L592" s="204">
        <v>0</v>
      </c>
      <c r="M592" s="204">
        <v>0</v>
      </c>
      <c r="N592" s="204">
        <v>0</v>
      </c>
      <c r="O592" s="204">
        <v>0</v>
      </c>
      <c r="P592" s="204">
        <v>0</v>
      </c>
      <c r="Q592" s="44" t="s">
        <v>45</v>
      </c>
      <c r="R592" s="205">
        <v>100</v>
      </c>
      <c r="S592" s="205">
        <v>95</v>
      </c>
      <c r="T592" s="10" t="s">
        <v>27</v>
      </c>
    </row>
    <row r="593" spans="1:20" ht="13.5" customHeight="1">
      <c r="A593" s="7" t="s">
        <v>47</v>
      </c>
      <c r="B593" s="204">
        <v>50</v>
      </c>
      <c r="C593" s="204">
        <v>36.9</v>
      </c>
      <c r="D593" s="204">
        <v>16.7</v>
      </c>
      <c r="E593" s="204">
        <v>0</v>
      </c>
      <c r="F593" s="204">
        <v>0</v>
      </c>
      <c r="G593" s="204">
        <v>0</v>
      </c>
      <c r="H593" s="204">
        <v>0</v>
      </c>
      <c r="I593" s="204">
        <v>28.6</v>
      </c>
      <c r="J593" s="204">
        <v>28.6</v>
      </c>
      <c r="K593" s="204">
        <v>0</v>
      </c>
      <c r="L593" s="204">
        <v>0</v>
      </c>
      <c r="M593" s="204">
        <v>0</v>
      </c>
      <c r="N593" s="204">
        <v>0</v>
      </c>
      <c r="O593" s="204">
        <v>0</v>
      </c>
      <c r="P593" s="204">
        <v>0</v>
      </c>
      <c r="Q593" s="44" t="s">
        <v>45</v>
      </c>
      <c r="R593" s="205">
        <v>105</v>
      </c>
      <c r="S593" s="205">
        <v>95</v>
      </c>
      <c r="T593" s="10" t="s">
        <v>35</v>
      </c>
    </row>
    <row r="594" spans="1:20" ht="27" customHeight="1">
      <c r="A594" s="7" t="s">
        <v>42</v>
      </c>
      <c r="B594" s="204">
        <v>50</v>
      </c>
      <c r="C594" s="204">
        <v>38.1</v>
      </c>
      <c r="D594" s="204">
        <v>30.8</v>
      </c>
      <c r="E594" s="204">
        <v>0</v>
      </c>
      <c r="F594" s="204">
        <v>0</v>
      </c>
      <c r="G594" s="204">
        <v>0</v>
      </c>
      <c r="H594" s="204">
        <v>0</v>
      </c>
      <c r="I594" s="204">
        <v>0</v>
      </c>
      <c r="J594" s="204">
        <v>0</v>
      </c>
      <c r="K594" s="204">
        <v>50</v>
      </c>
      <c r="L594" s="204">
        <v>50</v>
      </c>
      <c r="M594" s="204">
        <v>50</v>
      </c>
      <c r="N594" s="204">
        <v>50</v>
      </c>
      <c r="O594" s="204">
        <v>20</v>
      </c>
      <c r="P594" s="204">
        <v>20</v>
      </c>
      <c r="Q594" s="44" t="s">
        <v>45</v>
      </c>
      <c r="R594" s="205">
        <v>85</v>
      </c>
      <c r="S594" s="219">
        <v>82</v>
      </c>
      <c r="T594" s="10" t="s">
        <v>39</v>
      </c>
    </row>
    <row r="595" spans="1:20" ht="13.5" customHeight="1">
      <c r="A595" s="7" t="s">
        <v>53</v>
      </c>
      <c r="B595" s="204">
        <v>58</v>
      </c>
      <c r="C595" s="204">
        <v>49</v>
      </c>
      <c r="D595" s="204">
        <v>25</v>
      </c>
      <c r="E595" s="204">
        <v>0</v>
      </c>
      <c r="F595" s="204">
        <v>0</v>
      </c>
      <c r="G595" s="204">
        <v>0</v>
      </c>
      <c r="H595" s="204">
        <v>0</v>
      </c>
      <c r="I595" s="204">
        <v>0</v>
      </c>
      <c r="J595" s="204">
        <v>0</v>
      </c>
      <c r="K595" s="204">
        <v>0</v>
      </c>
      <c r="L595" s="204">
        <v>0</v>
      </c>
      <c r="M595" s="204">
        <v>0</v>
      </c>
      <c r="N595" s="204">
        <v>0</v>
      </c>
      <c r="O595" s="204">
        <v>50</v>
      </c>
      <c r="P595" s="204">
        <v>50</v>
      </c>
      <c r="Q595" s="44" t="s">
        <v>45</v>
      </c>
      <c r="R595" s="205">
        <v>95</v>
      </c>
      <c r="S595" s="205">
        <v>100</v>
      </c>
      <c r="T595" s="10" t="s">
        <v>32</v>
      </c>
    </row>
    <row r="596" spans="1:20" ht="27" customHeight="1">
      <c r="A596" s="7" t="s">
        <v>47</v>
      </c>
      <c r="B596" s="204">
        <v>50</v>
      </c>
      <c r="C596" s="204">
        <v>38.1</v>
      </c>
      <c r="D596" s="204">
        <v>44.4</v>
      </c>
      <c r="E596" s="204">
        <v>50</v>
      </c>
      <c r="F596" s="204">
        <v>50</v>
      </c>
      <c r="G596" s="204">
        <v>50</v>
      </c>
      <c r="H596" s="204">
        <v>50</v>
      </c>
      <c r="I596" s="204">
        <v>33.299999999999997</v>
      </c>
      <c r="J596" s="204">
        <v>33.299999999999997</v>
      </c>
      <c r="K596" s="204">
        <v>20</v>
      </c>
      <c r="L596" s="204">
        <v>20</v>
      </c>
      <c r="M596" s="204">
        <v>20</v>
      </c>
      <c r="N596" s="204">
        <v>20</v>
      </c>
      <c r="O596" s="204">
        <v>0</v>
      </c>
      <c r="P596" s="204">
        <v>0</v>
      </c>
      <c r="Q596" s="44" t="s">
        <v>45</v>
      </c>
      <c r="R596" s="205">
        <v>95</v>
      </c>
      <c r="S596" s="205">
        <v>100</v>
      </c>
      <c r="T596" s="10" t="s">
        <v>65</v>
      </c>
    </row>
    <row r="597" spans="1:20" ht="13.5" customHeight="1">
      <c r="A597" s="7" t="s">
        <v>60</v>
      </c>
      <c r="B597" s="204">
        <v>40</v>
      </c>
      <c r="C597" s="204">
        <v>39.1</v>
      </c>
      <c r="D597" s="204">
        <v>70</v>
      </c>
      <c r="E597" s="204">
        <v>0</v>
      </c>
      <c r="F597" s="204">
        <v>0</v>
      </c>
      <c r="G597" s="204">
        <v>0</v>
      </c>
      <c r="H597" s="204">
        <v>0</v>
      </c>
      <c r="I597" s="204">
        <v>33.299999999999997</v>
      </c>
      <c r="J597" s="204">
        <v>33.299999999999997</v>
      </c>
      <c r="K597" s="204">
        <v>50</v>
      </c>
      <c r="L597" s="204">
        <v>50</v>
      </c>
      <c r="M597" s="204">
        <v>50</v>
      </c>
      <c r="N597" s="204">
        <v>50</v>
      </c>
      <c r="O597" s="204">
        <v>0</v>
      </c>
      <c r="P597" s="204">
        <v>0</v>
      </c>
      <c r="Q597" s="44" t="s">
        <v>45</v>
      </c>
      <c r="R597" s="205">
        <v>100</v>
      </c>
      <c r="S597" s="205">
        <v>105</v>
      </c>
      <c r="T597" s="10" t="s">
        <v>32</v>
      </c>
    </row>
    <row r="598" spans="1:20" ht="13.5" customHeight="1">
      <c r="A598" s="7" t="s">
        <v>36</v>
      </c>
      <c r="B598" s="204">
        <v>42.9</v>
      </c>
      <c r="C598" s="204">
        <v>36.9</v>
      </c>
      <c r="D598" s="204">
        <v>16.7</v>
      </c>
      <c r="E598" s="204">
        <v>0</v>
      </c>
      <c r="F598" s="204">
        <v>0</v>
      </c>
      <c r="G598" s="204">
        <v>0</v>
      </c>
      <c r="H598" s="204">
        <v>0</v>
      </c>
      <c r="I598" s="204">
        <v>0</v>
      </c>
      <c r="J598" s="204">
        <v>0</v>
      </c>
      <c r="K598" s="204">
        <v>0</v>
      </c>
      <c r="L598" s="204">
        <v>0</v>
      </c>
      <c r="M598" s="204">
        <v>0</v>
      </c>
      <c r="N598" s="204">
        <v>0</v>
      </c>
      <c r="O598" s="204">
        <v>42.9</v>
      </c>
      <c r="P598" s="204">
        <v>42.9</v>
      </c>
      <c r="Q598" s="44" t="s">
        <v>45</v>
      </c>
      <c r="R598" s="205">
        <v>100</v>
      </c>
      <c r="S598" s="205">
        <v>100</v>
      </c>
      <c r="T598" s="10" t="s">
        <v>32</v>
      </c>
    </row>
    <row r="599" spans="1:20" ht="13.5" customHeight="1">
      <c r="A599" s="7" t="s">
        <v>36</v>
      </c>
      <c r="B599" s="204">
        <v>50</v>
      </c>
      <c r="C599" s="204">
        <v>38.1</v>
      </c>
      <c r="D599" s="204">
        <v>35.700000000000003</v>
      </c>
      <c r="E599" s="204">
        <v>50</v>
      </c>
      <c r="F599" s="204">
        <v>50</v>
      </c>
      <c r="G599" s="204">
        <v>33.299999999999997</v>
      </c>
      <c r="H599" s="204">
        <v>33.299999999999997</v>
      </c>
      <c r="I599" s="204">
        <v>28.6</v>
      </c>
      <c r="J599" s="204">
        <v>28.6</v>
      </c>
      <c r="K599" s="204">
        <v>0</v>
      </c>
      <c r="L599" s="204">
        <v>0</v>
      </c>
      <c r="M599" s="204">
        <v>25</v>
      </c>
      <c r="N599" s="204">
        <v>25</v>
      </c>
      <c r="O599" s="204">
        <v>20</v>
      </c>
      <c r="P599" s="204">
        <v>20</v>
      </c>
      <c r="Q599" s="44" t="s">
        <v>45</v>
      </c>
      <c r="R599" s="205">
        <v>95</v>
      </c>
      <c r="S599" s="205">
        <v>95</v>
      </c>
      <c r="T599" s="10" t="s">
        <v>28</v>
      </c>
    </row>
    <row r="600" spans="1:20" ht="13.5" customHeight="1">
      <c r="A600" s="7" t="s">
        <v>33</v>
      </c>
      <c r="B600" s="204">
        <v>44.4</v>
      </c>
      <c r="C600" s="204">
        <v>49.4</v>
      </c>
      <c r="D600" s="204">
        <v>50</v>
      </c>
      <c r="E600" s="204">
        <v>20</v>
      </c>
      <c r="F600" s="204">
        <v>20</v>
      </c>
      <c r="G600" s="204">
        <v>50</v>
      </c>
      <c r="H600" s="204">
        <v>50</v>
      </c>
      <c r="I600" s="204">
        <v>22.2</v>
      </c>
      <c r="J600" s="204">
        <v>14.3</v>
      </c>
      <c r="K600" s="204">
        <v>100</v>
      </c>
      <c r="L600" s="204">
        <v>100</v>
      </c>
      <c r="M600" s="204">
        <v>100</v>
      </c>
      <c r="N600" s="204">
        <v>100</v>
      </c>
      <c r="O600" s="204">
        <v>33.299999999999997</v>
      </c>
      <c r="P600" s="204">
        <v>33.299999999999997</v>
      </c>
      <c r="Q600" s="44" t="s">
        <v>45</v>
      </c>
      <c r="R600" s="205">
        <v>105</v>
      </c>
      <c r="S600" s="205">
        <v>115</v>
      </c>
      <c r="T600" s="10" t="s">
        <v>35</v>
      </c>
    </row>
    <row r="601" spans="1:20" ht="27" customHeight="1">
      <c r="A601" s="7" t="s">
        <v>42</v>
      </c>
      <c r="B601" s="204">
        <v>0</v>
      </c>
      <c r="C601" s="204">
        <v>36.9</v>
      </c>
      <c r="D601" s="204">
        <v>50</v>
      </c>
      <c r="E601" s="204">
        <v>0</v>
      </c>
      <c r="F601" s="204">
        <v>0</v>
      </c>
      <c r="G601" s="204">
        <v>0</v>
      </c>
      <c r="H601" s="204">
        <v>0</v>
      </c>
      <c r="I601" s="204">
        <v>0</v>
      </c>
      <c r="J601" s="204">
        <v>0</v>
      </c>
      <c r="K601" s="204">
        <v>0</v>
      </c>
      <c r="L601" s="204">
        <v>0</v>
      </c>
      <c r="M601" s="204">
        <v>0</v>
      </c>
      <c r="N601" s="204">
        <v>0</v>
      </c>
      <c r="O601" s="204">
        <v>0</v>
      </c>
      <c r="P601" s="204">
        <v>0</v>
      </c>
      <c r="Q601" s="44" t="s">
        <v>45</v>
      </c>
      <c r="R601" s="205">
        <v>85</v>
      </c>
      <c r="S601" s="205">
        <v>100</v>
      </c>
      <c r="T601" s="10" t="s">
        <v>35</v>
      </c>
    </row>
    <row r="602" spans="1:20" ht="13.5" customHeight="1">
      <c r="A602" s="7" t="s">
        <v>36</v>
      </c>
      <c r="B602" s="204">
        <v>45.2</v>
      </c>
      <c r="C602" s="204">
        <v>39.1</v>
      </c>
      <c r="D602" s="204">
        <v>57.1</v>
      </c>
      <c r="E602" s="204">
        <v>20</v>
      </c>
      <c r="F602" s="204">
        <v>20</v>
      </c>
      <c r="G602" s="204">
        <v>0</v>
      </c>
      <c r="H602" s="204">
        <v>0</v>
      </c>
      <c r="I602" s="204">
        <v>22.2</v>
      </c>
      <c r="J602" s="204">
        <v>14.3</v>
      </c>
      <c r="K602" s="204">
        <v>0</v>
      </c>
      <c r="L602" s="204">
        <v>0</v>
      </c>
      <c r="M602" s="204">
        <v>50</v>
      </c>
      <c r="N602" s="204">
        <v>50</v>
      </c>
      <c r="O602" s="204">
        <v>42.9</v>
      </c>
      <c r="P602" s="204">
        <v>42.9</v>
      </c>
      <c r="Q602" s="44" t="s">
        <v>45</v>
      </c>
      <c r="R602" s="205">
        <v>85</v>
      </c>
      <c r="S602" s="205">
        <v>95</v>
      </c>
      <c r="T602" s="10" t="s">
        <v>28</v>
      </c>
    </row>
    <row r="603" spans="1:20" ht="13.5" customHeight="1">
      <c r="A603" s="7" t="s">
        <v>42</v>
      </c>
      <c r="B603" s="204">
        <v>43.8</v>
      </c>
      <c r="C603" s="204">
        <v>38.799999999999997</v>
      </c>
      <c r="D603" s="204">
        <v>57.1</v>
      </c>
      <c r="E603" s="204">
        <v>0</v>
      </c>
      <c r="F603" s="204">
        <v>0</v>
      </c>
      <c r="G603" s="204">
        <v>0</v>
      </c>
      <c r="H603" s="204">
        <v>0</v>
      </c>
      <c r="I603" s="204">
        <v>25</v>
      </c>
      <c r="J603" s="204">
        <v>25</v>
      </c>
      <c r="K603" s="204">
        <v>0</v>
      </c>
      <c r="L603" s="204">
        <v>0</v>
      </c>
      <c r="M603" s="204">
        <v>0</v>
      </c>
      <c r="N603" s="204">
        <v>0</v>
      </c>
      <c r="O603" s="204">
        <v>20</v>
      </c>
      <c r="P603" s="204">
        <v>20</v>
      </c>
      <c r="Q603" s="44" t="s">
        <v>45</v>
      </c>
      <c r="R603" s="205">
        <v>85</v>
      </c>
      <c r="S603" s="205">
        <v>100</v>
      </c>
      <c r="T603" s="10" t="s">
        <v>32</v>
      </c>
    </row>
    <row r="604" spans="1:20" ht="13.5" customHeight="1">
      <c r="A604" s="7" t="s">
        <v>60</v>
      </c>
      <c r="B604" s="204">
        <v>55.6</v>
      </c>
      <c r="C604" s="204">
        <v>38.1</v>
      </c>
      <c r="D604" s="204">
        <v>12.5</v>
      </c>
      <c r="E604" s="204">
        <v>25</v>
      </c>
      <c r="F604" s="204">
        <v>25</v>
      </c>
      <c r="G604" s="204">
        <v>20</v>
      </c>
      <c r="H604" s="204">
        <v>20</v>
      </c>
      <c r="I604" s="204">
        <v>36.4</v>
      </c>
      <c r="J604" s="204">
        <v>36.4</v>
      </c>
      <c r="K604" s="204">
        <v>0</v>
      </c>
      <c r="L604" s="204">
        <v>0</v>
      </c>
      <c r="M604" s="204">
        <v>0</v>
      </c>
      <c r="N604" s="204">
        <v>0</v>
      </c>
      <c r="O604" s="204">
        <v>0</v>
      </c>
      <c r="P604" s="204">
        <v>0</v>
      </c>
      <c r="Q604" s="44" t="s">
        <v>26</v>
      </c>
      <c r="R604" s="205">
        <v>105</v>
      </c>
      <c r="S604" s="205">
        <v>105</v>
      </c>
      <c r="T604" s="217" t="s">
        <v>35</v>
      </c>
    </row>
    <row r="605" spans="1:20" ht="13.5" customHeight="1">
      <c r="A605" s="7" t="s">
        <v>41</v>
      </c>
      <c r="B605" s="204">
        <v>42.9</v>
      </c>
      <c r="C605" s="204">
        <v>38.1</v>
      </c>
      <c r="D605" s="204">
        <v>35.700000000000003</v>
      </c>
      <c r="E605" s="204">
        <v>33.299999999999997</v>
      </c>
      <c r="F605" s="204">
        <v>33.299999999999997</v>
      </c>
      <c r="G605" s="204">
        <v>33.299999999999997</v>
      </c>
      <c r="H605" s="204">
        <v>33.299999999999997</v>
      </c>
      <c r="I605" s="204">
        <v>42.9</v>
      </c>
      <c r="J605" s="204">
        <v>42.9</v>
      </c>
      <c r="K605" s="204">
        <v>100</v>
      </c>
      <c r="L605" s="204">
        <v>100</v>
      </c>
      <c r="M605" s="204">
        <v>75</v>
      </c>
      <c r="N605" s="204">
        <v>75</v>
      </c>
      <c r="O605" s="204">
        <v>50</v>
      </c>
      <c r="P605" s="204">
        <v>50</v>
      </c>
      <c r="Q605" s="44" t="s">
        <v>45</v>
      </c>
      <c r="R605" s="205">
        <v>100</v>
      </c>
      <c r="S605" s="205">
        <v>100</v>
      </c>
      <c r="T605" s="217" t="s">
        <v>32</v>
      </c>
    </row>
    <row r="606" spans="1:20" ht="13.5" customHeight="1">
      <c r="A606" s="7" t="s">
        <v>53</v>
      </c>
      <c r="B606" s="204">
        <v>28.2</v>
      </c>
      <c r="C606" s="204">
        <v>36.9</v>
      </c>
      <c r="D606" s="204">
        <v>22.2</v>
      </c>
      <c r="E606" s="204">
        <v>50</v>
      </c>
      <c r="F606" s="204">
        <v>50</v>
      </c>
      <c r="G606" s="204">
        <v>0</v>
      </c>
      <c r="H606" s="204">
        <v>0</v>
      </c>
      <c r="I606" s="204">
        <v>0</v>
      </c>
      <c r="J606" s="204">
        <v>0</v>
      </c>
      <c r="K606" s="204">
        <v>33.299999999999997</v>
      </c>
      <c r="L606" s="204">
        <v>33.299999999999997</v>
      </c>
      <c r="M606" s="204">
        <v>33.299999999999997</v>
      </c>
      <c r="N606" s="204">
        <v>33.299999999999997</v>
      </c>
      <c r="O606" s="204">
        <v>25</v>
      </c>
      <c r="P606" s="204">
        <v>0</v>
      </c>
      <c r="Q606" s="44" t="s">
        <v>45</v>
      </c>
      <c r="R606" s="205">
        <v>80</v>
      </c>
      <c r="S606" s="205">
        <v>75</v>
      </c>
      <c r="T606" s="217" t="s">
        <v>40</v>
      </c>
    </row>
    <row r="607" spans="1:20" ht="13.5" customHeight="1">
      <c r="A607" s="7" t="s">
        <v>36</v>
      </c>
      <c r="B607" s="204">
        <v>45.2</v>
      </c>
      <c r="C607" s="204">
        <v>49.4</v>
      </c>
      <c r="D607" s="204">
        <v>57.1</v>
      </c>
      <c r="E607" s="204">
        <v>42.9</v>
      </c>
      <c r="F607" s="204">
        <v>33.299999999999997</v>
      </c>
      <c r="G607" s="204">
        <v>20</v>
      </c>
      <c r="H607" s="204">
        <v>20</v>
      </c>
      <c r="I607" s="204">
        <v>50</v>
      </c>
      <c r="J607" s="204">
        <v>40</v>
      </c>
      <c r="K607" s="204">
        <v>50</v>
      </c>
      <c r="L607" s="204">
        <v>50</v>
      </c>
      <c r="M607" s="204">
        <v>75</v>
      </c>
      <c r="N607" s="204">
        <v>75</v>
      </c>
      <c r="O607" s="204">
        <v>50</v>
      </c>
      <c r="P607" s="204">
        <v>50</v>
      </c>
      <c r="Q607" s="44" t="s">
        <v>45</v>
      </c>
      <c r="R607" s="205">
        <v>80</v>
      </c>
      <c r="S607" s="205">
        <v>80</v>
      </c>
      <c r="T607" s="217" t="s">
        <v>46</v>
      </c>
    </row>
    <row r="608" spans="1:20" ht="13.5" customHeight="1">
      <c r="A608" s="7" t="s">
        <v>33</v>
      </c>
      <c r="B608" s="204">
        <v>57.7</v>
      </c>
      <c r="C608" s="204">
        <v>49.4</v>
      </c>
      <c r="D608" s="204">
        <v>66.7</v>
      </c>
      <c r="E608" s="204">
        <v>50</v>
      </c>
      <c r="F608" s="204">
        <v>50</v>
      </c>
      <c r="G608" s="204">
        <v>60</v>
      </c>
      <c r="H608" s="204">
        <v>60</v>
      </c>
      <c r="I608" s="204">
        <v>36.4</v>
      </c>
      <c r="J608" s="204">
        <v>36.4</v>
      </c>
      <c r="K608" s="204">
        <v>50</v>
      </c>
      <c r="L608" s="204">
        <v>50</v>
      </c>
      <c r="M608" s="204">
        <v>50</v>
      </c>
      <c r="N608" s="204">
        <v>50</v>
      </c>
      <c r="O608" s="204">
        <v>40</v>
      </c>
      <c r="P608" s="204">
        <v>50</v>
      </c>
      <c r="Q608" s="44" t="s">
        <v>45</v>
      </c>
      <c r="R608" s="205">
        <v>85</v>
      </c>
      <c r="S608" s="205">
        <v>80</v>
      </c>
      <c r="T608" s="217" t="s">
        <v>39</v>
      </c>
    </row>
    <row r="609" spans="1:20" ht="13.5" customHeight="1">
      <c r="A609" s="7" t="s">
        <v>22</v>
      </c>
      <c r="B609" s="204">
        <v>28.6</v>
      </c>
      <c r="C609" s="204">
        <v>38.799999999999997</v>
      </c>
      <c r="D609" s="204">
        <v>57.1</v>
      </c>
      <c r="E609" s="204">
        <v>50</v>
      </c>
      <c r="F609" s="204">
        <v>50</v>
      </c>
      <c r="G609" s="204">
        <v>100</v>
      </c>
      <c r="H609" s="204">
        <v>100</v>
      </c>
      <c r="I609" s="204">
        <v>42.9</v>
      </c>
      <c r="J609" s="204">
        <v>42.9</v>
      </c>
      <c r="K609" s="204">
        <v>100</v>
      </c>
      <c r="L609" s="204">
        <v>100</v>
      </c>
      <c r="M609" s="204">
        <v>100</v>
      </c>
      <c r="N609" s="204">
        <v>100</v>
      </c>
      <c r="O609" s="204">
        <v>100</v>
      </c>
      <c r="P609" s="204">
        <v>100</v>
      </c>
      <c r="Q609" s="44" t="s">
        <v>45</v>
      </c>
      <c r="R609" s="205">
        <v>95</v>
      </c>
      <c r="S609" s="205">
        <v>95</v>
      </c>
      <c r="T609" s="217" t="s">
        <v>28</v>
      </c>
    </row>
    <row r="610" spans="1:20" ht="13.5" customHeight="1">
      <c r="A610" s="7" t="s">
        <v>36</v>
      </c>
      <c r="B610" s="204">
        <v>55.6</v>
      </c>
      <c r="C610" s="204">
        <v>54.7</v>
      </c>
      <c r="D610" s="204">
        <v>53.8</v>
      </c>
      <c r="E610" s="204">
        <v>20</v>
      </c>
      <c r="F610" s="204">
        <v>20</v>
      </c>
      <c r="G610" s="204">
        <v>25</v>
      </c>
      <c r="H610" s="204">
        <v>25</v>
      </c>
      <c r="I610" s="204">
        <v>50</v>
      </c>
      <c r="J610" s="204">
        <v>46.2</v>
      </c>
      <c r="K610" s="204">
        <v>66.7</v>
      </c>
      <c r="L610" s="204">
        <v>66.7</v>
      </c>
      <c r="M610" s="204">
        <v>66.7</v>
      </c>
      <c r="N610" s="204">
        <v>66.7</v>
      </c>
      <c r="O610" s="204">
        <v>33.299999999999997</v>
      </c>
      <c r="P610" s="204">
        <v>33.299999999999997</v>
      </c>
      <c r="Q610" s="44" t="s">
        <v>26</v>
      </c>
      <c r="R610" s="205">
        <v>100</v>
      </c>
      <c r="S610" s="205">
        <v>75</v>
      </c>
      <c r="T610" s="217" t="s">
        <v>40</v>
      </c>
    </row>
    <row r="611" spans="1:20" ht="13.5" customHeight="1">
      <c r="A611" s="7" t="s">
        <v>36</v>
      </c>
      <c r="B611" s="204">
        <v>42.9</v>
      </c>
      <c r="C611" s="204">
        <v>38.1</v>
      </c>
      <c r="D611" s="204">
        <v>35.700000000000003</v>
      </c>
      <c r="E611" s="204">
        <v>50</v>
      </c>
      <c r="F611" s="204">
        <v>50</v>
      </c>
      <c r="G611" s="204">
        <v>0</v>
      </c>
      <c r="H611" s="204">
        <v>0</v>
      </c>
      <c r="I611" s="204">
        <v>25</v>
      </c>
      <c r="J611" s="204">
        <v>25</v>
      </c>
      <c r="K611" s="204">
        <v>75</v>
      </c>
      <c r="L611" s="204">
        <v>75</v>
      </c>
      <c r="M611" s="204">
        <v>50</v>
      </c>
      <c r="N611" s="204">
        <v>50</v>
      </c>
      <c r="O611" s="204">
        <v>33.299999999999997</v>
      </c>
      <c r="P611" s="204">
        <v>33.299999999999997</v>
      </c>
      <c r="Q611" s="44" t="s">
        <v>45</v>
      </c>
      <c r="R611" s="205">
        <v>90</v>
      </c>
      <c r="S611" s="205">
        <v>100</v>
      </c>
      <c r="T611" s="217" t="s">
        <v>48</v>
      </c>
    </row>
    <row r="612" spans="1:20" ht="13.5" customHeight="1">
      <c r="A612" s="7" t="s">
        <v>36</v>
      </c>
      <c r="B612" s="204">
        <v>34.6</v>
      </c>
      <c r="C612" s="204">
        <v>55.6</v>
      </c>
      <c r="D612" s="204">
        <v>75</v>
      </c>
      <c r="E612" s="204">
        <v>40</v>
      </c>
      <c r="F612" s="204">
        <v>40</v>
      </c>
      <c r="G612" s="204">
        <v>25</v>
      </c>
      <c r="H612" s="204">
        <v>25</v>
      </c>
      <c r="I612" s="204">
        <v>50</v>
      </c>
      <c r="J612" s="204">
        <v>46.2</v>
      </c>
      <c r="K612" s="204">
        <v>40</v>
      </c>
      <c r="L612" s="204">
        <v>40</v>
      </c>
      <c r="M612" s="204">
        <v>50</v>
      </c>
      <c r="N612" s="204">
        <v>50</v>
      </c>
      <c r="O612" s="204">
        <v>42.9</v>
      </c>
      <c r="P612" s="204">
        <v>42.9</v>
      </c>
      <c r="Q612" s="44" t="s">
        <v>26</v>
      </c>
      <c r="R612" s="205">
        <v>95</v>
      </c>
      <c r="S612" s="205">
        <v>95</v>
      </c>
      <c r="T612" s="217" t="s">
        <v>28</v>
      </c>
    </row>
    <row r="613" spans="1:20" ht="13.5" customHeight="1">
      <c r="A613" s="7" t="s">
        <v>36</v>
      </c>
      <c r="B613" s="204">
        <v>28.6</v>
      </c>
      <c r="C613" s="204">
        <v>49</v>
      </c>
      <c r="D613" s="204">
        <v>33.299999999999997</v>
      </c>
      <c r="E613" s="204">
        <v>0</v>
      </c>
      <c r="F613" s="204">
        <v>0</v>
      </c>
      <c r="G613" s="204">
        <v>0</v>
      </c>
      <c r="H613" s="204">
        <v>0</v>
      </c>
      <c r="I613" s="204">
        <v>25</v>
      </c>
      <c r="J613" s="204">
        <v>25</v>
      </c>
      <c r="K613" s="204">
        <v>0</v>
      </c>
      <c r="L613" s="204">
        <v>0</v>
      </c>
      <c r="M613" s="204">
        <v>50</v>
      </c>
      <c r="N613" s="204">
        <v>50</v>
      </c>
      <c r="O613" s="204">
        <v>60</v>
      </c>
      <c r="P613" s="204">
        <v>60</v>
      </c>
      <c r="Q613" s="44" t="s">
        <v>45</v>
      </c>
      <c r="R613" s="205">
        <v>75</v>
      </c>
      <c r="S613" s="205">
        <v>85</v>
      </c>
      <c r="T613" s="217" t="s">
        <v>28</v>
      </c>
    </row>
    <row r="614" spans="1:20" ht="13.5" customHeight="1">
      <c r="A614" s="7" t="s">
        <v>36</v>
      </c>
      <c r="B614" s="204">
        <v>42.9</v>
      </c>
      <c r="C614" s="204">
        <v>36.9</v>
      </c>
      <c r="D614" s="204">
        <v>16.7</v>
      </c>
      <c r="E614" s="204">
        <v>0</v>
      </c>
      <c r="F614" s="204">
        <v>0</v>
      </c>
      <c r="G614" s="204">
        <v>0</v>
      </c>
      <c r="H614" s="204">
        <v>0</v>
      </c>
      <c r="I614" s="204">
        <v>50</v>
      </c>
      <c r="J614" s="204">
        <v>50</v>
      </c>
      <c r="K614" s="204">
        <v>0</v>
      </c>
      <c r="L614" s="204">
        <v>0</v>
      </c>
      <c r="M614" s="204">
        <v>0</v>
      </c>
      <c r="N614" s="204">
        <v>0</v>
      </c>
      <c r="O614" s="204">
        <v>60</v>
      </c>
      <c r="P614" s="204">
        <v>60</v>
      </c>
      <c r="Q614" s="44" t="s">
        <v>45</v>
      </c>
      <c r="R614" s="205">
        <v>95</v>
      </c>
      <c r="S614" s="205">
        <v>105</v>
      </c>
      <c r="T614" s="217" t="s">
        <v>35</v>
      </c>
    </row>
    <row r="615" spans="1:20" ht="13.5" customHeight="1">
      <c r="A615" s="7" t="s">
        <v>31</v>
      </c>
      <c r="B615" s="204">
        <v>59.1</v>
      </c>
      <c r="C615" s="204">
        <v>49.4</v>
      </c>
      <c r="D615" s="204">
        <v>50</v>
      </c>
      <c r="E615" s="204">
        <v>80</v>
      </c>
      <c r="F615" s="204">
        <v>100</v>
      </c>
      <c r="G615" s="204">
        <v>75</v>
      </c>
      <c r="H615" s="204">
        <v>100</v>
      </c>
      <c r="I615" s="204">
        <v>50</v>
      </c>
      <c r="J615" s="204">
        <v>46.2</v>
      </c>
      <c r="K615" s="204">
        <v>50</v>
      </c>
      <c r="L615" s="204">
        <v>50</v>
      </c>
      <c r="M615" s="204">
        <v>40</v>
      </c>
      <c r="N615" s="204">
        <v>40</v>
      </c>
      <c r="O615" s="204">
        <v>57.1</v>
      </c>
      <c r="P615" s="204">
        <v>50</v>
      </c>
      <c r="Q615" s="44" t="s">
        <v>45</v>
      </c>
      <c r="R615" s="205">
        <v>95</v>
      </c>
      <c r="S615" s="205">
        <v>100</v>
      </c>
      <c r="T615" s="217" t="s">
        <v>48</v>
      </c>
    </row>
    <row r="616" spans="1:20" ht="13.5" customHeight="1">
      <c r="A616" s="7" t="s">
        <v>54</v>
      </c>
      <c r="B616" s="204">
        <v>43.8</v>
      </c>
      <c r="C616" s="204">
        <v>22.2</v>
      </c>
      <c r="D616" s="204">
        <v>30</v>
      </c>
      <c r="E616" s="204">
        <v>100</v>
      </c>
      <c r="F616" s="204">
        <v>100</v>
      </c>
      <c r="G616" s="204">
        <v>50</v>
      </c>
      <c r="H616" s="204">
        <v>50</v>
      </c>
      <c r="I616" s="204">
        <v>37.5</v>
      </c>
      <c r="J616" s="204">
        <v>37.5</v>
      </c>
      <c r="K616" s="204">
        <v>50</v>
      </c>
      <c r="L616" s="204">
        <v>50</v>
      </c>
      <c r="M616" s="204">
        <v>50</v>
      </c>
      <c r="N616" s="204">
        <v>50</v>
      </c>
      <c r="O616" s="204">
        <v>50</v>
      </c>
      <c r="P616" s="204">
        <v>50</v>
      </c>
      <c r="Q616" s="44" t="s">
        <v>45</v>
      </c>
      <c r="R616" s="205">
        <v>100</v>
      </c>
      <c r="S616" s="205">
        <v>110</v>
      </c>
      <c r="T616" s="217" t="s">
        <v>35</v>
      </c>
    </row>
    <row r="617" spans="1:20" s="5" customFormat="1" ht="27" customHeight="1">
      <c r="A617" s="7" t="s">
        <v>36</v>
      </c>
      <c r="B617" s="204">
        <v>71.400000000000006</v>
      </c>
      <c r="C617" s="204">
        <v>49.4</v>
      </c>
      <c r="D617" s="204">
        <v>50</v>
      </c>
      <c r="E617" s="204">
        <v>0</v>
      </c>
      <c r="F617" s="204">
        <v>0</v>
      </c>
      <c r="G617" s="204">
        <v>0</v>
      </c>
      <c r="H617" s="204">
        <v>0</v>
      </c>
      <c r="I617" s="204">
        <v>50</v>
      </c>
      <c r="J617" s="204">
        <v>50</v>
      </c>
      <c r="K617" s="204">
        <v>0</v>
      </c>
      <c r="L617" s="204">
        <v>0</v>
      </c>
      <c r="M617" s="204">
        <v>0</v>
      </c>
      <c r="N617" s="204">
        <v>0</v>
      </c>
      <c r="O617" s="204">
        <v>20</v>
      </c>
      <c r="P617" s="204">
        <v>20</v>
      </c>
      <c r="Q617" s="44" t="s">
        <v>45</v>
      </c>
      <c r="R617" s="205">
        <v>100</v>
      </c>
      <c r="S617" s="205">
        <v>100</v>
      </c>
      <c r="T617" s="217" t="s">
        <v>35</v>
      </c>
    </row>
    <row r="618" spans="1:20" ht="13.5" customHeight="1">
      <c r="A618" s="7" t="s">
        <v>44</v>
      </c>
      <c r="B618" s="204">
        <v>57.7</v>
      </c>
      <c r="C618" s="204">
        <v>49</v>
      </c>
      <c r="D618" s="204">
        <v>41.7</v>
      </c>
      <c r="E618" s="204">
        <v>50</v>
      </c>
      <c r="F618" s="204">
        <v>50</v>
      </c>
      <c r="G618" s="204">
        <v>60</v>
      </c>
      <c r="H618" s="204">
        <v>60</v>
      </c>
      <c r="I618" s="204">
        <v>36.4</v>
      </c>
      <c r="J618" s="204">
        <v>36.4</v>
      </c>
      <c r="K618" s="204">
        <v>66.7</v>
      </c>
      <c r="L618" s="204">
        <v>66.7</v>
      </c>
      <c r="M618" s="204">
        <v>66.7</v>
      </c>
      <c r="N618" s="204">
        <v>66.7</v>
      </c>
      <c r="O618" s="204">
        <v>33.299999999999997</v>
      </c>
      <c r="P618" s="204">
        <v>33.299999999999997</v>
      </c>
      <c r="Q618" s="44" t="s">
        <v>45</v>
      </c>
      <c r="R618" s="205">
        <v>95</v>
      </c>
      <c r="S618" s="205">
        <v>90</v>
      </c>
      <c r="T618" s="217" t="s">
        <v>24</v>
      </c>
    </row>
    <row r="619" spans="1:20" ht="13.5" customHeight="1">
      <c r="A619" s="7" t="s">
        <v>41</v>
      </c>
      <c r="B619" s="204">
        <v>51.7</v>
      </c>
      <c r="C619" s="204">
        <v>38.799999999999997</v>
      </c>
      <c r="D619" s="204">
        <v>37.5</v>
      </c>
      <c r="E619" s="204">
        <v>25</v>
      </c>
      <c r="F619" s="204">
        <v>25</v>
      </c>
      <c r="G619" s="204">
        <v>25</v>
      </c>
      <c r="H619" s="204">
        <v>25</v>
      </c>
      <c r="I619" s="204">
        <v>50</v>
      </c>
      <c r="J619" s="204">
        <v>50</v>
      </c>
      <c r="K619" s="204">
        <v>50</v>
      </c>
      <c r="L619" s="204">
        <v>100</v>
      </c>
      <c r="M619" s="204">
        <v>50</v>
      </c>
      <c r="N619" s="204">
        <v>100</v>
      </c>
      <c r="O619" s="204">
        <v>100</v>
      </c>
      <c r="P619" s="204">
        <v>100</v>
      </c>
      <c r="Q619" s="44" t="s">
        <v>45</v>
      </c>
      <c r="R619" s="205">
        <v>100</v>
      </c>
      <c r="S619" s="205">
        <v>90</v>
      </c>
      <c r="T619" s="217" t="s">
        <v>24</v>
      </c>
    </row>
    <row r="620" spans="1:20" ht="13.5" customHeight="1">
      <c r="A620" s="7" t="s">
        <v>41</v>
      </c>
      <c r="B620" s="204">
        <v>47.1</v>
      </c>
      <c r="C620" s="204">
        <v>57.9</v>
      </c>
      <c r="D620" s="204">
        <v>69.599999999999994</v>
      </c>
      <c r="E620" s="204">
        <v>57.1</v>
      </c>
      <c r="F620" s="204">
        <v>50</v>
      </c>
      <c r="G620" s="204">
        <v>50</v>
      </c>
      <c r="H620" s="204">
        <v>50</v>
      </c>
      <c r="I620" s="204">
        <v>50</v>
      </c>
      <c r="J620" s="204">
        <v>46.2</v>
      </c>
      <c r="K620" s="204">
        <v>33.299999999999997</v>
      </c>
      <c r="L620" s="204">
        <v>33.299999999999997</v>
      </c>
      <c r="M620" s="204">
        <v>50</v>
      </c>
      <c r="N620" s="204">
        <v>50</v>
      </c>
      <c r="O620" s="204">
        <v>50</v>
      </c>
      <c r="P620" s="204">
        <v>50</v>
      </c>
      <c r="Q620" s="44" t="s">
        <v>45</v>
      </c>
      <c r="R620" s="205">
        <v>75</v>
      </c>
      <c r="S620" s="205">
        <v>75</v>
      </c>
      <c r="T620" s="217" t="s">
        <v>40</v>
      </c>
    </row>
    <row r="621" spans="1:20" ht="13.5" customHeight="1">
      <c r="A621" s="7" t="s">
        <v>44</v>
      </c>
      <c r="B621" s="204">
        <v>92.3</v>
      </c>
      <c r="C621" s="204">
        <v>55.6</v>
      </c>
      <c r="D621" s="204">
        <v>30</v>
      </c>
      <c r="E621" s="204">
        <v>100</v>
      </c>
      <c r="F621" s="204">
        <v>100</v>
      </c>
      <c r="G621" s="204">
        <v>100</v>
      </c>
      <c r="H621" s="204">
        <v>100</v>
      </c>
      <c r="I621" s="204">
        <v>100</v>
      </c>
      <c r="J621" s="204">
        <v>100</v>
      </c>
      <c r="K621" s="204">
        <v>50</v>
      </c>
      <c r="L621" s="204">
        <v>50</v>
      </c>
      <c r="M621" s="204">
        <v>50</v>
      </c>
      <c r="N621" s="204">
        <v>50</v>
      </c>
      <c r="O621" s="204">
        <v>100</v>
      </c>
      <c r="P621" s="204">
        <v>100</v>
      </c>
      <c r="Q621" s="44" t="s">
        <v>45</v>
      </c>
      <c r="R621" s="205">
        <v>90</v>
      </c>
      <c r="S621" s="205">
        <v>85</v>
      </c>
      <c r="T621" s="217" t="s">
        <v>27</v>
      </c>
    </row>
    <row r="622" spans="1:20" ht="13.5" customHeight="1">
      <c r="A622" s="7" t="s">
        <v>42</v>
      </c>
      <c r="B622" s="204">
        <v>54.5</v>
      </c>
      <c r="C622" s="204">
        <v>36.9</v>
      </c>
      <c r="D622" s="204">
        <v>25</v>
      </c>
      <c r="E622" s="204">
        <v>0</v>
      </c>
      <c r="F622" s="204">
        <v>0</v>
      </c>
      <c r="G622" s="204">
        <v>0</v>
      </c>
      <c r="H622" s="204">
        <v>0</v>
      </c>
      <c r="I622" s="204">
        <v>0</v>
      </c>
      <c r="J622" s="204">
        <v>0</v>
      </c>
      <c r="K622" s="204">
        <v>20</v>
      </c>
      <c r="L622" s="204">
        <v>20</v>
      </c>
      <c r="M622" s="204">
        <v>25</v>
      </c>
      <c r="N622" s="204">
        <v>25</v>
      </c>
      <c r="O622" s="204">
        <v>20</v>
      </c>
      <c r="P622" s="204">
        <v>20</v>
      </c>
      <c r="Q622" s="44" t="s">
        <v>26</v>
      </c>
      <c r="R622" s="205">
        <v>105</v>
      </c>
      <c r="S622" s="205">
        <v>78</v>
      </c>
      <c r="T622" s="217" t="s">
        <v>40</v>
      </c>
    </row>
    <row r="623" spans="1:20" ht="13.5" customHeight="1">
      <c r="A623" s="7" t="s">
        <v>42</v>
      </c>
      <c r="B623" s="204">
        <v>46.2</v>
      </c>
      <c r="C623" s="204">
        <v>36.9</v>
      </c>
      <c r="D623" s="204">
        <v>42.9</v>
      </c>
      <c r="E623" s="204">
        <v>25</v>
      </c>
      <c r="F623" s="204">
        <v>25</v>
      </c>
      <c r="G623" s="204">
        <v>25</v>
      </c>
      <c r="H623" s="204">
        <v>25</v>
      </c>
      <c r="I623" s="204">
        <v>50</v>
      </c>
      <c r="J623" s="204">
        <v>50</v>
      </c>
      <c r="K623" s="204">
        <v>33.299999999999997</v>
      </c>
      <c r="L623" s="204">
        <v>33.299999999999997</v>
      </c>
      <c r="M623" s="204">
        <v>33.299999999999997</v>
      </c>
      <c r="N623" s="204">
        <v>33.299999999999997</v>
      </c>
      <c r="O623" s="204">
        <v>25</v>
      </c>
      <c r="P623" s="204">
        <v>0</v>
      </c>
      <c r="Q623" s="44" t="s">
        <v>45</v>
      </c>
      <c r="R623" s="205">
        <v>90</v>
      </c>
      <c r="S623" s="205">
        <v>90</v>
      </c>
      <c r="T623" s="217" t="s">
        <v>28</v>
      </c>
    </row>
    <row r="624" spans="1:20" ht="27" customHeight="1">
      <c r="A624" s="7" t="s">
        <v>36</v>
      </c>
      <c r="B624" s="204">
        <v>71.400000000000006</v>
      </c>
      <c r="C624" s="204">
        <v>74.400000000000006</v>
      </c>
      <c r="D624" s="204">
        <v>33.299999999999997</v>
      </c>
      <c r="E624" s="204">
        <v>0</v>
      </c>
      <c r="F624" s="204">
        <v>0</v>
      </c>
      <c r="G624" s="204">
        <v>0</v>
      </c>
      <c r="H624" s="204">
        <v>0</v>
      </c>
      <c r="I624" s="204">
        <v>33.299999999999997</v>
      </c>
      <c r="J624" s="204">
        <v>33.299999999999997</v>
      </c>
      <c r="K624" s="204">
        <v>0</v>
      </c>
      <c r="L624" s="204">
        <v>0</v>
      </c>
      <c r="M624" s="204">
        <v>0</v>
      </c>
      <c r="N624" s="204">
        <v>0</v>
      </c>
      <c r="O624" s="204">
        <v>33.299999999999997</v>
      </c>
      <c r="P624" s="204">
        <v>33.299999999999997</v>
      </c>
      <c r="Q624" s="44" t="s">
        <v>26</v>
      </c>
      <c r="R624" s="205">
        <v>95</v>
      </c>
      <c r="S624" s="205">
        <v>100</v>
      </c>
      <c r="T624" s="217" t="s">
        <v>32</v>
      </c>
    </row>
    <row r="625" spans="1:20" ht="13.5" customHeight="1">
      <c r="A625" s="7" t="s">
        <v>36</v>
      </c>
      <c r="B625" s="204">
        <v>50</v>
      </c>
      <c r="C625" s="204">
        <v>38.1</v>
      </c>
      <c r="D625" s="204">
        <v>35.700000000000003</v>
      </c>
      <c r="E625" s="204">
        <v>0</v>
      </c>
      <c r="F625" s="204">
        <v>0</v>
      </c>
      <c r="G625" s="204">
        <v>0</v>
      </c>
      <c r="H625" s="204">
        <v>0</v>
      </c>
      <c r="I625" s="204">
        <v>37.5</v>
      </c>
      <c r="J625" s="204">
        <v>37.5</v>
      </c>
      <c r="K625" s="204">
        <v>0</v>
      </c>
      <c r="L625" s="204">
        <v>0</v>
      </c>
      <c r="M625" s="204">
        <v>33.299999999999997</v>
      </c>
      <c r="N625" s="204">
        <v>33.299999999999997</v>
      </c>
      <c r="O625" s="204">
        <v>0</v>
      </c>
      <c r="P625" s="204">
        <v>0</v>
      </c>
      <c r="Q625" s="44" t="s">
        <v>45</v>
      </c>
      <c r="R625" s="205">
        <v>95</v>
      </c>
      <c r="S625" s="205">
        <v>95</v>
      </c>
      <c r="T625" s="217" t="s">
        <v>27</v>
      </c>
    </row>
    <row r="626" spans="1:20" ht="27" customHeight="1">
      <c r="A626" s="7" t="s">
        <v>36</v>
      </c>
      <c r="B626" s="204">
        <v>40</v>
      </c>
      <c r="C626" s="204">
        <v>38.1</v>
      </c>
      <c r="D626" s="204">
        <v>44.4</v>
      </c>
      <c r="E626" s="204">
        <v>0</v>
      </c>
      <c r="F626" s="204">
        <v>0</v>
      </c>
      <c r="G626" s="204">
        <v>0</v>
      </c>
      <c r="H626" s="204">
        <v>0</v>
      </c>
      <c r="I626" s="204">
        <v>0</v>
      </c>
      <c r="J626" s="204">
        <v>0</v>
      </c>
      <c r="K626" s="204">
        <v>0</v>
      </c>
      <c r="L626" s="204">
        <v>0</v>
      </c>
      <c r="M626" s="204">
        <v>0</v>
      </c>
      <c r="N626" s="204">
        <v>0</v>
      </c>
      <c r="O626" s="204">
        <v>0</v>
      </c>
      <c r="P626" s="204">
        <v>0</v>
      </c>
      <c r="Q626" s="44" t="s">
        <v>45</v>
      </c>
      <c r="R626" s="205">
        <v>85</v>
      </c>
      <c r="S626" s="205">
        <v>106</v>
      </c>
      <c r="T626" s="217" t="s">
        <v>32</v>
      </c>
    </row>
    <row r="627" spans="1:20" ht="13.5" customHeight="1">
      <c r="A627" s="7" t="s">
        <v>33</v>
      </c>
      <c r="B627" s="204">
        <v>50</v>
      </c>
      <c r="C627" s="204">
        <v>54.7</v>
      </c>
      <c r="D627" s="204">
        <v>60</v>
      </c>
      <c r="E627" s="204">
        <v>100</v>
      </c>
      <c r="F627" s="204">
        <v>100</v>
      </c>
      <c r="G627" s="204">
        <v>100</v>
      </c>
      <c r="H627" s="204">
        <v>100</v>
      </c>
      <c r="I627" s="204">
        <v>100</v>
      </c>
      <c r="J627" s="204">
        <v>100</v>
      </c>
      <c r="K627" s="204">
        <v>100</v>
      </c>
      <c r="L627" s="204">
        <v>100</v>
      </c>
      <c r="M627" s="204">
        <v>100</v>
      </c>
      <c r="N627" s="204">
        <v>100</v>
      </c>
      <c r="O627" s="204">
        <v>100</v>
      </c>
      <c r="P627" s="204">
        <v>100</v>
      </c>
      <c r="Q627" s="44" t="s">
        <v>26</v>
      </c>
      <c r="R627" s="205">
        <v>90</v>
      </c>
      <c r="S627" s="205">
        <v>95</v>
      </c>
      <c r="T627" s="217" t="s">
        <v>35</v>
      </c>
    </row>
    <row r="628" spans="1:20" ht="13.5" customHeight="1">
      <c r="A628" s="7" t="s">
        <v>42</v>
      </c>
      <c r="B628" s="204">
        <v>58</v>
      </c>
      <c r="C628" s="204">
        <v>38.799999999999997</v>
      </c>
      <c r="D628" s="204">
        <v>40</v>
      </c>
      <c r="E628" s="204">
        <v>0</v>
      </c>
      <c r="F628" s="204">
        <v>0</v>
      </c>
      <c r="G628" s="204">
        <v>0</v>
      </c>
      <c r="H628" s="204">
        <v>0</v>
      </c>
      <c r="I628" s="204">
        <v>37.5</v>
      </c>
      <c r="J628" s="204">
        <v>37.5</v>
      </c>
      <c r="K628" s="204">
        <v>0</v>
      </c>
      <c r="L628" s="204">
        <v>0</v>
      </c>
      <c r="M628" s="204">
        <v>0</v>
      </c>
      <c r="N628" s="204">
        <v>0</v>
      </c>
      <c r="O628" s="204">
        <v>0</v>
      </c>
      <c r="P628" s="204">
        <v>0</v>
      </c>
      <c r="Q628" s="44" t="s">
        <v>26</v>
      </c>
      <c r="R628" s="205">
        <v>115</v>
      </c>
      <c r="S628" s="205">
        <v>85</v>
      </c>
      <c r="T628" s="217" t="s">
        <v>24</v>
      </c>
    </row>
    <row r="629" spans="1:20" ht="13.5" customHeight="1">
      <c r="A629" s="7" t="s">
        <v>22</v>
      </c>
      <c r="B629" s="204">
        <v>53.8</v>
      </c>
      <c r="C629" s="204">
        <v>55.6</v>
      </c>
      <c r="D629" s="204">
        <v>85.7</v>
      </c>
      <c r="E629" s="204">
        <v>50</v>
      </c>
      <c r="F629" s="204">
        <v>50</v>
      </c>
      <c r="G629" s="204">
        <v>50</v>
      </c>
      <c r="H629" s="204">
        <v>50</v>
      </c>
      <c r="I629" s="204">
        <v>100</v>
      </c>
      <c r="J629" s="204">
        <v>100</v>
      </c>
      <c r="K629" s="204">
        <v>100</v>
      </c>
      <c r="L629" s="204">
        <v>100</v>
      </c>
      <c r="M629" s="204">
        <v>100</v>
      </c>
      <c r="N629" s="204">
        <v>100</v>
      </c>
      <c r="O629" s="204">
        <v>33.299999999999997</v>
      </c>
      <c r="P629" s="204">
        <v>33.299999999999997</v>
      </c>
      <c r="Q629" s="44" t="s">
        <v>23</v>
      </c>
      <c r="R629" s="205">
        <v>130</v>
      </c>
      <c r="S629" s="205">
        <v>90</v>
      </c>
      <c r="T629" s="217" t="s">
        <v>24</v>
      </c>
    </row>
    <row r="630" spans="1:20" ht="13.5" customHeight="1">
      <c r="A630" s="7" t="s">
        <v>25</v>
      </c>
      <c r="B630" s="204">
        <v>50</v>
      </c>
      <c r="C630" s="204">
        <v>57.9</v>
      </c>
      <c r="D630" s="204">
        <v>33.299999999999997</v>
      </c>
      <c r="E630" s="204">
        <v>50</v>
      </c>
      <c r="F630" s="204">
        <v>50</v>
      </c>
      <c r="G630" s="204">
        <v>50</v>
      </c>
      <c r="H630" s="204">
        <v>50</v>
      </c>
      <c r="I630" s="204">
        <v>33.299999999999997</v>
      </c>
      <c r="J630" s="204">
        <v>33.299999999999997</v>
      </c>
      <c r="K630" s="204">
        <v>0</v>
      </c>
      <c r="L630" s="204">
        <v>0</v>
      </c>
      <c r="M630" s="204">
        <v>66.7</v>
      </c>
      <c r="N630" s="204">
        <v>66.7</v>
      </c>
      <c r="O630" s="204">
        <v>83.3</v>
      </c>
      <c r="P630" s="204">
        <v>83.3</v>
      </c>
      <c r="Q630" s="44" t="s">
        <v>26</v>
      </c>
      <c r="R630" s="205">
        <v>90</v>
      </c>
      <c r="S630" s="205">
        <v>80</v>
      </c>
      <c r="T630" s="217" t="s">
        <v>40</v>
      </c>
    </row>
    <row r="631" spans="1:20" ht="13.5" customHeight="1">
      <c r="A631" s="7" t="s">
        <v>22</v>
      </c>
      <c r="B631" s="204">
        <v>42.9</v>
      </c>
      <c r="C631" s="204">
        <v>49.4</v>
      </c>
      <c r="D631" s="204">
        <v>50</v>
      </c>
      <c r="E631" s="204">
        <v>33.299999999999997</v>
      </c>
      <c r="F631" s="204">
        <v>33.299999999999997</v>
      </c>
      <c r="G631" s="204">
        <v>25</v>
      </c>
      <c r="H631" s="204">
        <v>25</v>
      </c>
      <c r="I631" s="204">
        <v>50</v>
      </c>
      <c r="J631" s="204">
        <v>40</v>
      </c>
      <c r="K631" s="204">
        <v>50</v>
      </c>
      <c r="L631" s="204">
        <v>50</v>
      </c>
      <c r="M631" s="204">
        <v>33.299999999999997</v>
      </c>
      <c r="N631" s="204">
        <v>33.299999999999997</v>
      </c>
      <c r="O631" s="204">
        <v>33.299999999999997</v>
      </c>
      <c r="P631" s="204">
        <v>33.299999999999997</v>
      </c>
      <c r="Q631" s="44" t="s">
        <v>45</v>
      </c>
      <c r="R631" s="205">
        <v>95</v>
      </c>
      <c r="S631" s="205">
        <v>100</v>
      </c>
      <c r="T631" s="217" t="s">
        <v>65</v>
      </c>
    </row>
    <row r="632" spans="1:20" ht="13.5" customHeight="1">
      <c r="A632" s="7" t="s">
        <v>60</v>
      </c>
      <c r="B632" s="204">
        <v>44.4</v>
      </c>
      <c r="C632" s="204">
        <v>36.9</v>
      </c>
      <c r="D632" s="204">
        <v>25</v>
      </c>
      <c r="E632" s="204">
        <v>33.299999999999997</v>
      </c>
      <c r="F632" s="204">
        <v>33.299999999999997</v>
      </c>
      <c r="G632" s="204">
        <v>33.299999999999997</v>
      </c>
      <c r="H632" s="204">
        <v>33.299999999999997</v>
      </c>
      <c r="I632" s="204">
        <v>42.9</v>
      </c>
      <c r="J632" s="204">
        <v>42.9</v>
      </c>
      <c r="K632" s="204">
        <v>50</v>
      </c>
      <c r="L632" s="204">
        <v>50</v>
      </c>
      <c r="M632" s="204">
        <v>33.299999999999997</v>
      </c>
      <c r="N632" s="204">
        <v>33.299999999999997</v>
      </c>
      <c r="O632" s="204">
        <v>33.299999999999997</v>
      </c>
      <c r="P632" s="204">
        <v>33.299999999999997</v>
      </c>
      <c r="Q632" s="44" t="s">
        <v>45</v>
      </c>
      <c r="R632" s="205">
        <v>60</v>
      </c>
      <c r="S632" s="205">
        <v>100</v>
      </c>
      <c r="T632" s="217" t="s">
        <v>48</v>
      </c>
    </row>
    <row r="633" spans="1:20" ht="13.5" customHeight="1">
      <c r="A633" s="7" t="s">
        <v>22</v>
      </c>
      <c r="B633" s="204">
        <v>58</v>
      </c>
      <c r="C633" s="204">
        <v>68</v>
      </c>
      <c r="D633" s="204">
        <v>80</v>
      </c>
      <c r="E633" s="204">
        <v>100</v>
      </c>
      <c r="F633" s="204">
        <v>100</v>
      </c>
      <c r="G633" s="204">
        <v>80</v>
      </c>
      <c r="H633" s="204">
        <v>80</v>
      </c>
      <c r="I633" s="204">
        <v>62.5</v>
      </c>
      <c r="J633" s="204">
        <v>62.5</v>
      </c>
      <c r="K633" s="204">
        <v>100</v>
      </c>
      <c r="L633" s="204">
        <v>100</v>
      </c>
      <c r="M633" s="204">
        <v>50</v>
      </c>
      <c r="N633" s="204">
        <v>50</v>
      </c>
      <c r="O633" s="204">
        <v>83.3</v>
      </c>
      <c r="P633" s="204">
        <v>83.3</v>
      </c>
      <c r="Q633" s="44" t="s">
        <v>26</v>
      </c>
      <c r="R633" s="205">
        <v>90</v>
      </c>
      <c r="S633" s="205">
        <v>90</v>
      </c>
      <c r="T633" s="217" t="s">
        <v>28</v>
      </c>
    </row>
    <row r="634" spans="1:20" ht="13.5" customHeight="1">
      <c r="A634" s="7" t="s">
        <v>25</v>
      </c>
      <c r="B634" s="204">
        <v>25</v>
      </c>
      <c r="C634" s="204">
        <v>36.9</v>
      </c>
      <c r="D634" s="204">
        <v>30</v>
      </c>
      <c r="E634" s="204">
        <v>0</v>
      </c>
      <c r="F634" s="204">
        <v>0</v>
      </c>
      <c r="G634" s="204">
        <v>0</v>
      </c>
      <c r="H634" s="204">
        <v>0</v>
      </c>
      <c r="I634" s="204">
        <v>50</v>
      </c>
      <c r="J634" s="204">
        <v>50</v>
      </c>
      <c r="K634" s="204">
        <v>0</v>
      </c>
      <c r="L634" s="204">
        <v>0</v>
      </c>
      <c r="M634" s="204">
        <v>0</v>
      </c>
      <c r="N634" s="204">
        <v>0</v>
      </c>
      <c r="O634" s="204">
        <v>0</v>
      </c>
      <c r="P634" s="204">
        <v>0</v>
      </c>
      <c r="Q634" s="44" t="s">
        <v>23</v>
      </c>
      <c r="R634" s="205">
        <v>115</v>
      </c>
      <c r="S634" s="205">
        <v>90</v>
      </c>
      <c r="T634" s="217" t="s">
        <v>24</v>
      </c>
    </row>
    <row r="635" spans="1:20" ht="13.5" customHeight="1">
      <c r="A635" s="7" t="s">
        <v>54</v>
      </c>
      <c r="B635" s="204">
        <v>58</v>
      </c>
      <c r="C635" s="204">
        <v>46.5</v>
      </c>
      <c r="D635" s="204">
        <v>57.1</v>
      </c>
      <c r="E635" s="204">
        <v>50</v>
      </c>
      <c r="F635" s="204">
        <v>50</v>
      </c>
      <c r="G635" s="204">
        <v>50</v>
      </c>
      <c r="H635" s="204">
        <v>50</v>
      </c>
      <c r="I635" s="204">
        <v>28.6</v>
      </c>
      <c r="J635" s="204">
        <v>28.6</v>
      </c>
      <c r="K635" s="204">
        <v>100</v>
      </c>
      <c r="L635" s="204">
        <v>100</v>
      </c>
      <c r="M635" s="204">
        <v>100</v>
      </c>
      <c r="N635" s="204">
        <v>100</v>
      </c>
      <c r="O635" s="204">
        <v>83.3</v>
      </c>
      <c r="P635" s="204">
        <v>83.3</v>
      </c>
      <c r="Q635" s="44" t="s">
        <v>23</v>
      </c>
      <c r="R635" s="205">
        <v>115</v>
      </c>
      <c r="S635" s="205">
        <v>85</v>
      </c>
      <c r="T635" s="217" t="s">
        <v>27</v>
      </c>
    </row>
    <row r="636" spans="1:20" ht="13.5" customHeight="1">
      <c r="A636" s="7" t="s">
        <v>42</v>
      </c>
      <c r="B636" s="204">
        <v>68.400000000000006</v>
      </c>
      <c r="C636" s="204">
        <v>54.7</v>
      </c>
      <c r="D636" s="204">
        <v>53.8</v>
      </c>
      <c r="E636" s="204">
        <v>50</v>
      </c>
      <c r="F636" s="204">
        <v>50</v>
      </c>
      <c r="G636" s="204">
        <v>50</v>
      </c>
      <c r="H636" s="204">
        <v>50</v>
      </c>
      <c r="I636" s="204">
        <v>66.7</v>
      </c>
      <c r="J636" s="204">
        <v>66.7</v>
      </c>
      <c r="K636" s="204">
        <v>0</v>
      </c>
      <c r="L636" s="204">
        <v>0</v>
      </c>
      <c r="M636" s="204">
        <v>0</v>
      </c>
      <c r="N636" s="204">
        <v>0</v>
      </c>
      <c r="O636" s="204">
        <v>50</v>
      </c>
      <c r="P636" s="204">
        <v>50</v>
      </c>
      <c r="Q636" s="44" t="s">
        <v>26</v>
      </c>
      <c r="R636" s="205">
        <v>85</v>
      </c>
      <c r="S636" s="205">
        <v>80</v>
      </c>
      <c r="T636" s="217" t="s">
        <v>40</v>
      </c>
    </row>
    <row r="637" spans="1:20" ht="13.5" customHeight="1">
      <c r="A637" s="7" t="s">
        <v>53</v>
      </c>
      <c r="B637" s="204">
        <v>42.9</v>
      </c>
      <c r="C637" s="204">
        <v>36.9</v>
      </c>
      <c r="D637" s="204">
        <v>16.7</v>
      </c>
      <c r="E637" s="204">
        <v>0</v>
      </c>
      <c r="F637" s="204">
        <v>0</v>
      </c>
      <c r="G637" s="204">
        <v>0</v>
      </c>
      <c r="H637" s="204">
        <v>0</v>
      </c>
      <c r="I637" s="204">
        <v>16.7</v>
      </c>
      <c r="J637" s="204">
        <v>16.7</v>
      </c>
      <c r="K637" s="204">
        <v>33.299999999999997</v>
      </c>
      <c r="L637" s="204">
        <v>33.299999999999997</v>
      </c>
      <c r="M637" s="204">
        <v>33.299999999999997</v>
      </c>
      <c r="N637" s="204">
        <v>33.299999999999997</v>
      </c>
      <c r="O637" s="204">
        <v>42.9</v>
      </c>
      <c r="P637" s="204">
        <v>42.9</v>
      </c>
      <c r="Q637" s="44" t="s">
        <v>45</v>
      </c>
      <c r="R637" s="205">
        <v>95</v>
      </c>
      <c r="S637" s="205">
        <v>80</v>
      </c>
      <c r="T637" s="217" t="s">
        <v>39</v>
      </c>
    </row>
    <row r="638" spans="1:20" ht="13.5" customHeight="1">
      <c r="A638" s="7" t="s">
        <v>25</v>
      </c>
      <c r="B638" s="204">
        <v>34.6</v>
      </c>
      <c r="C638" s="204">
        <v>49</v>
      </c>
      <c r="D638" s="204">
        <v>40</v>
      </c>
      <c r="E638" s="204">
        <v>40</v>
      </c>
      <c r="F638" s="204">
        <v>40</v>
      </c>
      <c r="G638" s="204">
        <v>25</v>
      </c>
      <c r="H638" s="204">
        <v>25</v>
      </c>
      <c r="I638" s="204">
        <v>50</v>
      </c>
      <c r="J638" s="204">
        <v>46.2</v>
      </c>
      <c r="K638" s="204">
        <v>66.7</v>
      </c>
      <c r="L638" s="204">
        <v>66.7</v>
      </c>
      <c r="M638" s="204">
        <v>0</v>
      </c>
      <c r="N638" s="204">
        <v>0</v>
      </c>
      <c r="O638" s="204">
        <v>50</v>
      </c>
      <c r="P638" s="204">
        <v>50</v>
      </c>
      <c r="Q638" s="44" t="s">
        <v>45</v>
      </c>
      <c r="R638" s="205">
        <v>95</v>
      </c>
      <c r="S638" s="205">
        <v>90</v>
      </c>
      <c r="T638" s="217" t="s">
        <v>24</v>
      </c>
    </row>
    <row r="639" spans="1:20" ht="13.5" customHeight="1">
      <c r="A639" s="7" t="s">
        <v>41</v>
      </c>
      <c r="B639" s="204">
        <v>43.8</v>
      </c>
      <c r="C639" s="204">
        <v>55.6</v>
      </c>
      <c r="D639" s="204">
        <v>20</v>
      </c>
      <c r="E639" s="204">
        <v>50</v>
      </c>
      <c r="F639" s="204">
        <v>50</v>
      </c>
      <c r="G639" s="204">
        <v>50</v>
      </c>
      <c r="H639" s="204">
        <v>50</v>
      </c>
      <c r="I639" s="204">
        <v>60</v>
      </c>
      <c r="J639" s="204">
        <v>60</v>
      </c>
      <c r="K639" s="204">
        <v>50</v>
      </c>
      <c r="L639" s="204">
        <v>50</v>
      </c>
      <c r="M639" s="204">
        <v>50</v>
      </c>
      <c r="N639" s="204">
        <v>50</v>
      </c>
      <c r="O639" s="204">
        <v>40</v>
      </c>
      <c r="P639" s="204">
        <v>40</v>
      </c>
      <c r="Q639" s="44" t="s">
        <v>45</v>
      </c>
      <c r="R639" s="205">
        <v>100</v>
      </c>
      <c r="S639" s="205">
        <v>105</v>
      </c>
      <c r="T639" s="217" t="s">
        <v>65</v>
      </c>
    </row>
    <row r="640" spans="1:20" ht="13.5" customHeight="1">
      <c r="A640" s="7" t="s">
        <v>53</v>
      </c>
      <c r="B640" s="204">
        <v>34.6</v>
      </c>
      <c r="C640" s="204">
        <v>49.4</v>
      </c>
      <c r="D640" s="204">
        <v>28.6</v>
      </c>
      <c r="E640" s="204">
        <v>20</v>
      </c>
      <c r="F640" s="204">
        <v>20</v>
      </c>
      <c r="G640" s="204">
        <v>25</v>
      </c>
      <c r="H640" s="204">
        <v>25</v>
      </c>
      <c r="I640" s="204">
        <v>50</v>
      </c>
      <c r="J640" s="204">
        <v>46.2</v>
      </c>
      <c r="K640" s="204">
        <v>50</v>
      </c>
      <c r="L640" s="204">
        <v>50</v>
      </c>
      <c r="M640" s="204">
        <v>50</v>
      </c>
      <c r="N640" s="204">
        <v>50</v>
      </c>
      <c r="O640" s="204">
        <v>50</v>
      </c>
      <c r="P640" s="204">
        <v>50</v>
      </c>
      <c r="Q640" s="44" t="s">
        <v>23</v>
      </c>
      <c r="R640" s="205">
        <v>130</v>
      </c>
      <c r="S640" s="205">
        <v>100</v>
      </c>
      <c r="T640" s="217" t="s">
        <v>32</v>
      </c>
    </row>
    <row r="641" spans="1:20" ht="13.5" customHeight="1">
      <c r="A641" s="7" t="s">
        <v>41</v>
      </c>
      <c r="B641" s="204">
        <v>58</v>
      </c>
      <c r="C641" s="204">
        <v>49</v>
      </c>
      <c r="D641" s="204">
        <v>25</v>
      </c>
      <c r="E641" s="204">
        <v>25</v>
      </c>
      <c r="F641" s="204">
        <v>25</v>
      </c>
      <c r="G641" s="204">
        <v>25</v>
      </c>
      <c r="H641" s="204">
        <v>25</v>
      </c>
      <c r="I641" s="204">
        <v>37.5</v>
      </c>
      <c r="J641" s="204">
        <v>37.5</v>
      </c>
      <c r="K641" s="204">
        <v>50</v>
      </c>
      <c r="L641" s="204">
        <v>50</v>
      </c>
      <c r="M641" s="204">
        <v>66.7</v>
      </c>
      <c r="N641" s="204">
        <v>66.7</v>
      </c>
      <c r="O641" s="204">
        <v>40</v>
      </c>
      <c r="P641" s="204">
        <v>40</v>
      </c>
      <c r="Q641" s="44" t="s">
        <v>23</v>
      </c>
      <c r="R641" s="205">
        <v>115</v>
      </c>
      <c r="S641" s="205">
        <v>95</v>
      </c>
      <c r="T641" s="217" t="s">
        <v>27</v>
      </c>
    </row>
    <row r="642" spans="1:20" ht="13.5" customHeight="1">
      <c r="A642" s="7" t="s">
        <v>31</v>
      </c>
      <c r="B642" s="204">
        <v>50</v>
      </c>
      <c r="C642" s="204">
        <v>46.5</v>
      </c>
      <c r="D642" s="204">
        <v>64.3</v>
      </c>
      <c r="E642" s="204">
        <v>14.3</v>
      </c>
      <c r="F642" s="204">
        <v>14.3</v>
      </c>
      <c r="G642" s="204">
        <v>25</v>
      </c>
      <c r="H642" s="204">
        <v>25</v>
      </c>
      <c r="I642" s="204">
        <v>20</v>
      </c>
      <c r="J642" s="204">
        <v>20</v>
      </c>
      <c r="K642" s="204">
        <v>100</v>
      </c>
      <c r="L642" s="204">
        <v>100</v>
      </c>
      <c r="M642" s="204">
        <v>100</v>
      </c>
      <c r="N642" s="204">
        <v>100</v>
      </c>
      <c r="O642" s="204">
        <v>60</v>
      </c>
      <c r="P642" s="204">
        <v>60</v>
      </c>
      <c r="Q642" s="44" t="s">
        <v>45</v>
      </c>
      <c r="R642" s="205">
        <v>80</v>
      </c>
      <c r="S642" s="205">
        <v>105</v>
      </c>
      <c r="T642" s="217" t="s">
        <v>35</v>
      </c>
    </row>
    <row r="643" spans="1:20" ht="13.5" customHeight="1">
      <c r="A643" s="7" t="s">
        <v>42</v>
      </c>
      <c r="B643" s="204">
        <v>55.6</v>
      </c>
      <c r="C643" s="204">
        <v>49.4</v>
      </c>
      <c r="D643" s="204">
        <v>77.8</v>
      </c>
      <c r="E643" s="204">
        <v>50</v>
      </c>
      <c r="F643" s="204">
        <v>50</v>
      </c>
      <c r="G643" s="204">
        <v>25</v>
      </c>
      <c r="H643" s="204">
        <v>25</v>
      </c>
      <c r="I643" s="204">
        <v>25</v>
      </c>
      <c r="J643" s="204">
        <v>25</v>
      </c>
      <c r="K643" s="204">
        <v>40</v>
      </c>
      <c r="L643" s="204">
        <v>40</v>
      </c>
      <c r="M643" s="204">
        <v>40</v>
      </c>
      <c r="N643" s="204">
        <v>40</v>
      </c>
      <c r="O643" s="204">
        <v>42.9</v>
      </c>
      <c r="P643" s="204">
        <v>42.9</v>
      </c>
      <c r="Q643" s="44" t="s">
        <v>45</v>
      </c>
      <c r="R643" s="205">
        <v>95</v>
      </c>
      <c r="S643" s="205">
        <v>100</v>
      </c>
      <c r="T643" s="217" t="s">
        <v>35</v>
      </c>
    </row>
    <row r="644" spans="1:20" ht="13.5" customHeight="1">
      <c r="A644" s="7" t="s">
        <v>31</v>
      </c>
      <c r="B644" s="204">
        <v>45.2</v>
      </c>
      <c r="C644" s="204">
        <v>49.4</v>
      </c>
      <c r="D644" s="204">
        <v>57.1</v>
      </c>
      <c r="E644" s="204">
        <v>50</v>
      </c>
      <c r="F644" s="204">
        <v>50</v>
      </c>
      <c r="G644" s="204">
        <v>50</v>
      </c>
      <c r="H644" s="204">
        <v>50</v>
      </c>
      <c r="I644" s="204">
        <v>33.299999999999997</v>
      </c>
      <c r="J644" s="204">
        <v>33.299999999999997</v>
      </c>
      <c r="K644" s="204">
        <v>75</v>
      </c>
      <c r="L644" s="204">
        <v>75</v>
      </c>
      <c r="M644" s="204">
        <v>66.7</v>
      </c>
      <c r="N644" s="204">
        <v>66.7</v>
      </c>
      <c r="O644" s="204">
        <v>33.299999999999997</v>
      </c>
      <c r="P644" s="204">
        <v>33.299999999999997</v>
      </c>
      <c r="Q644" s="44" t="s">
        <v>45</v>
      </c>
      <c r="R644" s="205">
        <v>100</v>
      </c>
      <c r="S644" s="205">
        <v>100</v>
      </c>
      <c r="T644" s="217" t="s">
        <v>32</v>
      </c>
    </row>
    <row r="645" spans="1:20" ht="13.5" customHeight="1">
      <c r="A645" s="7" t="s">
        <v>31</v>
      </c>
      <c r="B645" s="204">
        <v>55.6</v>
      </c>
      <c r="C645" s="204">
        <v>46.5</v>
      </c>
      <c r="D645" s="204">
        <v>64.3</v>
      </c>
      <c r="E645" s="204">
        <v>100</v>
      </c>
      <c r="F645" s="204">
        <v>100</v>
      </c>
      <c r="G645" s="204">
        <v>100</v>
      </c>
      <c r="H645" s="204">
        <v>100</v>
      </c>
      <c r="I645" s="204">
        <v>57.1</v>
      </c>
      <c r="J645" s="204">
        <v>57.1</v>
      </c>
      <c r="K645" s="204">
        <v>100</v>
      </c>
      <c r="L645" s="204">
        <v>100</v>
      </c>
      <c r="M645" s="204">
        <v>100</v>
      </c>
      <c r="N645" s="204">
        <v>100</v>
      </c>
      <c r="O645" s="204">
        <v>60</v>
      </c>
      <c r="P645" s="204">
        <v>60</v>
      </c>
      <c r="Q645" s="44" t="s">
        <v>45</v>
      </c>
      <c r="R645" s="205">
        <v>90</v>
      </c>
      <c r="S645" s="205">
        <v>100</v>
      </c>
      <c r="T645" s="217" t="s">
        <v>32</v>
      </c>
    </row>
    <row r="646" spans="1:20" ht="13.5" customHeight="1">
      <c r="A646" s="7" t="s">
        <v>31</v>
      </c>
      <c r="B646" s="204">
        <v>28.6</v>
      </c>
      <c r="C646" s="204">
        <v>38.799999999999997</v>
      </c>
      <c r="D646" s="204">
        <v>57.1</v>
      </c>
      <c r="E646" s="204">
        <v>100</v>
      </c>
      <c r="F646" s="204">
        <v>100</v>
      </c>
      <c r="G646" s="204">
        <v>100</v>
      </c>
      <c r="H646" s="204">
        <v>100</v>
      </c>
      <c r="I646" s="204">
        <v>33.299999999999997</v>
      </c>
      <c r="J646" s="204">
        <v>40</v>
      </c>
      <c r="K646" s="204">
        <v>33.299999999999997</v>
      </c>
      <c r="L646" s="204">
        <v>33.299999999999997</v>
      </c>
      <c r="M646" s="204">
        <v>33.299999999999997</v>
      </c>
      <c r="N646" s="204">
        <v>33.299999999999997</v>
      </c>
      <c r="O646" s="204">
        <v>33.299999999999997</v>
      </c>
      <c r="P646" s="204">
        <v>50</v>
      </c>
      <c r="Q646" s="44" t="s">
        <v>63</v>
      </c>
      <c r="R646" s="205">
        <v>115</v>
      </c>
      <c r="S646" s="205">
        <v>115</v>
      </c>
      <c r="T646" s="217" t="s">
        <v>35</v>
      </c>
    </row>
    <row r="647" spans="1:20" ht="13.5" customHeight="1">
      <c r="A647" s="7" t="s">
        <v>36</v>
      </c>
      <c r="B647" s="204">
        <v>58</v>
      </c>
      <c r="C647" s="204">
        <v>46.5</v>
      </c>
      <c r="D647" s="204">
        <v>57.1</v>
      </c>
      <c r="E647" s="204">
        <v>66.7</v>
      </c>
      <c r="F647" s="204">
        <v>66.7</v>
      </c>
      <c r="G647" s="204">
        <v>66.7</v>
      </c>
      <c r="H647" s="204">
        <v>66.7</v>
      </c>
      <c r="I647" s="204">
        <v>50</v>
      </c>
      <c r="J647" s="204">
        <v>50</v>
      </c>
      <c r="K647" s="204">
        <v>0</v>
      </c>
      <c r="L647" s="204">
        <v>0</v>
      </c>
      <c r="M647" s="204">
        <v>0</v>
      </c>
      <c r="N647" s="204">
        <v>0</v>
      </c>
      <c r="O647" s="204">
        <v>60</v>
      </c>
      <c r="P647" s="204">
        <v>60</v>
      </c>
      <c r="Q647" s="44" t="s">
        <v>45</v>
      </c>
      <c r="R647" s="205">
        <v>85</v>
      </c>
      <c r="S647" s="205">
        <v>75</v>
      </c>
      <c r="T647" s="217" t="s">
        <v>40</v>
      </c>
    </row>
    <row r="648" spans="1:20" ht="13.5" customHeight="1">
      <c r="A648" s="7" t="s">
        <v>47</v>
      </c>
      <c r="B648" s="204">
        <v>45.2</v>
      </c>
      <c r="C648" s="204">
        <v>49.4</v>
      </c>
      <c r="D648" s="204">
        <v>57.1</v>
      </c>
      <c r="E648" s="204">
        <v>20</v>
      </c>
      <c r="F648" s="204">
        <v>20</v>
      </c>
      <c r="G648" s="204">
        <v>20</v>
      </c>
      <c r="H648" s="204">
        <v>20</v>
      </c>
      <c r="I648" s="204">
        <v>22.2</v>
      </c>
      <c r="J648" s="204">
        <v>14.3</v>
      </c>
      <c r="K648" s="204">
        <v>50</v>
      </c>
      <c r="L648" s="204">
        <v>50</v>
      </c>
      <c r="M648" s="204">
        <v>40</v>
      </c>
      <c r="N648" s="204">
        <v>40</v>
      </c>
      <c r="O648" s="204">
        <v>37.5</v>
      </c>
      <c r="P648" s="204">
        <v>37.5</v>
      </c>
      <c r="Q648" s="44" t="s">
        <v>45</v>
      </c>
      <c r="R648" s="205">
        <v>95</v>
      </c>
      <c r="S648" s="205">
        <v>95</v>
      </c>
      <c r="T648" s="217" t="s">
        <v>27</v>
      </c>
    </row>
    <row r="649" spans="1:20" ht="13.5" customHeight="1">
      <c r="A649" s="7" t="s">
        <v>42</v>
      </c>
      <c r="B649" s="204">
        <v>57.7</v>
      </c>
      <c r="C649" s="204">
        <v>49.4</v>
      </c>
      <c r="D649" s="204">
        <v>66.7</v>
      </c>
      <c r="E649" s="204">
        <v>42.9</v>
      </c>
      <c r="F649" s="204">
        <v>33.299999999999997</v>
      </c>
      <c r="G649" s="204">
        <v>28.6</v>
      </c>
      <c r="H649" s="204">
        <v>16.7</v>
      </c>
      <c r="I649" s="204">
        <v>16.7</v>
      </c>
      <c r="J649" s="204">
        <v>16.7</v>
      </c>
      <c r="K649" s="204">
        <v>66.7</v>
      </c>
      <c r="L649" s="204">
        <v>66.7</v>
      </c>
      <c r="M649" s="204">
        <v>66.7</v>
      </c>
      <c r="N649" s="204">
        <v>66.7</v>
      </c>
      <c r="O649" s="204">
        <v>57.1</v>
      </c>
      <c r="P649" s="204">
        <v>50</v>
      </c>
      <c r="Q649" s="44" t="s">
        <v>45</v>
      </c>
      <c r="R649" s="205">
        <v>95</v>
      </c>
      <c r="S649" s="205">
        <v>95</v>
      </c>
      <c r="T649" s="217" t="s">
        <v>27</v>
      </c>
    </row>
    <row r="650" spans="1:20" ht="13.5" customHeight="1">
      <c r="A650" s="7" t="s">
        <v>33</v>
      </c>
      <c r="B650" s="204">
        <v>45.2</v>
      </c>
      <c r="C650" s="204">
        <v>39.1</v>
      </c>
      <c r="D650" s="204">
        <v>57.1</v>
      </c>
      <c r="E650" s="204">
        <v>25</v>
      </c>
      <c r="F650" s="204">
        <v>25</v>
      </c>
      <c r="G650" s="204">
        <v>33.299999999999997</v>
      </c>
      <c r="H650" s="204">
        <v>33.299999999999997</v>
      </c>
      <c r="I650" s="204">
        <v>33.299999999999997</v>
      </c>
      <c r="J650" s="204">
        <v>33.299999999999997</v>
      </c>
      <c r="K650" s="204">
        <v>33.299999999999997</v>
      </c>
      <c r="L650" s="204">
        <v>33.299999999999997</v>
      </c>
      <c r="M650" s="204">
        <v>33.299999999999997</v>
      </c>
      <c r="N650" s="204">
        <v>33.299999999999997</v>
      </c>
      <c r="O650" s="204">
        <v>42.9</v>
      </c>
      <c r="P650" s="204">
        <v>42.9</v>
      </c>
      <c r="Q650" s="44" t="s">
        <v>45</v>
      </c>
      <c r="R650" s="205">
        <v>95</v>
      </c>
      <c r="S650" s="205">
        <v>85</v>
      </c>
      <c r="T650" s="217" t="s">
        <v>28</v>
      </c>
    </row>
    <row r="651" spans="1:20" ht="13.5" customHeight="1">
      <c r="A651" s="7" t="s">
        <v>31</v>
      </c>
      <c r="B651" s="204">
        <v>57.7</v>
      </c>
      <c r="C651" s="204">
        <v>38.799999999999997</v>
      </c>
      <c r="D651" s="204">
        <v>14.3</v>
      </c>
      <c r="E651" s="204">
        <v>16.7</v>
      </c>
      <c r="F651" s="204">
        <v>20</v>
      </c>
      <c r="G651" s="204">
        <v>16.7</v>
      </c>
      <c r="H651" s="204">
        <v>20</v>
      </c>
      <c r="I651" s="204">
        <v>25</v>
      </c>
      <c r="J651" s="204">
        <v>25</v>
      </c>
      <c r="K651" s="204">
        <v>50</v>
      </c>
      <c r="L651" s="204">
        <v>50</v>
      </c>
      <c r="M651" s="204">
        <v>50</v>
      </c>
      <c r="N651" s="204">
        <v>50</v>
      </c>
      <c r="O651" s="204">
        <v>50</v>
      </c>
      <c r="P651" s="204">
        <v>50</v>
      </c>
      <c r="Q651" s="44" t="s">
        <v>45</v>
      </c>
      <c r="R651" s="205">
        <v>110</v>
      </c>
      <c r="S651" s="205">
        <v>90</v>
      </c>
      <c r="T651" s="217" t="s">
        <v>28</v>
      </c>
    </row>
    <row r="652" spans="1:20" ht="13.5" customHeight="1">
      <c r="A652" s="7" t="s">
        <v>36</v>
      </c>
      <c r="B652" s="204">
        <v>47.1</v>
      </c>
      <c r="C652" s="204">
        <v>49.4</v>
      </c>
      <c r="D652" s="204">
        <v>0</v>
      </c>
      <c r="E652" s="204">
        <v>50</v>
      </c>
      <c r="F652" s="204">
        <v>50</v>
      </c>
      <c r="G652" s="204">
        <v>66.7</v>
      </c>
      <c r="H652" s="204">
        <v>66.7</v>
      </c>
      <c r="I652" s="204">
        <v>25</v>
      </c>
      <c r="J652" s="204">
        <v>25</v>
      </c>
      <c r="K652" s="204">
        <v>33.299999999999997</v>
      </c>
      <c r="L652" s="204">
        <v>33.299999999999997</v>
      </c>
      <c r="M652" s="204">
        <v>0</v>
      </c>
      <c r="N652" s="204">
        <v>0</v>
      </c>
      <c r="O652" s="204">
        <v>50</v>
      </c>
      <c r="P652" s="204">
        <v>50</v>
      </c>
      <c r="Q652" s="44" t="s">
        <v>63</v>
      </c>
      <c r="R652" s="205">
        <v>75</v>
      </c>
      <c r="S652" s="205">
        <v>85</v>
      </c>
      <c r="T652" s="217" t="s">
        <v>27</v>
      </c>
    </row>
    <row r="653" spans="1:20" ht="13.5" customHeight="1">
      <c r="A653" s="7" t="s">
        <v>47</v>
      </c>
      <c r="B653" s="204">
        <v>45.2</v>
      </c>
      <c r="C653" s="204">
        <v>36.9</v>
      </c>
      <c r="D653" s="204">
        <v>42.9</v>
      </c>
      <c r="E653" s="204">
        <v>25</v>
      </c>
      <c r="F653" s="204">
        <v>25</v>
      </c>
      <c r="G653" s="204">
        <v>33.299999999999997</v>
      </c>
      <c r="H653" s="204">
        <v>33.299999999999997</v>
      </c>
      <c r="I653" s="204">
        <v>33.299999999999997</v>
      </c>
      <c r="J653" s="204">
        <v>33.299999999999997</v>
      </c>
      <c r="K653" s="204">
        <v>50</v>
      </c>
      <c r="L653" s="204">
        <v>50</v>
      </c>
      <c r="M653" s="204">
        <v>50</v>
      </c>
      <c r="N653" s="204">
        <v>50</v>
      </c>
      <c r="O653" s="204">
        <v>50</v>
      </c>
      <c r="P653" s="204">
        <v>50</v>
      </c>
      <c r="Q653" s="44" t="s">
        <v>63</v>
      </c>
      <c r="R653" s="205">
        <v>80</v>
      </c>
      <c r="S653" s="205">
        <v>95</v>
      </c>
      <c r="T653" s="217" t="s">
        <v>28</v>
      </c>
    </row>
    <row r="654" spans="1:20" ht="13.5" customHeight="1">
      <c r="A654" s="7" t="s">
        <v>53</v>
      </c>
      <c r="B654" s="204">
        <v>28.6</v>
      </c>
      <c r="C654" s="204">
        <v>36.9</v>
      </c>
      <c r="D654" s="204">
        <v>30</v>
      </c>
      <c r="E654" s="204">
        <v>50</v>
      </c>
      <c r="F654" s="204">
        <v>50</v>
      </c>
      <c r="G654" s="204">
        <v>60</v>
      </c>
      <c r="H654" s="204">
        <v>60</v>
      </c>
      <c r="I654" s="204">
        <v>33.299999999999997</v>
      </c>
      <c r="J654" s="204">
        <v>33.299999999999997</v>
      </c>
      <c r="K654" s="204">
        <v>50</v>
      </c>
      <c r="L654" s="204">
        <v>50</v>
      </c>
      <c r="M654" s="204">
        <v>33.299999999999997</v>
      </c>
      <c r="N654" s="204">
        <v>33.299999999999997</v>
      </c>
      <c r="O654" s="204">
        <v>37.5</v>
      </c>
      <c r="P654" s="204">
        <v>37.5</v>
      </c>
      <c r="Q654" s="44" t="s">
        <v>45</v>
      </c>
      <c r="R654" s="205">
        <v>75</v>
      </c>
      <c r="S654" s="205">
        <v>95</v>
      </c>
      <c r="T654" s="217" t="s">
        <v>27</v>
      </c>
    </row>
    <row r="655" spans="1:20" ht="13.5" customHeight="1">
      <c r="A655" s="7" t="s">
        <v>60</v>
      </c>
      <c r="B655" s="204">
        <v>34.6</v>
      </c>
      <c r="C655" s="204">
        <v>38.799999999999997</v>
      </c>
      <c r="D655" s="204">
        <v>37.5</v>
      </c>
      <c r="E655" s="204">
        <v>0</v>
      </c>
      <c r="F655" s="204">
        <v>0</v>
      </c>
      <c r="G655" s="204">
        <v>50</v>
      </c>
      <c r="H655" s="204">
        <v>50</v>
      </c>
      <c r="I655" s="204">
        <v>25</v>
      </c>
      <c r="J655" s="204">
        <v>25</v>
      </c>
      <c r="K655" s="204">
        <v>50</v>
      </c>
      <c r="L655" s="204">
        <v>50</v>
      </c>
      <c r="M655" s="204">
        <v>50</v>
      </c>
      <c r="N655" s="204">
        <v>50</v>
      </c>
      <c r="O655" s="204">
        <v>57.1</v>
      </c>
      <c r="P655" s="204">
        <v>50</v>
      </c>
      <c r="Q655" s="44" t="s">
        <v>45</v>
      </c>
      <c r="R655" s="205">
        <v>115</v>
      </c>
      <c r="S655" s="205">
        <v>100</v>
      </c>
      <c r="T655" s="217" t="s">
        <v>35</v>
      </c>
    </row>
    <row r="656" spans="1:20" ht="13.5" customHeight="1">
      <c r="A656" s="7" t="s">
        <v>31</v>
      </c>
      <c r="B656" s="204">
        <v>50</v>
      </c>
      <c r="C656" s="204">
        <v>76.5</v>
      </c>
      <c r="D656" s="204">
        <v>75</v>
      </c>
      <c r="E656" s="204">
        <v>100</v>
      </c>
      <c r="F656" s="204">
        <v>100</v>
      </c>
      <c r="G656" s="204">
        <v>66.7</v>
      </c>
      <c r="H656" s="204">
        <v>66.7</v>
      </c>
      <c r="I656" s="204">
        <v>57.1</v>
      </c>
      <c r="J656" s="204">
        <v>57.1</v>
      </c>
      <c r="K656" s="204">
        <v>100</v>
      </c>
      <c r="L656" s="204">
        <v>100</v>
      </c>
      <c r="M656" s="204">
        <v>50</v>
      </c>
      <c r="N656" s="204">
        <v>50</v>
      </c>
      <c r="O656" s="204">
        <v>83.3</v>
      </c>
      <c r="P656" s="204">
        <v>83.3</v>
      </c>
      <c r="Q656" s="86" t="s">
        <v>26</v>
      </c>
      <c r="R656" s="199">
        <v>85</v>
      </c>
      <c r="S656" s="199">
        <v>74</v>
      </c>
      <c r="T656" s="217" t="s">
        <v>40</v>
      </c>
    </row>
    <row r="657" spans="1:20" ht="13.5" customHeight="1">
      <c r="A657" s="7" t="s">
        <v>47</v>
      </c>
      <c r="B657" s="204">
        <v>50</v>
      </c>
      <c r="C657" s="204">
        <v>38.1</v>
      </c>
      <c r="D657" s="204">
        <v>35.700000000000003</v>
      </c>
      <c r="E657" s="204">
        <v>0</v>
      </c>
      <c r="F657" s="204">
        <v>0</v>
      </c>
      <c r="G657" s="204">
        <v>50</v>
      </c>
      <c r="H657" s="204">
        <v>50</v>
      </c>
      <c r="I657" s="204">
        <v>37.5</v>
      </c>
      <c r="J657" s="204">
        <v>37.5</v>
      </c>
      <c r="K657" s="204">
        <v>0</v>
      </c>
      <c r="L657" s="204">
        <v>0</v>
      </c>
      <c r="M657" s="204">
        <v>0</v>
      </c>
      <c r="N657" s="204">
        <v>0</v>
      </c>
      <c r="O657" s="204">
        <v>60</v>
      </c>
      <c r="P657" s="204">
        <v>60</v>
      </c>
      <c r="Q657" s="86" t="s">
        <v>26</v>
      </c>
      <c r="R657" s="199">
        <v>88</v>
      </c>
      <c r="S657" s="199">
        <v>75</v>
      </c>
      <c r="T657" s="217" t="s">
        <v>40</v>
      </c>
    </row>
    <row r="658" spans="1:20" ht="13.5" customHeight="1">
      <c r="A658" s="7" t="s">
        <v>31</v>
      </c>
      <c r="B658" s="204">
        <v>50</v>
      </c>
      <c r="C658" s="204">
        <v>73.3</v>
      </c>
      <c r="D658" s="204">
        <v>66.7</v>
      </c>
      <c r="E658" s="204">
        <v>100</v>
      </c>
      <c r="F658" s="204">
        <v>100</v>
      </c>
      <c r="G658" s="204">
        <v>100</v>
      </c>
      <c r="H658" s="204">
        <v>100</v>
      </c>
      <c r="I658" s="204">
        <v>66.7</v>
      </c>
      <c r="J658" s="204">
        <v>66.7</v>
      </c>
      <c r="K658" s="204">
        <v>100</v>
      </c>
      <c r="L658" s="204">
        <v>100</v>
      </c>
      <c r="M658" s="204">
        <v>100</v>
      </c>
      <c r="N658" s="204">
        <v>100</v>
      </c>
      <c r="O658" s="204">
        <v>100</v>
      </c>
      <c r="P658" s="204">
        <v>100</v>
      </c>
      <c r="Q658" s="86" t="s">
        <v>26</v>
      </c>
      <c r="R658" s="199">
        <v>105</v>
      </c>
      <c r="S658" s="199">
        <v>86</v>
      </c>
      <c r="T658" s="217" t="s">
        <v>28</v>
      </c>
    </row>
    <row r="659" spans="1:20" ht="13.5" customHeight="1">
      <c r="A659" s="7" t="s">
        <v>25</v>
      </c>
      <c r="B659" s="204">
        <v>71.400000000000006</v>
      </c>
      <c r="C659" s="204">
        <v>57.9</v>
      </c>
      <c r="D659" s="204">
        <v>33.299999999999997</v>
      </c>
      <c r="E659" s="204">
        <v>0</v>
      </c>
      <c r="F659" s="204">
        <v>0</v>
      </c>
      <c r="G659" s="204">
        <v>0</v>
      </c>
      <c r="H659" s="204">
        <v>0</v>
      </c>
      <c r="I659" s="204">
        <v>0</v>
      </c>
      <c r="J659" s="204">
        <v>0</v>
      </c>
      <c r="K659" s="204">
        <v>0</v>
      </c>
      <c r="L659" s="204">
        <v>0</v>
      </c>
      <c r="M659" s="204">
        <v>0</v>
      </c>
      <c r="N659" s="204">
        <v>0</v>
      </c>
      <c r="O659" s="204">
        <v>0</v>
      </c>
      <c r="P659" s="204">
        <v>0</v>
      </c>
      <c r="Q659" s="86" t="s">
        <v>26</v>
      </c>
      <c r="R659" s="199">
        <v>92</v>
      </c>
      <c r="S659" s="199">
        <v>120</v>
      </c>
      <c r="T659" s="225" t="s">
        <v>35</v>
      </c>
    </row>
    <row r="660" spans="1:20" ht="13.5" customHeight="1">
      <c r="A660" s="7" t="s">
        <v>22</v>
      </c>
      <c r="B660" s="204">
        <v>68.400000000000006</v>
      </c>
      <c r="C660" s="204">
        <v>76.2</v>
      </c>
      <c r="D660" s="204">
        <v>100</v>
      </c>
      <c r="E660" s="204">
        <v>75</v>
      </c>
      <c r="F660" s="204">
        <v>75</v>
      </c>
      <c r="G660" s="204">
        <v>100</v>
      </c>
      <c r="H660" s="204">
        <v>100</v>
      </c>
      <c r="I660" s="204">
        <v>100</v>
      </c>
      <c r="J660" s="204">
        <v>100</v>
      </c>
      <c r="K660" s="204">
        <v>100</v>
      </c>
      <c r="L660" s="204">
        <v>100</v>
      </c>
      <c r="M660" s="204">
        <v>100</v>
      </c>
      <c r="N660" s="204">
        <v>100</v>
      </c>
      <c r="O660" s="204">
        <v>100</v>
      </c>
      <c r="P660" s="204">
        <v>100</v>
      </c>
      <c r="Q660" s="86" t="s">
        <v>26</v>
      </c>
      <c r="R660" s="199">
        <v>80</v>
      </c>
      <c r="S660" s="199">
        <v>65</v>
      </c>
      <c r="T660" s="217" t="s">
        <v>40</v>
      </c>
    </row>
    <row r="661" spans="1:20" ht="13.5" customHeight="1">
      <c r="A661" s="7" t="s">
        <v>22</v>
      </c>
      <c r="B661" s="204">
        <v>50</v>
      </c>
      <c r="C661" s="204">
        <v>59.6</v>
      </c>
      <c r="D661" s="204">
        <v>50</v>
      </c>
      <c r="E661" s="204">
        <v>50</v>
      </c>
      <c r="F661" s="204">
        <v>50</v>
      </c>
      <c r="G661" s="204">
        <v>50</v>
      </c>
      <c r="H661" s="204">
        <v>50</v>
      </c>
      <c r="I661" s="204">
        <v>33.299999999999997</v>
      </c>
      <c r="J661" s="204">
        <v>33.299999999999997</v>
      </c>
      <c r="K661" s="204">
        <v>100</v>
      </c>
      <c r="L661" s="204">
        <v>100</v>
      </c>
      <c r="M661" s="204">
        <v>100</v>
      </c>
      <c r="N661" s="204">
        <v>100</v>
      </c>
      <c r="O661" s="204">
        <v>100</v>
      </c>
      <c r="P661" s="204">
        <v>100</v>
      </c>
      <c r="Q661" s="86" t="s">
        <v>23</v>
      </c>
      <c r="R661" s="199">
        <v>104</v>
      </c>
      <c r="S661" s="199">
        <v>104</v>
      </c>
      <c r="T661" s="217" t="s">
        <v>35</v>
      </c>
    </row>
    <row r="662" spans="1:20" ht="13.5" customHeight="1">
      <c r="A662" s="7" t="s">
        <v>31</v>
      </c>
      <c r="B662" s="204">
        <v>50</v>
      </c>
      <c r="C662" s="204">
        <v>74.400000000000006</v>
      </c>
      <c r="D662" s="204">
        <v>33.299999999999997</v>
      </c>
      <c r="E662" s="204">
        <v>100</v>
      </c>
      <c r="F662" s="204">
        <v>100</v>
      </c>
      <c r="G662" s="204">
        <v>100</v>
      </c>
      <c r="H662" s="204">
        <v>100</v>
      </c>
      <c r="I662" s="204">
        <v>60</v>
      </c>
      <c r="J662" s="204">
        <v>60</v>
      </c>
      <c r="K662" s="204">
        <v>100</v>
      </c>
      <c r="L662" s="204">
        <v>100</v>
      </c>
      <c r="M662" s="204">
        <v>100</v>
      </c>
      <c r="N662" s="204">
        <v>100</v>
      </c>
      <c r="O662" s="204">
        <v>60</v>
      </c>
      <c r="P662" s="204">
        <v>60</v>
      </c>
      <c r="Q662" s="86" t="s">
        <v>23</v>
      </c>
      <c r="R662" s="199">
        <v>104</v>
      </c>
      <c r="S662" s="199">
        <v>100</v>
      </c>
      <c r="T662" s="217" t="s">
        <v>32</v>
      </c>
    </row>
    <row r="663" spans="1:20" ht="13.5" customHeight="1">
      <c r="A663" s="7" t="s">
        <v>31</v>
      </c>
      <c r="B663" s="204">
        <v>42.9</v>
      </c>
      <c r="C663" s="204">
        <v>49</v>
      </c>
      <c r="D663" s="204">
        <v>33.299999999999997</v>
      </c>
      <c r="E663" s="204">
        <v>80</v>
      </c>
      <c r="F663" s="204">
        <v>100</v>
      </c>
      <c r="G663" s="204">
        <v>60</v>
      </c>
      <c r="H663" s="204">
        <v>50</v>
      </c>
      <c r="I663" s="204">
        <v>50</v>
      </c>
      <c r="J663" s="204">
        <v>50</v>
      </c>
      <c r="K663" s="204">
        <v>100</v>
      </c>
      <c r="L663" s="204">
        <v>100</v>
      </c>
      <c r="M663" s="204">
        <v>75</v>
      </c>
      <c r="N663" s="204">
        <v>75</v>
      </c>
      <c r="O663" s="204">
        <v>50</v>
      </c>
      <c r="P663" s="204">
        <v>50</v>
      </c>
      <c r="Q663" s="86" t="s">
        <v>26</v>
      </c>
      <c r="R663" s="199">
        <v>88</v>
      </c>
      <c r="S663" s="199">
        <v>94</v>
      </c>
      <c r="T663" s="217" t="s">
        <v>27</v>
      </c>
    </row>
    <row r="664" spans="1:20" ht="13.5" customHeight="1">
      <c r="A664" s="7" t="s">
        <v>36</v>
      </c>
      <c r="B664" s="204">
        <v>50</v>
      </c>
      <c r="C664" s="204">
        <v>50.8</v>
      </c>
      <c r="D664" s="204">
        <v>62.5</v>
      </c>
      <c r="E664" s="204">
        <v>0</v>
      </c>
      <c r="F664" s="204">
        <v>0</v>
      </c>
      <c r="G664" s="204">
        <v>0</v>
      </c>
      <c r="H664" s="204">
        <v>0</v>
      </c>
      <c r="I664" s="204">
        <v>28.6</v>
      </c>
      <c r="J664" s="204">
        <v>28.6</v>
      </c>
      <c r="K664" s="204">
        <v>0</v>
      </c>
      <c r="L664" s="204">
        <v>0</v>
      </c>
      <c r="M664" s="204">
        <v>0</v>
      </c>
      <c r="N664" s="204">
        <v>0</v>
      </c>
      <c r="O664" s="204">
        <v>40</v>
      </c>
      <c r="P664" s="204">
        <v>40</v>
      </c>
      <c r="Q664" s="86" t="s">
        <v>26</v>
      </c>
      <c r="R664" s="199">
        <v>100</v>
      </c>
      <c r="S664" s="199">
        <v>110</v>
      </c>
      <c r="T664" s="217" t="s">
        <v>35</v>
      </c>
    </row>
    <row r="665" spans="1:20" ht="13.5" customHeight="1">
      <c r="A665" s="7" t="s">
        <v>43</v>
      </c>
      <c r="B665" s="204">
        <v>50</v>
      </c>
      <c r="C665" s="204">
        <v>46.5</v>
      </c>
      <c r="D665" s="204">
        <v>64.3</v>
      </c>
      <c r="E665" s="204">
        <v>50</v>
      </c>
      <c r="F665" s="204">
        <v>50</v>
      </c>
      <c r="G665" s="204">
        <v>50</v>
      </c>
      <c r="H665" s="204">
        <v>50</v>
      </c>
      <c r="I665" s="204">
        <v>50</v>
      </c>
      <c r="J665" s="204">
        <v>50</v>
      </c>
      <c r="K665" s="204">
        <v>100</v>
      </c>
      <c r="L665" s="204">
        <v>100</v>
      </c>
      <c r="M665" s="204">
        <v>100</v>
      </c>
      <c r="N665" s="204">
        <v>100</v>
      </c>
      <c r="O665" s="204">
        <v>66.7</v>
      </c>
      <c r="P665" s="204">
        <v>66.7</v>
      </c>
      <c r="Q665" s="86" t="s">
        <v>26</v>
      </c>
      <c r="R665" s="199">
        <v>100</v>
      </c>
      <c r="S665" s="199">
        <v>94</v>
      </c>
      <c r="T665" s="217" t="s">
        <v>35</v>
      </c>
    </row>
    <row r="666" spans="1:20" ht="13.5" customHeight="1">
      <c r="A666" s="7" t="s">
        <v>22</v>
      </c>
      <c r="B666" s="204">
        <v>71.400000000000006</v>
      </c>
      <c r="C666" s="204">
        <v>54.7</v>
      </c>
      <c r="D666" s="204">
        <v>57.1</v>
      </c>
      <c r="E666" s="204">
        <v>100</v>
      </c>
      <c r="F666" s="204">
        <v>100</v>
      </c>
      <c r="G666" s="204">
        <v>100</v>
      </c>
      <c r="H666" s="204">
        <v>100</v>
      </c>
      <c r="I666" s="204">
        <v>100</v>
      </c>
      <c r="J666" s="204">
        <v>100</v>
      </c>
      <c r="K666" s="204">
        <v>100</v>
      </c>
      <c r="L666" s="204">
        <v>100</v>
      </c>
      <c r="M666" s="204">
        <v>100</v>
      </c>
      <c r="N666" s="204">
        <v>100</v>
      </c>
      <c r="O666" s="204">
        <v>100</v>
      </c>
      <c r="P666" s="204">
        <v>100</v>
      </c>
      <c r="Q666" s="86" t="s">
        <v>26</v>
      </c>
      <c r="R666" s="199">
        <v>92</v>
      </c>
      <c r="S666" s="199">
        <v>86</v>
      </c>
      <c r="T666" s="217" t="s">
        <v>35</v>
      </c>
    </row>
    <row r="667" spans="1:20" ht="13.5" customHeight="1">
      <c r="A667" s="7" t="s">
        <v>25</v>
      </c>
      <c r="B667" s="204">
        <v>50</v>
      </c>
      <c r="C667" s="204">
        <v>54.7</v>
      </c>
      <c r="D667" s="204">
        <v>57.1</v>
      </c>
      <c r="E667" s="204">
        <v>14.3</v>
      </c>
      <c r="F667" s="204">
        <v>14.3</v>
      </c>
      <c r="G667" s="204">
        <v>14.3</v>
      </c>
      <c r="H667" s="204">
        <v>14.3</v>
      </c>
      <c r="I667" s="204">
        <v>20</v>
      </c>
      <c r="J667" s="204">
        <v>20</v>
      </c>
      <c r="K667" s="204">
        <v>0</v>
      </c>
      <c r="L667" s="204">
        <v>0</v>
      </c>
      <c r="M667" s="204">
        <v>0</v>
      </c>
      <c r="N667" s="204">
        <v>0</v>
      </c>
      <c r="O667" s="204">
        <v>0</v>
      </c>
      <c r="P667" s="204">
        <v>0</v>
      </c>
      <c r="Q667" s="86" t="s">
        <v>26</v>
      </c>
      <c r="R667" s="199">
        <v>98</v>
      </c>
      <c r="S667" s="199">
        <v>98</v>
      </c>
      <c r="T667" s="225" t="s">
        <v>48</v>
      </c>
    </row>
    <row r="668" spans="1:20" ht="13.5" customHeight="1">
      <c r="A668" s="7" t="s">
        <v>31</v>
      </c>
      <c r="B668" s="204">
        <v>45.2</v>
      </c>
      <c r="C668" s="204">
        <v>46.5</v>
      </c>
      <c r="D668" s="204">
        <v>57.1</v>
      </c>
      <c r="E668" s="204">
        <v>50</v>
      </c>
      <c r="F668" s="204">
        <v>50</v>
      </c>
      <c r="G668" s="204">
        <v>100</v>
      </c>
      <c r="H668" s="204">
        <v>100</v>
      </c>
      <c r="I668" s="204">
        <v>60</v>
      </c>
      <c r="J668" s="204">
        <v>66.7</v>
      </c>
      <c r="K668" s="204">
        <v>33.299999999999997</v>
      </c>
      <c r="L668" s="204">
        <v>33.299999999999997</v>
      </c>
      <c r="M668" s="204">
        <v>50</v>
      </c>
      <c r="N668" s="204">
        <v>50</v>
      </c>
      <c r="O668" s="204">
        <v>60</v>
      </c>
      <c r="P668" s="204">
        <v>60</v>
      </c>
      <c r="Q668" s="86" t="s">
        <v>45</v>
      </c>
      <c r="R668" s="199">
        <v>83</v>
      </c>
      <c r="S668" s="199">
        <v>75</v>
      </c>
      <c r="T668" s="217" t="s">
        <v>40</v>
      </c>
    </row>
    <row r="669" spans="1:20" ht="13.5" customHeight="1">
      <c r="A669" s="7" t="s">
        <v>36</v>
      </c>
      <c r="B669" s="204">
        <v>60</v>
      </c>
      <c r="C669" s="204">
        <v>39.1</v>
      </c>
      <c r="D669" s="204">
        <v>50</v>
      </c>
      <c r="E669" s="204">
        <v>0</v>
      </c>
      <c r="F669" s="204">
        <v>0</v>
      </c>
      <c r="G669" s="204">
        <v>0</v>
      </c>
      <c r="H669" s="204">
        <v>0</v>
      </c>
      <c r="I669" s="204">
        <v>0</v>
      </c>
      <c r="J669" s="204">
        <v>0</v>
      </c>
      <c r="K669" s="204">
        <v>0</v>
      </c>
      <c r="L669" s="204">
        <v>0</v>
      </c>
      <c r="M669" s="204">
        <v>50</v>
      </c>
      <c r="N669" s="204">
        <v>50</v>
      </c>
      <c r="O669" s="204">
        <v>0</v>
      </c>
      <c r="P669" s="204">
        <v>0</v>
      </c>
      <c r="Q669" s="86" t="s">
        <v>45</v>
      </c>
      <c r="R669" s="199">
        <v>105</v>
      </c>
      <c r="S669" s="199">
        <v>115</v>
      </c>
      <c r="T669" s="217" t="s">
        <v>35</v>
      </c>
    </row>
    <row r="670" spans="1:20" ht="13.5" customHeight="1">
      <c r="A670" s="7" t="s">
        <v>22</v>
      </c>
      <c r="B670" s="204">
        <v>45.2</v>
      </c>
      <c r="C670" s="204">
        <v>68</v>
      </c>
      <c r="D670" s="204">
        <v>80</v>
      </c>
      <c r="E670" s="204">
        <v>50</v>
      </c>
      <c r="F670" s="204">
        <v>50</v>
      </c>
      <c r="G670" s="204">
        <v>16.7</v>
      </c>
      <c r="H670" s="204">
        <v>16.7</v>
      </c>
      <c r="I670" s="204">
        <v>33.299999999999997</v>
      </c>
      <c r="J670" s="204">
        <v>40</v>
      </c>
      <c r="K670" s="204">
        <v>66.7</v>
      </c>
      <c r="L670" s="204">
        <v>66.7</v>
      </c>
      <c r="M670" s="204">
        <v>50</v>
      </c>
      <c r="N670" s="204">
        <v>50</v>
      </c>
      <c r="O670" s="204">
        <v>42.9</v>
      </c>
      <c r="P670" s="204">
        <v>42.9</v>
      </c>
      <c r="Q670" s="86" t="s">
        <v>26</v>
      </c>
      <c r="R670" s="199">
        <v>96</v>
      </c>
      <c r="S670" s="199">
        <v>71</v>
      </c>
      <c r="T670" s="217" t="s">
        <v>40</v>
      </c>
    </row>
    <row r="671" spans="1:20" ht="13.5" customHeight="1">
      <c r="A671" s="7" t="s">
        <v>53</v>
      </c>
      <c r="B671" s="204">
        <v>50</v>
      </c>
      <c r="C671" s="204">
        <v>22.2</v>
      </c>
      <c r="D671" s="204">
        <v>0</v>
      </c>
      <c r="E671" s="204">
        <v>0</v>
      </c>
      <c r="F671" s="204">
        <v>0</v>
      </c>
      <c r="G671" s="204">
        <v>0</v>
      </c>
      <c r="H671" s="204">
        <v>0</v>
      </c>
      <c r="I671" s="204">
        <v>0</v>
      </c>
      <c r="J671" s="204">
        <v>0</v>
      </c>
      <c r="K671" s="204">
        <v>0</v>
      </c>
      <c r="L671" s="204">
        <v>0</v>
      </c>
      <c r="M671" s="204">
        <v>0</v>
      </c>
      <c r="N671" s="204">
        <v>0</v>
      </c>
      <c r="O671" s="204">
        <v>0</v>
      </c>
      <c r="P671" s="204">
        <v>0</v>
      </c>
      <c r="Q671" s="86" t="s">
        <v>45</v>
      </c>
      <c r="R671" s="199">
        <v>85</v>
      </c>
      <c r="S671" s="199">
        <v>100</v>
      </c>
      <c r="T671" s="217" t="s">
        <v>48</v>
      </c>
    </row>
    <row r="672" spans="1:20" ht="13.5" customHeight="1">
      <c r="A672" s="7" t="s">
        <v>53</v>
      </c>
      <c r="B672" s="204">
        <v>47.1</v>
      </c>
      <c r="C672" s="204">
        <v>49.4</v>
      </c>
      <c r="D672" s="204">
        <v>0</v>
      </c>
      <c r="E672" s="204">
        <v>0</v>
      </c>
      <c r="F672" s="204">
        <v>0</v>
      </c>
      <c r="G672" s="204">
        <v>75</v>
      </c>
      <c r="H672" s="204">
        <v>66.7</v>
      </c>
      <c r="I672" s="204">
        <v>16.7</v>
      </c>
      <c r="J672" s="204">
        <v>16.7</v>
      </c>
      <c r="K672" s="204">
        <v>66.7</v>
      </c>
      <c r="L672" s="204">
        <v>0</v>
      </c>
      <c r="M672" s="204">
        <v>33.299999999999997</v>
      </c>
      <c r="N672" s="204">
        <v>0</v>
      </c>
      <c r="O672" s="204">
        <v>33.299999999999997</v>
      </c>
      <c r="P672" s="204">
        <v>0</v>
      </c>
      <c r="Q672" s="86" t="s">
        <v>45</v>
      </c>
      <c r="R672" s="199">
        <v>76</v>
      </c>
      <c r="S672" s="199">
        <v>94</v>
      </c>
      <c r="T672" s="217" t="s">
        <v>27</v>
      </c>
    </row>
    <row r="673" spans="1:20" ht="13.5" customHeight="1">
      <c r="A673" s="7" t="s">
        <v>29</v>
      </c>
      <c r="B673" s="204">
        <v>62.5</v>
      </c>
      <c r="C673" s="204">
        <v>49.4</v>
      </c>
      <c r="D673" s="204">
        <v>44.4</v>
      </c>
      <c r="E673" s="204">
        <v>100</v>
      </c>
      <c r="F673" s="204">
        <v>100</v>
      </c>
      <c r="G673" s="204">
        <v>100</v>
      </c>
      <c r="H673" s="204">
        <v>100</v>
      </c>
      <c r="I673" s="204">
        <v>100</v>
      </c>
      <c r="J673" s="204">
        <v>100</v>
      </c>
      <c r="K673" s="204">
        <v>100</v>
      </c>
      <c r="L673" s="204">
        <v>100</v>
      </c>
      <c r="M673" s="204">
        <v>100</v>
      </c>
      <c r="N673" s="204">
        <v>100</v>
      </c>
      <c r="O673" s="204">
        <v>50</v>
      </c>
      <c r="P673" s="204">
        <v>50</v>
      </c>
      <c r="Q673" s="86" t="s">
        <v>45</v>
      </c>
      <c r="R673" s="199">
        <v>75</v>
      </c>
      <c r="S673" s="199">
        <v>98</v>
      </c>
      <c r="T673" s="217" t="s">
        <v>32</v>
      </c>
    </row>
    <row r="674" spans="1:20" ht="13.5" customHeight="1">
      <c r="A674" s="7" t="s">
        <v>36</v>
      </c>
      <c r="B674" s="204">
        <v>28.6</v>
      </c>
      <c r="C674" s="204">
        <v>36.9</v>
      </c>
      <c r="D674" s="204">
        <v>30</v>
      </c>
      <c r="E674" s="204">
        <v>0</v>
      </c>
      <c r="F674" s="204">
        <v>0</v>
      </c>
      <c r="G674" s="204">
        <v>0</v>
      </c>
      <c r="H674" s="204">
        <v>0</v>
      </c>
      <c r="I674" s="204">
        <v>22.2</v>
      </c>
      <c r="J674" s="204">
        <v>14.3</v>
      </c>
      <c r="K674" s="204">
        <v>0</v>
      </c>
      <c r="L674" s="204">
        <v>0</v>
      </c>
      <c r="M674" s="204">
        <v>0</v>
      </c>
      <c r="N674" s="204">
        <v>0</v>
      </c>
      <c r="O674" s="204">
        <v>33.299999999999997</v>
      </c>
      <c r="P674" s="204">
        <v>33.299999999999997</v>
      </c>
      <c r="Q674" s="86" t="s">
        <v>45</v>
      </c>
      <c r="R674" s="199">
        <v>94</v>
      </c>
      <c r="S674" s="199">
        <v>96</v>
      </c>
      <c r="T674" s="217" t="s">
        <v>32</v>
      </c>
    </row>
    <row r="675" spans="1:20" ht="27" customHeight="1">
      <c r="A675" s="7" t="s">
        <v>53</v>
      </c>
      <c r="B675" s="204">
        <v>46.2</v>
      </c>
      <c r="C675" s="204">
        <v>38.799999999999997</v>
      </c>
      <c r="D675" s="204">
        <v>40</v>
      </c>
      <c r="E675" s="204">
        <v>25</v>
      </c>
      <c r="F675" s="204">
        <v>25</v>
      </c>
      <c r="G675" s="204">
        <v>40</v>
      </c>
      <c r="H675" s="204">
        <v>40</v>
      </c>
      <c r="I675" s="204">
        <v>50</v>
      </c>
      <c r="J675" s="204">
        <v>50</v>
      </c>
      <c r="K675" s="204">
        <v>0</v>
      </c>
      <c r="L675" s="204">
        <v>0</v>
      </c>
      <c r="M675" s="204">
        <v>0</v>
      </c>
      <c r="N675" s="204">
        <v>0</v>
      </c>
      <c r="O675" s="204">
        <v>0</v>
      </c>
      <c r="P675" s="204">
        <v>0</v>
      </c>
      <c r="Q675" s="86" t="s">
        <v>45</v>
      </c>
      <c r="R675" s="199">
        <v>98</v>
      </c>
      <c r="S675" s="199">
        <v>110</v>
      </c>
      <c r="T675" s="217" t="s">
        <v>35</v>
      </c>
    </row>
    <row r="676" spans="1:20" ht="13.5" customHeight="1">
      <c r="A676" s="7" t="s">
        <v>31</v>
      </c>
      <c r="B676" s="204">
        <v>55.6</v>
      </c>
      <c r="C676" s="204">
        <v>46.5</v>
      </c>
      <c r="D676" s="204">
        <v>64.3</v>
      </c>
      <c r="E676" s="204">
        <v>100</v>
      </c>
      <c r="F676" s="204">
        <v>100</v>
      </c>
      <c r="G676" s="204">
        <v>100</v>
      </c>
      <c r="H676" s="204">
        <v>100</v>
      </c>
      <c r="I676" s="204">
        <v>33.299999999999997</v>
      </c>
      <c r="J676" s="204">
        <v>33.299999999999997</v>
      </c>
      <c r="K676" s="204">
        <v>100</v>
      </c>
      <c r="L676" s="204">
        <v>100</v>
      </c>
      <c r="M676" s="204">
        <v>100</v>
      </c>
      <c r="N676" s="204">
        <v>100</v>
      </c>
      <c r="O676" s="204">
        <v>60</v>
      </c>
      <c r="P676" s="204">
        <v>60</v>
      </c>
      <c r="Q676" s="86" t="s">
        <v>45</v>
      </c>
      <c r="R676" s="199">
        <v>86</v>
      </c>
      <c r="S676" s="199">
        <v>60</v>
      </c>
      <c r="T676" s="217" t="s">
        <v>40</v>
      </c>
    </row>
    <row r="677" spans="1:20" ht="13.5" customHeight="1">
      <c r="A677" s="7" t="s">
        <v>42</v>
      </c>
      <c r="B677" s="204">
        <v>53.8</v>
      </c>
      <c r="C677" s="204">
        <v>55.6</v>
      </c>
      <c r="D677" s="204">
        <v>85.7</v>
      </c>
      <c r="E677" s="204">
        <v>0</v>
      </c>
      <c r="F677" s="204">
        <v>0</v>
      </c>
      <c r="G677" s="204">
        <v>0</v>
      </c>
      <c r="H677" s="204">
        <v>0</v>
      </c>
      <c r="I677" s="204">
        <v>0</v>
      </c>
      <c r="J677" s="204">
        <v>0</v>
      </c>
      <c r="K677" s="204">
        <v>50</v>
      </c>
      <c r="L677" s="204">
        <v>50</v>
      </c>
      <c r="M677" s="204">
        <v>50</v>
      </c>
      <c r="N677" s="204">
        <v>50</v>
      </c>
      <c r="O677" s="204">
        <v>0</v>
      </c>
      <c r="P677" s="204">
        <v>0</v>
      </c>
      <c r="Q677" s="86" t="s">
        <v>45</v>
      </c>
      <c r="R677" s="199">
        <v>94</v>
      </c>
      <c r="S677" s="199">
        <v>100</v>
      </c>
      <c r="T677" s="217" t="s">
        <v>35</v>
      </c>
    </row>
    <row r="678" spans="1:20" ht="13.5" customHeight="1">
      <c r="A678" s="7" t="s">
        <v>42</v>
      </c>
      <c r="B678" s="204">
        <v>28.6</v>
      </c>
      <c r="C678" s="204">
        <v>22.2</v>
      </c>
      <c r="D678" s="204">
        <v>30</v>
      </c>
      <c r="E678" s="204">
        <v>0</v>
      </c>
      <c r="F678" s="204">
        <v>0</v>
      </c>
      <c r="G678" s="204">
        <v>0</v>
      </c>
      <c r="H678" s="204">
        <v>0</v>
      </c>
      <c r="I678" s="204">
        <v>33.299999999999997</v>
      </c>
      <c r="J678" s="204">
        <v>33.299999999999997</v>
      </c>
      <c r="K678" s="204">
        <v>0</v>
      </c>
      <c r="L678" s="204">
        <v>0</v>
      </c>
      <c r="M678" s="204">
        <v>66.7</v>
      </c>
      <c r="N678" s="204">
        <v>66.7</v>
      </c>
      <c r="O678" s="204">
        <v>50</v>
      </c>
      <c r="P678" s="204">
        <v>50</v>
      </c>
      <c r="Q678" s="86" t="s">
        <v>45</v>
      </c>
      <c r="R678" s="199">
        <v>94</v>
      </c>
      <c r="S678" s="199">
        <v>114</v>
      </c>
      <c r="T678" s="217" t="s">
        <v>35</v>
      </c>
    </row>
    <row r="679" spans="1:20" ht="13.5" customHeight="1">
      <c r="A679" s="7" t="s">
        <v>42</v>
      </c>
      <c r="B679" s="204">
        <v>53.8</v>
      </c>
      <c r="C679" s="204">
        <v>49.4</v>
      </c>
      <c r="D679" s="204">
        <v>60</v>
      </c>
      <c r="E679" s="204">
        <v>0</v>
      </c>
      <c r="F679" s="204">
        <v>0</v>
      </c>
      <c r="G679" s="204">
        <v>0</v>
      </c>
      <c r="H679" s="204">
        <v>0</v>
      </c>
      <c r="I679" s="204">
        <v>0</v>
      </c>
      <c r="J679" s="204">
        <v>0</v>
      </c>
      <c r="K679" s="204">
        <v>0</v>
      </c>
      <c r="L679" s="204">
        <v>0</v>
      </c>
      <c r="M679" s="204">
        <v>0</v>
      </c>
      <c r="N679" s="204">
        <v>0</v>
      </c>
      <c r="O679" s="204">
        <v>33.299999999999997</v>
      </c>
      <c r="P679" s="204">
        <v>33.299999999999997</v>
      </c>
      <c r="Q679" s="86" t="s">
        <v>45</v>
      </c>
      <c r="R679" s="199">
        <v>94</v>
      </c>
      <c r="S679" s="199">
        <v>86</v>
      </c>
      <c r="T679" s="217" t="s">
        <v>24</v>
      </c>
    </row>
    <row r="680" spans="1:20" ht="13.5" customHeight="1">
      <c r="A680" s="7" t="s">
        <v>22</v>
      </c>
      <c r="B680" s="204">
        <v>58</v>
      </c>
      <c r="C680" s="204">
        <v>55.6</v>
      </c>
      <c r="D680" s="204">
        <v>66.7</v>
      </c>
      <c r="E680" s="204">
        <v>50</v>
      </c>
      <c r="F680" s="204">
        <v>50</v>
      </c>
      <c r="G680" s="204">
        <v>66.7</v>
      </c>
      <c r="H680" s="204">
        <v>66.7</v>
      </c>
      <c r="I680" s="204">
        <v>57.1</v>
      </c>
      <c r="J680" s="204">
        <v>57.1</v>
      </c>
      <c r="K680" s="204">
        <v>100</v>
      </c>
      <c r="L680" s="204">
        <v>100</v>
      </c>
      <c r="M680" s="204">
        <v>100</v>
      </c>
      <c r="N680" s="204">
        <v>100</v>
      </c>
      <c r="O680" s="204">
        <v>60</v>
      </c>
      <c r="P680" s="204">
        <v>60</v>
      </c>
      <c r="Q680" s="86" t="s">
        <v>45</v>
      </c>
      <c r="R680" s="199">
        <v>82</v>
      </c>
      <c r="S680" s="199">
        <v>110</v>
      </c>
      <c r="T680" s="217" t="s">
        <v>35</v>
      </c>
    </row>
    <row r="681" spans="1:20" ht="13.5" customHeight="1">
      <c r="A681" s="7" t="s">
        <v>37</v>
      </c>
      <c r="B681" s="204">
        <v>43.8</v>
      </c>
      <c r="C681" s="204">
        <v>38.799999999999997</v>
      </c>
      <c r="D681" s="204">
        <v>57.1</v>
      </c>
      <c r="E681" s="204">
        <v>100</v>
      </c>
      <c r="F681" s="204">
        <v>100</v>
      </c>
      <c r="G681" s="204">
        <v>50</v>
      </c>
      <c r="H681" s="204">
        <v>50</v>
      </c>
      <c r="I681" s="204">
        <v>37.5</v>
      </c>
      <c r="J681" s="204">
        <v>37.5</v>
      </c>
      <c r="K681" s="204">
        <v>100</v>
      </c>
      <c r="L681" s="204">
        <v>100</v>
      </c>
      <c r="M681" s="204">
        <v>50</v>
      </c>
      <c r="N681" s="204">
        <v>50</v>
      </c>
      <c r="O681" s="204">
        <v>83.3</v>
      </c>
      <c r="P681" s="204">
        <v>83.3</v>
      </c>
      <c r="Q681" s="86" t="s">
        <v>26</v>
      </c>
      <c r="R681" s="199">
        <v>98</v>
      </c>
      <c r="S681" s="199">
        <v>81</v>
      </c>
      <c r="T681" s="217" t="s">
        <v>39</v>
      </c>
    </row>
    <row r="682" spans="1:20" ht="13.5" customHeight="1">
      <c r="A682" s="7" t="s">
        <v>31</v>
      </c>
      <c r="B682" s="204">
        <v>45.2</v>
      </c>
      <c r="C682" s="204">
        <v>49.4</v>
      </c>
      <c r="D682" s="204">
        <v>57.1</v>
      </c>
      <c r="E682" s="204">
        <v>40</v>
      </c>
      <c r="F682" s="204">
        <v>40</v>
      </c>
      <c r="G682" s="204">
        <v>40</v>
      </c>
      <c r="H682" s="204">
        <v>40</v>
      </c>
      <c r="I682" s="204">
        <v>16.7</v>
      </c>
      <c r="J682" s="204">
        <v>16.7</v>
      </c>
      <c r="K682" s="204">
        <v>50</v>
      </c>
      <c r="L682" s="204">
        <v>50</v>
      </c>
      <c r="M682" s="204">
        <v>57.1</v>
      </c>
      <c r="N682" s="204">
        <v>57.1</v>
      </c>
      <c r="O682" s="204">
        <v>50</v>
      </c>
      <c r="P682" s="204">
        <v>50</v>
      </c>
      <c r="Q682" s="86" t="s">
        <v>45</v>
      </c>
      <c r="R682" s="199">
        <v>94</v>
      </c>
      <c r="S682" s="199">
        <v>110</v>
      </c>
      <c r="T682" s="217" t="s">
        <v>35</v>
      </c>
    </row>
    <row r="683" spans="1:20" ht="13.5" customHeight="1">
      <c r="A683" s="7" t="s">
        <v>43</v>
      </c>
      <c r="B683" s="204">
        <v>58</v>
      </c>
      <c r="C683" s="204">
        <v>73.3</v>
      </c>
      <c r="D683" s="204">
        <v>83.3</v>
      </c>
      <c r="E683" s="204">
        <v>75</v>
      </c>
      <c r="F683" s="204">
        <v>75</v>
      </c>
      <c r="G683" s="204">
        <v>66.7</v>
      </c>
      <c r="H683" s="204">
        <v>66.7</v>
      </c>
      <c r="I683" s="204">
        <v>60</v>
      </c>
      <c r="J683" s="204">
        <v>60</v>
      </c>
      <c r="K683" s="204">
        <v>33.299999999999997</v>
      </c>
      <c r="L683" s="204">
        <v>33.299999999999997</v>
      </c>
      <c r="M683" s="204">
        <v>50</v>
      </c>
      <c r="N683" s="204">
        <v>50</v>
      </c>
      <c r="O683" s="204">
        <v>60</v>
      </c>
      <c r="P683" s="204">
        <v>60</v>
      </c>
      <c r="Q683" s="86" t="s">
        <v>45</v>
      </c>
      <c r="R683" s="199">
        <v>80</v>
      </c>
      <c r="S683" s="199">
        <v>86</v>
      </c>
      <c r="T683" s="217" t="s">
        <v>27</v>
      </c>
    </row>
    <row r="684" spans="1:20" ht="13.5" customHeight="1">
      <c r="A684" s="7" t="s">
        <v>44</v>
      </c>
      <c r="B684" s="204">
        <v>76.900000000000006</v>
      </c>
      <c r="C684" s="204">
        <v>74.400000000000006</v>
      </c>
      <c r="D684" s="204">
        <v>85.7</v>
      </c>
      <c r="E684" s="204">
        <v>75</v>
      </c>
      <c r="F684" s="204">
        <v>75</v>
      </c>
      <c r="G684" s="204">
        <v>66.7</v>
      </c>
      <c r="H684" s="204">
        <v>66.7</v>
      </c>
      <c r="I684" s="204">
        <v>100</v>
      </c>
      <c r="J684" s="204">
        <v>100</v>
      </c>
      <c r="K684" s="204">
        <v>100</v>
      </c>
      <c r="L684" s="204">
        <v>100</v>
      </c>
      <c r="M684" s="204">
        <v>100</v>
      </c>
      <c r="N684" s="204">
        <v>100</v>
      </c>
      <c r="O684" s="204">
        <v>100</v>
      </c>
      <c r="P684" s="204">
        <v>100</v>
      </c>
      <c r="Q684" s="86" t="s">
        <v>45</v>
      </c>
      <c r="R684" s="199">
        <v>86</v>
      </c>
      <c r="S684" s="199">
        <v>96</v>
      </c>
      <c r="T684" s="217" t="s">
        <v>35</v>
      </c>
    </row>
    <row r="685" spans="1:20" ht="27" customHeight="1">
      <c r="A685" s="7" t="s">
        <v>44</v>
      </c>
      <c r="B685" s="204">
        <v>58</v>
      </c>
      <c r="C685" s="204">
        <v>73.3</v>
      </c>
      <c r="D685" s="204">
        <v>83.3</v>
      </c>
      <c r="E685" s="204">
        <v>50</v>
      </c>
      <c r="F685" s="204">
        <v>50</v>
      </c>
      <c r="G685" s="204">
        <v>50</v>
      </c>
      <c r="H685" s="204">
        <v>50</v>
      </c>
      <c r="I685" s="204">
        <v>33.299999999999997</v>
      </c>
      <c r="J685" s="204">
        <v>33.299999999999997</v>
      </c>
      <c r="K685" s="204">
        <v>100</v>
      </c>
      <c r="L685" s="204">
        <v>100</v>
      </c>
      <c r="M685" s="204">
        <v>100</v>
      </c>
      <c r="N685" s="204">
        <v>100</v>
      </c>
      <c r="O685" s="204">
        <v>50</v>
      </c>
      <c r="P685" s="204">
        <v>50</v>
      </c>
      <c r="Q685" s="86" t="s">
        <v>26</v>
      </c>
      <c r="R685" s="199">
        <v>94</v>
      </c>
      <c r="S685" s="199">
        <v>90</v>
      </c>
      <c r="T685" s="217" t="s">
        <v>28</v>
      </c>
    </row>
    <row r="686" spans="1:20" ht="13.5" customHeight="1">
      <c r="A686" s="7" t="s">
        <v>42</v>
      </c>
      <c r="B686" s="204">
        <v>58</v>
      </c>
      <c r="C686" s="204">
        <v>55.6</v>
      </c>
      <c r="D686" s="204">
        <v>66.7</v>
      </c>
      <c r="E686" s="204">
        <v>0</v>
      </c>
      <c r="F686" s="204">
        <v>0</v>
      </c>
      <c r="G686" s="204">
        <v>0</v>
      </c>
      <c r="H686" s="204">
        <v>0</v>
      </c>
      <c r="I686" s="204">
        <v>37.5</v>
      </c>
      <c r="J686" s="204">
        <v>37.5</v>
      </c>
      <c r="K686" s="204">
        <v>0</v>
      </c>
      <c r="L686" s="204">
        <v>0</v>
      </c>
      <c r="M686" s="204">
        <v>0</v>
      </c>
      <c r="N686" s="204">
        <v>0</v>
      </c>
      <c r="O686" s="204">
        <v>0</v>
      </c>
      <c r="P686" s="204">
        <v>0</v>
      </c>
      <c r="Q686" s="86" t="s">
        <v>45</v>
      </c>
      <c r="R686" s="199">
        <v>104</v>
      </c>
      <c r="S686" s="199">
        <v>68</v>
      </c>
      <c r="T686" s="225" t="s">
        <v>40</v>
      </c>
    </row>
    <row r="687" spans="1:20" ht="13.5" customHeight="1">
      <c r="A687" s="7" t="s">
        <v>22</v>
      </c>
      <c r="B687" s="204">
        <v>54.5</v>
      </c>
      <c r="C687" s="204">
        <v>59.6</v>
      </c>
      <c r="D687" s="204">
        <v>72.7</v>
      </c>
      <c r="E687" s="204">
        <v>100</v>
      </c>
      <c r="F687" s="204">
        <v>100</v>
      </c>
      <c r="G687" s="204">
        <v>100</v>
      </c>
      <c r="H687" s="204">
        <v>100</v>
      </c>
      <c r="I687" s="204">
        <v>50</v>
      </c>
      <c r="J687" s="204">
        <v>50</v>
      </c>
      <c r="K687" s="204">
        <v>100</v>
      </c>
      <c r="L687" s="204">
        <v>100</v>
      </c>
      <c r="M687" s="204">
        <v>100</v>
      </c>
      <c r="N687" s="204">
        <v>100</v>
      </c>
      <c r="O687" s="204">
        <v>100</v>
      </c>
      <c r="P687" s="204">
        <v>100</v>
      </c>
      <c r="Q687" s="86" t="s">
        <v>26</v>
      </c>
      <c r="R687" s="199">
        <v>104</v>
      </c>
      <c r="S687" s="199">
        <v>94</v>
      </c>
      <c r="T687" s="217" t="s">
        <v>24</v>
      </c>
    </row>
    <row r="688" spans="1:20" ht="13.5" customHeight="1">
      <c r="A688" s="7" t="s">
        <v>42</v>
      </c>
      <c r="B688" s="204">
        <v>54.5</v>
      </c>
      <c r="C688" s="204">
        <v>68</v>
      </c>
      <c r="D688" s="204">
        <v>54.5</v>
      </c>
      <c r="E688" s="204">
        <v>50</v>
      </c>
      <c r="F688" s="204">
        <v>50</v>
      </c>
      <c r="G688" s="204">
        <v>50</v>
      </c>
      <c r="H688" s="204">
        <v>50</v>
      </c>
      <c r="I688" s="204">
        <v>50</v>
      </c>
      <c r="J688" s="204">
        <v>50</v>
      </c>
      <c r="K688" s="204">
        <v>50</v>
      </c>
      <c r="L688" s="204">
        <v>50</v>
      </c>
      <c r="M688" s="204">
        <v>50</v>
      </c>
      <c r="N688" s="204">
        <v>50</v>
      </c>
      <c r="O688" s="204">
        <v>66.7</v>
      </c>
      <c r="P688" s="204">
        <v>66.7</v>
      </c>
      <c r="Q688" s="86" t="s">
        <v>26</v>
      </c>
      <c r="R688" s="199">
        <v>100</v>
      </c>
      <c r="S688" s="199">
        <v>88</v>
      </c>
      <c r="T688" s="217" t="s">
        <v>27</v>
      </c>
    </row>
    <row r="689" spans="1:20" ht="13.5" customHeight="1">
      <c r="A689" s="7" t="s">
        <v>31</v>
      </c>
      <c r="B689" s="204">
        <v>58</v>
      </c>
      <c r="C689" s="204">
        <v>49.4</v>
      </c>
      <c r="D689" s="204">
        <v>57.1</v>
      </c>
      <c r="E689" s="204">
        <v>100</v>
      </c>
      <c r="F689" s="204">
        <v>100</v>
      </c>
      <c r="G689" s="204">
        <v>100</v>
      </c>
      <c r="H689" s="204">
        <v>100</v>
      </c>
      <c r="I689" s="204">
        <v>50</v>
      </c>
      <c r="J689" s="204">
        <v>50</v>
      </c>
      <c r="K689" s="204">
        <v>100</v>
      </c>
      <c r="L689" s="204">
        <v>100</v>
      </c>
      <c r="M689" s="204">
        <v>100</v>
      </c>
      <c r="N689" s="204">
        <v>100</v>
      </c>
      <c r="O689" s="204">
        <v>40</v>
      </c>
      <c r="P689" s="204">
        <v>40</v>
      </c>
      <c r="Q689" s="86" t="s">
        <v>63</v>
      </c>
      <c r="R689" s="199">
        <v>80</v>
      </c>
      <c r="S689" s="199">
        <v>86</v>
      </c>
      <c r="T689" s="217" t="s">
        <v>27</v>
      </c>
    </row>
    <row r="690" spans="1:20" ht="13.5" customHeight="1">
      <c r="A690" s="7" t="s">
        <v>36</v>
      </c>
      <c r="B690" s="204">
        <v>58</v>
      </c>
      <c r="C690" s="204">
        <v>54.7</v>
      </c>
      <c r="D690" s="204">
        <v>42.9</v>
      </c>
      <c r="E690" s="204">
        <v>33.299999999999997</v>
      </c>
      <c r="F690" s="204">
        <v>33.299999999999997</v>
      </c>
      <c r="G690" s="204">
        <v>33.299999999999997</v>
      </c>
      <c r="H690" s="204">
        <v>33.299999999999997</v>
      </c>
      <c r="I690" s="204">
        <v>60</v>
      </c>
      <c r="J690" s="204">
        <v>60</v>
      </c>
      <c r="K690" s="204">
        <v>50</v>
      </c>
      <c r="L690" s="204">
        <v>50</v>
      </c>
      <c r="M690" s="204">
        <v>50</v>
      </c>
      <c r="N690" s="204">
        <v>50</v>
      </c>
      <c r="O690" s="204">
        <v>0</v>
      </c>
      <c r="P690" s="204">
        <v>0</v>
      </c>
      <c r="Q690" s="86" t="s">
        <v>63</v>
      </c>
      <c r="R690" s="199">
        <v>76</v>
      </c>
      <c r="S690" s="199">
        <v>94</v>
      </c>
      <c r="T690" s="217" t="s">
        <v>28</v>
      </c>
    </row>
    <row r="691" spans="1:20" ht="13.5" customHeight="1">
      <c r="A691" s="7" t="s">
        <v>31</v>
      </c>
      <c r="B691" s="204">
        <v>76.900000000000006</v>
      </c>
      <c r="C691" s="204">
        <v>57.9</v>
      </c>
      <c r="D691" s="204">
        <v>62.5</v>
      </c>
      <c r="E691" s="204">
        <v>100</v>
      </c>
      <c r="F691" s="204">
        <v>100</v>
      </c>
      <c r="G691" s="204">
        <v>100</v>
      </c>
      <c r="H691" s="204">
        <v>100</v>
      </c>
      <c r="I691" s="204">
        <v>100</v>
      </c>
      <c r="J691" s="204">
        <v>100</v>
      </c>
      <c r="K691" s="204">
        <v>100</v>
      </c>
      <c r="L691" s="204">
        <v>100</v>
      </c>
      <c r="M691" s="204">
        <v>100</v>
      </c>
      <c r="N691" s="204">
        <v>100</v>
      </c>
      <c r="O691" s="204">
        <v>100</v>
      </c>
      <c r="P691" s="204">
        <v>100</v>
      </c>
      <c r="Q691" s="86" t="s">
        <v>63</v>
      </c>
      <c r="R691" s="199">
        <v>88</v>
      </c>
      <c r="S691" s="199">
        <v>94</v>
      </c>
      <c r="T691" s="217" t="s">
        <v>27</v>
      </c>
    </row>
    <row r="692" spans="1:20" ht="13.5" customHeight="1">
      <c r="A692" s="7" t="s">
        <v>29</v>
      </c>
      <c r="B692" s="204">
        <v>45.2</v>
      </c>
      <c r="C692" s="204">
        <v>38.799999999999997</v>
      </c>
      <c r="D692" s="204">
        <v>40</v>
      </c>
      <c r="E692" s="204">
        <v>60</v>
      </c>
      <c r="F692" s="204">
        <v>60</v>
      </c>
      <c r="G692" s="204">
        <v>66.7</v>
      </c>
      <c r="H692" s="204">
        <v>66.7</v>
      </c>
      <c r="I692" s="204">
        <v>60</v>
      </c>
      <c r="J692" s="204">
        <v>66.7</v>
      </c>
      <c r="K692" s="204">
        <v>66.7</v>
      </c>
      <c r="L692" s="204">
        <v>66.7</v>
      </c>
      <c r="M692" s="204">
        <v>25</v>
      </c>
      <c r="N692" s="204">
        <v>25</v>
      </c>
      <c r="O692" s="204">
        <v>50</v>
      </c>
      <c r="P692" s="204">
        <v>50</v>
      </c>
      <c r="Q692" s="86" t="s">
        <v>45</v>
      </c>
      <c r="R692" s="199">
        <v>104</v>
      </c>
      <c r="S692" s="199">
        <v>100</v>
      </c>
      <c r="T692" s="217" t="s">
        <v>32</v>
      </c>
    </row>
    <row r="693" spans="1:20" ht="13.5" customHeight="1">
      <c r="A693" s="7" t="s">
        <v>44</v>
      </c>
      <c r="B693" s="204">
        <v>45.2</v>
      </c>
      <c r="C693" s="204">
        <v>50.8</v>
      </c>
      <c r="D693" s="204">
        <v>66.7</v>
      </c>
      <c r="E693" s="204">
        <v>100</v>
      </c>
      <c r="F693" s="204">
        <v>100</v>
      </c>
      <c r="G693" s="204">
        <v>100</v>
      </c>
      <c r="H693" s="204">
        <v>100</v>
      </c>
      <c r="I693" s="204">
        <v>42.9</v>
      </c>
      <c r="J693" s="204">
        <v>42.9</v>
      </c>
      <c r="K693" s="204">
        <v>66.7</v>
      </c>
      <c r="L693" s="204">
        <v>66.7</v>
      </c>
      <c r="M693" s="204">
        <v>66.7</v>
      </c>
      <c r="N693" s="204">
        <v>66.7</v>
      </c>
      <c r="O693" s="204">
        <v>60</v>
      </c>
      <c r="P693" s="204">
        <v>60</v>
      </c>
      <c r="Q693" s="86" t="s">
        <v>45</v>
      </c>
      <c r="R693" s="199">
        <v>100</v>
      </c>
      <c r="S693" s="199">
        <v>75</v>
      </c>
      <c r="T693" s="217" t="s">
        <v>40</v>
      </c>
    </row>
    <row r="694" spans="1:20" ht="13.5" customHeight="1">
      <c r="A694" s="7" t="s">
        <v>31</v>
      </c>
      <c r="B694" s="204">
        <v>28.6</v>
      </c>
      <c r="C694" s="204">
        <v>36.9</v>
      </c>
      <c r="D694" s="204">
        <v>30</v>
      </c>
      <c r="E694" s="204">
        <v>20</v>
      </c>
      <c r="F694" s="204">
        <v>20</v>
      </c>
      <c r="G694" s="204">
        <v>40</v>
      </c>
      <c r="H694" s="204">
        <v>40</v>
      </c>
      <c r="I694" s="204">
        <v>50</v>
      </c>
      <c r="J694" s="204">
        <v>50</v>
      </c>
      <c r="K694" s="204">
        <v>75</v>
      </c>
      <c r="L694" s="204">
        <v>75</v>
      </c>
      <c r="M694" s="204">
        <v>100</v>
      </c>
      <c r="N694" s="204">
        <v>100</v>
      </c>
      <c r="O694" s="204">
        <v>33.299999999999997</v>
      </c>
      <c r="P694" s="204">
        <v>33.299999999999997</v>
      </c>
      <c r="Q694" s="86" t="s">
        <v>63</v>
      </c>
      <c r="R694" s="199">
        <v>86</v>
      </c>
      <c r="S694" s="199">
        <v>88</v>
      </c>
      <c r="T694" s="217" t="s">
        <v>24</v>
      </c>
    </row>
    <row r="695" spans="1:20" ht="13.5" customHeight="1">
      <c r="A695" s="7" t="s">
        <v>36</v>
      </c>
      <c r="B695" s="204">
        <v>45.2</v>
      </c>
      <c r="C695" s="204">
        <v>38.799999999999997</v>
      </c>
      <c r="D695" s="204">
        <v>40</v>
      </c>
      <c r="E695" s="204">
        <v>25</v>
      </c>
      <c r="F695" s="204">
        <v>25</v>
      </c>
      <c r="G695" s="204">
        <v>0</v>
      </c>
      <c r="H695" s="204">
        <v>0</v>
      </c>
      <c r="I695" s="204">
        <v>33.299999999999997</v>
      </c>
      <c r="J695" s="204">
        <v>33.299999999999997</v>
      </c>
      <c r="K695" s="204">
        <v>50</v>
      </c>
      <c r="L695" s="204">
        <v>50</v>
      </c>
      <c r="M695" s="204">
        <v>40</v>
      </c>
      <c r="N695" s="204">
        <v>40</v>
      </c>
      <c r="O695" s="204">
        <v>33.299999999999997</v>
      </c>
      <c r="P695" s="204">
        <v>33.299999999999997</v>
      </c>
      <c r="Q695" s="86" t="s">
        <v>81</v>
      </c>
      <c r="R695" s="199">
        <v>80</v>
      </c>
      <c r="S695" s="199">
        <v>75</v>
      </c>
      <c r="T695" s="217" t="s">
        <v>40</v>
      </c>
    </row>
    <row r="696" spans="1:20" ht="13.5" customHeight="1">
      <c r="A696" s="7" t="s">
        <v>53</v>
      </c>
      <c r="B696" s="204">
        <v>45.2</v>
      </c>
      <c r="C696" s="204">
        <v>57.9</v>
      </c>
      <c r="D696" s="204">
        <v>50</v>
      </c>
      <c r="E696" s="204">
        <v>16.7</v>
      </c>
      <c r="F696" s="204">
        <v>20</v>
      </c>
      <c r="G696" s="204">
        <v>25</v>
      </c>
      <c r="H696" s="204">
        <v>28.6</v>
      </c>
      <c r="I696" s="204">
        <v>33.299999999999997</v>
      </c>
      <c r="J696" s="204">
        <v>40</v>
      </c>
      <c r="K696" s="204">
        <v>50</v>
      </c>
      <c r="L696" s="204">
        <v>50</v>
      </c>
      <c r="M696" s="204">
        <v>57.1</v>
      </c>
      <c r="N696" s="204">
        <v>57.1</v>
      </c>
      <c r="O696" s="204">
        <v>50</v>
      </c>
      <c r="P696" s="204">
        <v>50</v>
      </c>
      <c r="Q696" s="86" t="s">
        <v>45</v>
      </c>
      <c r="R696" s="199">
        <v>95</v>
      </c>
      <c r="S696" s="199">
        <v>92</v>
      </c>
      <c r="T696" s="217" t="s">
        <v>24</v>
      </c>
    </row>
    <row r="697" spans="1:20" ht="13.5" customHeight="1">
      <c r="A697" s="7" t="s">
        <v>25</v>
      </c>
      <c r="B697" s="204">
        <v>43.8</v>
      </c>
      <c r="C697" s="204">
        <v>49.4</v>
      </c>
      <c r="D697" s="204">
        <v>50</v>
      </c>
      <c r="E697" s="204">
        <v>25</v>
      </c>
      <c r="F697" s="204">
        <v>25</v>
      </c>
      <c r="G697" s="204">
        <v>25</v>
      </c>
      <c r="H697" s="204">
        <v>25</v>
      </c>
      <c r="I697" s="204">
        <v>37.5</v>
      </c>
      <c r="J697" s="204">
        <v>37.5</v>
      </c>
      <c r="K697" s="204">
        <v>0</v>
      </c>
      <c r="L697" s="204">
        <v>0</v>
      </c>
      <c r="M697" s="204">
        <v>0</v>
      </c>
      <c r="N697" s="204">
        <v>0</v>
      </c>
      <c r="O697" s="204">
        <v>50</v>
      </c>
      <c r="P697" s="204">
        <v>50</v>
      </c>
      <c r="Q697" s="86" t="s">
        <v>45</v>
      </c>
      <c r="R697" s="199">
        <v>100</v>
      </c>
      <c r="S697" s="199">
        <v>100</v>
      </c>
      <c r="T697" s="217" t="s">
        <v>32</v>
      </c>
    </row>
    <row r="698" spans="1:20" ht="13.5" customHeight="1">
      <c r="A698" s="7" t="s">
        <v>31</v>
      </c>
      <c r="B698" s="204">
        <v>76.900000000000006</v>
      </c>
      <c r="C698" s="204">
        <v>74.400000000000006</v>
      </c>
      <c r="D698" s="204">
        <v>85.7</v>
      </c>
      <c r="E698" s="204">
        <v>100</v>
      </c>
      <c r="F698" s="204">
        <v>100</v>
      </c>
      <c r="G698" s="204">
        <v>100</v>
      </c>
      <c r="H698" s="204">
        <v>100</v>
      </c>
      <c r="I698" s="204">
        <v>100</v>
      </c>
      <c r="J698" s="204">
        <v>100</v>
      </c>
      <c r="K698" s="204">
        <v>50</v>
      </c>
      <c r="L698" s="204">
        <v>50</v>
      </c>
      <c r="M698" s="204">
        <v>50</v>
      </c>
      <c r="N698" s="204">
        <v>50</v>
      </c>
      <c r="O698" s="204">
        <v>100</v>
      </c>
      <c r="P698" s="204">
        <v>100</v>
      </c>
      <c r="Q698" s="86" t="s">
        <v>45</v>
      </c>
      <c r="R698" s="199">
        <v>92</v>
      </c>
      <c r="S698" s="199">
        <v>75</v>
      </c>
      <c r="T698" s="217" t="s">
        <v>40</v>
      </c>
    </row>
    <row r="699" spans="1:20" ht="13.5" customHeight="1">
      <c r="A699" s="7" t="s">
        <v>33</v>
      </c>
      <c r="B699" s="204">
        <v>46.2</v>
      </c>
      <c r="C699" s="204">
        <v>49</v>
      </c>
      <c r="D699" s="204">
        <v>33.299999999999997</v>
      </c>
      <c r="E699" s="204">
        <v>60</v>
      </c>
      <c r="F699" s="204">
        <v>60</v>
      </c>
      <c r="G699" s="204">
        <v>66.7</v>
      </c>
      <c r="H699" s="204">
        <v>66.7</v>
      </c>
      <c r="I699" s="204">
        <v>60</v>
      </c>
      <c r="J699" s="204">
        <v>66.7</v>
      </c>
      <c r="K699" s="204">
        <v>50</v>
      </c>
      <c r="L699" s="204">
        <v>50</v>
      </c>
      <c r="M699" s="204">
        <v>66.7</v>
      </c>
      <c r="N699" s="204">
        <v>66.7</v>
      </c>
      <c r="O699" s="204">
        <v>50</v>
      </c>
      <c r="P699" s="204">
        <v>50</v>
      </c>
      <c r="Q699" s="86" t="s">
        <v>63</v>
      </c>
      <c r="R699" s="199">
        <v>78</v>
      </c>
      <c r="S699" s="199">
        <v>82</v>
      </c>
      <c r="T699" s="217" t="s">
        <v>39</v>
      </c>
    </row>
    <row r="700" spans="1:20" ht="13.5" customHeight="1">
      <c r="A700" s="7" t="s">
        <v>36</v>
      </c>
      <c r="B700" s="204">
        <v>46.2</v>
      </c>
      <c r="C700" s="204">
        <v>49.4</v>
      </c>
      <c r="D700" s="204">
        <v>50</v>
      </c>
      <c r="E700" s="204">
        <v>33.299999999999997</v>
      </c>
      <c r="F700" s="204">
        <v>33.299999999999997</v>
      </c>
      <c r="G700" s="204">
        <v>25</v>
      </c>
      <c r="H700" s="204">
        <v>25</v>
      </c>
      <c r="I700" s="204">
        <v>42.9</v>
      </c>
      <c r="J700" s="204">
        <v>42.9</v>
      </c>
      <c r="K700" s="204">
        <v>0</v>
      </c>
      <c r="L700" s="204">
        <v>0</v>
      </c>
      <c r="M700" s="204">
        <v>0</v>
      </c>
      <c r="N700" s="204">
        <v>0</v>
      </c>
      <c r="O700" s="204">
        <v>0</v>
      </c>
      <c r="P700" s="204">
        <v>0</v>
      </c>
      <c r="Q700" s="86" t="s">
        <v>45</v>
      </c>
      <c r="R700" s="199">
        <v>100</v>
      </c>
      <c r="S700" s="199">
        <v>88</v>
      </c>
      <c r="T700" s="217" t="s">
        <v>27</v>
      </c>
    </row>
    <row r="701" spans="1:20" ht="13.5" customHeight="1">
      <c r="A701" s="7" t="s">
        <v>44</v>
      </c>
      <c r="B701" s="204">
        <v>50</v>
      </c>
      <c r="C701" s="204">
        <v>55.6</v>
      </c>
      <c r="D701" s="204">
        <v>50</v>
      </c>
      <c r="E701" s="204">
        <v>50</v>
      </c>
      <c r="F701" s="204">
        <v>50</v>
      </c>
      <c r="G701" s="204">
        <v>50</v>
      </c>
      <c r="H701" s="204">
        <v>50</v>
      </c>
      <c r="I701" s="204">
        <v>28.6</v>
      </c>
      <c r="J701" s="204">
        <v>28.6</v>
      </c>
      <c r="K701" s="204">
        <v>100</v>
      </c>
      <c r="L701" s="204">
        <v>100</v>
      </c>
      <c r="M701" s="204">
        <v>100</v>
      </c>
      <c r="N701" s="204">
        <v>100</v>
      </c>
      <c r="O701" s="204">
        <v>50</v>
      </c>
      <c r="P701" s="204">
        <v>50</v>
      </c>
      <c r="Q701" s="86" t="s">
        <v>45</v>
      </c>
      <c r="R701" s="199">
        <v>83</v>
      </c>
      <c r="S701" s="199">
        <v>90</v>
      </c>
      <c r="T701" s="217" t="s">
        <v>27</v>
      </c>
    </row>
    <row r="702" spans="1:20" ht="13.5" customHeight="1">
      <c r="A702" s="7" t="s">
        <v>42</v>
      </c>
      <c r="B702" s="204">
        <v>47.1</v>
      </c>
      <c r="C702" s="204">
        <v>38.1</v>
      </c>
      <c r="D702" s="204">
        <v>25</v>
      </c>
      <c r="E702" s="204">
        <v>42.9</v>
      </c>
      <c r="F702" s="204">
        <v>33.299999999999997</v>
      </c>
      <c r="G702" s="204">
        <v>28.6</v>
      </c>
      <c r="H702" s="204">
        <v>16.7</v>
      </c>
      <c r="I702" s="204">
        <v>16.7</v>
      </c>
      <c r="J702" s="204">
        <v>16.7</v>
      </c>
      <c r="K702" s="204">
        <v>0</v>
      </c>
      <c r="L702" s="204">
        <v>0</v>
      </c>
      <c r="M702" s="204">
        <v>0</v>
      </c>
      <c r="N702" s="204">
        <v>0</v>
      </c>
      <c r="O702" s="204">
        <v>33.299999999999997</v>
      </c>
      <c r="P702" s="204">
        <v>33.299999999999997</v>
      </c>
      <c r="Q702" s="86" t="s">
        <v>45</v>
      </c>
      <c r="R702" s="199">
        <v>83</v>
      </c>
      <c r="S702" s="199">
        <v>94</v>
      </c>
      <c r="T702" s="217" t="s">
        <v>28</v>
      </c>
    </row>
    <row r="703" spans="1:20" ht="13.5" customHeight="1">
      <c r="A703" s="7" t="s">
        <v>33</v>
      </c>
      <c r="B703" s="204">
        <v>25</v>
      </c>
      <c r="C703" s="204">
        <v>36.9</v>
      </c>
      <c r="D703" s="204">
        <v>30</v>
      </c>
      <c r="E703" s="204">
        <v>33.299999999999997</v>
      </c>
      <c r="F703" s="204">
        <v>33.299999999999997</v>
      </c>
      <c r="G703" s="204">
        <v>33.299999999999997</v>
      </c>
      <c r="H703" s="204">
        <v>33.299999999999997</v>
      </c>
      <c r="I703" s="204">
        <v>50</v>
      </c>
      <c r="J703" s="204">
        <v>50</v>
      </c>
      <c r="K703" s="204">
        <v>50</v>
      </c>
      <c r="L703" s="204">
        <v>50</v>
      </c>
      <c r="M703" s="204">
        <v>50</v>
      </c>
      <c r="N703" s="204">
        <v>50</v>
      </c>
      <c r="O703" s="204">
        <v>100</v>
      </c>
      <c r="P703" s="204">
        <v>100</v>
      </c>
      <c r="Q703" s="86" t="s">
        <v>45</v>
      </c>
      <c r="R703" s="199">
        <v>88</v>
      </c>
      <c r="S703" s="199">
        <v>98</v>
      </c>
      <c r="T703" s="217" t="s">
        <v>35</v>
      </c>
    </row>
    <row r="704" spans="1:20" ht="13.5" customHeight="1">
      <c r="A704" s="7" t="s">
        <v>31</v>
      </c>
      <c r="B704" s="204">
        <v>28.6</v>
      </c>
      <c r="C704" s="204">
        <v>38.799999999999997</v>
      </c>
      <c r="D704" s="204">
        <v>57.1</v>
      </c>
      <c r="E704" s="204">
        <v>100</v>
      </c>
      <c r="F704" s="204">
        <v>100</v>
      </c>
      <c r="G704" s="204">
        <v>100</v>
      </c>
      <c r="H704" s="204">
        <v>100</v>
      </c>
      <c r="I704" s="204">
        <v>60</v>
      </c>
      <c r="J704" s="204">
        <v>66.7</v>
      </c>
      <c r="K704" s="204">
        <v>50</v>
      </c>
      <c r="L704" s="204">
        <v>50</v>
      </c>
      <c r="M704" s="204">
        <v>40</v>
      </c>
      <c r="N704" s="204">
        <v>40</v>
      </c>
      <c r="O704" s="204">
        <v>33.299999999999997</v>
      </c>
      <c r="P704" s="204">
        <v>33.299999999999997</v>
      </c>
      <c r="Q704" s="86" t="s">
        <v>45</v>
      </c>
      <c r="R704" s="199">
        <v>75</v>
      </c>
      <c r="S704" s="199">
        <v>100</v>
      </c>
      <c r="T704" s="217" t="s">
        <v>48</v>
      </c>
    </row>
    <row r="705" spans="1:20" ht="13.5" customHeight="1">
      <c r="A705" s="7" t="s">
        <v>53</v>
      </c>
      <c r="B705" s="204">
        <v>34.6</v>
      </c>
      <c r="C705" s="204">
        <v>22.2</v>
      </c>
      <c r="D705" s="204">
        <v>28.6</v>
      </c>
      <c r="E705" s="204">
        <v>33.299999999999997</v>
      </c>
      <c r="F705" s="204">
        <v>33.299999999999997</v>
      </c>
      <c r="G705" s="204">
        <v>33.299999999999997</v>
      </c>
      <c r="H705" s="204">
        <v>33.299999999999997</v>
      </c>
      <c r="I705" s="204">
        <v>16.7</v>
      </c>
      <c r="J705" s="204">
        <v>16.7</v>
      </c>
      <c r="K705" s="204">
        <v>0</v>
      </c>
      <c r="L705" s="204">
        <v>0</v>
      </c>
      <c r="M705" s="204">
        <v>0</v>
      </c>
      <c r="N705" s="204">
        <v>0</v>
      </c>
      <c r="O705" s="204">
        <v>33.299999999999997</v>
      </c>
      <c r="P705" s="204">
        <v>0</v>
      </c>
      <c r="Q705" s="86" t="s">
        <v>45</v>
      </c>
      <c r="R705" s="199">
        <v>100</v>
      </c>
      <c r="S705" s="199">
        <v>86</v>
      </c>
      <c r="T705" s="217" t="s">
        <v>27</v>
      </c>
    </row>
    <row r="706" spans="1:20" ht="13.5" customHeight="1">
      <c r="A706" s="7" t="s">
        <v>33</v>
      </c>
      <c r="B706" s="204">
        <v>42.9</v>
      </c>
      <c r="C706" s="204">
        <v>55.6</v>
      </c>
      <c r="D706" s="204">
        <v>50</v>
      </c>
      <c r="E706" s="204">
        <v>50</v>
      </c>
      <c r="F706" s="204">
        <v>50</v>
      </c>
      <c r="G706" s="204">
        <v>50</v>
      </c>
      <c r="H706" s="204">
        <v>100</v>
      </c>
      <c r="I706" s="204">
        <v>25</v>
      </c>
      <c r="J706" s="204">
        <v>25</v>
      </c>
      <c r="K706" s="204">
        <v>50</v>
      </c>
      <c r="L706" s="204">
        <v>50</v>
      </c>
      <c r="M706" s="204">
        <v>50</v>
      </c>
      <c r="N706" s="204">
        <v>50</v>
      </c>
      <c r="O706" s="204">
        <v>37.5</v>
      </c>
      <c r="P706" s="204">
        <v>37.5</v>
      </c>
      <c r="Q706" s="44" t="s">
        <v>45</v>
      </c>
      <c r="R706" s="205">
        <v>100</v>
      </c>
      <c r="S706" s="205">
        <v>74</v>
      </c>
      <c r="T706" s="217" t="s">
        <v>39</v>
      </c>
    </row>
    <row r="707" spans="1:20" ht="13.5" customHeight="1">
      <c r="A707" s="7" t="s">
        <v>31</v>
      </c>
      <c r="B707" s="204">
        <v>63.6</v>
      </c>
      <c r="C707" s="204">
        <v>55.6</v>
      </c>
      <c r="D707" s="204">
        <v>85.7</v>
      </c>
      <c r="E707" s="204">
        <v>100</v>
      </c>
      <c r="F707" s="204">
        <v>100</v>
      </c>
      <c r="G707" s="204">
        <v>100</v>
      </c>
      <c r="H707" s="204">
        <v>100</v>
      </c>
      <c r="I707" s="204">
        <v>100</v>
      </c>
      <c r="J707" s="204">
        <v>100</v>
      </c>
      <c r="K707" s="204">
        <v>100</v>
      </c>
      <c r="L707" s="204">
        <v>100</v>
      </c>
      <c r="M707" s="204">
        <v>100</v>
      </c>
      <c r="N707" s="204">
        <v>100</v>
      </c>
      <c r="O707" s="204">
        <v>100</v>
      </c>
      <c r="P707" s="204">
        <v>100</v>
      </c>
      <c r="Q707" s="44" t="s">
        <v>45</v>
      </c>
      <c r="R707" s="205">
        <v>100</v>
      </c>
      <c r="S707" s="205">
        <v>110</v>
      </c>
      <c r="T707" s="217" t="s">
        <v>35</v>
      </c>
    </row>
    <row r="708" spans="1:20" ht="13.5" customHeight="1">
      <c r="A708" s="7" t="s">
        <v>31</v>
      </c>
      <c r="B708" s="204">
        <v>50</v>
      </c>
      <c r="C708" s="204">
        <v>60.6</v>
      </c>
      <c r="D708" s="204">
        <v>75</v>
      </c>
      <c r="E708" s="204">
        <v>100</v>
      </c>
      <c r="F708" s="204">
        <v>100</v>
      </c>
      <c r="G708" s="204">
        <v>100</v>
      </c>
      <c r="H708" s="204">
        <v>100</v>
      </c>
      <c r="I708" s="204">
        <v>62.5</v>
      </c>
      <c r="J708" s="204">
        <v>62.5</v>
      </c>
      <c r="K708" s="204">
        <v>100</v>
      </c>
      <c r="L708" s="204">
        <v>100</v>
      </c>
      <c r="M708" s="204">
        <v>100</v>
      </c>
      <c r="N708" s="204">
        <v>100</v>
      </c>
      <c r="O708" s="204">
        <v>83.3</v>
      </c>
      <c r="P708" s="204">
        <v>83.3</v>
      </c>
      <c r="Q708" s="44" t="s">
        <v>26</v>
      </c>
      <c r="R708" s="205">
        <v>84</v>
      </c>
      <c r="S708" s="205">
        <v>105</v>
      </c>
      <c r="T708" s="217" t="s">
        <v>35</v>
      </c>
    </row>
    <row r="709" spans="1:20" ht="13.5" customHeight="1">
      <c r="A709" s="7" t="s">
        <v>31</v>
      </c>
      <c r="B709" s="204">
        <v>63.6</v>
      </c>
      <c r="C709" s="204">
        <v>54.7</v>
      </c>
      <c r="D709" s="204">
        <v>100</v>
      </c>
      <c r="E709" s="204">
        <v>100</v>
      </c>
      <c r="F709" s="204">
        <v>100</v>
      </c>
      <c r="G709" s="204">
        <v>100</v>
      </c>
      <c r="H709" s="204">
        <v>100</v>
      </c>
      <c r="I709" s="204">
        <v>60</v>
      </c>
      <c r="J709" s="204">
        <v>60</v>
      </c>
      <c r="K709" s="204">
        <v>100</v>
      </c>
      <c r="L709" s="204">
        <v>100</v>
      </c>
      <c r="M709" s="204">
        <v>100</v>
      </c>
      <c r="N709" s="204">
        <v>100</v>
      </c>
      <c r="O709" s="204">
        <v>100</v>
      </c>
      <c r="P709" s="204">
        <v>100</v>
      </c>
      <c r="Q709" s="44" t="s">
        <v>26</v>
      </c>
      <c r="R709" s="205">
        <v>102</v>
      </c>
      <c r="S709" s="205">
        <v>75</v>
      </c>
      <c r="T709" s="217" t="s">
        <v>40</v>
      </c>
    </row>
    <row r="710" spans="1:20" ht="13.5" customHeight="1">
      <c r="A710" s="7" t="s">
        <v>31</v>
      </c>
      <c r="B710" s="204">
        <v>55.6</v>
      </c>
      <c r="C710" s="204">
        <v>49.4</v>
      </c>
      <c r="D710" s="204">
        <v>77.8</v>
      </c>
      <c r="E710" s="204">
        <v>40</v>
      </c>
      <c r="F710" s="204">
        <v>40</v>
      </c>
      <c r="G710" s="204">
        <v>40</v>
      </c>
      <c r="H710" s="204">
        <v>40</v>
      </c>
      <c r="I710" s="204">
        <v>50</v>
      </c>
      <c r="J710" s="204">
        <v>50</v>
      </c>
      <c r="K710" s="204">
        <v>50</v>
      </c>
      <c r="L710" s="204">
        <v>50</v>
      </c>
      <c r="M710" s="204">
        <v>66.7</v>
      </c>
      <c r="N710" s="204">
        <v>50</v>
      </c>
      <c r="O710" s="204">
        <v>66.7</v>
      </c>
      <c r="P710" s="204">
        <v>100</v>
      </c>
      <c r="Q710" s="44" t="s">
        <v>45</v>
      </c>
      <c r="R710" s="205">
        <v>100</v>
      </c>
      <c r="S710" s="205">
        <v>104</v>
      </c>
      <c r="T710" s="217" t="s">
        <v>35</v>
      </c>
    </row>
    <row r="711" spans="1:20" ht="13.5" customHeight="1">
      <c r="A711" s="7" t="s">
        <v>31</v>
      </c>
      <c r="B711" s="204">
        <v>71.400000000000006</v>
      </c>
      <c r="C711" s="204">
        <v>50.8</v>
      </c>
      <c r="D711" s="204">
        <v>40</v>
      </c>
      <c r="E711" s="204">
        <v>100</v>
      </c>
      <c r="F711" s="204">
        <v>100</v>
      </c>
      <c r="G711" s="204">
        <v>100</v>
      </c>
      <c r="H711" s="204">
        <v>100</v>
      </c>
      <c r="I711" s="204">
        <v>33.299999999999997</v>
      </c>
      <c r="J711" s="204">
        <v>33.299999999999997</v>
      </c>
      <c r="K711" s="204">
        <v>100</v>
      </c>
      <c r="L711" s="204">
        <v>100</v>
      </c>
      <c r="M711" s="204">
        <v>100</v>
      </c>
      <c r="N711" s="204">
        <v>100</v>
      </c>
      <c r="O711" s="204">
        <v>100</v>
      </c>
      <c r="P711" s="204">
        <v>100</v>
      </c>
      <c r="Q711" s="44" t="s">
        <v>26</v>
      </c>
      <c r="R711" s="205">
        <v>96</v>
      </c>
      <c r="S711" s="205">
        <v>65</v>
      </c>
      <c r="T711" s="217" t="s">
        <v>40</v>
      </c>
    </row>
    <row r="712" spans="1:20" ht="13.5" customHeight="1">
      <c r="A712" s="7" t="s">
        <v>42</v>
      </c>
      <c r="B712" s="204">
        <v>68.400000000000006</v>
      </c>
      <c r="C712" s="204">
        <v>84.6</v>
      </c>
      <c r="D712" s="204">
        <v>83.3</v>
      </c>
      <c r="E712" s="204">
        <v>0</v>
      </c>
      <c r="F712" s="204">
        <v>0</v>
      </c>
      <c r="G712" s="204">
        <v>0</v>
      </c>
      <c r="H712" s="204">
        <v>0</v>
      </c>
      <c r="I712" s="204">
        <v>0</v>
      </c>
      <c r="J712" s="204">
        <v>0</v>
      </c>
      <c r="K712" s="204">
        <v>0</v>
      </c>
      <c r="L712" s="204">
        <v>0</v>
      </c>
      <c r="M712" s="204">
        <v>0</v>
      </c>
      <c r="N712" s="204">
        <v>0</v>
      </c>
      <c r="O712" s="204">
        <v>0</v>
      </c>
      <c r="P712" s="204">
        <v>0</v>
      </c>
      <c r="Q712" s="44" t="s">
        <v>23</v>
      </c>
      <c r="R712" s="205">
        <v>86</v>
      </c>
      <c r="S712" s="205">
        <v>65</v>
      </c>
      <c r="T712" s="217" t="s">
        <v>40</v>
      </c>
    </row>
    <row r="713" spans="1:20" ht="13.5" customHeight="1">
      <c r="A713" s="7" t="s">
        <v>53</v>
      </c>
      <c r="B713" s="204">
        <v>42.9</v>
      </c>
      <c r="C713" s="204">
        <v>36.9</v>
      </c>
      <c r="D713" s="204">
        <v>16.7</v>
      </c>
      <c r="E713" s="204">
        <v>0</v>
      </c>
      <c r="F713" s="204">
        <v>0</v>
      </c>
      <c r="G713" s="204">
        <v>0</v>
      </c>
      <c r="H713" s="204">
        <v>0</v>
      </c>
      <c r="I713" s="204">
        <v>33.299999999999997</v>
      </c>
      <c r="J713" s="204">
        <v>40</v>
      </c>
      <c r="K713" s="204">
        <v>50</v>
      </c>
      <c r="L713" s="204">
        <v>50</v>
      </c>
      <c r="M713" s="204">
        <v>50</v>
      </c>
      <c r="N713" s="204">
        <v>50</v>
      </c>
      <c r="O713" s="204">
        <v>33.299999999999997</v>
      </c>
      <c r="P713" s="204">
        <v>33.299999999999997</v>
      </c>
      <c r="Q713" s="44" t="s">
        <v>45</v>
      </c>
      <c r="R713" s="205">
        <v>104</v>
      </c>
      <c r="S713" s="205">
        <v>80</v>
      </c>
      <c r="T713" s="217" t="s">
        <v>46</v>
      </c>
    </row>
    <row r="714" spans="1:20" ht="13.5" customHeight="1">
      <c r="A714" s="7" t="s">
        <v>42</v>
      </c>
      <c r="B714" s="204">
        <v>20</v>
      </c>
      <c r="C714" s="204">
        <v>39.1</v>
      </c>
      <c r="D714" s="204">
        <v>33.299999999999997</v>
      </c>
      <c r="E714" s="204">
        <v>0</v>
      </c>
      <c r="F714" s="204">
        <v>0</v>
      </c>
      <c r="G714" s="204">
        <v>0</v>
      </c>
      <c r="H714" s="204">
        <v>0</v>
      </c>
      <c r="I714" s="204">
        <v>0</v>
      </c>
      <c r="J714" s="204">
        <v>0</v>
      </c>
      <c r="K714" s="204">
        <v>0</v>
      </c>
      <c r="L714" s="204">
        <v>0</v>
      </c>
      <c r="M714" s="204">
        <v>0</v>
      </c>
      <c r="N714" s="204">
        <v>0</v>
      </c>
      <c r="O714" s="204">
        <v>0</v>
      </c>
      <c r="P714" s="204">
        <v>0</v>
      </c>
      <c r="Q714" s="44" t="s">
        <v>63</v>
      </c>
      <c r="R714" s="205">
        <v>76</v>
      </c>
      <c r="S714" s="205">
        <v>80</v>
      </c>
      <c r="T714" s="217" t="s">
        <v>40</v>
      </c>
    </row>
    <row r="715" spans="1:20" ht="13.5" customHeight="1">
      <c r="A715" s="7" t="s">
        <v>53</v>
      </c>
      <c r="B715" s="204">
        <v>42.9</v>
      </c>
      <c r="C715" s="204">
        <v>36.9</v>
      </c>
      <c r="D715" s="204">
        <v>16.7</v>
      </c>
      <c r="E715" s="204">
        <v>33.299999999999997</v>
      </c>
      <c r="F715" s="204">
        <v>0</v>
      </c>
      <c r="G715" s="204">
        <v>33.299999999999997</v>
      </c>
      <c r="H715" s="204">
        <v>0</v>
      </c>
      <c r="I715" s="204">
        <v>22.2</v>
      </c>
      <c r="J715" s="204">
        <v>14.3</v>
      </c>
      <c r="K715" s="204">
        <v>0</v>
      </c>
      <c r="L715" s="204">
        <v>0</v>
      </c>
      <c r="M715" s="204">
        <v>0</v>
      </c>
      <c r="N715" s="204">
        <v>0</v>
      </c>
      <c r="O715" s="204">
        <v>33.299999999999997</v>
      </c>
      <c r="P715" s="204">
        <v>33.299999999999997</v>
      </c>
      <c r="Q715" s="44" t="s">
        <v>45</v>
      </c>
      <c r="R715" s="205">
        <v>104</v>
      </c>
      <c r="S715" s="205">
        <v>72</v>
      </c>
      <c r="T715" s="217" t="s">
        <v>40</v>
      </c>
    </row>
    <row r="716" spans="1:20" ht="13.5" customHeight="1">
      <c r="A716" s="7" t="s">
        <v>53</v>
      </c>
      <c r="B716" s="204">
        <v>20</v>
      </c>
      <c r="C716" s="204">
        <v>38.799999999999997</v>
      </c>
      <c r="D716" s="204">
        <v>33.299999999999997</v>
      </c>
      <c r="E716" s="204">
        <v>0</v>
      </c>
      <c r="F716" s="204">
        <v>0</v>
      </c>
      <c r="G716" s="204">
        <v>0</v>
      </c>
      <c r="H716" s="204">
        <v>0</v>
      </c>
      <c r="I716" s="204">
        <v>0</v>
      </c>
      <c r="J716" s="204">
        <v>0</v>
      </c>
      <c r="K716" s="204">
        <v>0</v>
      </c>
      <c r="L716" s="204">
        <v>0</v>
      </c>
      <c r="M716" s="204">
        <v>0</v>
      </c>
      <c r="N716" s="204">
        <v>0</v>
      </c>
      <c r="O716" s="204">
        <v>0</v>
      </c>
      <c r="P716" s="204">
        <v>0</v>
      </c>
      <c r="Q716" s="44" t="s">
        <v>45</v>
      </c>
      <c r="R716" s="205">
        <v>94</v>
      </c>
      <c r="S716" s="205">
        <v>94</v>
      </c>
      <c r="T716" s="217" t="s">
        <v>35</v>
      </c>
    </row>
    <row r="717" spans="1:20" ht="13.5" customHeight="1">
      <c r="A717" s="7" t="s">
        <v>31</v>
      </c>
      <c r="B717" s="204">
        <v>50</v>
      </c>
      <c r="C717" s="204">
        <v>63.6</v>
      </c>
      <c r="D717" s="204">
        <v>100</v>
      </c>
      <c r="E717" s="204">
        <v>75</v>
      </c>
      <c r="F717" s="204">
        <v>75</v>
      </c>
      <c r="G717" s="204">
        <v>66.7</v>
      </c>
      <c r="H717" s="204">
        <v>66.7</v>
      </c>
      <c r="I717" s="204">
        <v>60</v>
      </c>
      <c r="J717" s="204">
        <v>60</v>
      </c>
      <c r="K717" s="204">
        <v>50</v>
      </c>
      <c r="L717" s="204">
        <v>50</v>
      </c>
      <c r="M717" s="204">
        <v>50</v>
      </c>
      <c r="N717" s="204">
        <v>50</v>
      </c>
      <c r="O717" s="204">
        <v>40</v>
      </c>
      <c r="P717" s="204">
        <v>40</v>
      </c>
      <c r="Q717" s="44" t="s">
        <v>26</v>
      </c>
      <c r="R717" s="205">
        <v>88</v>
      </c>
      <c r="S717" s="205">
        <v>110</v>
      </c>
      <c r="T717" s="217" t="s">
        <v>48</v>
      </c>
    </row>
    <row r="718" spans="1:20" ht="13.5" customHeight="1">
      <c r="A718" s="7" t="s">
        <v>43</v>
      </c>
      <c r="B718" s="204">
        <v>58</v>
      </c>
      <c r="C718" s="204">
        <v>80</v>
      </c>
      <c r="D718" s="204">
        <v>100</v>
      </c>
      <c r="E718" s="204">
        <v>100</v>
      </c>
      <c r="F718" s="204">
        <v>100</v>
      </c>
      <c r="G718" s="204">
        <v>100</v>
      </c>
      <c r="H718" s="204">
        <v>100</v>
      </c>
      <c r="I718" s="204">
        <v>37.5</v>
      </c>
      <c r="J718" s="204">
        <v>37.5</v>
      </c>
      <c r="K718" s="204">
        <v>100</v>
      </c>
      <c r="L718" s="204">
        <v>100</v>
      </c>
      <c r="M718" s="204">
        <v>100</v>
      </c>
      <c r="N718" s="204">
        <v>100</v>
      </c>
      <c r="O718" s="204">
        <v>50</v>
      </c>
      <c r="P718" s="204">
        <v>50</v>
      </c>
      <c r="Q718" s="44" t="s">
        <v>26</v>
      </c>
      <c r="R718" s="205">
        <v>86</v>
      </c>
      <c r="S718" s="205">
        <v>110</v>
      </c>
      <c r="T718" s="217" t="s">
        <v>35</v>
      </c>
    </row>
    <row r="719" spans="1:20" ht="13.5" customHeight="1">
      <c r="A719" s="7" t="s">
        <v>31</v>
      </c>
      <c r="B719" s="204">
        <v>43.8</v>
      </c>
      <c r="C719" s="204">
        <v>39.1</v>
      </c>
      <c r="D719" s="204">
        <v>40</v>
      </c>
      <c r="E719" s="204">
        <v>40</v>
      </c>
      <c r="F719" s="204">
        <v>40</v>
      </c>
      <c r="G719" s="204">
        <v>40</v>
      </c>
      <c r="H719" s="204">
        <v>40</v>
      </c>
      <c r="I719" s="204">
        <v>28.6</v>
      </c>
      <c r="J719" s="204">
        <v>28.6</v>
      </c>
      <c r="K719" s="204">
        <v>33.299999999999997</v>
      </c>
      <c r="L719" s="204">
        <v>33.299999999999997</v>
      </c>
      <c r="M719" s="204">
        <v>50</v>
      </c>
      <c r="N719" s="204">
        <v>50</v>
      </c>
      <c r="O719" s="204">
        <v>20</v>
      </c>
      <c r="P719" s="204">
        <v>20</v>
      </c>
      <c r="Q719" s="44" t="s">
        <v>45</v>
      </c>
      <c r="R719" s="205">
        <v>104</v>
      </c>
      <c r="S719" s="205">
        <v>110</v>
      </c>
      <c r="T719" s="217" t="s">
        <v>35</v>
      </c>
    </row>
    <row r="720" spans="1:20" ht="13.5" customHeight="1">
      <c r="A720" s="7" t="s">
        <v>42</v>
      </c>
      <c r="B720" s="204">
        <v>60</v>
      </c>
      <c r="C720" s="204">
        <v>55.6</v>
      </c>
      <c r="D720" s="204">
        <v>66.7</v>
      </c>
      <c r="E720" s="204">
        <v>25</v>
      </c>
      <c r="F720" s="204">
        <v>25</v>
      </c>
      <c r="G720" s="204">
        <v>66.7</v>
      </c>
      <c r="H720" s="204">
        <v>66.7</v>
      </c>
      <c r="I720" s="204">
        <v>62.5</v>
      </c>
      <c r="J720" s="204">
        <v>62.5</v>
      </c>
      <c r="K720" s="204">
        <v>33.299999999999997</v>
      </c>
      <c r="L720" s="204">
        <v>33.299999999999997</v>
      </c>
      <c r="M720" s="204">
        <v>50</v>
      </c>
      <c r="N720" s="204">
        <v>50</v>
      </c>
      <c r="O720" s="204">
        <v>0</v>
      </c>
      <c r="P720" s="204">
        <v>0</v>
      </c>
      <c r="Q720" s="44" t="s">
        <v>45</v>
      </c>
      <c r="R720" s="205">
        <v>104</v>
      </c>
      <c r="S720" s="205">
        <v>80</v>
      </c>
      <c r="T720" s="217" t="s">
        <v>40</v>
      </c>
    </row>
    <row r="721" spans="1:20" ht="13.5" customHeight="1">
      <c r="A721" s="7" t="s">
        <v>60</v>
      </c>
      <c r="B721" s="204">
        <v>55.6</v>
      </c>
      <c r="C721" s="204">
        <v>36.9</v>
      </c>
      <c r="D721" s="204">
        <v>50</v>
      </c>
      <c r="E721" s="204">
        <v>0</v>
      </c>
      <c r="F721" s="204">
        <v>0</v>
      </c>
      <c r="G721" s="204">
        <v>0</v>
      </c>
      <c r="H721" s="204">
        <v>0</v>
      </c>
      <c r="I721" s="204">
        <v>0</v>
      </c>
      <c r="J721" s="204">
        <v>0</v>
      </c>
      <c r="K721" s="204">
        <v>0</v>
      </c>
      <c r="L721" s="204">
        <v>0</v>
      </c>
      <c r="M721" s="204">
        <v>0</v>
      </c>
      <c r="N721" s="204">
        <v>0</v>
      </c>
      <c r="O721" s="204">
        <v>0</v>
      </c>
      <c r="P721" s="204">
        <v>0</v>
      </c>
      <c r="Q721" s="44" t="s">
        <v>45</v>
      </c>
      <c r="R721" s="205">
        <v>104</v>
      </c>
      <c r="S721" s="205">
        <v>65</v>
      </c>
      <c r="T721" s="217" t="s">
        <v>40</v>
      </c>
    </row>
    <row r="722" spans="1:20" ht="13.5" customHeight="1">
      <c r="A722" s="7" t="s">
        <v>22</v>
      </c>
      <c r="B722" s="204">
        <v>92.3</v>
      </c>
      <c r="C722" s="204">
        <v>76.5</v>
      </c>
      <c r="D722" s="204">
        <v>100</v>
      </c>
      <c r="E722" s="204">
        <v>100</v>
      </c>
      <c r="F722" s="204">
        <v>100</v>
      </c>
      <c r="G722" s="204">
        <v>100</v>
      </c>
      <c r="H722" s="204">
        <v>100</v>
      </c>
      <c r="I722" s="204">
        <v>100</v>
      </c>
      <c r="J722" s="204">
        <v>100</v>
      </c>
      <c r="K722" s="204">
        <v>100</v>
      </c>
      <c r="L722" s="204">
        <v>100</v>
      </c>
      <c r="M722" s="204">
        <v>100</v>
      </c>
      <c r="N722" s="204">
        <v>100</v>
      </c>
      <c r="O722" s="204">
        <v>100</v>
      </c>
      <c r="P722" s="204">
        <v>100</v>
      </c>
      <c r="Q722" s="44" t="s">
        <v>26</v>
      </c>
      <c r="R722" s="205">
        <v>92</v>
      </c>
      <c r="S722" s="205">
        <v>86</v>
      </c>
      <c r="T722" s="217" t="s">
        <v>27</v>
      </c>
    </row>
    <row r="723" spans="1:20" ht="13.5" customHeight="1">
      <c r="A723" s="7" t="s">
        <v>36</v>
      </c>
      <c r="B723" s="204">
        <v>43.8</v>
      </c>
      <c r="C723" s="204">
        <v>49.4</v>
      </c>
      <c r="D723" s="204">
        <v>50</v>
      </c>
      <c r="E723" s="204">
        <v>14.3</v>
      </c>
      <c r="F723" s="204">
        <v>14.3</v>
      </c>
      <c r="G723" s="204">
        <v>14.3</v>
      </c>
      <c r="H723" s="204">
        <v>14.3</v>
      </c>
      <c r="I723" s="204">
        <v>20</v>
      </c>
      <c r="J723" s="204">
        <v>20</v>
      </c>
      <c r="K723" s="204">
        <v>0</v>
      </c>
      <c r="L723" s="204">
        <v>0</v>
      </c>
      <c r="M723" s="204">
        <v>0</v>
      </c>
      <c r="N723" s="204">
        <v>0</v>
      </c>
      <c r="O723" s="204">
        <v>0</v>
      </c>
      <c r="P723" s="204">
        <v>0</v>
      </c>
      <c r="Q723" s="44" t="s">
        <v>45</v>
      </c>
      <c r="R723" s="205">
        <v>106</v>
      </c>
      <c r="S723" s="205">
        <v>72</v>
      </c>
      <c r="T723" s="217" t="s">
        <v>40</v>
      </c>
    </row>
    <row r="724" spans="1:20" ht="13.5" customHeight="1">
      <c r="A724" s="7" t="s">
        <v>41</v>
      </c>
      <c r="B724" s="204">
        <v>58</v>
      </c>
      <c r="C724" s="204">
        <v>76.5</v>
      </c>
      <c r="D724" s="204">
        <v>75</v>
      </c>
      <c r="E724" s="204">
        <v>100</v>
      </c>
      <c r="F724" s="204">
        <v>100</v>
      </c>
      <c r="G724" s="204">
        <v>100</v>
      </c>
      <c r="H724" s="204">
        <v>100</v>
      </c>
      <c r="I724" s="204">
        <v>66.7</v>
      </c>
      <c r="J724" s="204">
        <v>66.7</v>
      </c>
      <c r="K724" s="204">
        <v>100</v>
      </c>
      <c r="L724" s="204">
        <v>100</v>
      </c>
      <c r="M724" s="204">
        <v>100</v>
      </c>
      <c r="N724" s="204">
        <v>100</v>
      </c>
      <c r="O724" s="204">
        <v>75</v>
      </c>
      <c r="P724" s="204">
        <v>75</v>
      </c>
      <c r="Q724" s="44" t="s">
        <v>26</v>
      </c>
      <c r="R724" s="205">
        <v>100</v>
      </c>
      <c r="S724" s="205">
        <v>115</v>
      </c>
      <c r="T724" s="217" t="s">
        <v>35</v>
      </c>
    </row>
    <row r="725" spans="1:20" ht="13.5" customHeight="1">
      <c r="A725" s="7" t="s">
        <v>31</v>
      </c>
      <c r="B725" s="204">
        <v>54.5</v>
      </c>
      <c r="C725" s="204">
        <v>59.6</v>
      </c>
      <c r="D725" s="204">
        <v>72.7</v>
      </c>
      <c r="E725" s="204">
        <v>100</v>
      </c>
      <c r="F725" s="204">
        <v>100</v>
      </c>
      <c r="G725" s="204">
        <v>100</v>
      </c>
      <c r="H725" s="204">
        <v>100</v>
      </c>
      <c r="I725" s="204">
        <v>100</v>
      </c>
      <c r="J725" s="204">
        <v>100</v>
      </c>
      <c r="K725" s="204">
        <v>100</v>
      </c>
      <c r="L725" s="204">
        <v>100</v>
      </c>
      <c r="M725" s="204">
        <v>100</v>
      </c>
      <c r="N725" s="204">
        <v>100</v>
      </c>
      <c r="O725" s="204">
        <v>100</v>
      </c>
      <c r="P725" s="204">
        <v>100</v>
      </c>
      <c r="Q725" s="44" t="s">
        <v>45</v>
      </c>
      <c r="R725" s="205">
        <v>94</v>
      </c>
      <c r="S725" s="205">
        <v>65</v>
      </c>
      <c r="T725" s="217" t="s">
        <v>40</v>
      </c>
    </row>
    <row r="726" spans="1:20" ht="13.5" customHeight="1">
      <c r="A726" s="7" t="s">
        <v>25</v>
      </c>
      <c r="B726" s="204">
        <v>58</v>
      </c>
      <c r="C726" s="204">
        <v>73.3</v>
      </c>
      <c r="D726" s="204">
        <v>83.3</v>
      </c>
      <c r="E726" s="204">
        <v>75</v>
      </c>
      <c r="F726" s="204">
        <v>75</v>
      </c>
      <c r="G726" s="204">
        <v>66.7</v>
      </c>
      <c r="H726" s="204">
        <v>66.7</v>
      </c>
      <c r="I726" s="204">
        <v>60</v>
      </c>
      <c r="J726" s="204">
        <v>60</v>
      </c>
      <c r="K726" s="204">
        <v>0</v>
      </c>
      <c r="L726" s="204">
        <v>0</v>
      </c>
      <c r="M726" s="204">
        <v>0</v>
      </c>
      <c r="N726" s="204">
        <v>0</v>
      </c>
      <c r="O726" s="204">
        <v>0</v>
      </c>
      <c r="P726" s="204">
        <v>0</v>
      </c>
      <c r="Q726" s="44" t="s">
        <v>45</v>
      </c>
      <c r="R726" s="205">
        <v>88</v>
      </c>
      <c r="S726" s="205">
        <v>94</v>
      </c>
      <c r="T726" s="217" t="s">
        <v>24</v>
      </c>
    </row>
    <row r="727" spans="1:20" ht="13.5" customHeight="1">
      <c r="A727" s="7" t="s">
        <v>53</v>
      </c>
      <c r="B727" s="204">
        <v>50</v>
      </c>
      <c r="C727" s="204">
        <v>73.3</v>
      </c>
      <c r="D727" s="204">
        <v>44.4</v>
      </c>
      <c r="E727" s="204">
        <v>0</v>
      </c>
      <c r="F727" s="204">
        <v>0</v>
      </c>
      <c r="G727" s="204">
        <v>0</v>
      </c>
      <c r="H727" s="204">
        <v>0</v>
      </c>
      <c r="I727" s="204">
        <v>0</v>
      </c>
      <c r="J727" s="204">
        <v>0</v>
      </c>
      <c r="K727" s="204">
        <v>50</v>
      </c>
      <c r="L727" s="204">
        <v>50</v>
      </c>
      <c r="M727" s="204">
        <v>33.299999999999997</v>
      </c>
      <c r="N727" s="204">
        <v>33.299999999999997</v>
      </c>
      <c r="O727" s="204">
        <v>0</v>
      </c>
      <c r="P727" s="204">
        <v>0</v>
      </c>
      <c r="Q727" s="44" t="s">
        <v>45</v>
      </c>
      <c r="R727" s="205">
        <v>78</v>
      </c>
      <c r="S727" s="205">
        <v>90</v>
      </c>
      <c r="T727" s="217" t="s">
        <v>27</v>
      </c>
    </row>
    <row r="728" spans="1:20" ht="13.5" customHeight="1">
      <c r="A728" s="7" t="s">
        <v>36</v>
      </c>
      <c r="B728" s="204">
        <v>60</v>
      </c>
      <c r="C728" s="204">
        <v>55.6</v>
      </c>
      <c r="D728" s="204">
        <v>66.7</v>
      </c>
      <c r="E728" s="204">
        <v>50</v>
      </c>
      <c r="F728" s="204">
        <v>50</v>
      </c>
      <c r="G728" s="204">
        <v>50</v>
      </c>
      <c r="H728" s="204">
        <v>50</v>
      </c>
      <c r="I728" s="204">
        <v>50</v>
      </c>
      <c r="J728" s="204">
        <v>50</v>
      </c>
      <c r="K728" s="204">
        <v>33.299999999999997</v>
      </c>
      <c r="L728" s="204">
        <v>33.299999999999997</v>
      </c>
      <c r="M728" s="204">
        <v>50</v>
      </c>
      <c r="N728" s="204">
        <v>50</v>
      </c>
      <c r="O728" s="204">
        <v>60</v>
      </c>
      <c r="P728" s="204">
        <v>60</v>
      </c>
      <c r="Q728" s="44" t="s">
        <v>45</v>
      </c>
      <c r="R728" s="205">
        <v>106</v>
      </c>
      <c r="S728" s="205">
        <v>100</v>
      </c>
      <c r="T728" s="217" t="s">
        <v>48</v>
      </c>
    </row>
    <row r="729" spans="1:20" ht="13.5" customHeight="1">
      <c r="A729" s="7" t="s">
        <v>37</v>
      </c>
      <c r="B729" s="204">
        <v>54.5</v>
      </c>
      <c r="C729" s="204">
        <v>73.3</v>
      </c>
      <c r="D729" s="204">
        <v>76.900000000000006</v>
      </c>
      <c r="E729" s="204">
        <v>50</v>
      </c>
      <c r="F729" s="204">
        <v>50</v>
      </c>
      <c r="G729" s="204">
        <v>50</v>
      </c>
      <c r="H729" s="204">
        <v>50</v>
      </c>
      <c r="I729" s="204">
        <v>50</v>
      </c>
      <c r="J729" s="204">
        <v>50</v>
      </c>
      <c r="K729" s="204">
        <v>50</v>
      </c>
      <c r="L729" s="204">
        <v>50</v>
      </c>
      <c r="M729" s="204">
        <v>50</v>
      </c>
      <c r="N729" s="204">
        <v>50</v>
      </c>
      <c r="O729" s="204">
        <v>66.7</v>
      </c>
      <c r="P729" s="204">
        <v>66.7</v>
      </c>
      <c r="Q729" s="44" t="s">
        <v>45</v>
      </c>
      <c r="R729" s="205">
        <v>86</v>
      </c>
      <c r="S729" s="205">
        <v>82</v>
      </c>
      <c r="T729" s="217" t="s">
        <v>40</v>
      </c>
    </row>
    <row r="730" spans="1:20" ht="27" customHeight="1">
      <c r="A730" s="7" t="s">
        <v>36</v>
      </c>
      <c r="B730" s="204">
        <v>58</v>
      </c>
      <c r="C730" s="204">
        <v>50.8</v>
      </c>
      <c r="D730" s="204">
        <v>66.7</v>
      </c>
      <c r="E730" s="204">
        <v>50</v>
      </c>
      <c r="F730" s="204">
        <v>50</v>
      </c>
      <c r="G730" s="204">
        <v>0</v>
      </c>
      <c r="H730" s="204">
        <v>0</v>
      </c>
      <c r="I730" s="204">
        <v>37.5</v>
      </c>
      <c r="J730" s="204">
        <v>37.5</v>
      </c>
      <c r="K730" s="204">
        <v>33.299999999999997</v>
      </c>
      <c r="L730" s="204">
        <v>33.299999999999997</v>
      </c>
      <c r="M730" s="204">
        <v>0</v>
      </c>
      <c r="N730" s="204">
        <v>0</v>
      </c>
      <c r="O730" s="204">
        <v>20</v>
      </c>
      <c r="P730" s="204">
        <v>20</v>
      </c>
      <c r="Q730" s="44" t="s">
        <v>45</v>
      </c>
      <c r="R730" s="205">
        <v>88</v>
      </c>
      <c r="S730" s="205">
        <v>86</v>
      </c>
      <c r="T730" s="217" t="s">
        <v>27</v>
      </c>
    </row>
    <row r="731" spans="1:20" ht="13.5" customHeight="1">
      <c r="A731" s="7" t="s">
        <v>36</v>
      </c>
      <c r="B731" s="204">
        <v>58</v>
      </c>
      <c r="C731" s="204">
        <v>50.8</v>
      </c>
      <c r="D731" s="204">
        <v>66.7</v>
      </c>
      <c r="E731" s="204">
        <v>50</v>
      </c>
      <c r="F731" s="204">
        <v>50</v>
      </c>
      <c r="G731" s="204">
        <v>50</v>
      </c>
      <c r="H731" s="204">
        <v>50</v>
      </c>
      <c r="I731" s="204">
        <v>28.6</v>
      </c>
      <c r="J731" s="204">
        <v>28.6</v>
      </c>
      <c r="K731" s="204">
        <v>0</v>
      </c>
      <c r="L731" s="204">
        <v>0</v>
      </c>
      <c r="M731" s="204">
        <v>0</v>
      </c>
      <c r="N731" s="204">
        <v>0</v>
      </c>
      <c r="O731" s="204">
        <v>50</v>
      </c>
      <c r="P731" s="204">
        <v>50</v>
      </c>
      <c r="Q731" s="44" t="s">
        <v>45</v>
      </c>
      <c r="R731" s="205">
        <v>96</v>
      </c>
      <c r="S731" s="205">
        <v>100</v>
      </c>
      <c r="T731" s="217" t="s">
        <v>48</v>
      </c>
    </row>
    <row r="732" spans="1:20" ht="13.5" customHeight="1">
      <c r="A732" s="7" t="s">
        <v>42</v>
      </c>
      <c r="B732" s="204">
        <v>50</v>
      </c>
      <c r="C732" s="204">
        <v>59.6</v>
      </c>
      <c r="D732" s="204">
        <v>50</v>
      </c>
      <c r="E732" s="204">
        <v>75</v>
      </c>
      <c r="F732" s="204">
        <v>75</v>
      </c>
      <c r="G732" s="204">
        <v>66.7</v>
      </c>
      <c r="H732" s="204">
        <v>66.7</v>
      </c>
      <c r="I732" s="204">
        <v>62.5</v>
      </c>
      <c r="J732" s="204">
        <v>62.5</v>
      </c>
      <c r="K732" s="204">
        <v>50</v>
      </c>
      <c r="L732" s="204">
        <v>50</v>
      </c>
      <c r="M732" s="204">
        <v>0</v>
      </c>
      <c r="N732" s="204">
        <v>0</v>
      </c>
      <c r="O732" s="204">
        <v>50</v>
      </c>
      <c r="P732" s="204">
        <v>50</v>
      </c>
      <c r="Q732" s="44" t="s">
        <v>26</v>
      </c>
      <c r="R732" s="205">
        <v>98</v>
      </c>
      <c r="S732" s="205">
        <v>98</v>
      </c>
      <c r="T732" s="217" t="s">
        <v>32</v>
      </c>
    </row>
    <row r="733" spans="1:20" ht="13.5" customHeight="1">
      <c r="A733" s="7" t="s">
        <v>60</v>
      </c>
      <c r="B733" s="204">
        <v>60</v>
      </c>
      <c r="C733" s="204">
        <v>46.5</v>
      </c>
      <c r="D733" s="204">
        <v>25</v>
      </c>
      <c r="E733" s="204">
        <v>0</v>
      </c>
      <c r="F733" s="204">
        <v>0</v>
      </c>
      <c r="G733" s="204">
        <v>0</v>
      </c>
      <c r="H733" s="204">
        <v>0</v>
      </c>
      <c r="I733" s="204">
        <v>60</v>
      </c>
      <c r="J733" s="204">
        <v>60</v>
      </c>
      <c r="K733" s="204">
        <v>0</v>
      </c>
      <c r="L733" s="204">
        <v>0</v>
      </c>
      <c r="M733" s="204">
        <v>0</v>
      </c>
      <c r="N733" s="204">
        <v>0</v>
      </c>
      <c r="O733" s="204">
        <v>0</v>
      </c>
      <c r="P733" s="204">
        <v>0</v>
      </c>
      <c r="Q733" s="44" t="s">
        <v>45</v>
      </c>
      <c r="R733" s="205">
        <v>102</v>
      </c>
      <c r="S733" s="205">
        <v>104</v>
      </c>
      <c r="T733" s="217" t="s">
        <v>35</v>
      </c>
    </row>
    <row r="734" spans="1:20" ht="13.5" customHeight="1">
      <c r="A734" s="7" t="s">
        <v>25</v>
      </c>
      <c r="B734" s="204">
        <v>76.900000000000006</v>
      </c>
      <c r="C734" s="204">
        <v>55.6</v>
      </c>
      <c r="D734" s="204">
        <v>30</v>
      </c>
      <c r="E734" s="204">
        <v>0</v>
      </c>
      <c r="F734" s="204">
        <v>0</v>
      </c>
      <c r="G734" s="204">
        <v>33.299999999999997</v>
      </c>
      <c r="H734" s="204">
        <v>33.299999999999997</v>
      </c>
      <c r="I734" s="204">
        <v>50</v>
      </c>
      <c r="J734" s="204">
        <v>50</v>
      </c>
      <c r="K734" s="204">
        <v>0</v>
      </c>
      <c r="L734" s="204">
        <v>0</v>
      </c>
      <c r="M734" s="204">
        <v>0</v>
      </c>
      <c r="N734" s="204">
        <v>0</v>
      </c>
      <c r="O734" s="204">
        <v>0</v>
      </c>
      <c r="P734" s="204">
        <v>0</v>
      </c>
      <c r="Q734" s="44" t="s">
        <v>63</v>
      </c>
      <c r="R734" s="205">
        <v>74</v>
      </c>
      <c r="S734" s="205">
        <v>70</v>
      </c>
      <c r="T734" s="217" t="s">
        <v>40</v>
      </c>
    </row>
    <row r="735" spans="1:20" ht="13.5" customHeight="1">
      <c r="A735" s="7" t="s">
        <v>62</v>
      </c>
      <c r="B735" s="204">
        <v>54.5</v>
      </c>
      <c r="C735" s="204">
        <v>76.2</v>
      </c>
      <c r="D735" s="204">
        <v>80</v>
      </c>
      <c r="E735" s="204">
        <v>0</v>
      </c>
      <c r="F735" s="204">
        <v>0</v>
      </c>
      <c r="G735" s="204">
        <v>0</v>
      </c>
      <c r="H735" s="204">
        <v>0</v>
      </c>
      <c r="I735" s="204">
        <v>50</v>
      </c>
      <c r="J735" s="204">
        <v>50</v>
      </c>
      <c r="K735" s="204">
        <v>50</v>
      </c>
      <c r="L735" s="204">
        <v>50</v>
      </c>
      <c r="M735" s="204">
        <v>0</v>
      </c>
      <c r="N735" s="204">
        <v>0</v>
      </c>
      <c r="O735" s="204">
        <v>50</v>
      </c>
      <c r="P735" s="204">
        <v>50</v>
      </c>
      <c r="Q735" s="44" t="s">
        <v>26</v>
      </c>
      <c r="R735" s="205">
        <v>92</v>
      </c>
      <c r="S735" s="205">
        <v>100</v>
      </c>
      <c r="T735" s="217" t="s">
        <v>35</v>
      </c>
    </row>
    <row r="736" spans="1:20" ht="13.5" customHeight="1">
      <c r="A736" s="7" t="s">
        <v>22</v>
      </c>
      <c r="B736" s="204">
        <v>100</v>
      </c>
      <c r="C736" s="204">
        <v>50.8</v>
      </c>
      <c r="D736" s="204">
        <v>66.7</v>
      </c>
      <c r="E736" s="204">
        <v>100</v>
      </c>
      <c r="F736" s="204">
        <v>100</v>
      </c>
      <c r="G736" s="204">
        <v>100</v>
      </c>
      <c r="H736" s="204">
        <v>100</v>
      </c>
      <c r="I736" s="204">
        <v>100</v>
      </c>
      <c r="J736" s="204">
        <v>100</v>
      </c>
      <c r="K736" s="204">
        <v>100</v>
      </c>
      <c r="L736" s="204">
        <v>100</v>
      </c>
      <c r="M736" s="204">
        <v>100</v>
      </c>
      <c r="N736" s="204">
        <v>100</v>
      </c>
      <c r="O736" s="204">
        <v>100</v>
      </c>
      <c r="P736" s="204">
        <v>100</v>
      </c>
      <c r="Q736" s="44" t="s">
        <v>45</v>
      </c>
      <c r="R736" s="205">
        <v>78</v>
      </c>
      <c r="S736" s="205">
        <v>75</v>
      </c>
      <c r="T736" s="217" t="s">
        <v>40</v>
      </c>
    </row>
    <row r="737" spans="1:20" ht="13.5" customHeight="1">
      <c r="A737" s="7" t="s">
        <v>31</v>
      </c>
      <c r="B737" s="204">
        <v>58</v>
      </c>
      <c r="C737" s="204">
        <v>76.5</v>
      </c>
      <c r="D737" s="204">
        <v>75</v>
      </c>
      <c r="E737" s="204">
        <v>50</v>
      </c>
      <c r="F737" s="204">
        <v>50</v>
      </c>
      <c r="G737" s="204">
        <v>50</v>
      </c>
      <c r="H737" s="204">
        <v>50</v>
      </c>
      <c r="I737" s="204">
        <v>57.1</v>
      </c>
      <c r="J737" s="204">
        <v>57.1</v>
      </c>
      <c r="K737" s="204">
        <v>100</v>
      </c>
      <c r="L737" s="204">
        <v>100</v>
      </c>
      <c r="M737" s="204">
        <v>100</v>
      </c>
      <c r="N737" s="204">
        <v>100</v>
      </c>
      <c r="O737" s="204">
        <v>75</v>
      </c>
      <c r="P737" s="204">
        <v>75</v>
      </c>
      <c r="Q737" s="44" t="s">
        <v>26</v>
      </c>
      <c r="R737" s="205">
        <v>92</v>
      </c>
      <c r="S737" s="205">
        <v>100</v>
      </c>
      <c r="T737" s="217" t="s">
        <v>35</v>
      </c>
    </row>
    <row r="738" spans="1:20" ht="13.5" customHeight="1">
      <c r="A738" s="7" t="s">
        <v>74</v>
      </c>
      <c r="B738" s="204">
        <v>47.1</v>
      </c>
      <c r="C738" s="204">
        <v>36.9</v>
      </c>
      <c r="D738" s="204">
        <v>42.9</v>
      </c>
      <c r="E738" s="204">
        <v>33.299999999999997</v>
      </c>
      <c r="F738" s="204">
        <v>33.299999999999997</v>
      </c>
      <c r="G738" s="204">
        <v>33.299999999999997</v>
      </c>
      <c r="H738" s="204">
        <v>33.299999999999997</v>
      </c>
      <c r="I738" s="204">
        <v>0</v>
      </c>
      <c r="J738" s="204">
        <v>0</v>
      </c>
      <c r="K738" s="204">
        <v>0</v>
      </c>
      <c r="L738" s="204">
        <v>0</v>
      </c>
      <c r="M738" s="204">
        <v>0</v>
      </c>
      <c r="N738" s="204">
        <v>0</v>
      </c>
      <c r="O738" s="204">
        <v>0</v>
      </c>
      <c r="P738" s="204">
        <v>0</v>
      </c>
      <c r="Q738" s="44" t="s">
        <v>45</v>
      </c>
      <c r="R738" s="205">
        <v>86</v>
      </c>
      <c r="S738" s="205">
        <v>84</v>
      </c>
      <c r="T738" s="217" t="s">
        <v>40</v>
      </c>
    </row>
    <row r="739" spans="1:20" ht="13.5" customHeight="1">
      <c r="A739" s="7" t="s">
        <v>31</v>
      </c>
      <c r="B739" s="204">
        <v>40</v>
      </c>
      <c r="C739" s="204">
        <v>36.9</v>
      </c>
      <c r="D739" s="204">
        <v>50</v>
      </c>
      <c r="E739" s="204">
        <v>100</v>
      </c>
      <c r="F739" s="204">
        <v>100</v>
      </c>
      <c r="G739" s="204">
        <v>100</v>
      </c>
      <c r="H739" s="204">
        <v>100</v>
      </c>
      <c r="I739" s="204">
        <v>100</v>
      </c>
      <c r="J739" s="204">
        <v>100</v>
      </c>
      <c r="K739" s="204">
        <v>100</v>
      </c>
      <c r="L739" s="204">
        <v>100</v>
      </c>
      <c r="M739" s="204">
        <v>100</v>
      </c>
      <c r="N739" s="204">
        <v>100</v>
      </c>
      <c r="O739" s="204">
        <v>100</v>
      </c>
      <c r="P739" s="204">
        <v>100</v>
      </c>
      <c r="Q739" s="44" t="s">
        <v>45</v>
      </c>
      <c r="R739" s="205">
        <v>104</v>
      </c>
      <c r="S739" s="205">
        <v>114</v>
      </c>
      <c r="T739" s="217" t="s">
        <v>35</v>
      </c>
    </row>
    <row r="740" spans="1:20" ht="13.5" customHeight="1">
      <c r="A740" s="7" t="s">
        <v>53</v>
      </c>
      <c r="B740" s="204">
        <v>43.8</v>
      </c>
      <c r="C740" s="204">
        <v>57.9</v>
      </c>
      <c r="D740" s="204">
        <v>42.9</v>
      </c>
      <c r="E740" s="204">
        <v>0</v>
      </c>
      <c r="F740" s="204">
        <v>0</v>
      </c>
      <c r="G740" s="204">
        <v>0</v>
      </c>
      <c r="H740" s="204">
        <v>0</v>
      </c>
      <c r="I740" s="204">
        <v>28.6</v>
      </c>
      <c r="J740" s="204">
        <v>28.6</v>
      </c>
      <c r="K740" s="204">
        <v>33.299999999999997</v>
      </c>
      <c r="L740" s="204">
        <v>33.299999999999997</v>
      </c>
      <c r="M740" s="204">
        <v>50</v>
      </c>
      <c r="N740" s="204">
        <v>50</v>
      </c>
      <c r="O740" s="204">
        <v>60</v>
      </c>
      <c r="P740" s="204">
        <v>60</v>
      </c>
      <c r="Q740" s="44" t="s">
        <v>45</v>
      </c>
      <c r="R740" s="205">
        <v>98</v>
      </c>
      <c r="S740" s="205">
        <v>90</v>
      </c>
      <c r="T740" s="217" t="s">
        <v>27</v>
      </c>
    </row>
    <row r="741" spans="1:20" ht="13.5" customHeight="1">
      <c r="A741" s="7" t="s">
        <v>22</v>
      </c>
      <c r="B741" s="204">
        <v>100</v>
      </c>
      <c r="C741" s="204">
        <v>60.6</v>
      </c>
      <c r="D741" s="204">
        <v>100</v>
      </c>
      <c r="E741" s="204">
        <v>100</v>
      </c>
      <c r="F741" s="204">
        <v>100</v>
      </c>
      <c r="G741" s="204">
        <v>100</v>
      </c>
      <c r="H741" s="204">
        <v>100</v>
      </c>
      <c r="I741" s="204">
        <v>100</v>
      </c>
      <c r="J741" s="204">
        <v>100</v>
      </c>
      <c r="K741" s="204">
        <v>50</v>
      </c>
      <c r="L741" s="204">
        <v>50</v>
      </c>
      <c r="M741" s="204">
        <v>50</v>
      </c>
      <c r="N741" s="204">
        <v>50</v>
      </c>
      <c r="O741" s="204">
        <v>66.7</v>
      </c>
      <c r="P741" s="204">
        <v>66.7</v>
      </c>
      <c r="Q741" s="44" t="s">
        <v>26</v>
      </c>
      <c r="R741" s="205">
        <v>96</v>
      </c>
      <c r="S741" s="205">
        <v>80</v>
      </c>
      <c r="T741" s="217" t="s">
        <v>39</v>
      </c>
    </row>
    <row r="742" spans="1:20" ht="13.5" customHeight="1">
      <c r="A742" s="7" t="s">
        <v>36</v>
      </c>
      <c r="B742" s="204">
        <v>50</v>
      </c>
      <c r="C742" s="204">
        <v>36.9</v>
      </c>
      <c r="D742" s="204">
        <v>16.7</v>
      </c>
      <c r="E742" s="204">
        <v>40</v>
      </c>
      <c r="F742" s="204">
        <v>40</v>
      </c>
      <c r="G742" s="204">
        <v>40</v>
      </c>
      <c r="H742" s="204">
        <v>40</v>
      </c>
      <c r="I742" s="204">
        <v>28.6</v>
      </c>
      <c r="J742" s="204">
        <v>28.6</v>
      </c>
      <c r="K742" s="204">
        <v>0</v>
      </c>
      <c r="L742" s="204">
        <v>0</v>
      </c>
      <c r="M742" s="204">
        <v>0</v>
      </c>
      <c r="N742" s="204">
        <v>0</v>
      </c>
      <c r="O742" s="204">
        <v>0</v>
      </c>
      <c r="P742" s="204">
        <v>0</v>
      </c>
      <c r="Q742" s="44" t="s">
        <v>63</v>
      </c>
      <c r="R742" s="205">
        <v>70</v>
      </c>
      <c r="S742" s="205">
        <v>90</v>
      </c>
      <c r="T742" s="217" t="s">
        <v>28</v>
      </c>
    </row>
    <row r="743" spans="1:20" ht="13.5" customHeight="1">
      <c r="A743" s="7" t="s">
        <v>53</v>
      </c>
      <c r="B743" s="204">
        <v>45.2</v>
      </c>
      <c r="C743" s="204">
        <v>46.5</v>
      </c>
      <c r="D743" s="204">
        <v>57.1</v>
      </c>
      <c r="E743" s="204">
        <v>60</v>
      </c>
      <c r="F743" s="204">
        <v>60</v>
      </c>
      <c r="G743" s="204">
        <v>66.7</v>
      </c>
      <c r="H743" s="204">
        <v>66.7</v>
      </c>
      <c r="I743" s="204">
        <v>60</v>
      </c>
      <c r="J743" s="204">
        <v>66.7</v>
      </c>
      <c r="K743" s="204">
        <v>0</v>
      </c>
      <c r="L743" s="204">
        <v>0</v>
      </c>
      <c r="M743" s="204">
        <v>20</v>
      </c>
      <c r="N743" s="204">
        <v>20</v>
      </c>
      <c r="O743" s="204">
        <v>33.299999999999997</v>
      </c>
      <c r="P743" s="204">
        <v>33.299999999999997</v>
      </c>
      <c r="Q743" s="44" t="s">
        <v>45</v>
      </c>
      <c r="R743" s="205">
        <v>96</v>
      </c>
      <c r="S743" s="205">
        <v>86</v>
      </c>
      <c r="T743" s="217" t="s">
        <v>24</v>
      </c>
    </row>
    <row r="744" spans="1:20" ht="13.5" customHeight="1">
      <c r="A744" s="7" t="s">
        <v>53</v>
      </c>
      <c r="B744" s="204">
        <v>40</v>
      </c>
      <c r="C744" s="204">
        <v>49.4</v>
      </c>
      <c r="D744" s="204">
        <v>44.4</v>
      </c>
      <c r="E744" s="204">
        <v>50</v>
      </c>
      <c r="F744" s="204">
        <v>50</v>
      </c>
      <c r="G744" s="204">
        <v>50</v>
      </c>
      <c r="H744" s="204">
        <v>50</v>
      </c>
      <c r="I744" s="204">
        <v>60</v>
      </c>
      <c r="J744" s="204">
        <v>60</v>
      </c>
      <c r="K744" s="204">
        <v>0</v>
      </c>
      <c r="L744" s="204">
        <v>0</v>
      </c>
      <c r="M744" s="204">
        <v>0</v>
      </c>
      <c r="N744" s="204">
        <v>0</v>
      </c>
      <c r="O744" s="204">
        <v>50</v>
      </c>
      <c r="P744" s="204">
        <v>50</v>
      </c>
      <c r="Q744" s="44" t="s">
        <v>63</v>
      </c>
      <c r="R744" s="205">
        <v>82</v>
      </c>
      <c r="S744" s="205">
        <v>80</v>
      </c>
      <c r="T744" s="217" t="s">
        <v>46</v>
      </c>
    </row>
    <row r="745" spans="1:20" ht="27" customHeight="1">
      <c r="A745" s="7" t="s">
        <v>33</v>
      </c>
      <c r="B745" s="204">
        <v>100</v>
      </c>
      <c r="C745" s="204">
        <v>63.6</v>
      </c>
      <c r="D745" s="204">
        <v>100</v>
      </c>
      <c r="E745" s="204">
        <v>100</v>
      </c>
      <c r="F745" s="204">
        <v>100</v>
      </c>
      <c r="G745" s="204">
        <v>100</v>
      </c>
      <c r="H745" s="204">
        <v>100</v>
      </c>
      <c r="I745" s="204">
        <v>100</v>
      </c>
      <c r="J745" s="204">
        <v>100</v>
      </c>
      <c r="K745" s="204">
        <v>50</v>
      </c>
      <c r="L745" s="204">
        <v>50</v>
      </c>
      <c r="M745" s="204">
        <v>100</v>
      </c>
      <c r="N745" s="204">
        <v>100</v>
      </c>
      <c r="O745" s="204">
        <v>50</v>
      </c>
      <c r="P745" s="204">
        <v>50</v>
      </c>
      <c r="Q745" s="44" t="s">
        <v>26</v>
      </c>
      <c r="R745" s="205">
        <v>84</v>
      </c>
      <c r="S745" s="205">
        <v>75</v>
      </c>
      <c r="T745" s="217" t="s">
        <v>40</v>
      </c>
    </row>
    <row r="746" spans="1:20" ht="13.5" customHeight="1">
      <c r="A746" s="7" t="s">
        <v>22</v>
      </c>
      <c r="B746" s="204">
        <v>50</v>
      </c>
      <c r="C746" s="204">
        <v>57.9</v>
      </c>
      <c r="D746" s="204">
        <v>33.299999999999997</v>
      </c>
      <c r="E746" s="204">
        <v>25</v>
      </c>
      <c r="F746" s="204">
        <v>25</v>
      </c>
      <c r="G746" s="204">
        <v>33.299999999999997</v>
      </c>
      <c r="H746" s="204">
        <v>33.299999999999997</v>
      </c>
      <c r="I746" s="204">
        <v>62.5</v>
      </c>
      <c r="J746" s="204">
        <v>62.5</v>
      </c>
      <c r="K746" s="204">
        <v>33.299999999999997</v>
      </c>
      <c r="L746" s="204">
        <v>33.299999999999997</v>
      </c>
      <c r="M746" s="204">
        <v>33.299999999999997</v>
      </c>
      <c r="N746" s="204">
        <v>33.299999999999997</v>
      </c>
      <c r="O746" s="204">
        <v>20</v>
      </c>
      <c r="P746" s="204">
        <v>20</v>
      </c>
      <c r="Q746" s="44" t="s">
        <v>45</v>
      </c>
      <c r="R746" s="205">
        <v>104</v>
      </c>
      <c r="S746" s="205">
        <v>94</v>
      </c>
      <c r="T746" s="217" t="s">
        <v>27</v>
      </c>
    </row>
    <row r="747" spans="1:20" ht="13.5" customHeight="1">
      <c r="A747" s="7" t="s">
        <v>33</v>
      </c>
      <c r="B747" s="204">
        <v>58</v>
      </c>
      <c r="C747" s="204">
        <v>60.6</v>
      </c>
      <c r="D747" s="204">
        <v>100</v>
      </c>
      <c r="E747" s="204">
        <v>100</v>
      </c>
      <c r="F747" s="204">
        <v>100</v>
      </c>
      <c r="G747" s="204">
        <v>100</v>
      </c>
      <c r="H747" s="204">
        <v>100</v>
      </c>
      <c r="I747" s="204">
        <v>60</v>
      </c>
      <c r="J747" s="204">
        <v>60</v>
      </c>
      <c r="K747" s="204">
        <v>50</v>
      </c>
      <c r="L747" s="204">
        <v>50</v>
      </c>
      <c r="M747" s="204">
        <v>100</v>
      </c>
      <c r="N747" s="204">
        <v>100</v>
      </c>
      <c r="O747" s="204">
        <v>50</v>
      </c>
      <c r="P747" s="204">
        <v>50</v>
      </c>
      <c r="Q747" s="44" t="s">
        <v>26</v>
      </c>
      <c r="R747" s="205">
        <v>106</v>
      </c>
      <c r="S747" s="205">
        <v>94</v>
      </c>
      <c r="T747" s="217" t="s">
        <v>27</v>
      </c>
    </row>
    <row r="748" spans="1:20" ht="13.5" customHeight="1">
      <c r="A748" s="7" t="s">
        <v>42</v>
      </c>
      <c r="B748" s="204">
        <v>46.2</v>
      </c>
      <c r="C748" s="204">
        <v>39.1</v>
      </c>
      <c r="D748" s="204">
        <v>50</v>
      </c>
      <c r="E748" s="204">
        <v>20</v>
      </c>
      <c r="F748" s="204">
        <v>20</v>
      </c>
      <c r="G748" s="204">
        <v>33.299999999999997</v>
      </c>
      <c r="H748" s="204">
        <v>33.299999999999997</v>
      </c>
      <c r="I748" s="204">
        <v>50</v>
      </c>
      <c r="J748" s="204">
        <v>50</v>
      </c>
      <c r="K748" s="204">
        <v>33.299999999999997</v>
      </c>
      <c r="L748" s="204">
        <v>0</v>
      </c>
      <c r="M748" s="204">
        <v>25</v>
      </c>
      <c r="N748" s="204">
        <v>0</v>
      </c>
      <c r="O748" s="204">
        <v>0</v>
      </c>
      <c r="P748" s="204">
        <v>0</v>
      </c>
      <c r="Q748" s="44" t="s">
        <v>63</v>
      </c>
      <c r="R748" s="205">
        <v>76</v>
      </c>
      <c r="S748" s="205">
        <v>86</v>
      </c>
      <c r="T748" s="217" t="s">
        <v>40</v>
      </c>
    </row>
    <row r="749" spans="1:20" ht="13.5" customHeight="1">
      <c r="A749" s="7" t="s">
        <v>42</v>
      </c>
      <c r="B749" s="204">
        <v>58</v>
      </c>
      <c r="C749" s="204">
        <v>54.7</v>
      </c>
      <c r="D749" s="204">
        <v>42.9</v>
      </c>
      <c r="E749" s="204">
        <v>50</v>
      </c>
      <c r="F749" s="204">
        <v>50</v>
      </c>
      <c r="G749" s="204">
        <v>50</v>
      </c>
      <c r="H749" s="204">
        <v>50</v>
      </c>
      <c r="I749" s="204">
        <v>50</v>
      </c>
      <c r="J749" s="204">
        <v>50</v>
      </c>
      <c r="K749" s="204">
        <v>20</v>
      </c>
      <c r="L749" s="204">
        <v>20</v>
      </c>
      <c r="M749" s="204">
        <v>20</v>
      </c>
      <c r="N749" s="204">
        <v>20</v>
      </c>
      <c r="O749" s="204">
        <v>40</v>
      </c>
      <c r="P749" s="204">
        <v>40</v>
      </c>
      <c r="Q749" s="44" t="s">
        <v>45</v>
      </c>
      <c r="R749" s="205">
        <v>92</v>
      </c>
      <c r="S749" s="205">
        <v>100</v>
      </c>
      <c r="T749" s="217" t="s">
        <v>35</v>
      </c>
    </row>
    <row r="750" spans="1:20" ht="13.5" customHeight="1">
      <c r="A750" s="7" t="s">
        <v>53</v>
      </c>
      <c r="B750" s="204">
        <v>45.2</v>
      </c>
      <c r="C750" s="204">
        <v>36.9</v>
      </c>
      <c r="D750" s="204">
        <v>42.9</v>
      </c>
      <c r="E750" s="204">
        <v>20</v>
      </c>
      <c r="F750" s="204">
        <v>20</v>
      </c>
      <c r="G750" s="204">
        <v>0</v>
      </c>
      <c r="H750" s="204">
        <v>0</v>
      </c>
      <c r="I750" s="204">
        <v>22.2</v>
      </c>
      <c r="J750" s="204">
        <v>14.3</v>
      </c>
      <c r="K750" s="204">
        <v>50</v>
      </c>
      <c r="L750" s="204">
        <v>50</v>
      </c>
      <c r="M750" s="204">
        <v>33.299999999999997</v>
      </c>
      <c r="N750" s="204">
        <v>33.299999999999997</v>
      </c>
      <c r="O750" s="204">
        <v>37.5</v>
      </c>
      <c r="P750" s="204">
        <v>37.5</v>
      </c>
      <c r="Q750" s="44" t="s">
        <v>63</v>
      </c>
      <c r="R750" s="205">
        <v>80</v>
      </c>
      <c r="S750" s="205">
        <v>95</v>
      </c>
      <c r="T750" s="217" t="s">
        <v>27</v>
      </c>
    </row>
    <row r="751" spans="1:20" ht="13.5" customHeight="1">
      <c r="A751" s="7" t="s">
        <v>22</v>
      </c>
      <c r="B751" s="204">
        <v>60</v>
      </c>
      <c r="C751" s="204">
        <v>54.7</v>
      </c>
      <c r="D751" s="204">
        <v>60</v>
      </c>
      <c r="E751" s="204">
        <v>50</v>
      </c>
      <c r="F751" s="204">
        <v>50</v>
      </c>
      <c r="G751" s="204">
        <v>100</v>
      </c>
      <c r="H751" s="204">
        <v>100</v>
      </c>
      <c r="I751" s="204">
        <v>37.5</v>
      </c>
      <c r="J751" s="204">
        <v>37.5</v>
      </c>
      <c r="K751" s="204">
        <v>100</v>
      </c>
      <c r="L751" s="204">
        <v>100</v>
      </c>
      <c r="M751" s="204">
        <v>100</v>
      </c>
      <c r="N751" s="204">
        <v>100</v>
      </c>
      <c r="O751" s="204">
        <v>60</v>
      </c>
      <c r="P751" s="204">
        <v>60</v>
      </c>
      <c r="Q751" s="44" t="s">
        <v>45</v>
      </c>
      <c r="R751" s="205">
        <v>92</v>
      </c>
      <c r="S751" s="205">
        <v>104</v>
      </c>
      <c r="T751" s="217" t="s">
        <v>35</v>
      </c>
    </row>
    <row r="752" spans="1:20" ht="13.5" customHeight="1">
      <c r="A752" s="7" t="s">
        <v>36</v>
      </c>
      <c r="B752" s="204">
        <v>45.2</v>
      </c>
      <c r="C752" s="204">
        <v>36.9</v>
      </c>
      <c r="D752" s="204">
        <v>42.9</v>
      </c>
      <c r="E752" s="204">
        <v>40</v>
      </c>
      <c r="F752" s="204">
        <v>40</v>
      </c>
      <c r="G752" s="204">
        <v>40</v>
      </c>
      <c r="H752" s="204">
        <v>40</v>
      </c>
      <c r="I752" s="204">
        <v>16.7</v>
      </c>
      <c r="J752" s="204">
        <v>16.7</v>
      </c>
      <c r="K752" s="204">
        <v>33.299999999999997</v>
      </c>
      <c r="L752" s="204">
        <v>0</v>
      </c>
      <c r="M752" s="204">
        <v>25</v>
      </c>
      <c r="N752" s="204">
        <v>0</v>
      </c>
      <c r="O752" s="204">
        <v>0</v>
      </c>
      <c r="P752" s="204">
        <v>0</v>
      </c>
      <c r="Q752" s="44" t="s">
        <v>63</v>
      </c>
      <c r="R752" s="205">
        <v>96</v>
      </c>
      <c r="S752" s="205">
        <v>96</v>
      </c>
      <c r="T752" s="217" t="s">
        <v>48</v>
      </c>
    </row>
    <row r="753" spans="1:20" ht="13.5" customHeight="1">
      <c r="A753" s="7" t="s">
        <v>41</v>
      </c>
      <c r="B753" s="204">
        <v>58</v>
      </c>
      <c r="C753" s="204">
        <v>54.7</v>
      </c>
      <c r="D753" s="204">
        <v>42.9</v>
      </c>
      <c r="E753" s="204">
        <v>100</v>
      </c>
      <c r="F753" s="204">
        <v>100</v>
      </c>
      <c r="G753" s="204">
        <v>100</v>
      </c>
      <c r="H753" s="204">
        <v>100</v>
      </c>
      <c r="I753" s="204">
        <v>62.5</v>
      </c>
      <c r="J753" s="204">
        <v>62.5</v>
      </c>
      <c r="K753" s="204">
        <v>20</v>
      </c>
      <c r="L753" s="204">
        <v>20</v>
      </c>
      <c r="M753" s="204">
        <v>20</v>
      </c>
      <c r="N753" s="204">
        <v>20</v>
      </c>
      <c r="O753" s="204">
        <v>40</v>
      </c>
      <c r="P753" s="204">
        <v>40</v>
      </c>
      <c r="Q753" s="44" t="s">
        <v>63</v>
      </c>
      <c r="R753" s="205">
        <v>86</v>
      </c>
      <c r="S753" s="205">
        <v>90</v>
      </c>
      <c r="T753" s="217" t="s">
        <v>27</v>
      </c>
    </row>
    <row r="754" spans="1:20" ht="13.5" customHeight="1">
      <c r="A754" s="7" t="s">
        <v>41</v>
      </c>
      <c r="B754" s="204">
        <v>46.2</v>
      </c>
      <c r="C754" s="204">
        <v>55.6</v>
      </c>
      <c r="D754" s="204">
        <v>66.7</v>
      </c>
      <c r="E754" s="204">
        <v>42.9</v>
      </c>
      <c r="F754" s="204">
        <v>33.299999999999997</v>
      </c>
      <c r="G754" s="204">
        <v>60</v>
      </c>
      <c r="H754" s="204">
        <v>50</v>
      </c>
      <c r="I754" s="204">
        <v>50</v>
      </c>
      <c r="J754" s="204">
        <v>40</v>
      </c>
      <c r="K754" s="204">
        <v>50</v>
      </c>
      <c r="L754" s="204">
        <v>50</v>
      </c>
      <c r="M754" s="204">
        <v>28.6</v>
      </c>
      <c r="N754" s="204">
        <v>28.6</v>
      </c>
      <c r="O754" s="204">
        <v>37.5</v>
      </c>
      <c r="P754" s="204">
        <v>37.5</v>
      </c>
      <c r="Q754" s="44" t="s">
        <v>63</v>
      </c>
      <c r="R754" s="205">
        <v>86</v>
      </c>
      <c r="S754" s="205">
        <v>90</v>
      </c>
      <c r="T754" s="217" t="s">
        <v>28</v>
      </c>
    </row>
    <row r="755" spans="1:20" ht="13.5" customHeight="1">
      <c r="A755" s="7" t="s">
        <v>42</v>
      </c>
      <c r="B755" s="204">
        <v>45.2</v>
      </c>
      <c r="C755" s="204">
        <v>49.4</v>
      </c>
      <c r="D755" s="204">
        <v>57.1</v>
      </c>
      <c r="E755" s="204">
        <v>0</v>
      </c>
      <c r="F755" s="204">
        <v>0</v>
      </c>
      <c r="G755" s="204">
        <v>0</v>
      </c>
      <c r="H755" s="204">
        <v>0</v>
      </c>
      <c r="I755" s="204">
        <v>25</v>
      </c>
      <c r="J755" s="204">
        <v>25</v>
      </c>
      <c r="K755" s="204">
        <v>0</v>
      </c>
      <c r="L755" s="204">
        <v>0</v>
      </c>
      <c r="M755" s="204">
        <v>0</v>
      </c>
      <c r="N755" s="204">
        <v>0</v>
      </c>
      <c r="O755" s="204">
        <v>0</v>
      </c>
      <c r="P755" s="204">
        <v>0</v>
      </c>
      <c r="Q755" s="44" t="s">
        <v>63</v>
      </c>
      <c r="R755" s="205">
        <v>82</v>
      </c>
      <c r="S755" s="205">
        <v>86</v>
      </c>
      <c r="T755" s="217" t="s">
        <v>28</v>
      </c>
    </row>
    <row r="756" spans="1:20" ht="13.5" customHeight="1">
      <c r="A756" s="7" t="s">
        <v>42</v>
      </c>
      <c r="B756" s="204">
        <v>45.2</v>
      </c>
      <c r="C756" s="204">
        <v>38.1</v>
      </c>
      <c r="D756" s="204">
        <v>28.6</v>
      </c>
      <c r="E756" s="204">
        <v>33.299999999999997</v>
      </c>
      <c r="F756" s="204">
        <v>33.299999999999997</v>
      </c>
      <c r="G756" s="204">
        <v>16.7</v>
      </c>
      <c r="H756" s="204">
        <v>16.7</v>
      </c>
      <c r="I756" s="204">
        <v>50</v>
      </c>
      <c r="J756" s="204">
        <v>40</v>
      </c>
      <c r="K756" s="204">
        <v>0</v>
      </c>
      <c r="L756" s="204">
        <v>0</v>
      </c>
      <c r="M756" s="204">
        <v>0</v>
      </c>
      <c r="N756" s="204">
        <v>0</v>
      </c>
      <c r="O756" s="204">
        <v>0</v>
      </c>
      <c r="P756" s="204">
        <v>0</v>
      </c>
      <c r="Q756" s="44" t="s">
        <v>63</v>
      </c>
      <c r="R756" s="205">
        <v>92</v>
      </c>
      <c r="S756" s="205">
        <v>110</v>
      </c>
      <c r="T756" s="217" t="s">
        <v>35</v>
      </c>
    </row>
    <row r="757" spans="1:20" ht="13.5" customHeight="1">
      <c r="A757" s="7" t="s">
        <v>36</v>
      </c>
      <c r="B757" s="204">
        <v>29.3</v>
      </c>
      <c r="C757" s="204">
        <v>49</v>
      </c>
      <c r="D757" s="204">
        <v>20</v>
      </c>
      <c r="E757" s="204">
        <v>0</v>
      </c>
      <c r="F757" s="204">
        <v>0</v>
      </c>
      <c r="G757" s="204">
        <v>0</v>
      </c>
      <c r="H757" s="204">
        <v>0</v>
      </c>
      <c r="I757" s="204">
        <v>14.3</v>
      </c>
      <c r="J757" s="204">
        <v>20</v>
      </c>
      <c r="K757" s="204">
        <v>33.299999999999997</v>
      </c>
      <c r="L757" s="204">
        <v>50</v>
      </c>
      <c r="M757" s="204">
        <v>25</v>
      </c>
      <c r="N757" s="204">
        <v>50</v>
      </c>
      <c r="O757" s="204">
        <v>14.3</v>
      </c>
      <c r="P757" s="204">
        <v>33.299999999999997</v>
      </c>
      <c r="Q757" s="44" t="s">
        <v>45</v>
      </c>
      <c r="R757" s="205">
        <v>95</v>
      </c>
      <c r="S757" s="205">
        <v>96</v>
      </c>
      <c r="T757" s="10" t="s">
        <v>35</v>
      </c>
    </row>
    <row r="758" spans="1:20" ht="13.5" customHeight="1">
      <c r="A758" s="7" t="s">
        <v>43</v>
      </c>
      <c r="B758" s="204">
        <v>29.3</v>
      </c>
      <c r="C758" s="204">
        <v>49.4</v>
      </c>
      <c r="D758" s="204">
        <v>77.8</v>
      </c>
      <c r="E758" s="204">
        <v>100</v>
      </c>
      <c r="F758" s="204">
        <v>100</v>
      </c>
      <c r="G758" s="204">
        <v>100</v>
      </c>
      <c r="H758" s="204">
        <v>100</v>
      </c>
      <c r="I758" s="204">
        <v>25</v>
      </c>
      <c r="J758" s="204">
        <v>25</v>
      </c>
      <c r="K758" s="204">
        <v>50</v>
      </c>
      <c r="L758" s="204">
        <v>50</v>
      </c>
      <c r="M758" s="204">
        <v>50</v>
      </c>
      <c r="N758" s="204">
        <v>50</v>
      </c>
      <c r="O758" s="204">
        <v>25</v>
      </c>
      <c r="P758" s="204">
        <v>25</v>
      </c>
      <c r="Q758" s="44" t="s">
        <v>45</v>
      </c>
      <c r="R758" s="205">
        <v>85</v>
      </c>
      <c r="S758" s="205">
        <v>120</v>
      </c>
      <c r="T758" s="100" t="s">
        <v>35</v>
      </c>
    </row>
    <row r="759" spans="1:20" ht="13.5" customHeight="1">
      <c r="A759" s="7" t="s">
        <v>33</v>
      </c>
      <c r="B759" s="204">
        <v>51.7</v>
      </c>
      <c r="C759" s="204">
        <v>36.9</v>
      </c>
      <c r="D759" s="204">
        <v>36.700000000000003</v>
      </c>
      <c r="E759" s="204">
        <v>33.299999999999997</v>
      </c>
      <c r="F759" s="204">
        <v>33.299999999999997</v>
      </c>
      <c r="G759" s="204">
        <v>33.299999999999997</v>
      </c>
      <c r="H759" s="204">
        <v>33.299999999999997</v>
      </c>
      <c r="I759" s="204">
        <v>33.299999999999997</v>
      </c>
      <c r="J759" s="204">
        <v>33.299999999999997</v>
      </c>
      <c r="K759" s="204">
        <v>33.299999999999997</v>
      </c>
      <c r="L759" s="204">
        <v>50</v>
      </c>
      <c r="M759" s="204">
        <v>25</v>
      </c>
      <c r="N759" s="204">
        <v>50</v>
      </c>
      <c r="O759" s="204">
        <v>14.3</v>
      </c>
      <c r="P759" s="204">
        <v>33.299999999999997</v>
      </c>
      <c r="Q759" s="44" t="s">
        <v>26</v>
      </c>
      <c r="R759" s="205">
        <v>110</v>
      </c>
      <c r="S759" s="205">
        <v>95</v>
      </c>
      <c r="T759" s="10" t="s">
        <v>28</v>
      </c>
    </row>
    <row r="760" spans="1:20" ht="13.5" customHeight="1">
      <c r="A760" s="7" t="s">
        <v>36</v>
      </c>
      <c r="B760" s="204">
        <v>28.2</v>
      </c>
      <c r="C760" s="204">
        <v>39.1</v>
      </c>
      <c r="D760" s="204">
        <v>0</v>
      </c>
      <c r="E760" s="204">
        <v>50</v>
      </c>
      <c r="F760" s="204">
        <v>50</v>
      </c>
      <c r="G760" s="204">
        <v>50</v>
      </c>
      <c r="H760" s="204">
        <v>50</v>
      </c>
      <c r="I760" s="204">
        <v>25</v>
      </c>
      <c r="J760" s="204">
        <v>25</v>
      </c>
      <c r="K760" s="204">
        <v>33.299999999999997</v>
      </c>
      <c r="L760" s="204">
        <v>33.299999999999997</v>
      </c>
      <c r="M760" s="204">
        <v>66.7</v>
      </c>
      <c r="N760" s="204">
        <v>50</v>
      </c>
      <c r="O760" s="204">
        <v>25</v>
      </c>
      <c r="P760" s="204">
        <v>33.299999999999997</v>
      </c>
      <c r="Q760" s="44" t="s">
        <v>26</v>
      </c>
      <c r="R760" s="205">
        <v>95</v>
      </c>
      <c r="S760" s="205">
        <v>86</v>
      </c>
      <c r="T760" s="100" t="s">
        <v>28</v>
      </c>
    </row>
    <row r="761" spans="1:20" ht="13.5" customHeight="1">
      <c r="A761" s="7" t="s">
        <v>53</v>
      </c>
      <c r="B761" s="204">
        <v>51.7</v>
      </c>
      <c r="C761" s="204">
        <v>39.1</v>
      </c>
      <c r="D761" s="204">
        <v>16.7</v>
      </c>
      <c r="E761" s="204">
        <v>33.299999999999997</v>
      </c>
      <c r="F761" s="204">
        <v>33.299999999999997</v>
      </c>
      <c r="G761" s="204">
        <v>50</v>
      </c>
      <c r="H761" s="204">
        <v>50</v>
      </c>
      <c r="I761" s="204">
        <v>14.3</v>
      </c>
      <c r="J761" s="204">
        <v>20</v>
      </c>
      <c r="K761" s="204">
        <v>0</v>
      </c>
      <c r="L761" s="204">
        <v>0</v>
      </c>
      <c r="M761" s="204">
        <v>0</v>
      </c>
      <c r="N761" s="204">
        <v>0</v>
      </c>
      <c r="O761" s="204">
        <v>25</v>
      </c>
      <c r="P761" s="204">
        <v>25</v>
      </c>
      <c r="Q761" s="44" t="s">
        <v>26</v>
      </c>
      <c r="R761" s="205">
        <v>75</v>
      </c>
      <c r="S761" s="205">
        <v>50</v>
      </c>
      <c r="T761" s="10" t="s">
        <v>40</v>
      </c>
    </row>
    <row r="762" spans="1:20" ht="13.5" customHeight="1">
      <c r="A762" s="7" t="s">
        <v>53</v>
      </c>
      <c r="B762" s="204">
        <v>28.2</v>
      </c>
      <c r="C762" s="204">
        <v>55.6</v>
      </c>
      <c r="D762" s="204">
        <v>30</v>
      </c>
      <c r="E762" s="204">
        <v>25</v>
      </c>
      <c r="F762" s="204">
        <v>0</v>
      </c>
      <c r="G762" s="204">
        <v>25</v>
      </c>
      <c r="H762" s="204">
        <v>0</v>
      </c>
      <c r="I762" s="204">
        <v>25</v>
      </c>
      <c r="J762" s="204">
        <v>25</v>
      </c>
      <c r="K762" s="204">
        <v>0</v>
      </c>
      <c r="L762" s="204">
        <v>0</v>
      </c>
      <c r="M762" s="204">
        <v>50</v>
      </c>
      <c r="N762" s="204">
        <v>0</v>
      </c>
      <c r="O762" s="204">
        <v>14.3</v>
      </c>
      <c r="P762" s="204">
        <v>33.299999999999997</v>
      </c>
      <c r="Q762" s="44" t="s">
        <v>26</v>
      </c>
      <c r="R762" s="205">
        <v>80</v>
      </c>
      <c r="S762" s="205">
        <v>50</v>
      </c>
      <c r="T762" s="10" t="s">
        <v>40</v>
      </c>
    </row>
    <row r="763" spans="1:20" ht="13.5" customHeight="1">
      <c r="A763" s="7" t="s">
        <v>53</v>
      </c>
      <c r="B763" s="204">
        <v>66.7</v>
      </c>
      <c r="C763" s="204">
        <v>54.7</v>
      </c>
      <c r="D763" s="204">
        <v>25</v>
      </c>
      <c r="E763" s="204">
        <v>42.9</v>
      </c>
      <c r="F763" s="204">
        <v>25</v>
      </c>
      <c r="G763" s="204">
        <v>66.7</v>
      </c>
      <c r="H763" s="204">
        <v>50</v>
      </c>
      <c r="I763" s="204">
        <v>75</v>
      </c>
      <c r="J763" s="204">
        <v>0</v>
      </c>
      <c r="K763" s="204">
        <v>50</v>
      </c>
      <c r="L763" s="204">
        <v>50</v>
      </c>
      <c r="M763" s="204">
        <v>50</v>
      </c>
      <c r="N763" s="204">
        <v>50</v>
      </c>
      <c r="O763" s="204">
        <v>60</v>
      </c>
      <c r="P763" s="204">
        <v>50</v>
      </c>
      <c r="Q763" s="44" t="s">
        <v>23</v>
      </c>
      <c r="R763" s="205">
        <v>105</v>
      </c>
      <c r="S763" s="205">
        <v>100</v>
      </c>
      <c r="T763" s="10" t="s">
        <v>35</v>
      </c>
    </row>
    <row r="764" spans="1:20" ht="13.5" customHeight="1">
      <c r="A764" s="7" t="s">
        <v>31</v>
      </c>
      <c r="B764" s="204">
        <v>66.7</v>
      </c>
      <c r="C764" s="204">
        <v>49</v>
      </c>
      <c r="D764" s="204">
        <v>75</v>
      </c>
      <c r="E764" s="204">
        <v>80</v>
      </c>
      <c r="F764" s="204">
        <v>100</v>
      </c>
      <c r="G764" s="204">
        <v>60</v>
      </c>
      <c r="H764" s="204">
        <v>50</v>
      </c>
      <c r="I764" s="204">
        <v>64.7</v>
      </c>
      <c r="J764" s="204">
        <v>62.5</v>
      </c>
      <c r="K764" s="204">
        <v>60</v>
      </c>
      <c r="L764" s="204">
        <v>50</v>
      </c>
      <c r="M764" s="204">
        <v>60</v>
      </c>
      <c r="N764" s="204">
        <v>50</v>
      </c>
      <c r="O764" s="204">
        <v>66.7</v>
      </c>
      <c r="P764" s="204">
        <v>100</v>
      </c>
      <c r="Q764" s="44" t="s">
        <v>23</v>
      </c>
      <c r="R764" s="205">
        <v>90</v>
      </c>
      <c r="S764" s="205">
        <v>98</v>
      </c>
      <c r="T764" s="10" t="s">
        <v>65</v>
      </c>
    </row>
    <row r="765" spans="1:20" ht="13.5" customHeight="1">
      <c r="A765" s="7" t="s">
        <v>29</v>
      </c>
      <c r="B765" s="204">
        <v>51.7</v>
      </c>
      <c r="C765" s="204">
        <v>38.1</v>
      </c>
      <c r="D765" s="204">
        <v>57.1</v>
      </c>
      <c r="E765" s="204">
        <v>33.299999999999997</v>
      </c>
      <c r="F765" s="204">
        <v>100</v>
      </c>
      <c r="G765" s="204">
        <v>16.7</v>
      </c>
      <c r="H765" s="204">
        <v>50</v>
      </c>
      <c r="I765" s="204">
        <v>40</v>
      </c>
      <c r="J765" s="204">
        <v>50</v>
      </c>
      <c r="K765" s="204">
        <v>100</v>
      </c>
      <c r="L765" s="204">
        <v>100</v>
      </c>
      <c r="M765" s="204">
        <v>100</v>
      </c>
      <c r="N765" s="204">
        <v>100</v>
      </c>
      <c r="O765" s="204">
        <v>100</v>
      </c>
      <c r="P765" s="204">
        <v>100</v>
      </c>
      <c r="Q765" s="44" t="s">
        <v>26</v>
      </c>
      <c r="R765" s="205">
        <v>100</v>
      </c>
      <c r="S765" s="205">
        <v>95</v>
      </c>
      <c r="T765" s="10" t="s">
        <v>40</v>
      </c>
    </row>
    <row r="766" spans="1:20" ht="13.5" customHeight="1">
      <c r="A766" s="7" t="s">
        <v>33</v>
      </c>
      <c r="B766" s="204">
        <v>16.7</v>
      </c>
      <c r="C766" s="204">
        <v>36.9</v>
      </c>
      <c r="D766" s="204">
        <v>40</v>
      </c>
      <c r="E766" s="204">
        <v>100</v>
      </c>
      <c r="F766" s="204">
        <v>100</v>
      </c>
      <c r="G766" s="204">
        <v>100</v>
      </c>
      <c r="H766" s="204">
        <v>100</v>
      </c>
      <c r="I766" s="204">
        <v>66.7</v>
      </c>
      <c r="J766" s="204">
        <v>100</v>
      </c>
      <c r="K766" s="204">
        <v>33.299999999999997</v>
      </c>
      <c r="L766" s="204">
        <v>100</v>
      </c>
      <c r="M766" s="204">
        <v>33.299999999999997</v>
      </c>
      <c r="N766" s="204">
        <v>100</v>
      </c>
      <c r="O766" s="204">
        <v>16.7</v>
      </c>
      <c r="P766" s="204">
        <v>100</v>
      </c>
      <c r="Q766" s="44" t="s">
        <v>23</v>
      </c>
      <c r="R766" s="205">
        <v>95</v>
      </c>
      <c r="S766" s="205">
        <v>112</v>
      </c>
      <c r="T766" s="10" t="s">
        <v>35</v>
      </c>
    </row>
    <row r="767" spans="1:20" ht="13.5" customHeight="1">
      <c r="A767" s="7" t="s">
        <v>33</v>
      </c>
      <c r="B767" s="204">
        <v>54.8</v>
      </c>
      <c r="C767" s="204">
        <v>50.8</v>
      </c>
      <c r="D767" s="204">
        <v>55.6</v>
      </c>
      <c r="E767" s="204">
        <v>75</v>
      </c>
      <c r="F767" s="204">
        <v>100</v>
      </c>
      <c r="G767" s="204">
        <v>66.7</v>
      </c>
      <c r="H767" s="204">
        <v>66.7</v>
      </c>
      <c r="I767" s="204">
        <v>64.7</v>
      </c>
      <c r="J767" s="204">
        <v>62.5</v>
      </c>
      <c r="K767" s="204">
        <v>100</v>
      </c>
      <c r="L767" s="204">
        <v>100</v>
      </c>
      <c r="M767" s="204">
        <v>50</v>
      </c>
      <c r="N767" s="204">
        <v>50</v>
      </c>
      <c r="O767" s="204">
        <v>60</v>
      </c>
      <c r="P767" s="204">
        <v>50</v>
      </c>
      <c r="Q767" s="44" t="s">
        <v>23</v>
      </c>
      <c r="R767" s="205">
        <v>85</v>
      </c>
      <c r="S767" s="205">
        <v>80</v>
      </c>
      <c r="T767" s="10" t="s">
        <v>46</v>
      </c>
    </row>
    <row r="768" spans="1:20" ht="13.5" customHeight="1">
      <c r="A768" s="7" t="s">
        <v>60</v>
      </c>
      <c r="B768" s="204">
        <v>0</v>
      </c>
      <c r="C768" s="204">
        <v>22.2</v>
      </c>
      <c r="D768" s="204">
        <v>0</v>
      </c>
      <c r="E768" s="204">
        <v>50</v>
      </c>
      <c r="F768" s="204">
        <v>0</v>
      </c>
      <c r="G768" s="204">
        <v>50</v>
      </c>
      <c r="H768" s="204">
        <v>0</v>
      </c>
      <c r="I768" s="204">
        <v>0</v>
      </c>
      <c r="J768" s="204">
        <v>0</v>
      </c>
      <c r="K768" s="204">
        <v>0</v>
      </c>
      <c r="L768" s="204">
        <v>0</v>
      </c>
      <c r="M768" s="204">
        <v>0</v>
      </c>
      <c r="N768" s="204">
        <v>0</v>
      </c>
      <c r="O768" s="204">
        <v>50</v>
      </c>
      <c r="P768" s="204">
        <v>50</v>
      </c>
      <c r="Q768" s="44" t="s">
        <v>23</v>
      </c>
      <c r="R768" s="205">
        <v>78</v>
      </c>
      <c r="S768" s="205">
        <v>95</v>
      </c>
      <c r="T768" s="10" t="s">
        <v>28</v>
      </c>
    </row>
    <row r="769" spans="1:20" ht="13.5" customHeight="1">
      <c r="A769" s="7" t="s">
        <v>36</v>
      </c>
      <c r="B769" s="204">
        <v>66.7</v>
      </c>
      <c r="C769" s="204">
        <v>50.8</v>
      </c>
      <c r="D769" s="204">
        <v>50</v>
      </c>
      <c r="E769" s="204">
        <v>37.5</v>
      </c>
      <c r="F769" s="204">
        <v>33.299999999999997</v>
      </c>
      <c r="G769" s="204">
        <v>33.299999999999997</v>
      </c>
      <c r="H769" s="204">
        <v>28.6</v>
      </c>
      <c r="I769" s="204">
        <v>45</v>
      </c>
      <c r="J769" s="204">
        <v>41.7</v>
      </c>
      <c r="K769" s="204">
        <v>0</v>
      </c>
      <c r="L769" s="204">
        <v>0</v>
      </c>
      <c r="M769" s="204">
        <v>0</v>
      </c>
      <c r="N769" s="204">
        <v>0</v>
      </c>
      <c r="O769" s="204">
        <v>0</v>
      </c>
      <c r="P769" s="204">
        <v>0</v>
      </c>
      <c r="Q769" s="44" t="s">
        <v>26</v>
      </c>
      <c r="R769" s="205">
        <v>105</v>
      </c>
      <c r="S769" s="205">
        <v>82</v>
      </c>
      <c r="T769" s="10" t="s">
        <v>46</v>
      </c>
    </row>
    <row r="770" spans="1:20" ht="13.5" customHeight="1">
      <c r="A770" s="7" t="s">
        <v>41</v>
      </c>
      <c r="B770" s="204">
        <v>29.3</v>
      </c>
      <c r="C770" s="204">
        <v>49.4</v>
      </c>
      <c r="D770" s="204">
        <v>77.8</v>
      </c>
      <c r="E770" s="204">
        <v>50</v>
      </c>
      <c r="F770" s="204">
        <v>66.7</v>
      </c>
      <c r="G770" s="204">
        <v>40</v>
      </c>
      <c r="H770" s="204">
        <v>50</v>
      </c>
      <c r="I770" s="204">
        <v>40</v>
      </c>
      <c r="J770" s="204">
        <v>50</v>
      </c>
      <c r="K770" s="204">
        <v>100</v>
      </c>
      <c r="L770" s="204">
        <v>100</v>
      </c>
      <c r="M770" s="204">
        <v>100</v>
      </c>
      <c r="N770" s="204">
        <v>100</v>
      </c>
      <c r="O770" s="204">
        <v>60</v>
      </c>
      <c r="P770" s="204">
        <v>60</v>
      </c>
      <c r="Q770" s="44" t="s">
        <v>45</v>
      </c>
      <c r="R770" s="205">
        <v>90</v>
      </c>
      <c r="S770" s="205">
        <v>85</v>
      </c>
      <c r="T770" s="10" t="s">
        <v>28</v>
      </c>
    </row>
    <row r="771" spans="1:20" ht="13.5" customHeight="1">
      <c r="A771" s="7" t="s">
        <v>36</v>
      </c>
      <c r="B771" s="204">
        <v>51.7</v>
      </c>
      <c r="C771" s="204">
        <v>39.1</v>
      </c>
      <c r="D771" s="204">
        <v>16.7</v>
      </c>
      <c r="E771" s="204">
        <v>0</v>
      </c>
      <c r="F771" s="204">
        <v>0</v>
      </c>
      <c r="G771" s="204">
        <v>0</v>
      </c>
      <c r="H771" s="204">
        <v>0</v>
      </c>
      <c r="I771" s="204">
        <v>40</v>
      </c>
      <c r="J771" s="204">
        <v>50</v>
      </c>
      <c r="K771" s="204">
        <v>0</v>
      </c>
      <c r="L771" s="204">
        <v>0</v>
      </c>
      <c r="M771" s="204">
        <v>0</v>
      </c>
      <c r="N771" s="204">
        <v>0</v>
      </c>
      <c r="O771" s="204">
        <v>0</v>
      </c>
      <c r="P771" s="204">
        <v>0</v>
      </c>
      <c r="Q771" s="44" t="s">
        <v>26</v>
      </c>
      <c r="R771" s="205">
        <v>102</v>
      </c>
      <c r="S771" s="205">
        <v>60</v>
      </c>
      <c r="T771" s="10" t="s">
        <v>40</v>
      </c>
    </row>
    <row r="772" spans="1:20" ht="13.5" customHeight="1">
      <c r="A772" s="7" t="s">
        <v>37</v>
      </c>
      <c r="B772" s="204">
        <v>66.7</v>
      </c>
      <c r="C772" s="204">
        <v>76.5</v>
      </c>
      <c r="D772" s="204">
        <v>66.7</v>
      </c>
      <c r="E772" s="204">
        <v>42.9</v>
      </c>
      <c r="F772" s="204">
        <v>66.7</v>
      </c>
      <c r="G772" s="204">
        <v>40</v>
      </c>
      <c r="H772" s="204">
        <v>100</v>
      </c>
      <c r="I772" s="204">
        <v>45</v>
      </c>
      <c r="J772" s="204">
        <v>41.7</v>
      </c>
      <c r="K772" s="204">
        <v>100</v>
      </c>
      <c r="L772" s="204">
        <v>100</v>
      </c>
      <c r="M772" s="204">
        <v>100</v>
      </c>
      <c r="N772" s="204">
        <v>100</v>
      </c>
      <c r="O772" s="204">
        <v>100</v>
      </c>
      <c r="P772" s="204">
        <v>100</v>
      </c>
      <c r="Q772" s="44" t="s">
        <v>23</v>
      </c>
      <c r="R772" s="205">
        <v>95</v>
      </c>
      <c r="S772" s="205">
        <v>85</v>
      </c>
      <c r="T772" s="10" t="s">
        <v>28</v>
      </c>
    </row>
    <row r="773" spans="1:20" ht="13.5" customHeight="1">
      <c r="A773" s="7" t="s">
        <v>22</v>
      </c>
      <c r="B773" s="204">
        <v>28.2</v>
      </c>
      <c r="C773" s="204">
        <v>76.5</v>
      </c>
      <c r="D773" s="204">
        <v>100</v>
      </c>
      <c r="E773" s="204">
        <v>66.7</v>
      </c>
      <c r="F773" s="204">
        <v>100</v>
      </c>
      <c r="G773" s="204">
        <v>33.299999999999997</v>
      </c>
      <c r="H773" s="204">
        <v>100</v>
      </c>
      <c r="I773" s="204">
        <v>40</v>
      </c>
      <c r="J773" s="204">
        <v>50</v>
      </c>
      <c r="K773" s="204">
        <v>100</v>
      </c>
      <c r="L773" s="204">
        <v>100</v>
      </c>
      <c r="M773" s="204">
        <v>100</v>
      </c>
      <c r="N773" s="204">
        <v>100</v>
      </c>
      <c r="O773" s="204">
        <v>60</v>
      </c>
      <c r="P773" s="204">
        <v>60</v>
      </c>
      <c r="Q773" s="44" t="s">
        <v>30</v>
      </c>
      <c r="R773" s="205">
        <v>82</v>
      </c>
      <c r="S773" s="205">
        <v>95</v>
      </c>
      <c r="T773" s="10" t="s">
        <v>28</v>
      </c>
    </row>
    <row r="774" spans="1:20" ht="13.5" customHeight="1">
      <c r="A774" s="7" t="s">
        <v>31</v>
      </c>
      <c r="B774" s="204">
        <v>66.7</v>
      </c>
      <c r="C774" s="204">
        <v>46.5</v>
      </c>
      <c r="D774" s="204">
        <v>57.1</v>
      </c>
      <c r="E774" s="204">
        <v>37.5</v>
      </c>
      <c r="F774" s="204">
        <v>33.299999999999997</v>
      </c>
      <c r="G774" s="204">
        <v>57.1</v>
      </c>
      <c r="H774" s="204">
        <v>40</v>
      </c>
      <c r="I774" s="204">
        <v>45</v>
      </c>
      <c r="J774" s="204">
        <v>41.7</v>
      </c>
      <c r="K774" s="204">
        <v>66.7</v>
      </c>
      <c r="L774" s="204">
        <v>50</v>
      </c>
      <c r="M774" s="204">
        <v>50</v>
      </c>
      <c r="N774" s="204">
        <v>50</v>
      </c>
      <c r="O774" s="204">
        <v>40</v>
      </c>
      <c r="P774" s="204">
        <v>33.299999999999997</v>
      </c>
      <c r="Q774" s="44" t="s">
        <v>30</v>
      </c>
      <c r="R774" s="205">
        <v>82</v>
      </c>
      <c r="S774" s="205">
        <v>76</v>
      </c>
      <c r="T774" s="10" t="s">
        <v>46</v>
      </c>
    </row>
    <row r="775" spans="1:20" ht="13.5" customHeight="1">
      <c r="A775" s="7" t="s">
        <v>36</v>
      </c>
      <c r="B775" s="204">
        <v>50</v>
      </c>
      <c r="C775" s="204">
        <v>36.9</v>
      </c>
      <c r="D775" s="204">
        <v>36.4</v>
      </c>
      <c r="E775" s="204">
        <v>0</v>
      </c>
      <c r="F775" s="204">
        <v>0</v>
      </c>
      <c r="G775" s="204">
        <v>0</v>
      </c>
      <c r="H775" s="204">
        <v>0</v>
      </c>
      <c r="I775" s="204">
        <v>0</v>
      </c>
      <c r="J775" s="204">
        <v>0</v>
      </c>
      <c r="K775" s="204">
        <v>0</v>
      </c>
      <c r="L775" s="204">
        <v>0</v>
      </c>
      <c r="M775" s="204">
        <v>0</v>
      </c>
      <c r="N775" s="204">
        <v>0</v>
      </c>
      <c r="O775" s="204">
        <v>50</v>
      </c>
      <c r="P775" s="204">
        <v>0</v>
      </c>
      <c r="Q775" s="44" t="s">
        <v>45</v>
      </c>
      <c r="R775" s="205">
        <v>95</v>
      </c>
      <c r="S775" s="205">
        <v>75</v>
      </c>
      <c r="T775" s="10" t="s">
        <v>46</v>
      </c>
    </row>
    <row r="776" spans="1:20" ht="27" customHeight="1">
      <c r="A776" s="7" t="s">
        <v>33</v>
      </c>
      <c r="B776" s="204">
        <v>29.3</v>
      </c>
      <c r="C776" s="204">
        <v>36.9</v>
      </c>
      <c r="D776" s="204">
        <v>36.4</v>
      </c>
      <c r="E776" s="204">
        <v>100</v>
      </c>
      <c r="F776" s="204">
        <v>100</v>
      </c>
      <c r="G776" s="204">
        <v>100</v>
      </c>
      <c r="H776" s="204">
        <v>100</v>
      </c>
      <c r="I776" s="204">
        <v>66.7</v>
      </c>
      <c r="J776" s="204">
        <v>66.7</v>
      </c>
      <c r="K776" s="204">
        <v>33.299999999999997</v>
      </c>
      <c r="L776" s="204">
        <v>50</v>
      </c>
      <c r="M776" s="204">
        <v>50</v>
      </c>
      <c r="N776" s="204">
        <v>50</v>
      </c>
      <c r="O776" s="204">
        <v>42.9</v>
      </c>
      <c r="P776" s="204">
        <v>60</v>
      </c>
      <c r="Q776" s="44" t="s">
        <v>45</v>
      </c>
      <c r="R776" s="205">
        <v>75</v>
      </c>
      <c r="S776" s="205">
        <v>85</v>
      </c>
      <c r="T776" s="10" t="s">
        <v>28</v>
      </c>
    </row>
    <row r="777" spans="1:20" ht="13.5" customHeight="1">
      <c r="A777" s="7" t="s">
        <v>22</v>
      </c>
      <c r="B777" s="204">
        <v>51.7</v>
      </c>
      <c r="C777" s="204">
        <v>49.4</v>
      </c>
      <c r="D777" s="204">
        <v>28.6</v>
      </c>
      <c r="E777" s="204">
        <v>37.5</v>
      </c>
      <c r="F777" s="204">
        <v>33.299999999999997</v>
      </c>
      <c r="G777" s="204">
        <v>33.299999999999997</v>
      </c>
      <c r="H777" s="204">
        <v>40</v>
      </c>
      <c r="I777" s="204">
        <v>25</v>
      </c>
      <c r="J777" s="204">
        <v>50</v>
      </c>
      <c r="K777" s="204">
        <v>100</v>
      </c>
      <c r="L777" s="204">
        <v>100</v>
      </c>
      <c r="M777" s="204">
        <v>100</v>
      </c>
      <c r="N777" s="204">
        <v>100</v>
      </c>
      <c r="O777" s="204">
        <v>66.7</v>
      </c>
      <c r="P777" s="204">
        <v>66.7</v>
      </c>
      <c r="Q777" s="44" t="s">
        <v>45</v>
      </c>
      <c r="R777" s="205">
        <v>90</v>
      </c>
      <c r="S777" s="205">
        <v>60</v>
      </c>
      <c r="T777" s="10" t="s">
        <v>40</v>
      </c>
    </row>
    <row r="778" spans="1:20" ht="13.5" customHeight="1">
      <c r="A778" s="7" t="s">
        <v>29</v>
      </c>
      <c r="B778" s="204">
        <v>72.7</v>
      </c>
      <c r="C778" s="204">
        <v>38.1</v>
      </c>
      <c r="D778" s="204">
        <v>56.2</v>
      </c>
      <c r="E778" s="204">
        <v>25</v>
      </c>
      <c r="F778" s="204">
        <v>33.299999999999997</v>
      </c>
      <c r="G778" s="204">
        <v>33.299999999999997</v>
      </c>
      <c r="H778" s="204">
        <v>33.299999999999997</v>
      </c>
      <c r="I778" s="204">
        <v>61.5</v>
      </c>
      <c r="J778" s="204">
        <v>57.1</v>
      </c>
      <c r="K778" s="204">
        <v>100</v>
      </c>
      <c r="L778" s="204">
        <v>100</v>
      </c>
      <c r="M778" s="204">
        <v>100</v>
      </c>
      <c r="N778" s="204">
        <v>100</v>
      </c>
      <c r="O778" s="204">
        <v>100</v>
      </c>
      <c r="P778" s="204">
        <v>100</v>
      </c>
      <c r="Q778" s="44" t="s">
        <v>26</v>
      </c>
      <c r="R778" s="205">
        <v>90</v>
      </c>
      <c r="S778" s="205">
        <v>105</v>
      </c>
      <c r="T778" s="10" t="s">
        <v>48</v>
      </c>
    </row>
    <row r="779" spans="1:20" ht="13.5" customHeight="1">
      <c r="A779" s="7" t="s">
        <v>31</v>
      </c>
      <c r="B779" s="204">
        <v>67.7</v>
      </c>
      <c r="C779" s="204">
        <v>38.1</v>
      </c>
      <c r="D779" s="204">
        <v>25</v>
      </c>
      <c r="E779" s="204">
        <v>66.7</v>
      </c>
      <c r="F779" s="204">
        <v>80</v>
      </c>
      <c r="G779" s="204">
        <v>60</v>
      </c>
      <c r="H779" s="204">
        <v>60</v>
      </c>
      <c r="I779" s="204">
        <v>61.5</v>
      </c>
      <c r="J779" s="204">
        <v>57.1</v>
      </c>
      <c r="K779" s="204">
        <v>75</v>
      </c>
      <c r="L779" s="204">
        <v>75</v>
      </c>
      <c r="M779" s="204">
        <v>75</v>
      </c>
      <c r="N779" s="204">
        <v>75</v>
      </c>
      <c r="O779" s="204">
        <v>66.7</v>
      </c>
      <c r="P779" s="204">
        <v>66.7</v>
      </c>
      <c r="Q779" s="44" t="s">
        <v>23</v>
      </c>
      <c r="R779" s="205">
        <v>85</v>
      </c>
      <c r="S779" s="205">
        <v>83</v>
      </c>
      <c r="T779" s="10" t="s">
        <v>65</v>
      </c>
    </row>
    <row r="780" spans="1:20" ht="13.5" customHeight="1">
      <c r="A780" s="7" t="s">
        <v>47</v>
      </c>
      <c r="B780" s="204">
        <v>28.2</v>
      </c>
      <c r="C780" s="204">
        <v>55.6</v>
      </c>
      <c r="D780" s="204">
        <v>30</v>
      </c>
      <c r="E780" s="204">
        <v>37.5</v>
      </c>
      <c r="F780" s="204">
        <v>33.299999999999997</v>
      </c>
      <c r="G780" s="204">
        <v>37.5</v>
      </c>
      <c r="H780" s="204">
        <v>33.299999999999997</v>
      </c>
      <c r="I780" s="204">
        <v>25</v>
      </c>
      <c r="J780" s="204">
        <v>50</v>
      </c>
      <c r="K780" s="204">
        <v>50</v>
      </c>
      <c r="L780" s="204">
        <v>50</v>
      </c>
      <c r="M780" s="204">
        <v>60</v>
      </c>
      <c r="N780" s="204">
        <v>66.7</v>
      </c>
      <c r="O780" s="204">
        <v>42.9</v>
      </c>
      <c r="P780" s="204">
        <v>60</v>
      </c>
      <c r="Q780" s="44" t="s">
        <v>23</v>
      </c>
      <c r="R780" s="205">
        <v>85</v>
      </c>
      <c r="S780" s="205">
        <v>105</v>
      </c>
      <c r="T780" s="10" t="s">
        <v>35</v>
      </c>
    </row>
    <row r="781" spans="1:20" ht="13.5" customHeight="1">
      <c r="A781" s="7" t="s">
        <v>31</v>
      </c>
      <c r="B781" s="204">
        <v>61.5</v>
      </c>
      <c r="C781" s="204">
        <v>46.5</v>
      </c>
      <c r="D781" s="204">
        <v>60</v>
      </c>
      <c r="E781" s="204">
        <v>100</v>
      </c>
      <c r="F781" s="204">
        <v>100</v>
      </c>
      <c r="G781" s="204">
        <v>100</v>
      </c>
      <c r="H781" s="204">
        <v>100</v>
      </c>
      <c r="I781" s="204">
        <v>50</v>
      </c>
      <c r="J781" s="204">
        <v>100</v>
      </c>
      <c r="K781" s="204">
        <v>66.7</v>
      </c>
      <c r="L781" s="204">
        <v>66.7</v>
      </c>
      <c r="M781" s="204">
        <v>100</v>
      </c>
      <c r="N781" s="204">
        <v>100</v>
      </c>
      <c r="O781" s="204">
        <v>75</v>
      </c>
      <c r="P781" s="204">
        <v>75</v>
      </c>
      <c r="Q781" s="44" t="s">
        <v>23</v>
      </c>
      <c r="R781" s="205">
        <v>100</v>
      </c>
      <c r="S781" s="205">
        <v>82</v>
      </c>
      <c r="T781" s="217" t="s">
        <v>46</v>
      </c>
    </row>
    <row r="782" spans="1:20" ht="13.5" customHeight="1">
      <c r="A782" s="7" t="s">
        <v>54</v>
      </c>
      <c r="B782" s="204">
        <v>54.8</v>
      </c>
      <c r="C782" s="204">
        <v>60.6</v>
      </c>
      <c r="D782" s="204">
        <v>40</v>
      </c>
      <c r="E782" s="204">
        <v>100</v>
      </c>
      <c r="F782" s="204">
        <v>100</v>
      </c>
      <c r="G782" s="204">
        <v>100</v>
      </c>
      <c r="H782" s="204">
        <v>100</v>
      </c>
      <c r="I782" s="204">
        <v>64.7</v>
      </c>
      <c r="J782" s="204">
        <v>62.5</v>
      </c>
      <c r="K782" s="204">
        <v>100</v>
      </c>
      <c r="L782" s="204">
        <v>100</v>
      </c>
      <c r="M782" s="204">
        <v>100</v>
      </c>
      <c r="N782" s="204">
        <v>100</v>
      </c>
      <c r="O782" s="204">
        <v>100</v>
      </c>
      <c r="P782" s="204">
        <v>100</v>
      </c>
      <c r="Q782" s="44" t="s">
        <v>30</v>
      </c>
      <c r="R782" s="205">
        <v>100</v>
      </c>
      <c r="S782" s="205">
        <v>110</v>
      </c>
      <c r="T782" s="217" t="s">
        <v>35</v>
      </c>
    </row>
    <row r="783" spans="1:20" ht="13.5" customHeight="1">
      <c r="A783" s="7" t="s">
        <v>22</v>
      </c>
      <c r="B783" s="204">
        <v>54.8</v>
      </c>
      <c r="C783" s="204">
        <v>46.5</v>
      </c>
      <c r="D783" s="204">
        <v>75</v>
      </c>
      <c r="E783" s="204">
        <v>37.5</v>
      </c>
      <c r="F783" s="204">
        <v>33.299999999999997</v>
      </c>
      <c r="G783" s="204">
        <v>44.4</v>
      </c>
      <c r="H783" s="204">
        <v>33.299999999999997</v>
      </c>
      <c r="I783" s="204">
        <v>45</v>
      </c>
      <c r="J783" s="204">
        <v>41.7</v>
      </c>
      <c r="K783" s="204">
        <v>100</v>
      </c>
      <c r="L783" s="204">
        <v>100</v>
      </c>
      <c r="M783" s="204">
        <v>100</v>
      </c>
      <c r="N783" s="204">
        <v>100</v>
      </c>
      <c r="O783" s="204">
        <v>100</v>
      </c>
      <c r="P783" s="204">
        <v>100</v>
      </c>
      <c r="Q783" s="44" t="s">
        <v>45</v>
      </c>
      <c r="R783" s="205">
        <v>80</v>
      </c>
      <c r="S783" s="205">
        <v>90</v>
      </c>
      <c r="T783" s="217" t="s">
        <v>28</v>
      </c>
    </row>
    <row r="784" spans="1:20" ht="13.5" customHeight="1">
      <c r="A784" s="7" t="s">
        <v>42</v>
      </c>
      <c r="B784" s="204">
        <v>33.299999999999997</v>
      </c>
      <c r="C784" s="204">
        <v>38.799999999999997</v>
      </c>
      <c r="D784" s="204">
        <v>37.5</v>
      </c>
      <c r="E784" s="204">
        <v>50</v>
      </c>
      <c r="F784" s="204">
        <v>50</v>
      </c>
      <c r="G784" s="204">
        <v>66.7</v>
      </c>
      <c r="H784" s="204">
        <v>50</v>
      </c>
      <c r="I784" s="204">
        <v>0</v>
      </c>
      <c r="J784" s="204">
        <v>0</v>
      </c>
      <c r="K784" s="204">
        <v>0</v>
      </c>
      <c r="L784" s="204">
        <v>0</v>
      </c>
      <c r="M784" s="204">
        <v>33.299999999999997</v>
      </c>
      <c r="N784" s="204">
        <v>0</v>
      </c>
      <c r="O784" s="204">
        <v>66.7</v>
      </c>
      <c r="P784" s="204">
        <v>0</v>
      </c>
      <c r="Q784" s="44" t="s">
        <v>45</v>
      </c>
      <c r="R784" s="205">
        <v>100</v>
      </c>
      <c r="S784" s="205">
        <v>75</v>
      </c>
      <c r="T784" s="217" t="s">
        <v>40</v>
      </c>
    </row>
    <row r="785" spans="1:20" ht="13.5" customHeight="1">
      <c r="A785" s="7" t="s">
        <v>42</v>
      </c>
      <c r="B785" s="204">
        <v>50</v>
      </c>
      <c r="C785" s="204">
        <v>49</v>
      </c>
      <c r="D785" s="204">
        <v>66.7</v>
      </c>
      <c r="E785" s="204">
        <v>83.3</v>
      </c>
      <c r="F785" s="204">
        <v>80</v>
      </c>
      <c r="G785" s="204">
        <v>62.5</v>
      </c>
      <c r="H785" s="204">
        <v>57.1</v>
      </c>
      <c r="I785" s="204">
        <v>62.5</v>
      </c>
      <c r="J785" s="204">
        <v>80</v>
      </c>
      <c r="K785" s="204">
        <v>60</v>
      </c>
      <c r="L785" s="204">
        <v>50</v>
      </c>
      <c r="M785" s="204">
        <v>60</v>
      </c>
      <c r="N785" s="204">
        <v>50</v>
      </c>
      <c r="O785" s="204">
        <v>40</v>
      </c>
      <c r="P785" s="204">
        <v>33.299999999999997</v>
      </c>
      <c r="Q785" s="44" t="s">
        <v>45</v>
      </c>
      <c r="R785" s="205">
        <v>95</v>
      </c>
      <c r="S785" s="205">
        <v>81</v>
      </c>
      <c r="T785" s="217" t="s">
        <v>46</v>
      </c>
    </row>
    <row r="786" spans="1:20" ht="13.5" customHeight="1">
      <c r="A786" s="7" t="s">
        <v>60</v>
      </c>
      <c r="B786" s="204">
        <v>50</v>
      </c>
      <c r="C786" s="204">
        <v>55.6</v>
      </c>
      <c r="D786" s="204">
        <v>42.9</v>
      </c>
      <c r="E786" s="204">
        <v>57.1</v>
      </c>
      <c r="F786" s="204">
        <v>25</v>
      </c>
      <c r="G786" s="204">
        <v>57.1</v>
      </c>
      <c r="H786" s="204">
        <v>50</v>
      </c>
      <c r="I786" s="204">
        <v>50</v>
      </c>
      <c r="J786" s="204">
        <v>0</v>
      </c>
      <c r="K786" s="204">
        <v>0</v>
      </c>
      <c r="L786" s="204">
        <v>0</v>
      </c>
      <c r="M786" s="204">
        <v>20</v>
      </c>
      <c r="N786" s="204">
        <v>20</v>
      </c>
      <c r="O786" s="204">
        <v>66.7</v>
      </c>
      <c r="P786" s="204">
        <v>66.7</v>
      </c>
      <c r="Q786" s="44" t="s">
        <v>45</v>
      </c>
      <c r="R786" s="205">
        <v>80</v>
      </c>
      <c r="S786" s="205">
        <v>100</v>
      </c>
      <c r="T786" s="217" t="s">
        <v>32</v>
      </c>
    </row>
    <row r="787" spans="1:20" ht="13.5" customHeight="1">
      <c r="A787" s="7" t="s">
        <v>37</v>
      </c>
      <c r="B787" s="204">
        <v>80</v>
      </c>
      <c r="C787" s="204">
        <v>38.1</v>
      </c>
      <c r="D787" s="204">
        <v>36.4</v>
      </c>
      <c r="E787" s="204">
        <v>83.3</v>
      </c>
      <c r="F787" s="204">
        <v>80</v>
      </c>
      <c r="G787" s="204">
        <v>83.3</v>
      </c>
      <c r="H787" s="204">
        <v>80</v>
      </c>
      <c r="I787" s="204">
        <v>62.5</v>
      </c>
      <c r="J787" s="204">
        <v>80</v>
      </c>
      <c r="K787" s="204">
        <v>100</v>
      </c>
      <c r="L787" s="204">
        <v>100</v>
      </c>
      <c r="M787" s="204">
        <v>100</v>
      </c>
      <c r="N787" s="204">
        <v>100</v>
      </c>
      <c r="O787" s="204">
        <v>66.7</v>
      </c>
      <c r="P787" s="204">
        <v>66.7</v>
      </c>
      <c r="Q787" s="44" t="s">
        <v>45</v>
      </c>
      <c r="R787" s="205">
        <v>105</v>
      </c>
      <c r="S787" s="205">
        <v>105</v>
      </c>
      <c r="T787" s="217" t="s">
        <v>65</v>
      </c>
    </row>
    <row r="788" spans="1:20" ht="13.5" customHeight="1">
      <c r="A788" s="7" t="s">
        <v>33</v>
      </c>
      <c r="B788" s="204">
        <v>67.7</v>
      </c>
      <c r="C788" s="204">
        <v>63.6</v>
      </c>
      <c r="D788" s="204">
        <v>50</v>
      </c>
      <c r="E788" s="204">
        <v>75</v>
      </c>
      <c r="F788" s="204">
        <v>66.7</v>
      </c>
      <c r="G788" s="204">
        <v>83.3</v>
      </c>
      <c r="H788" s="204">
        <v>100</v>
      </c>
      <c r="I788" s="204">
        <v>63.6</v>
      </c>
      <c r="J788" s="204">
        <v>50</v>
      </c>
      <c r="K788" s="204">
        <v>100</v>
      </c>
      <c r="L788" s="204">
        <v>100</v>
      </c>
      <c r="M788" s="204">
        <v>100</v>
      </c>
      <c r="N788" s="204">
        <v>100</v>
      </c>
      <c r="O788" s="204">
        <v>100</v>
      </c>
      <c r="P788" s="204">
        <v>100</v>
      </c>
      <c r="Q788" s="86" t="s">
        <v>26</v>
      </c>
      <c r="R788" s="199">
        <v>90</v>
      </c>
      <c r="S788" s="199">
        <v>102</v>
      </c>
      <c r="T788" s="217" t="s">
        <v>35</v>
      </c>
    </row>
    <row r="789" spans="1:20" ht="13.5" customHeight="1">
      <c r="A789" s="7" t="s">
        <v>31</v>
      </c>
      <c r="B789" s="204">
        <v>55.6</v>
      </c>
      <c r="C789" s="204">
        <v>46.5</v>
      </c>
      <c r="D789" s="204">
        <v>50</v>
      </c>
      <c r="E789" s="204">
        <v>100</v>
      </c>
      <c r="F789" s="204">
        <v>100</v>
      </c>
      <c r="G789" s="204">
        <v>33.299999999999997</v>
      </c>
      <c r="H789" s="204">
        <v>50</v>
      </c>
      <c r="I789" s="204">
        <v>40</v>
      </c>
      <c r="J789" s="204">
        <v>50</v>
      </c>
      <c r="K789" s="204">
        <v>100</v>
      </c>
      <c r="L789" s="204">
        <v>100</v>
      </c>
      <c r="M789" s="204">
        <v>50</v>
      </c>
      <c r="N789" s="204">
        <v>50</v>
      </c>
      <c r="O789" s="204">
        <v>33.299999999999997</v>
      </c>
      <c r="P789" s="204">
        <v>33.299999999999997</v>
      </c>
      <c r="Q789" s="86" t="s">
        <v>26</v>
      </c>
      <c r="R789" s="199">
        <v>105</v>
      </c>
      <c r="S789" s="199">
        <v>98</v>
      </c>
      <c r="T789" s="217" t="s">
        <v>48</v>
      </c>
    </row>
    <row r="790" spans="1:20" ht="13.5" customHeight="1">
      <c r="A790" s="7" t="s">
        <v>36</v>
      </c>
      <c r="B790" s="204">
        <v>28.2</v>
      </c>
      <c r="C790" s="204">
        <v>38.1</v>
      </c>
      <c r="D790" s="204">
        <v>33.299999999999997</v>
      </c>
      <c r="E790" s="204">
        <v>50</v>
      </c>
      <c r="F790" s="204">
        <v>0</v>
      </c>
      <c r="G790" s="204">
        <v>50</v>
      </c>
      <c r="H790" s="204">
        <v>0</v>
      </c>
      <c r="I790" s="204">
        <v>57.1</v>
      </c>
      <c r="J790" s="204">
        <v>50</v>
      </c>
      <c r="K790" s="204">
        <v>0</v>
      </c>
      <c r="L790" s="204">
        <v>0</v>
      </c>
      <c r="M790" s="204">
        <v>0</v>
      </c>
      <c r="N790" s="204">
        <v>0</v>
      </c>
      <c r="O790" s="204">
        <v>0</v>
      </c>
      <c r="P790" s="204">
        <v>0</v>
      </c>
      <c r="Q790" s="86" t="s">
        <v>23</v>
      </c>
      <c r="R790" s="199">
        <v>130</v>
      </c>
      <c r="S790" s="199">
        <v>90</v>
      </c>
      <c r="T790" s="217" t="s">
        <v>24</v>
      </c>
    </row>
    <row r="791" spans="1:20" ht="13.5" customHeight="1">
      <c r="A791" s="7" t="s">
        <v>22</v>
      </c>
      <c r="B791" s="204">
        <v>84.2</v>
      </c>
      <c r="C791" s="204">
        <v>86.4</v>
      </c>
      <c r="D791" s="204">
        <v>100</v>
      </c>
      <c r="E791" s="204">
        <v>33.299999999999997</v>
      </c>
      <c r="F791" s="204">
        <v>50</v>
      </c>
      <c r="G791" s="204">
        <v>33.299999999999997</v>
      </c>
      <c r="H791" s="204">
        <v>50</v>
      </c>
      <c r="I791" s="204">
        <v>100</v>
      </c>
      <c r="J791" s="204">
        <v>100</v>
      </c>
      <c r="K791" s="204">
        <v>100</v>
      </c>
      <c r="L791" s="204">
        <v>100</v>
      </c>
      <c r="M791" s="204">
        <v>100</v>
      </c>
      <c r="N791" s="204">
        <v>100</v>
      </c>
      <c r="O791" s="204">
        <v>100</v>
      </c>
      <c r="P791" s="204">
        <v>100</v>
      </c>
      <c r="Q791" s="86" t="s">
        <v>23</v>
      </c>
      <c r="R791" s="199">
        <v>65</v>
      </c>
      <c r="S791" s="199">
        <v>72</v>
      </c>
      <c r="T791" s="217" t="s">
        <v>40</v>
      </c>
    </row>
    <row r="792" spans="1:20" ht="13.5" customHeight="1">
      <c r="A792" s="7" t="s">
        <v>42</v>
      </c>
      <c r="B792" s="204">
        <v>45.7</v>
      </c>
      <c r="C792" s="204">
        <v>49</v>
      </c>
      <c r="D792" s="204">
        <v>75</v>
      </c>
      <c r="E792" s="204">
        <v>75</v>
      </c>
      <c r="F792" s="204">
        <v>66.7</v>
      </c>
      <c r="G792" s="204">
        <v>66.7</v>
      </c>
      <c r="H792" s="204">
        <v>50</v>
      </c>
      <c r="I792" s="204">
        <v>63.6</v>
      </c>
      <c r="J792" s="204">
        <v>50</v>
      </c>
      <c r="K792" s="204">
        <v>0</v>
      </c>
      <c r="L792" s="204">
        <v>0</v>
      </c>
      <c r="M792" s="204">
        <v>0</v>
      </c>
      <c r="N792" s="204">
        <v>0</v>
      </c>
      <c r="O792" s="204">
        <v>40</v>
      </c>
      <c r="P792" s="204">
        <v>25</v>
      </c>
      <c r="Q792" s="86" t="s">
        <v>23</v>
      </c>
      <c r="R792" s="199">
        <v>95</v>
      </c>
      <c r="S792" s="199">
        <v>98</v>
      </c>
      <c r="T792" s="217" t="s">
        <v>65</v>
      </c>
    </row>
    <row r="793" spans="1:20" ht="13.5" customHeight="1">
      <c r="A793" s="7" t="s">
        <v>53</v>
      </c>
      <c r="B793" s="204">
        <v>57.7</v>
      </c>
      <c r="C793" s="204">
        <v>38.1</v>
      </c>
      <c r="D793" s="204">
        <v>33.299999999999997</v>
      </c>
      <c r="E793" s="204">
        <v>0</v>
      </c>
      <c r="F793" s="204">
        <v>0</v>
      </c>
      <c r="G793" s="204">
        <v>0</v>
      </c>
      <c r="H793" s="204">
        <v>0</v>
      </c>
      <c r="I793" s="204">
        <v>0</v>
      </c>
      <c r="J793" s="204">
        <v>0</v>
      </c>
      <c r="K793" s="204">
        <v>0</v>
      </c>
      <c r="L793" s="204">
        <v>0</v>
      </c>
      <c r="M793" s="204">
        <v>50</v>
      </c>
      <c r="N793" s="204">
        <v>50</v>
      </c>
      <c r="O793" s="204">
        <v>33.299999999999997</v>
      </c>
      <c r="P793" s="204">
        <v>33.299999999999997</v>
      </c>
      <c r="Q793" s="86" t="s">
        <v>23</v>
      </c>
      <c r="R793" s="199">
        <v>110</v>
      </c>
      <c r="S793" s="199">
        <v>102</v>
      </c>
      <c r="T793" s="217" t="s">
        <v>65</v>
      </c>
    </row>
    <row r="794" spans="1:20" ht="13.5" customHeight="1">
      <c r="A794" s="7" t="s">
        <v>33</v>
      </c>
      <c r="B794" s="204">
        <v>100</v>
      </c>
      <c r="C794" s="204">
        <v>38.799999999999997</v>
      </c>
      <c r="D794" s="204">
        <v>33.299999999999997</v>
      </c>
      <c r="E794" s="204">
        <v>100</v>
      </c>
      <c r="F794" s="204">
        <v>100</v>
      </c>
      <c r="G794" s="204">
        <v>100</v>
      </c>
      <c r="H794" s="204">
        <v>100</v>
      </c>
      <c r="I794" s="204">
        <v>100</v>
      </c>
      <c r="J794" s="204">
        <v>100</v>
      </c>
      <c r="K794" s="204">
        <v>100</v>
      </c>
      <c r="L794" s="204">
        <v>100</v>
      </c>
      <c r="M794" s="204">
        <v>100</v>
      </c>
      <c r="N794" s="204">
        <v>100</v>
      </c>
      <c r="O794" s="204">
        <v>100</v>
      </c>
      <c r="P794" s="204">
        <v>100</v>
      </c>
      <c r="Q794" s="86" t="s">
        <v>45</v>
      </c>
      <c r="R794" s="199">
        <v>90</v>
      </c>
      <c r="S794" s="199">
        <v>96</v>
      </c>
      <c r="T794" s="217" t="s">
        <v>65</v>
      </c>
    </row>
    <row r="795" spans="1:20" ht="13.5" customHeight="1">
      <c r="A795" s="7" t="s">
        <v>36</v>
      </c>
      <c r="B795" s="204">
        <v>67.7</v>
      </c>
      <c r="C795" s="204">
        <v>49</v>
      </c>
      <c r="D795" s="204">
        <v>75</v>
      </c>
      <c r="E795" s="204">
        <v>0</v>
      </c>
      <c r="F795" s="204">
        <v>0</v>
      </c>
      <c r="G795" s="204">
        <v>0</v>
      </c>
      <c r="H795" s="204">
        <v>0</v>
      </c>
      <c r="I795" s="204">
        <v>61.5</v>
      </c>
      <c r="J795" s="204">
        <v>57.1</v>
      </c>
      <c r="K795" s="204">
        <v>50</v>
      </c>
      <c r="L795" s="204">
        <v>50</v>
      </c>
      <c r="M795" s="204">
        <v>50</v>
      </c>
      <c r="N795" s="204">
        <v>50</v>
      </c>
      <c r="O795" s="204">
        <v>33.299999999999997</v>
      </c>
      <c r="P795" s="204">
        <v>0</v>
      </c>
      <c r="Q795" s="86" t="s">
        <v>45</v>
      </c>
      <c r="R795" s="199">
        <v>80</v>
      </c>
      <c r="S795" s="199">
        <v>90</v>
      </c>
      <c r="T795" s="217" t="s">
        <v>28</v>
      </c>
    </row>
    <row r="796" spans="1:20" ht="13.5" customHeight="1">
      <c r="A796" s="7" t="s">
        <v>60</v>
      </c>
      <c r="B796" s="204">
        <v>28.2</v>
      </c>
      <c r="C796" s="204">
        <v>39.1</v>
      </c>
      <c r="D796" s="204">
        <v>0</v>
      </c>
      <c r="E796" s="204">
        <v>25</v>
      </c>
      <c r="F796" s="204">
        <v>0</v>
      </c>
      <c r="G796" s="204">
        <v>25</v>
      </c>
      <c r="H796" s="204">
        <v>0</v>
      </c>
      <c r="I796" s="204">
        <v>25</v>
      </c>
      <c r="J796" s="204">
        <v>25</v>
      </c>
      <c r="K796" s="204">
        <v>0</v>
      </c>
      <c r="L796" s="204">
        <v>0</v>
      </c>
      <c r="M796" s="204">
        <v>50</v>
      </c>
      <c r="N796" s="204">
        <v>33.299999999999997</v>
      </c>
      <c r="O796" s="204">
        <v>75</v>
      </c>
      <c r="P796" s="204">
        <v>66.7</v>
      </c>
      <c r="Q796" s="86" t="s">
        <v>23</v>
      </c>
      <c r="R796" s="199">
        <v>125</v>
      </c>
      <c r="S796" s="199">
        <v>88</v>
      </c>
      <c r="T796" s="217" t="s">
        <v>28</v>
      </c>
    </row>
    <row r="797" spans="1:20" ht="13.5" customHeight="1">
      <c r="A797" s="7" t="s">
        <v>33</v>
      </c>
      <c r="B797" s="204">
        <v>60</v>
      </c>
      <c r="C797" s="204">
        <v>57.9</v>
      </c>
      <c r="D797" s="204">
        <v>75</v>
      </c>
      <c r="E797" s="204">
        <v>50</v>
      </c>
      <c r="F797" s="204">
        <v>25</v>
      </c>
      <c r="G797" s="204">
        <v>50</v>
      </c>
      <c r="H797" s="204">
        <v>25</v>
      </c>
      <c r="I797" s="204">
        <v>37.5</v>
      </c>
      <c r="J797" s="204">
        <v>20</v>
      </c>
      <c r="K797" s="204">
        <v>100</v>
      </c>
      <c r="L797" s="204">
        <v>100</v>
      </c>
      <c r="M797" s="204">
        <v>100</v>
      </c>
      <c r="N797" s="204">
        <v>100</v>
      </c>
      <c r="O797" s="204">
        <v>100</v>
      </c>
      <c r="P797" s="204">
        <v>100</v>
      </c>
      <c r="Q797" s="86" t="s">
        <v>23</v>
      </c>
      <c r="R797" s="199">
        <v>110</v>
      </c>
      <c r="S797" s="199">
        <v>96</v>
      </c>
      <c r="T797" s="217" t="s">
        <v>65</v>
      </c>
    </row>
    <row r="798" spans="1:20" ht="13.5" customHeight="1">
      <c r="A798" s="7" t="s">
        <v>42</v>
      </c>
      <c r="B798" s="204">
        <v>67.7</v>
      </c>
      <c r="C798" s="204">
        <v>50.8</v>
      </c>
      <c r="D798" s="204">
        <v>62.5</v>
      </c>
      <c r="E798" s="204">
        <v>66.7</v>
      </c>
      <c r="F798" s="204">
        <v>80</v>
      </c>
      <c r="G798" s="204">
        <v>60</v>
      </c>
      <c r="H798" s="204">
        <v>60</v>
      </c>
      <c r="I798" s="204">
        <v>61.5</v>
      </c>
      <c r="J798" s="204">
        <v>57.1</v>
      </c>
      <c r="K798" s="204">
        <v>0</v>
      </c>
      <c r="L798" s="204">
        <v>0</v>
      </c>
      <c r="M798" s="204">
        <v>0</v>
      </c>
      <c r="N798" s="204">
        <v>0</v>
      </c>
      <c r="O798" s="204">
        <v>50</v>
      </c>
      <c r="P798" s="204">
        <v>50</v>
      </c>
      <c r="Q798" s="86" t="s">
        <v>23</v>
      </c>
      <c r="R798" s="199">
        <v>95</v>
      </c>
      <c r="S798" s="199">
        <v>98</v>
      </c>
      <c r="T798" s="217" t="s">
        <v>32</v>
      </c>
    </row>
    <row r="799" spans="1:20" ht="13.5" customHeight="1">
      <c r="A799" s="7" t="s">
        <v>64</v>
      </c>
      <c r="B799" s="204">
        <v>34.6</v>
      </c>
      <c r="C799" s="204">
        <v>38.799999999999997</v>
      </c>
      <c r="D799" s="204">
        <v>37.5</v>
      </c>
      <c r="E799" s="204">
        <v>50</v>
      </c>
      <c r="F799" s="204">
        <v>0</v>
      </c>
      <c r="G799" s="204">
        <v>50</v>
      </c>
      <c r="H799" s="204">
        <v>0</v>
      </c>
      <c r="I799" s="204">
        <v>57.1</v>
      </c>
      <c r="J799" s="204">
        <v>50</v>
      </c>
      <c r="K799" s="204">
        <v>33.299999999999997</v>
      </c>
      <c r="L799" s="204">
        <v>33.299999999999997</v>
      </c>
      <c r="M799" s="204">
        <v>33.299999999999997</v>
      </c>
      <c r="N799" s="204">
        <v>33.299999999999997</v>
      </c>
      <c r="O799" s="204">
        <v>33.299999999999997</v>
      </c>
      <c r="P799" s="204">
        <v>33.299999999999997</v>
      </c>
      <c r="Q799" s="86" t="s">
        <v>23</v>
      </c>
      <c r="R799" s="199">
        <v>110</v>
      </c>
      <c r="S799" s="199">
        <v>102</v>
      </c>
      <c r="T799" s="217" t="s">
        <v>65</v>
      </c>
    </row>
    <row r="800" spans="1:20" ht="13.5" customHeight="1">
      <c r="A800" s="7" t="s">
        <v>31</v>
      </c>
      <c r="B800" s="204">
        <v>55.6</v>
      </c>
      <c r="C800" s="204">
        <v>50.8</v>
      </c>
      <c r="D800" s="204">
        <v>20</v>
      </c>
      <c r="E800" s="204">
        <v>50</v>
      </c>
      <c r="F800" s="204">
        <v>100</v>
      </c>
      <c r="G800" s="204">
        <v>33.299999999999997</v>
      </c>
      <c r="H800" s="204">
        <v>50</v>
      </c>
      <c r="I800" s="204">
        <v>66.7</v>
      </c>
      <c r="J800" s="204">
        <v>50</v>
      </c>
      <c r="K800" s="204">
        <v>50</v>
      </c>
      <c r="L800" s="204">
        <v>50</v>
      </c>
      <c r="M800" s="204">
        <v>100</v>
      </c>
      <c r="N800" s="204">
        <v>100</v>
      </c>
      <c r="O800" s="204">
        <v>50</v>
      </c>
      <c r="P800" s="204">
        <v>50</v>
      </c>
      <c r="Q800" s="86" t="s">
        <v>45</v>
      </c>
      <c r="R800" s="199">
        <v>80</v>
      </c>
      <c r="S800" s="218">
        <v>85</v>
      </c>
      <c r="T800" s="217" t="s">
        <v>28</v>
      </c>
    </row>
    <row r="801" spans="1:20" ht="13.5" customHeight="1">
      <c r="A801" s="7" t="s">
        <v>22</v>
      </c>
      <c r="B801" s="204">
        <v>66.7</v>
      </c>
      <c r="C801" s="204">
        <v>68</v>
      </c>
      <c r="D801" s="204">
        <v>60</v>
      </c>
      <c r="E801" s="204">
        <v>75</v>
      </c>
      <c r="F801" s="204">
        <v>100</v>
      </c>
      <c r="G801" s="204">
        <v>66.7</v>
      </c>
      <c r="H801" s="204">
        <v>66.7</v>
      </c>
      <c r="I801" s="204">
        <v>64.7</v>
      </c>
      <c r="J801" s="204">
        <v>62.5</v>
      </c>
      <c r="K801" s="204">
        <v>75</v>
      </c>
      <c r="L801" s="204">
        <v>75</v>
      </c>
      <c r="M801" s="204">
        <v>75</v>
      </c>
      <c r="N801" s="204">
        <v>75</v>
      </c>
      <c r="O801" s="204">
        <v>100</v>
      </c>
      <c r="P801" s="204">
        <v>100</v>
      </c>
      <c r="Q801" s="86" t="s">
        <v>23</v>
      </c>
      <c r="R801" s="199">
        <v>95</v>
      </c>
      <c r="S801" s="199">
        <v>95</v>
      </c>
      <c r="T801" s="217" t="s">
        <v>24</v>
      </c>
    </row>
    <row r="802" spans="1:20" ht="13.5" customHeight="1">
      <c r="A802" s="7" t="s">
        <v>47</v>
      </c>
      <c r="B802" s="204">
        <v>59.1</v>
      </c>
      <c r="C802" s="204">
        <v>57.9</v>
      </c>
      <c r="D802" s="204">
        <v>69.599999999999994</v>
      </c>
      <c r="E802" s="204">
        <v>33.299999999999997</v>
      </c>
      <c r="F802" s="204">
        <v>33.299999999999997</v>
      </c>
      <c r="G802" s="204">
        <v>50</v>
      </c>
      <c r="H802" s="204">
        <v>50</v>
      </c>
      <c r="I802" s="204">
        <v>33.299999999999997</v>
      </c>
      <c r="J802" s="204">
        <v>33.299999999999997</v>
      </c>
      <c r="K802" s="204">
        <v>50</v>
      </c>
      <c r="L802" s="204">
        <v>50</v>
      </c>
      <c r="M802" s="204">
        <v>0</v>
      </c>
      <c r="N802" s="204">
        <v>0</v>
      </c>
      <c r="O802" s="204">
        <v>50</v>
      </c>
      <c r="P802" s="204">
        <v>50</v>
      </c>
      <c r="Q802" s="86" t="s">
        <v>23</v>
      </c>
      <c r="R802" s="199">
        <v>125</v>
      </c>
      <c r="S802" s="199">
        <v>102</v>
      </c>
      <c r="T802" s="217" t="s">
        <v>65</v>
      </c>
    </row>
    <row r="803" spans="1:20" ht="13.5" customHeight="1">
      <c r="A803" s="7" t="s">
        <v>42</v>
      </c>
      <c r="B803" s="204">
        <v>73.3</v>
      </c>
      <c r="C803" s="204">
        <v>68</v>
      </c>
      <c r="D803" s="204">
        <v>83.3</v>
      </c>
      <c r="E803" s="204">
        <v>60</v>
      </c>
      <c r="F803" s="204">
        <v>50</v>
      </c>
      <c r="G803" s="204">
        <v>60</v>
      </c>
      <c r="H803" s="204">
        <v>50</v>
      </c>
      <c r="I803" s="204">
        <v>64.7</v>
      </c>
      <c r="J803" s="204">
        <v>62.5</v>
      </c>
      <c r="K803" s="204">
        <v>0</v>
      </c>
      <c r="L803" s="204">
        <v>0</v>
      </c>
      <c r="M803" s="204">
        <v>0</v>
      </c>
      <c r="N803" s="204">
        <v>0</v>
      </c>
      <c r="O803" s="204">
        <v>40</v>
      </c>
      <c r="P803" s="204">
        <v>0</v>
      </c>
      <c r="Q803" s="86" t="s">
        <v>23</v>
      </c>
      <c r="R803" s="199">
        <v>80</v>
      </c>
      <c r="S803" s="199">
        <v>106</v>
      </c>
      <c r="T803" s="217" t="s">
        <v>35</v>
      </c>
    </row>
    <row r="804" spans="1:20" ht="13.5" customHeight="1">
      <c r="A804" s="7" t="s">
        <v>31</v>
      </c>
      <c r="B804" s="204">
        <v>28.2</v>
      </c>
      <c r="C804" s="204">
        <v>49.4</v>
      </c>
      <c r="D804" s="204">
        <v>66.7</v>
      </c>
      <c r="E804" s="204">
        <v>33.299999999999997</v>
      </c>
      <c r="F804" s="204">
        <v>33.299999999999997</v>
      </c>
      <c r="G804" s="204">
        <v>50</v>
      </c>
      <c r="H804" s="204">
        <v>50</v>
      </c>
      <c r="I804" s="204">
        <v>14.3</v>
      </c>
      <c r="J804" s="204">
        <v>20</v>
      </c>
      <c r="K804" s="204">
        <v>100</v>
      </c>
      <c r="L804" s="204">
        <v>100</v>
      </c>
      <c r="M804" s="204">
        <v>100</v>
      </c>
      <c r="N804" s="204">
        <v>100</v>
      </c>
      <c r="O804" s="204">
        <v>66.7</v>
      </c>
      <c r="P804" s="204">
        <v>66.7</v>
      </c>
      <c r="Q804" s="86" t="s">
        <v>23</v>
      </c>
      <c r="R804" s="199">
        <v>115</v>
      </c>
      <c r="S804" s="199">
        <v>88</v>
      </c>
      <c r="T804" s="217" t="s">
        <v>28</v>
      </c>
    </row>
    <row r="805" spans="1:20" ht="13.5" customHeight="1">
      <c r="A805" s="7" t="s">
        <v>31</v>
      </c>
      <c r="B805" s="204">
        <v>62.5</v>
      </c>
      <c r="C805" s="204">
        <v>63.6</v>
      </c>
      <c r="D805" s="204">
        <v>50</v>
      </c>
      <c r="E805" s="204">
        <v>60</v>
      </c>
      <c r="F805" s="204">
        <v>50</v>
      </c>
      <c r="G805" s="204">
        <v>50</v>
      </c>
      <c r="H805" s="204">
        <v>50</v>
      </c>
      <c r="I805" s="204">
        <v>40</v>
      </c>
      <c r="J805" s="204">
        <v>50</v>
      </c>
      <c r="K805" s="204">
        <v>100</v>
      </c>
      <c r="L805" s="204">
        <v>100</v>
      </c>
      <c r="M805" s="204">
        <v>100</v>
      </c>
      <c r="N805" s="204">
        <v>100</v>
      </c>
      <c r="O805" s="204">
        <v>100</v>
      </c>
      <c r="P805" s="204">
        <v>100</v>
      </c>
      <c r="Q805" s="86" t="s">
        <v>23</v>
      </c>
      <c r="R805" s="199">
        <v>60</v>
      </c>
      <c r="S805" s="199">
        <v>110</v>
      </c>
      <c r="T805" s="217" t="s">
        <v>35</v>
      </c>
    </row>
    <row r="806" spans="1:20" ht="13.5" customHeight="1">
      <c r="A806" s="7" t="s">
        <v>31</v>
      </c>
      <c r="B806" s="204">
        <v>29.3</v>
      </c>
      <c r="C806" s="204">
        <v>49.4</v>
      </c>
      <c r="D806" s="204">
        <v>77.8</v>
      </c>
      <c r="E806" s="204">
        <v>50</v>
      </c>
      <c r="F806" s="204">
        <v>66.7</v>
      </c>
      <c r="G806" s="204">
        <v>33.299999999999997</v>
      </c>
      <c r="H806" s="204">
        <v>50</v>
      </c>
      <c r="I806" s="204">
        <v>40</v>
      </c>
      <c r="J806" s="204">
        <v>50</v>
      </c>
      <c r="K806" s="204">
        <v>50</v>
      </c>
      <c r="L806" s="204">
        <v>50</v>
      </c>
      <c r="M806" s="204">
        <v>100</v>
      </c>
      <c r="N806" s="204">
        <v>100</v>
      </c>
      <c r="O806" s="204">
        <v>40</v>
      </c>
      <c r="P806" s="204">
        <v>40</v>
      </c>
      <c r="Q806" s="86" t="s">
        <v>26</v>
      </c>
      <c r="R806" s="199">
        <v>105</v>
      </c>
      <c r="S806" s="199">
        <v>98</v>
      </c>
      <c r="T806" s="217" t="s">
        <v>65</v>
      </c>
    </row>
    <row r="807" spans="1:20" ht="13.5" customHeight="1">
      <c r="A807" s="7" t="s">
        <v>31</v>
      </c>
      <c r="B807" s="204">
        <v>66.7</v>
      </c>
      <c r="C807" s="204">
        <v>59.6</v>
      </c>
      <c r="D807" s="204">
        <v>60</v>
      </c>
      <c r="E807" s="204">
        <v>50</v>
      </c>
      <c r="F807" s="204">
        <v>33.299999999999997</v>
      </c>
      <c r="G807" s="204">
        <v>40</v>
      </c>
      <c r="H807" s="204">
        <v>50</v>
      </c>
      <c r="I807" s="204">
        <v>45</v>
      </c>
      <c r="J807" s="204">
        <v>41.7</v>
      </c>
      <c r="K807" s="204">
        <v>100</v>
      </c>
      <c r="L807" s="204">
        <v>100</v>
      </c>
      <c r="M807" s="204">
        <v>100</v>
      </c>
      <c r="N807" s="204">
        <v>100</v>
      </c>
      <c r="O807" s="204">
        <v>100</v>
      </c>
      <c r="P807" s="204">
        <v>100</v>
      </c>
      <c r="Q807" s="86" t="s">
        <v>23</v>
      </c>
      <c r="R807" s="199">
        <v>95</v>
      </c>
      <c r="S807" s="199">
        <v>98</v>
      </c>
      <c r="T807" s="217" t="s">
        <v>32</v>
      </c>
    </row>
    <row r="808" spans="1:20" ht="13.5" customHeight="1">
      <c r="A808" s="7" t="s">
        <v>25</v>
      </c>
      <c r="B808" s="204">
        <v>28.2</v>
      </c>
      <c r="C808" s="204">
        <v>49</v>
      </c>
      <c r="D808" s="204">
        <v>41.7</v>
      </c>
      <c r="E808" s="204">
        <v>50</v>
      </c>
      <c r="F808" s="204">
        <v>66.7</v>
      </c>
      <c r="G808" s="204">
        <v>33.299999999999997</v>
      </c>
      <c r="H808" s="204">
        <v>50</v>
      </c>
      <c r="I808" s="204">
        <v>40</v>
      </c>
      <c r="J808" s="204">
        <v>50</v>
      </c>
      <c r="K808" s="204">
        <v>66.7</v>
      </c>
      <c r="L808" s="204">
        <v>66.7</v>
      </c>
      <c r="M808" s="204">
        <v>50</v>
      </c>
      <c r="N808" s="204">
        <v>50</v>
      </c>
      <c r="O808" s="204">
        <v>25</v>
      </c>
      <c r="P808" s="204">
        <v>25</v>
      </c>
      <c r="Q808" s="86" t="s">
        <v>23</v>
      </c>
      <c r="R808" s="199">
        <v>125</v>
      </c>
      <c r="S808" s="199">
        <v>105</v>
      </c>
      <c r="T808" s="217" t="s">
        <v>48</v>
      </c>
    </row>
    <row r="809" spans="1:20" ht="13.5" customHeight="1">
      <c r="A809" s="7" t="s">
        <v>44</v>
      </c>
      <c r="B809" s="204">
        <v>54.8</v>
      </c>
      <c r="C809" s="204">
        <v>74.400000000000006</v>
      </c>
      <c r="D809" s="204">
        <v>71.400000000000006</v>
      </c>
      <c r="E809" s="204">
        <v>42.9</v>
      </c>
      <c r="F809" s="204">
        <v>66.7</v>
      </c>
      <c r="G809" s="204">
        <v>50</v>
      </c>
      <c r="H809" s="204">
        <v>66.7</v>
      </c>
      <c r="I809" s="204">
        <v>45</v>
      </c>
      <c r="J809" s="204">
        <v>41.7</v>
      </c>
      <c r="K809" s="204">
        <v>100</v>
      </c>
      <c r="L809" s="204">
        <v>100</v>
      </c>
      <c r="M809" s="204">
        <v>100</v>
      </c>
      <c r="N809" s="204">
        <v>100</v>
      </c>
      <c r="O809" s="204">
        <v>100</v>
      </c>
      <c r="P809" s="204">
        <v>100</v>
      </c>
      <c r="Q809" s="86" t="s">
        <v>23</v>
      </c>
      <c r="R809" s="199">
        <v>105</v>
      </c>
      <c r="S809" s="199">
        <v>100</v>
      </c>
      <c r="T809" s="217" t="s">
        <v>65</v>
      </c>
    </row>
    <row r="810" spans="1:20" ht="13.5" customHeight="1">
      <c r="A810" s="7" t="s">
        <v>60</v>
      </c>
      <c r="B810" s="204">
        <v>54.8</v>
      </c>
      <c r="C810" s="204">
        <v>38.1</v>
      </c>
      <c r="D810" s="204">
        <v>0</v>
      </c>
      <c r="E810" s="204">
        <v>37.5</v>
      </c>
      <c r="F810" s="204">
        <v>33.299999999999997</v>
      </c>
      <c r="G810" s="204">
        <v>37.5</v>
      </c>
      <c r="H810" s="204">
        <v>33.299999999999997</v>
      </c>
      <c r="I810" s="204">
        <v>45</v>
      </c>
      <c r="J810" s="204">
        <v>41.7</v>
      </c>
      <c r="K810" s="204">
        <v>66.7</v>
      </c>
      <c r="L810" s="204">
        <v>50</v>
      </c>
      <c r="M810" s="204">
        <v>66.7</v>
      </c>
      <c r="N810" s="204">
        <v>50</v>
      </c>
      <c r="O810" s="204">
        <v>40</v>
      </c>
      <c r="P810" s="204">
        <v>33.299999999999997</v>
      </c>
      <c r="Q810" s="86" t="s">
        <v>23</v>
      </c>
      <c r="R810" s="199">
        <v>100</v>
      </c>
      <c r="S810" s="199">
        <v>110</v>
      </c>
      <c r="T810" s="217" t="s">
        <v>35</v>
      </c>
    </row>
    <row r="811" spans="1:20" ht="13.5" customHeight="1">
      <c r="A811" s="7" t="s">
        <v>47</v>
      </c>
      <c r="B811" s="204">
        <v>28.2</v>
      </c>
      <c r="C811" s="204">
        <v>39.1</v>
      </c>
      <c r="D811" s="204">
        <v>0</v>
      </c>
      <c r="E811" s="204">
        <v>33.299999999999997</v>
      </c>
      <c r="F811" s="204">
        <v>33.299999999999997</v>
      </c>
      <c r="G811" s="204">
        <v>50</v>
      </c>
      <c r="H811" s="204">
        <v>50</v>
      </c>
      <c r="I811" s="204">
        <v>33.299999999999997</v>
      </c>
      <c r="J811" s="204">
        <v>33.299999999999997</v>
      </c>
      <c r="K811" s="204">
        <v>0</v>
      </c>
      <c r="L811" s="204">
        <v>0</v>
      </c>
      <c r="M811" s="204">
        <v>0</v>
      </c>
      <c r="N811" s="204">
        <v>0</v>
      </c>
      <c r="O811" s="204">
        <v>40</v>
      </c>
      <c r="P811" s="204">
        <v>40</v>
      </c>
      <c r="Q811" s="86" t="s">
        <v>23</v>
      </c>
      <c r="R811" s="199">
        <v>105</v>
      </c>
      <c r="S811" s="199">
        <v>95</v>
      </c>
      <c r="T811" s="217" t="s">
        <v>24</v>
      </c>
    </row>
    <row r="812" spans="1:20" ht="13.5" customHeight="1">
      <c r="A812" s="7" t="s">
        <v>36</v>
      </c>
      <c r="B812" s="204">
        <v>29.3</v>
      </c>
      <c r="C812" s="204">
        <v>36.9</v>
      </c>
      <c r="D812" s="204">
        <v>36.4</v>
      </c>
      <c r="E812" s="204">
        <v>0</v>
      </c>
      <c r="F812" s="204">
        <v>0</v>
      </c>
      <c r="G812" s="204">
        <v>0</v>
      </c>
      <c r="H812" s="204">
        <v>0</v>
      </c>
      <c r="I812" s="204">
        <v>33.299999999999997</v>
      </c>
      <c r="J812" s="204">
        <v>33.299999999999997</v>
      </c>
      <c r="K812" s="204">
        <v>0</v>
      </c>
      <c r="L812" s="204">
        <v>0</v>
      </c>
      <c r="M812" s="204">
        <v>50</v>
      </c>
      <c r="N812" s="204">
        <v>50</v>
      </c>
      <c r="O812" s="204">
        <v>60</v>
      </c>
      <c r="P812" s="204">
        <v>60</v>
      </c>
      <c r="Q812" s="86" t="s">
        <v>45</v>
      </c>
      <c r="R812" s="199">
        <v>85</v>
      </c>
      <c r="S812" s="199">
        <v>100</v>
      </c>
      <c r="T812" s="217" t="s">
        <v>65</v>
      </c>
    </row>
    <row r="813" spans="1:20" ht="13.5" customHeight="1">
      <c r="A813" s="7" t="s">
        <v>47</v>
      </c>
      <c r="B813" s="204">
        <v>29.3</v>
      </c>
      <c r="C813" s="204">
        <v>36.9</v>
      </c>
      <c r="D813" s="204">
        <v>36.4</v>
      </c>
      <c r="E813" s="204">
        <v>60</v>
      </c>
      <c r="F813" s="204">
        <v>0</v>
      </c>
      <c r="G813" s="204">
        <v>50</v>
      </c>
      <c r="H813" s="204">
        <v>0</v>
      </c>
      <c r="I813" s="204">
        <v>60</v>
      </c>
      <c r="J813" s="204">
        <v>66.7</v>
      </c>
      <c r="K813" s="204">
        <v>0</v>
      </c>
      <c r="L813" s="204">
        <v>0</v>
      </c>
      <c r="M813" s="204">
        <v>0</v>
      </c>
      <c r="N813" s="204">
        <v>0</v>
      </c>
      <c r="O813" s="204">
        <v>0</v>
      </c>
      <c r="P813" s="204">
        <v>0</v>
      </c>
      <c r="Q813" s="86" t="s">
        <v>45</v>
      </c>
      <c r="R813" s="199">
        <v>80</v>
      </c>
      <c r="S813" s="199">
        <v>94</v>
      </c>
      <c r="T813" s="217" t="s">
        <v>24</v>
      </c>
    </row>
    <row r="814" spans="1:20" ht="13.5" customHeight="1">
      <c r="A814" s="7" t="s">
        <v>31</v>
      </c>
      <c r="B814" s="204">
        <v>28.2</v>
      </c>
      <c r="C814" s="204">
        <v>55.6</v>
      </c>
      <c r="D814" s="204">
        <v>30</v>
      </c>
      <c r="E814" s="204">
        <v>40</v>
      </c>
      <c r="F814" s="204">
        <v>50</v>
      </c>
      <c r="G814" s="204">
        <v>25</v>
      </c>
      <c r="H814" s="204">
        <v>33.299999999999997</v>
      </c>
      <c r="I814" s="204">
        <v>40</v>
      </c>
      <c r="J814" s="204">
        <v>50</v>
      </c>
      <c r="K814" s="204">
        <v>100</v>
      </c>
      <c r="L814" s="204">
        <v>100</v>
      </c>
      <c r="M814" s="204">
        <v>66.7</v>
      </c>
      <c r="N814" s="204">
        <v>50</v>
      </c>
      <c r="O814" s="204">
        <v>42.9</v>
      </c>
      <c r="P814" s="204">
        <v>60</v>
      </c>
      <c r="Q814" s="86" t="s">
        <v>23</v>
      </c>
      <c r="R814" s="199">
        <v>120</v>
      </c>
      <c r="S814" s="199">
        <v>105</v>
      </c>
      <c r="T814" s="217" t="s">
        <v>35</v>
      </c>
    </row>
    <row r="815" spans="1:20" ht="13.5" customHeight="1">
      <c r="A815" s="7" t="s">
        <v>44</v>
      </c>
      <c r="B815" s="204">
        <v>51.7</v>
      </c>
      <c r="C815" s="204">
        <v>57.9</v>
      </c>
      <c r="D815" s="204">
        <v>60</v>
      </c>
      <c r="E815" s="204">
        <v>66.7</v>
      </c>
      <c r="F815" s="204">
        <v>100</v>
      </c>
      <c r="G815" s="204">
        <v>80</v>
      </c>
      <c r="H815" s="204">
        <v>100</v>
      </c>
      <c r="I815" s="204">
        <v>60</v>
      </c>
      <c r="J815" s="204">
        <v>66.7</v>
      </c>
      <c r="K815" s="204">
        <v>100</v>
      </c>
      <c r="L815" s="204">
        <v>100</v>
      </c>
      <c r="M815" s="204">
        <v>50</v>
      </c>
      <c r="N815" s="204">
        <v>50</v>
      </c>
      <c r="O815" s="204">
        <v>60</v>
      </c>
      <c r="P815" s="204">
        <v>60</v>
      </c>
      <c r="Q815" s="86" t="s">
        <v>23</v>
      </c>
      <c r="R815" s="199">
        <v>115</v>
      </c>
      <c r="S815" s="199">
        <v>108</v>
      </c>
      <c r="T815" s="217" t="s">
        <v>35</v>
      </c>
    </row>
    <row r="816" spans="1:20" ht="13.5" customHeight="1">
      <c r="A816" s="7" t="s">
        <v>31</v>
      </c>
      <c r="B816" s="204">
        <v>28.2</v>
      </c>
      <c r="C816" s="204">
        <v>50.8</v>
      </c>
      <c r="D816" s="204">
        <v>42.9</v>
      </c>
      <c r="E816" s="204">
        <v>66.7</v>
      </c>
      <c r="F816" s="204">
        <v>100</v>
      </c>
      <c r="G816" s="204">
        <v>66.7</v>
      </c>
      <c r="H816" s="204">
        <v>100</v>
      </c>
      <c r="I816" s="204">
        <v>60</v>
      </c>
      <c r="J816" s="204">
        <v>66.7</v>
      </c>
      <c r="K816" s="204">
        <v>50</v>
      </c>
      <c r="L816" s="204">
        <v>50</v>
      </c>
      <c r="M816" s="204">
        <v>50</v>
      </c>
      <c r="N816" s="204">
        <v>50</v>
      </c>
      <c r="O816" s="204">
        <v>42.9</v>
      </c>
      <c r="P816" s="204">
        <v>60</v>
      </c>
      <c r="Q816" s="86" t="s">
        <v>23</v>
      </c>
      <c r="R816" s="199">
        <v>95</v>
      </c>
      <c r="S816" s="199">
        <v>100</v>
      </c>
      <c r="T816" s="217" t="s">
        <v>48</v>
      </c>
    </row>
    <row r="817" spans="1:20" ht="13.5" customHeight="1">
      <c r="A817" s="7" t="s">
        <v>53</v>
      </c>
      <c r="B817" s="204">
        <v>28.2</v>
      </c>
      <c r="C817" s="204">
        <v>36.9</v>
      </c>
      <c r="D817" s="204">
        <v>22.2</v>
      </c>
      <c r="E817" s="204">
        <v>0</v>
      </c>
      <c r="F817" s="204">
        <v>0</v>
      </c>
      <c r="G817" s="204">
        <v>50</v>
      </c>
      <c r="H817" s="204">
        <v>50</v>
      </c>
      <c r="I817" s="204">
        <v>40</v>
      </c>
      <c r="J817" s="204">
        <v>50</v>
      </c>
      <c r="K817" s="204">
        <v>0</v>
      </c>
      <c r="L817" s="204">
        <v>0</v>
      </c>
      <c r="M817" s="204">
        <v>0</v>
      </c>
      <c r="N817" s="204">
        <v>0</v>
      </c>
      <c r="O817" s="204">
        <v>60</v>
      </c>
      <c r="P817" s="204">
        <v>60</v>
      </c>
      <c r="Q817" s="86" t="s">
        <v>23</v>
      </c>
      <c r="R817" s="199">
        <v>110</v>
      </c>
      <c r="S817" s="199">
        <v>115</v>
      </c>
      <c r="T817" s="217" t="s">
        <v>35</v>
      </c>
    </row>
    <row r="818" spans="1:20" ht="13.5" customHeight="1">
      <c r="A818" s="7" t="s">
        <v>47</v>
      </c>
      <c r="B818" s="204">
        <v>55.6</v>
      </c>
      <c r="C818" s="204">
        <v>50.8</v>
      </c>
      <c r="D818" s="204">
        <v>20</v>
      </c>
      <c r="E818" s="204">
        <v>33.299999999999997</v>
      </c>
      <c r="F818" s="204">
        <v>33.299999999999997</v>
      </c>
      <c r="G818" s="204">
        <v>33.299999999999997</v>
      </c>
      <c r="H818" s="204">
        <v>33.299999999999997</v>
      </c>
      <c r="I818" s="204">
        <v>33.299999999999997</v>
      </c>
      <c r="J818" s="204">
        <v>33.299999999999997</v>
      </c>
      <c r="K818" s="204">
        <v>0</v>
      </c>
      <c r="L818" s="204">
        <v>0</v>
      </c>
      <c r="M818" s="204">
        <v>0</v>
      </c>
      <c r="N818" s="204">
        <v>0</v>
      </c>
      <c r="O818" s="204">
        <v>33.299999999999997</v>
      </c>
      <c r="P818" s="204">
        <v>33.299999999999997</v>
      </c>
      <c r="Q818" s="86" t="s">
        <v>26</v>
      </c>
      <c r="R818" s="199">
        <v>100</v>
      </c>
      <c r="S818" s="199">
        <v>95</v>
      </c>
      <c r="T818" s="217" t="s">
        <v>24</v>
      </c>
    </row>
    <row r="819" spans="1:20" ht="13.5" customHeight="1">
      <c r="A819" s="7" t="s">
        <v>36</v>
      </c>
      <c r="B819" s="204">
        <v>55.6</v>
      </c>
      <c r="C819" s="204">
        <v>57.9</v>
      </c>
      <c r="D819" s="204">
        <v>80</v>
      </c>
      <c r="E819" s="204">
        <v>50</v>
      </c>
      <c r="F819" s="204">
        <v>50</v>
      </c>
      <c r="G819" s="204">
        <v>50</v>
      </c>
      <c r="H819" s="204">
        <v>50</v>
      </c>
      <c r="I819" s="204">
        <v>40</v>
      </c>
      <c r="J819" s="204">
        <v>25</v>
      </c>
      <c r="K819" s="204">
        <v>33.299999999999997</v>
      </c>
      <c r="L819" s="204">
        <v>33.299999999999997</v>
      </c>
      <c r="M819" s="204">
        <v>0</v>
      </c>
      <c r="N819" s="204">
        <v>0</v>
      </c>
      <c r="O819" s="204">
        <v>0</v>
      </c>
      <c r="P819" s="204">
        <v>0</v>
      </c>
      <c r="Q819" s="86" t="s">
        <v>45</v>
      </c>
      <c r="R819" s="199">
        <v>80</v>
      </c>
      <c r="S819" s="199">
        <v>80</v>
      </c>
      <c r="T819" s="217" t="s">
        <v>46</v>
      </c>
    </row>
    <row r="820" spans="1:20" ht="13.5" customHeight="1">
      <c r="A820" s="7" t="s">
        <v>36</v>
      </c>
      <c r="B820" s="204">
        <v>28.6</v>
      </c>
      <c r="C820" s="204">
        <v>36.9</v>
      </c>
      <c r="D820" s="204">
        <v>30</v>
      </c>
      <c r="E820" s="204">
        <v>0</v>
      </c>
      <c r="F820" s="204">
        <v>0</v>
      </c>
      <c r="G820" s="204">
        <v>0</v>
      </c>
      <c r="H820" s="204">
        <v>0</v>
      </c>
      <c r="I820" s="204">
        <v>0</v>
      </c>
      <c r="J820" s="204">
        <v>0</v>
      </c>
      <c r="K820" s="204">
        <v>0</v>
      </c>
      <c r="L820" s="204">
        <v>0</v>
      </c>
      <c r="M820" s="204">
        <v>0</v>
      </c>
      <c r="N820" s="204">
        <v>0</v>
      </c>
      <c r="O820" s="204">
        <v>0</v>
      </c>
      <c r="P820" s="204">
        <v>0</v>
      </c>
      <c r="Q820" s="86" t="s">
        <v>23</v>
      </c>
      <c r="R820" s="199">
        <v>130</v>
      </c>
      <c r="S820" s="199">
        <v>106</v>
      </c>
      <c r="T820" s="217" t="s">
        <v>35</v>
      </c>
    </row>
    <row r="821" spans="1:20" ht="13.5" customHeight="1">
      <c r="A821" s="7" t="s">
        <v>42</v>
      </c>
      <c r="B821" s="204">
        <v>59.1</v>
      </c>
      <c r="C821" s="204">
        <v>55.6</v>
      </c>
      <c r="D821" s="204">
        <v>50</v>
      </c>
      <c r="E821" s="204">
        <v>25</v>
      </c>
      <c r="F821" s="204">
        <v>33.299999999999997</v>
      </c>
      <c r="G821" s="204">
        <v>0</v>
      </c>
      <c r="H821" s="204">
        <v>0</v>
      </c>
      <c r="I821" s="204">
        <v>40</v>
      </c>
      <c r="J821" s="204">
        <v>25</v>
      </c>
      <c r="K821" s="204">
        <v>0</v>
      </c>
      <c r="L821" s="204">
        <v>0</v>
      </c>
      <c r="M821" s="204">
        <v>50</v>
      </c>
      <c r="N821" s="204">
        <v>50</v>
      </c>
      <c r="O821" s="204">
        <v>0</v>
      </c>
      <c r="P821" s="204">
        <v>0</v>
      </c>
      <c r="Q821" s="86" t="s">
        <v>23</v>
      </c>
      <c r="R821" s="199">
        <v>115</v>
      </c>
      <c r="S821" s="199">
        <v>85</v>
      </c>
      <c r="T821" s="217" t="s">
        <v>27</v>
      </c>
    </row>
    <row r="822" spans="1:20" ht="13.5" customHeight="1">
      <c r="A822" s="7" t="s">
        <v>60</v>
      </c>
      <c r="B822" s="204">
        <v>34.6</v>
      </c>
      <c r="C822" s="204">
        <v>38.1</v>
      </c>
      <c r="D822" s="204">
        <v>57.1</v>
      </c>
      <c r="E822" s="204">
        <v>33.299999999999997</v>
      </c>
      <c r="F822" s="204">
        <v>33.299999999999997</v>
      </c>
      <c r="G822" s="204">
        <v>33.299999999999997</v>
      </c>
      <c r="H822" s="204">
        <v>33.299999999999997</v>
      </c>
      <c r="I822" s="204">
        <v>33.299999999999997</v>
      </c>
      <c r="J822" s="204">
        <v>33.299999999999997</v>
      </c>
      <c r="K822" s="204">
        <v>0</v>
      </c>
      <c r="L822" s="204">
        <v>0</v>
      </c>
      <c r="M822" s="204">
        <v>0</v>
      </c>
      <c r="N822" s="204">
        <v>0</v>
      </c>
      <c r="O822" s="204">
        <v>0</v>
      </c>
      <c r="P822" s="204">
        <v>0</v>
      </c>
      <c r="Q822" s="86" t="s">
        <v>23</v>
      </c>
      <c r="R822" s="199">
        <v>105</v>
      </c>
      <c r="S822" s="199">
        <v>95</v>
      </c>
      <c r="T822" s="217" t="s">
        <v>28</v>
      </c>
    </row>
    <row r="823" spans="1:20" ht="13.5" customHeight="1">
      <c r="A823" s="7" t="s">
        <v>66</v>
      </c>
      <c r="B823" s="204">
        <v>34.6</v>
      </c>
      <c r="C823" s="204">
        <v>73.3</v>
      </c>
      <c r="D823" s="204">
        <v>44.4</v>
      </c>
      <c r="E823" s="204">
        <v>25</v>
      </c>
      <c r="F823" s="204">
        <v>33.299999999999997</v>
      </c>
      <c r="G823" s="204">
        <v>0</v>
      </c>
      <c r="H823" s="204">
        <v>0</v>
      </c>
      <c r="I823" s="204">
        <v>40</v>
      </c>
      <c r="J823" s="204">
        <v>25</v>
      </c>
      <c r="K823" s="204">
        <v>0</v>
      </c>
      <c r="L823" s="204">
        <v>0</v>
      </c>
      <c r="M823" s="204">
        <v>0</v>
      </c>
      <c r="N823" s="204">
        <v>0</v>
      </c>
      <c r="O823" s="204">
        <v>33.299999999999997</v>
      </c>
      <c r="P823" s="204">
        <v>33.299999999999997</v>
      </c>
      <c r="Q823" s="86" t="s">
        <v>23</v>
      </c>
      <c r="R823" s="199">
        <v>100</v>
      </c>
      <c r="S823" s="199">
        <v>105</v>
      </c>
      <c r="T823" s="217" t="s">
        <v>35</v>
      </c>
    </row>
    <row r="824" spans="1:20" ht="13.5" customHeight="1">
      <c r="A824" s="7" t="s">
        <v>36</v>
      </c>
      <c r="B824" s="204">
        <v>28.2</v>
      </c>
      <c r="C824" s="204">
        <v>38.799999999999997</v>
      </c>
      <c r="D824" s="204">
        <v>14.3</v>
      </c>
      <c r="E824" s="204">
        <v>0</v>
      </c>
      <c r="F824" s="204">
        <v>0</v>
      </c>
      <c r="G824" s="204">
        <v>0</v>
      </c>
      <c r="H824" s="204">
        <v>0</v>
      </c>
      <c r="I824" s="204">
        <v>14.3</v>
      </c>
      <c r="J824" s="204">
        <v>20</v>
      </c>
      <c r="K824" s="204">
        <v>66.7</v>
      </c>
      <c r="L824" s="204">
        <v>0</v>
      </c>
      <c r="M824" s="204">
        <v>0</v>
      </c>
      <c r="N824" s="204">
        <v>0</v>
      </c>
      <c r="O824" s="204">
        <v>50</v>
      </c>
      <c r="P824" s="204">
        <v>0</v>
      </c>
      <c r="Q824" s="86" t="s">
        <v>63</v>
      </c>
      <c r="R824" s="199">
        <v>80</v>
      </c>
      <c r="S824" s="199">
        <v>80</v>
      </c>
      <c r="T824" s="217" t="s">
        <v>46</v>
      </c>
    </row>
    <row r="825" spans="1:20" ht="13.5" customHeight="1">
      <c r="A825" s="7" t="s">
        <v>31</v>
      </c>
      <c r="B825" s="204">
        <v>45.2</v>
      </c>
      <c r="C825" s="204">
        <v>38.1</v>
      </c>
      <c r="D825" s="204">
        <v>28.6</v>
      </c>
      <c r="E825" s="204">
        <v>100</v>
      </c>
      <c r="F825" s="204">
        <v>100</v>
      </c>
      <c r="G825" s="204">
        <v>100</v>
      </c>
      <c r="H825" s="204">
        <v>100</v>
      </c>
      <c r="I825" s="204">
        <v>100</v>
      </c>
      <c r="J825" s="204">
        <v>100</v>
      </c>
      <c r="K825" s="204">
        <v>100</v>
      </c>
      <c r="L825" s="204">
        <v>100</v>
      </c>
      <c r="M825" s="204">
        <v>100</v>
      </c>
      <c r="N825" s="204">
        <v>100</v>
      </c>
      <c r="O825" s="204">
        <v>100</v>
      </c>
      <c r="P825" s="204">
        <v>100</v>
      </c>
      <c r="Q825" s="86" t="s">
        <v>63</v>
      </c>
      <c r="R825" s="199">
        <v>90</v>
      </c>
      <c r="S825" s="199">
        <v>100</v>
      </c>
      <c r="T825" s="217" t="s">
        <v>48</v>
      </c>
    </row>
    <row r="826" spans="1:20" ht="13.5" customHeight="1">
      <c r="A826" s="7" t="s">
        <v>42</v>
      </c>
      <c r="B826" s="204">
        <v>45.7</v>
      </c>
      <c r="C826" s="204">
        <v>38.799999999999997</v>
      </c>
      <c r="D826" s="204">
        <v>37.5</v>
      </c>
      <c r="E826" s="204">
        <v>0</v>
      </c>
      <c r="F826" s="204">
        <v>0</v>
      </c>
      <c r="G826" s="204">
        <v>50</v>
      </c>
      <c r="H826" s="204">
        <v>50</v>
      </c>
      <c r="I826" s="204">
        <v>28.6</v>
      </c>
      <c r="J826" s="204">
        <v>0</v>
      </c>
      <c r="K826" s="204">
        <v>0</v>
      </c>
      <c r="L826" s="204">
        <v>0</v>
      </c>
      <c r="M826" s="204">
        <v>0</v>
      </c>
      <c r="N826" s="204">
        <v>0</v>
      </c>
      <c r="O826" s="204">
        <v>0</v>
      </c>
      <c r="P826" s="204">
        <v>0</v>
      </c>
      <c r="Q826" s="86" t="s">
        <v>45</v>
      </c>
      <c r="R826" s="199">
        <v>105</v>
      </c>
      <c r="S826" s="199">
        <v>95</v>
      </c>
      <c r="T826" s="217" t="s">
        <v>28</v>
      </c>
    </row>
    <row r="827" spans="1:20" ht="13.5" customHeight="1">
      <c r="A827" s="7" t="s">
        <v>33</v>
      </c>
      <c r="B827" s="204">
        <v>45.7</v>
      </c>
      <c r="C827" s="204">
        <v>74.400000000000006</v>
      </c>
      <c r="D827" s="204">
        <v>90</v>
      </c>
      <c r="E827" s="204">
        <v>75</v>
      </c>
      <c r="F827" s="204">
        <v>66.7</v>
      </c>
      <c r="G827" s="204">
        <v>40</v>
      </c>
      <c r="H827" s="204">
        <v>50</v>
      </c>
      <c r="I827" s="204">
        <v>63.6</v>
      </c>
      <c r="J827" s="204">
        <v>50</v>
      </c>
      <c r="K827" s="204">
        <v>100</v>
      </c>
      <c r="L827" s="204">
        <v>100</v>
      </c>
      <c r="M827" s="204">
        <v>100</v>
      </c>
      <c r="N827" s="204">
        <v>100</v>
      </c>
      <c r="O827" s="204">
        <v>100</v>
      </c>
      <c r="P827" s="204">
        <v>100</v>
      </c>
      <c r="Q827" s="86" t="s">
        <v>45</v>
      </c>
      <c r="R827" s="199">
        <v>95</v>
      </c>
      <c r="S827" s="199">
        <v>96</v>
      </c>
      <c r="T827" s="217" t="s">
        <v>65</v>
      </c>
    </row>
    <row r="828" spans="1:20" ht="13.5" customHeight="1">
      <c r="A828" s="7" t="s">
        <v>44</v>
      </c>
      <c r="B828" s="204">
        <v>54.8</v>
      </c>
      <c r="C828" s="204">
        <v>59.6</v>
      </c>
      <c r="D828" s="204">
        <v>80</v>
      </c>
      <c r="E828" s="204">
        <v>60</v>
      </c>
      <c r="F828" s="204">
        <v>50</v>
      </c>
      <c r="G828" s="204">
        <v>80</v>
      </c>
      <c r="H828" s="204">
        <v>75</v>
      </c>
      <c r="I828" s="204">
        <v>64.7</v>
      </c>
      <c r="J828" s="204">
        <v>62.5</v>
      </c>
      <c r="K828" s="204">
        <v>100</v>
      </c>
      <c r="L828" s="204">
        <v>100</v>
      </c>
      <c r="M828" s="204">
        <v>100</v>
      </c>
      <c r="N828" s="204">
        <v>100</v>
      </c>
      <c r="O828" s="204">
        <v>100</v>
      </c>
      <c r="P828" s="204">
        <v>100</v>
      </c>
      <c r="Q828" s="86" t="s">
        <v>45</v>
      </c>
      <c r="R828" s="199">
        <v>75</v>
      </c>
      <c r="S828" s="199">
        <v>90</v>
      </c>
      <c r="T828" s="217" t="s">
        <v>28</v>
      </c>
    </row>
    <row r="829" spans="1:20" ht="13.5" customHeight="1">
      <c r="A829" s="7" t="s">
        <v>37</v>
      </c>
      <c r="B829" s="204">
        <v>57.7</v>
      </c>
      <c r="C829" s="204">
        <v>57.9</v>
      </c>
      <c r="D829" s="204">
        <v>62.5</v>
      </c>
      <c r="E829" s="204">
        <v>100</v>
      </c>
      <c r="F829" s="204">
        <v>100</v>
      </c>
      <c r="G829" s="204">
        <v>100</v>
      </c>
      <c r="H829" s="204">
        <v>100</v>
      </c>
      <c r="I829" s="204">
        <v>75</v>
      </c>
      <c r="J829" s="204">
        <v>50</v>
      </c>
      <c r="K829" s="204">
        <v>100</v>
      </c>
      <c r="L829" s="204">
        <v>100</v>
      </c>
      <c r="M829" s="204">
        <v>100</v>
      </c>
      <c r="N829" s="204">
        <v>100</v>
      </c>
      <c r="O829" s="204">
        <v>33.299999999999997</v>
      </c>
      <c r="P829" s="204">
        <v>33.299999999999997</v>
      </c>
      <c r="Q829" s="86" t="s">
        <v>45</v>
      </c>
      <c r="R829" s="199">
        <v>100</v>
      </c>
      <c r="S829" s="199">
        <v>100</v>
      </c>
      <c r="T829" s="217" t="s">
        <v>65</v>
      </c>
    </row>
    <row r="830" spans="1:20" ht="13.5" customHeight="1">
      <c r="A830" s="7" t="s">
        <v>47</v>
      </c>
      <c r="B830" s="204">
        <v>73.3</v>
      </c>
      <c r="C830" s="204">
        <v>49.4</v>
      </c>
      <c r="D830" s="204">
        <v>0</v>
      </c>
      <c r="E830" s="204">
        <v>37.5</v>
      </c>
      <c r="F830" s="204">
        <v>33.299999999999997</v>
      </c>
      <c r="G830" s="204">
        <v>42.9</v>
      </c>
      <c r="H830" s="204">
        <v>40</v>
      </c>
      <c r="I830" s="204">
        <v>45</v>
      </c>
      <c r="J830" s="204">
        <v>41.7</v>
      </c>
      <c r="K830" s="204">
        <v>0</v>
      </c>
      <c r="L830" s="204">
        <v>0</v>
      </c>
      <c r="M830" s="204">
        <v>0</v>
      </c>
      <c r="N830" s="204">
        <v>0</v>
      </c>
      <c r="O830" s="204">
        <v>0</v>
      </c>
      <c r="P830" s="204">
        <v>0</v>
      </c>
      <c r="Q830" s="86" t="s">
        <v>63</v>
      </c>
      <c r="R830" s="199">
        <v>85</v>
      </c>
      <c r="S830" s="199">
        <v>90</v>
      </c>
      <c r="T830" s="217" t="s">
        <v>28</v>
      </c>
    </row>
    <row r="831" spans="1:20" ht="13.5" customHeight="1">
      <c r="A831" s="7" t="s">
        <v>60</v>
      </c>
      <c r="B831" s="204">
        <v>63.6</v>
      </c>
      <c r="C831" s="204">
        <v>54.7</v>
      </c>
      <c r="D831" s="204">
        <v>50</v>
      </c>
      <c r="E831" s="204">
        <v>71.400000000000006</v>
      </c>
      <c r="F831" s="204">
        <v>50</v>
      </c>
      <c r="G831" s="204">
        <v>62.5</v>
      </c>
      <c r="H831" s="204">
        <v>66.7</v>
      </c>
      <c r="I831" s="204">
        <v>37.5</v>
      </c>
      <c r="J831" s="204">
        <v>20</v>
      </c>
      <c r="K831" s="204">
        <v>33.299999999999997</v>
      </c>
      <c r="L831" s="204">
        <v>33.299999999999997</v>
      </c>
      <c r="M831" s="204">
        <v>50</v>
      </c>
      <c r="N831" s="204">
        <v>33.299999999999997</v>
      </c>
      <c r="O831" s="204">
        <v>66.7</v>
      </c>
      <c r="P831" s="204">
        <v>50</v>
      </c>
      <c r="Q831" s="86" t="s">
        <v>45</v>
      </c>
      <c r="R831" s="199">
        <v>100</v>
      </c>
      <c r="S831" s="199">
        <v>90</v>
      </c>
      <c r="T831" s="217" t="s">
        <v>28</v>
      </c>
    </row>
    <row r="832" spans="1:20" ht="13.5" customHeight="1">
      <c r="A832" s="7" t="s">
        <v>36</v>
      </c>
      <c r="B832" s="204">
        <v>29.3</v>
      </c>
      <c r="C832" s="204">
        <v>49.4</v>
      </c>
      <c r="D832" s="204">
        <v>77.8</v>
      </c>
      <c r="E832" s="204">
        <v>16.7</v>
      </c>
      <c r="F832" s="204">
        <v>0</v>
      </c>
      <c r="G832" s="204">
        <v>16.7</v>
      </c>
      <c r="H832" s="204">
        <v>50</v>
      </c>
      <c r="I832" s="204">
        <v>40</v>
      </c>
      <c r="J832" s="204">
        <v>50</v>
      </c>
      <c r="K832" s="204">
        <v>33.299999999999997</v>
      </c>
      <c r="L832" s="204">
        <v>33.299999999999997</v>
      </c>
      <c r="M832" s="204">
        <v>0</v>
      </c>
      <c r="N832" s="204">
        <v>0</v>
      </c>
      <c r="O832" s="204">
        <v>25</v>
      </c>
      <c r="P832" s="204">
        <v>33.299999999999997</v>
      </c>
      <c r="Q832" s="86" t="s">
        <v>63</v>
      </c>
      <c r="R832" s="199">
        <v>90</v>
      </c>
      <c r="S832" s="199">
        <v>82</v>
      </c>
      <c r="T832" s="217" t="s">
        <v>39</v>
      </c>
    </row>
    <row r="833" spans="1:22" ht="13.5" customHeight="1">
      <c r="A833" s="7" t="s">
        <v>74</v>
      </c>
      <c r="B833" s="204">
        <v>47.1</v>
      </c>
      <c r="C833" s="204">
        <v>46.5</v>
      </c>
      <c r="D833" s="204">
        <v>0</v>
      </c>
      <c r="E833" s="204">
        <v>33.299999999999997</v>
      </c>
      <c r="F833" s="204">
        <v>0</v>
      </c>
      <c r="G833" s="204">
        <v>60</v>
      </c>
      <c r="H833" s="204">
        <v>33.299999999999997</v>
      </c>
      <c r="I833" s="204">
        <v>75</v>
      </c>
      <c r="J833" s="204">
        <v>50</v>
      </c>
      <c r="K833" s="204">
        <v>0</v>
      </c>
      <c r="L833" s="204">
        <v>0</v>
      </c>
      <c r="M833" s="204">
        <v>0</v>
      </c>
      <c r="N833" s="204">
        <v>0</v>
      </c>
      <c r="O833" s="204">
        <v>33.299999999999997</v>
      </c>
      <c r="P833" s="204">
        <v>33.299999999999997</v>
      </c>
      <c r="Q833" s="86" t="s">
        <v>45</v>
      </c>
      <c r="R833" s="199">
        <v>80</v>
      </c>
      <c r="S833" s="199">
        <v>105</v>
      </c>
      <c r="T833" s="217" t="s">
        <v>35</v>
      </c>
    </row>
    <row r="834" spans="1:22" ht="13.5" customHeight="1">
      <c r="A834" s="7" t="s">
        <v>36</v>
      </c>
      <c r="B834" s="204">
        <v>73.3</v>
      </c>
      <c r="C834" s="204">
        <v>49.4</v>
      </c>
      <c r="D834" s="204">
        <v>0</v>
      </c>
      <c r="E834" s="204">
        <v>57.1</v>
      </c>
      <c r="F834" s="204">
        <v>25</v>
      </c>
      <c r="G834" s="204">
        <v>57.1</v>
      </c>
      <c r="H834" s="204">
        <v>25</v>
      </c>
      <c r="I834" s="204">
        <v>64.7</v>
      </c>
      <c r="J834" s="204">
        <v>62.5</v>
      </c>
      <c r="K834" s="204">
        <v>0</v>
      </c>
      <c r="L834" s="204">
        <v>0</v>
      </c>
      <c r="M834" s="204">
        <v>0</v>
      </c>
      <c r="N834" s="204">
        <v>0</v>
      </c>
      <c r="O834" s="204">
        <v>0</v>
      </c>
      <c r="P834" s="204">
        <v>0</v>
      </c>
      <c r="Q834" s="86" t="s">
        <v>45</v>
      </c>
      <c r="R834" s="199">
        <v>100</v>
      </c>
      <c r="S834" s="199">
        <v>82</v>
      </c>
      <c r="T834" s="217" t="s">
        <v>39</v>
      </c>
    </row>
    <row r="835" spans="1:22" ht="13.5" customHeight="1">
      <c r="A835" s="7" t="s">
        <v>77</v>
      </c>
      <c r="B835" s="204">
        <v>50</v>
      </c>
      <c r="C835" s="204">
        <v>73.3</v>
      </c>
      <c r="D835" s="204">
        <v>81.8</v>
      </c>
      <c r="E835" s="204">
        <v>85.7</v>
      </c>
      <c r="F835" s="204">
        <v>100</v>
      </c>
      <c r="G835" s="204">
        <v>83.3</v>
      </c>
      <c r="H835" s="204">
        <v>100</v>
      </c>
      <c r="I835" s="204">
        <v>100</v>
      </c>
      <c r="J835" s="204">
        <v>100</v>
      </c>
      <c r="K835" s="204">
        <v>33.299999999999997</v>
      </c>
      <c r="L835" s="204">
        <v>33.299999999999997</v>
      </c>
      <c r="M835" s="204">
        <v>66.7</v>
      </c>
      <c r="N835" s="204">
        <v>50</v>
      </c>
      <c r="O835" s="204">
        <v>66.7</v>
      </c>
      <c r="P835" s="204">
        <v>50</v>
      </c>
      <c r="Q835" s="86" t="s">
        <v>26</v>
      </c>
      <c r="R835" s="199">
        <v>85</v>
      </c>
      <c r="S835" s="199">
        <v>85</v>
      </c>
      <c r="T835" s="217" t="s">
        <v>27</v>
      </c>
    </row>
    <row r="836" spans="1:22" ht="13.5" customHeight="1">
      <c r="A836" s="7" t="s">
        <v>22</v>
      </c>
      <c r="B836" s="204">
        <v>34.6</v>
      </c>
      <c r="C836" s="204">
        <v>49.4</v>
      </c>
      <c r="D836" s="204">
        <v>28.6</v>
      </c>
      <c r="E836" s="204">
        <v>100</v>
      </c>
      <c r="F836" s="204">
        <v>100</v>
      </c>
      <c r="G836" s="204">
        <v>100</v>
      </c>
      <c r="H836" s="204">
        <v>100</v>
      </c>
      <c r="I836" s="204">
        <v>40</v>
      </c>
      <c r="J836" s="204">
        <v>25</v>
      </c>
      <c r="K836" s="204">
        <v>33.299999999999997</v>
      </c>
      <c r="L836" s="204">
        <v>33.299999999999997</v>
      </c>
      <c r="M836" s="204">
        <v>33.299999999999997</v>
      </c>
      <c r="N836" s="204">
        <v>33.299999999999997</v>
      </c>
      <c r="O836" s="204">
        <v>33.299999999999997</v>
      </c>
      <c r="P836" s="204">
        <v>33.299999999999997</v>
      </c>
      <c r="Q836" s="3">
        <v>2</v>
      </c>
      <c r="R836" s="199">
        <v>100</v>
      </c>
      <c r="S836" s="199">
        <v>82</v>
      </c>
      <c r="T836" s="217" t="s">
        <v>46</v>
      </c>
    </row>
    <row r="837" spans="1:22" ht="13.5" customHeight="1">
      <c r="A837" s="7" t="s">
        <v>47</v>
      </c>
      <c r="B837" s="204">
        <v>50</v>
      </c>
      <c r="C837" s="204">
        <v>22.2</v>
      </c>
      <c r="D837" s="204">
        <v>25</v>
      </c>
      <c r="E837" s="204">
        <v>0</v>
      </c>
      <c r="F837" s="204">
        <v>0</v>
      </c>
      <c r="G837" s="204">
        <v>33.299999999999997</v>
      </c>
      <c r="H837" s="204">
        <v>0</v>
      </c>
      <c r="I837" s="204">
        <v>50</v>
      </c>
      <c r="J837" s="204">
        <v>0</v>
      </c>
      <c r="K837" s="204">
        <v>50</v>
      </c>
      <c r="L837" s="204">
        <v>50</v>
      </c>
      <c r="M837" s="204">
        <v>66.7</v>
      </c>
      <c r="N837" s="204">
        <v>50</v>
      </c>
      <c r="O837" s="204">
        <v>50</v>
      </c>
      <c r="P837" s="204">
        <v>0</v>
      </c>
      <c r="Q837" s="86" t="s">
        <v>45</v>
      </c>
      <c r="R837" s="199">
        <v>90</v>
      </c>
      <c r="S837" s="199">
        <v>104</v>
      </c>
      <c r="T837" s="217" t="s">
        <v>32</v>
      </c>
    </row>
    <row r="838" spans="1:22" ht="27" customHeight="1">
      <c r="A838" s="7" t="s">
        <v>42</v>
      </c>
      <c r="B838" s="204">
        <v>61.5</v>
      </c>
      <c r="C838" s="204">
        <v>38.1</v>
      </c>
      <c r="D838" s="204">
        <v>56.2</v>
      </c>
      <c r="E838" s="204">
        <v>66.7</v>
      </c>
      <c r="F838" s="204">
        <v>0</v>
      </c>
      <c r="G838" s="204">
        <v>66.7</v>
      </c>
      <c r="H838" s="204">
        <v>0</v>
      </c>
      <c r="I838" s="204">
        <v>63.6</v>
      </c>
      <c r="J838" s="204">
        <v>50</v>
      </c>
      <c r="K838" s="204">
        <v>60</v>
      </c>
      <c r="L838" s="204">
        <v>50</v>
      </c>
      <c r="M838" s="204">
        <v>60</v>
      </c>
      <c r="N838" s="204">
        <v>50</v>
      </c>
      <c r="O838" s="204">
        <v>0</v>
      </c>
      <c r="P838" s="204">
        <v>0</v>
      </c>
      <c r="Q838" s="86" t="s">
        <v>45</v>
      </c>
      <c r="R838" s="199">
        <v>95</v>
      </c>
      <c r="S838" s="199">
        <v>105</v>
      </c>
      <c r="T838" s="217" t="s">
        <v>35</v>
      </c>
    </row>
    <row r="839" spans="1:22" ht="13.5" customHeight="1">
      <c r="A839" s="7" t="s">
        <v>44</v>
      </c>
      <c r="B839" s="204">
        <v>67.7</v>
      </c>
      <c r="C839" s="204">
        <v>54.7</v>
      </c>
      <c r="D839" s="204">
        <v>50</v>
      </c>
      <c r="E839" s="204">
        <v>66.7</v>
      </c>
      <c r="F839" s="204">
        <v>100</v>
      </c>
      <c r="G839" s="204">
        <v>66.7</v>
      </c>
      <c r="H839" s="204">
        <v>100</v>
      </c>
      <c r="I839" s="204">
        <v>33.299999999999997</v>
      </c>
      <c r="J839" s="204">
        <v>50</v>
      </c>
      <c r="K839" s="204">
        <v>100</v>
      </c>
      <c r="L839" s="204">
        <v>100</v>
      </c>
      <c r="M839" s="204">
        <v>100</v>
      </c>
      <c r="N839" s="204">
        <v>100</v>
      </c>
      <c r="O839" s="204">
        <v>100</v>
      </c>
      <c r="P839" s="204">
        <v>100</v>
      </c>
      <c r="Q839" s="44" t="s">
        <v>26</v>
      </c>
      <c r="R839" s="205">
        <v>82</v>
      </c>
      <c r="S839" s="205">
        <v>104</v>
      </c>
      <c r="T839" s="217" t="s">
        <v>35</v>
      </c>
      <c r="U839">
        <v>2.5</v>
      </c>
      <c r="V839">
        <v>102</v>
      </c>
    </row>
    <row r="840" spans="1:22" ht="13.5" customHeight="1">
      <c r="A840" s="7" t="s">
        <v>36</v>
      </c>
      <c r="B840" s="204">
        <v>29.3</v>
      </c>
      <c r="C840" s="204">
        <v>39.1</v>
      </c>
      <c r="D840" s="204">
        <v>33.299999999999997</v>
      </c>
      <c r="E840" s="204">
        <v>40</v>
      </c>
      <c r="F840" s="204">
        <v>33.299999999999997</v>
      </c>
      <c r="G840" s="204">
        <v>50</v>
      </c>
      <c r="H840" s="204">
        <v>50</v>
      </c>
      <c r="I840" s="204">
        <v>57.1</v>
      </c>
      <c r="J840" s="204">
        <v>50</v>
      </c>
      <c r="K840" s="204">
        <v>33.299999999999997</v>
      </c>
      <c r="L840" s="204">
        <v>33.299999999999997</v>
      </c>
      <c r="M840" s="204">
        <v>33.299999999999997</v>
      </c>
      <c r="N840" s="204">
        <v>33.299999999999997</v>
      </c>
      <c r="O840" s="204">
        <v>25</v>
      </c>
      <c r="P840" s="204">
        <v>33.299999999999997</v>
      </c>
      <c r="Q840" s="44" t="s">
        <v>26</v>
      </c>
      <c r="R840" s="205">
        <v>109</v>
      </c>
      <c r="S840" s="205">
        <v>95</v>
      </c>
      <c r="T840" s="217" t="s">
        <v>24</v>
      </c>
      <c r="U840">
        <v>2.5</v>
      </c>
      <c r="V840">
        <v>165</v>
      </c>
    </row>
    <row r="841" spans="1:22" ht="13.5" customHeight="1">
      <c r="A841" s="7" t="s">
        <v>53</v>
      </c>
      <c r="B841" s="204">
        <v>63.6</v>
      </c>
      <c r="C841" s="204">
        <v>68</v>
      </c>
      <c r="D841" s="204">
        <v>60</v>
      </c>
      <c r="E841" s="204">
        <v>0</v>
      </c>
      <c r="F841" s="204">
        <v>0</v>
      </c>
      <c r="G841" s="204">
        <v>0</v>
      </c>
      <c r="H841" s="204">
        <v>0</v>
      </c>
      <c r="I841" s="204">
        <v>0</v>
      </c>
      <c r="J841" s="204">
        <v>0</v>
      </c>
      <c r="K841" s="204">
        <v>0</v>
      </c>
      <c r="L841" s="204">
        <v>0</v>
      </c>
      <c r="M841" s="204">
        <v>0</v>
      </c>
      <c r="N841" s="204">
        <v>0</v>
      </c>
      <c r="O841" s="204">
        <v>0</v>
      </c>
      <c r="P841" s="204">
        <v>0</v>
      </c>
      <c r="Q841" s="44" t="s">
        <v>23</v>
      </c>
      <c r="R841" s="205">
        <v>100</v>
      </c>
      <c r="S841" s="205">
        <v>90</v>
      </c>
      <c r="T841" s="217" t="s">
        <v>28</v>
      </c>
      <c r="U841">
        <v>2.5</v>
      </c>
      <c r="V841">
        <v>115</v>
      </c>
    </row>
    <row r="842" spans="1:22" ht="13.5" customHeight="1">
      <c r="A842" s="7" t="s">
        <v>44</v>
      </c>
      <c r="B842" s="204">
        <v>66.7</v>
      </c>
      <c r="C842" s="204">
        <v>50.8</v>
      </c>
      <c r="D842" s="204">
        <v>50</v>
      </c>
      <c r="E842" s="204">
        <v>80</v>
      </c>
      <c r="F842" s="204">
        <v>50</v>
      </c>
      <c r="G842" s="204">
        <v>66.7</v>
      </c>
      <c r="H842" s="204">
        <v>50</v>
      </c>
      <c r="I842" s="204">
        <v>100</v>
      </c>
      <c r="J842" s="204">
        <v>100</v>
      </c>
      <c r="K842" s="204">
        <v>100</v>
      </c>
      <c r="L842" s="204">
        <v>100</v>
      </c>
      <c r="M842" s="204">
        <v>50</v>
      </c>
      <c r="N842" s="204">
        <v>100</v>
      </c>
      <c r="O842" s="204">
        <v>50</v>
      </c>
      <c r="P842" s="204">
        <v>100</v>
      </c>
      <c r="Q842" s="44" t="s">
        <v>23</v>
      </c>
      <c r="R842" s="205">
        <v>93</v>
      </c>
      <c r="S842" s="205">
        <v>90</v>
      </c>
      <c r="T842" s="217" t="s">
        <v>28</v>
      </c>
      <c r="U842">
        <v>2.5</v>
      </c>
      <c r="V842">
        <v>100</v>
      </c>
    </row>
    <row r="843" spans="1:22" ht="13.5" customHeight="1">
      <c r="A843" s="7" t="s">
        <v>41</v>
      </c>
      <c r="B843" s="204">
        <v>55.6</v>
      </c>
      <c r="C843" s="204">
        <v>57.9</v>
      </c>
      <c r="D843" s="204">
        <v>80</v>
      </c>
      <c r="E843" s="204">
        <v>100</v>
      </c>
      <c r="F843" s="204">
        <v>100</v>
      </c>
      <c r="G843" s="204">
        <v>50</v>
      </c>
      <c r="H843" s="204">
        <v>50</v>
      </c>
      <c r="I843" s="204">
        <v>33.299999999999997</v>
      </c>
      <c r="J843" s="204">
        <v>33.299999999999997</v>
      </c>
      <c r="K843" s="204">
        <v>100</v>
      </c>
      <c r="L843" s="204">
        <v>100</v>
      </c>
      <c r="M843" s="204">
        <v>100</v>
      </c>
      <c r="N843" s="204">
        <v>100</v>
      </c>
      <c r="O843" s="204">
        <v>100</v>
      </c>
      <c r="P843" s="204">
        <v>100</v>
      </c>
      <c r="Q843" s="226" t="s">
        <v>26</v>
      </c>
      <c r="R843" s="219">
        <v>91</v>
      </c>
      <c r="S843" s="219">
        <v>100</v>
      </c>
      <c r="T843" s="217" t="s">
        <v>32</v>
      </c>
      <c r="U843">
        <v>2.5</v>
      </c>
      <c r="V843">
        <v>119</v>
      </c>
    </row>
    <row r="844" spans="1:22" ht="13.5" customHeight="1">
      <c r="A844" s="7" t="s">
        <v>29</v>
      </c>
      <c r="B844" s="204">
        <v>67.7</v>
      </c>
      <c r="C844" s="204">
        <v>57.9</v>
      </c>
      <c r="D844" s="204">
        <v>75</v>
      </c>
      <c r="E844" s="204">
        <v>100</v>
      </c>
      <c r="F844" s="204">
        <v>100</v>
      </c>
      <c r="G844" s="204">
        <v>80</v>
      </c>
      <c r="H844" s="204">
        <v>75</v>
      </c>
      <c r="I844" s="204">
        <v>62.5</v>
      </c>
      <c r="J844" s="204">
        <v>66.7</v>
      </c>
      <c r="K844" s="204">
        <v>75</v>
      </c>
      <c r="L844" s="204">
        <v>75</v>
      </c>
      <c r="M844" s="204">
        <v>75</v>
      </c>
      <c r="N844" s="204">
        <v>75</v>
      </c>
      <c r="O844" s="204">
        <v>66.7</v>
      </c>
      <c r="P844" s="204">
        <v>66.7</v>
      </c>
      <c r="Q844" s="44" t="s">
        <v>23</v>
      </c>
      <c r="R844" s="205">
        <v>103</v>
      </c>
      <c r="S844" s="205">
        <v>90</v>
      </c>
      <c r="T844" s="217" t="s">
        <v>28</v>
      </c>
      <c r="U844">
        <v>2.5</v>
      </c>
      <c r="V844">
        <v>75</v>
      </c>
    </row>
    <row r="845" spans="1:22" ht="13.5" customHeight="1">
      <c r="A845" s="7" t="s">
        <v>31</v>
      </c>
      <c r="B845" s="204">
        <v>67.7</v>
      </c>
      <c r="C845" s="204">
        <v>50.8</v>
      </c>
      <c r="D845" s="204">
        <v>62.5</v>
      </c>
      <c r="E845" s="204">
        <v>66.7</v>
      </c>
      <c r="F845" s="204">
        <v>80</v>
      </c>
      <c r="G845" s="204">
        <v>60</v>
      </c>
      <c r="H845" s="204">
        <v>60</v>
      </c>
      <c r="I845" s="204">
        <v>61.5</v>
      </c>
      <c r="J845" s="204">
        <v>57.1</v>
      </c>
      <c r="K845" s="204">
        <v>50</v>
      </c>
      <c r="L845" s="204">
        <v>50</v>
      </c>
      <c r="M845" s="204">
        <v>66.7</v>
      </c>
      <c r="N845" s="204">
        <v>66.7</v>
      </c>
      <c r="O845" s="204">
        <v>50</v>
      </c>
      <c r="P845" s="204">
        <v>50</v>
      </c>
      <c r="Q845" s="44" t="s">
        <v>26</v>
      </c>
      <c r="R845" s="205">
        <v>88</v>
      </c>
      <c r="S845" s="205">
        <v>104</v>
      </c>
      <c r="T845" s="217" t="s">
        <v>35</v>
      </c>
      <c r="U845">
        <v>2.5</v>
      </c>
      <c r="V845">
        <v>107</v>
      </c>
    </row>
    <row r="846" spans="1:22" ht="13.5" customHeight="1">
      <c r="A846" s="7" t="s">
        <v>22</v>
      </c>
      <c r="B846" s="204">
        <v>55.6</v>
      </c>
      <c r="C846" s="204">
        <v>38.799999999999997</v>
      </c>
      <c r="D846" s="204">
        <v>30.8</v>
      </c>
      <c r="E846" s="204">
        <v>100</v>
      </c>
      <c r="F846" s="204">
        <v>100</v>
      </c>
      <c r="G846" s="204">
        <v>50</v>
      </c>
      <c r="H846" s="204">
        <v>50</v>
      </c>
      <c r="I846" s="204">
        <v>50</v>
      </c>
      <c r="J846" s="204">
        <v>50</v>
      </c>
      <c r="K846" s="204">
        <v>100</v>
      </c>
      <c r="L846" s="204">
        <v>100</v>
      </c>
      <c r="M846" s="204">
        <v>100</v>
      </c>
      <c r="N846" s="204">
        <v>100</v>
      </c>
      <c r="O846" s="204">
        <v>66.7</v>
      </c>
      <c r="P846" s="204">
        <v>66.7</v>
      </c>
      <c r="Q846" s="44" t="s">
        <v>26</v>
      </c>
      <c r="R846" s="205">
        <v>107</v>
      </c>
      <c r="S846" s="205">
        <v>96</v>
      </c>
      <c r="T846" s="217" t="s">
        <v>65</v>
      </c>
      <c r="U846">
        <v>2.5</v>
      </c>
      <c r="V846">
        <v>140</v>
      </c>
    </row>
    <row r="847" spans="1:22" ht="13.5" customHeight="1">
      <c r="A847" s="7" t="s">
        <v>60</v>
      </c>
      <c r="B847" s="204">
        <v>55.6</v>
      </c>
      <c r="C847" s="204">
        <v>55.6</v>
      </c>
      <c r="D847" s="204">
        <v>50</v>
      </c>
      <c r="E847" s="204">
        <v>0</v>
      </c>
      <c r="F847" s="204">
        <v>0</v>
      </c>
      <c r="G847" s="204">
        <v>33.299999999999997</v>
      </c>
      <c r="H847" s="204">
        <v>50</v>
      </c>
      <c r="I847" s="204">
        <v>66.7</v>
      </c>
      <c r="J847" s="204">
        <v>50</v>
      </c>
      <c r="K847" s="204">
        <v>0</v>
      </c>
      <c r="L847" s="204">
        <v>0</v>
      </c>
      <c r="M847" s="204">
        <v>33.299999999999997</v>
      </c>
      <c r="N847" s="204">
        <v>0</v>
      </c>
      <c r="O847" s="204">
        <v>0</v>
      </c>
      <c r="P847" s="204">
        <v>0</v>
      </c>
      <c r="Q847" s="44" t="s">
        <v>26</v>
      </c>
      <c r="R847" s="205">
        <v>95</v>
      </c>
      <c r="S847" s="205">
        <v>78</v>
      </c>
      <c r="T847" s="217" t="s">
        <v>39</v>
      </c>
      <c r="U847">
        <v>2.5</v>
      </c>
      <c r="V847">
        <v>125</v>
      </c>
    </row>
    <row r="848" spans="1:22" ht="13.5" customHeight="1">
      <c r="A848" s="7" t="s">
        <v>42</v>
      </c>
      <c r="B848" s="204">
        <v>66.7</v>
      </c>
      <c r="C848" s="204">
        <v>59.6</v>
      </c>
      <c r="D848" s="204">
        <v>60</v>
      </c>
      <c r="E848" s="204">
        <v>50</v>
      </c>
      <c r="F848" s="204">
        <v>33.299999999999997</v>
      </c>
      <c r="G848" s="204">
        <v>25</v>
      </c>
      <c r="H848" s="204">
        <v>25</v>
      </c>
      <c r="I848" s="204">
        <v>45</v>
      </c>
      <c r="J848" s="204">
        <v>41.7</v>
      </c>
      <c r="K848" s="204">
        <v>50</v>
      </c>
      <c r="L848" s="204">
        <v>0</v>
      </c>
      <c r="M848" s="204">
        <v>50</v>
      </c>
      <c r="N848" s="204">
        <v>0</v>
      </c>
      <c r="O848" s="204">
        <v>50</v>
      </c>
      <c r="P848" s="204">
        <v>0</v>
      </c>
      <c r="Q848" s="44" t="s">
        <v>23</v>
      </c>
      <c r="R848" s="205">
        <v>83</v>
      </c>
      <c r="S848" s="205">
        <v>94</v>
      </c>
      <c r="T848" s="217" t="s">
        <v>28</v>
      </c>
      <c r="U848">
        <v>2.5</v>
      </c>
      <c r="V848">
        <v>88</v>
      </c>
    </row>
    <row r="849" spans="1:22" ht="13.5" customHeight="1">
      <c r="A849" s="7" t="s">
        <v>44</v>
      </c>
      <c r="B849" s="204">
        <v>63.6</v>
      </c>
      <c r="C849" s="204">
        <v>74.400000000000006</v>
      </c>
      <c r="D849" s="204">
        <v>100</v>
      </c>
      <c r="E849" s="204">
        <v>66.7</v>
      </c>
      <c r="F849" s="204">
        <v>50</v>
      </c>
      <c r="G849" s="204">
        <v>66.7</v>
      </c>
      <c r="H849" s="204">
        <v>50</v>
      </c>
      <c r="I849" s="204">
        <v>100</v>
      </c>
      <c r="J849" s="204">
        <v>100</v>
      </c>
      <c r="K849" s="204">
        <v>100</v>
      </c>
      <c r="L849" s="204">
        <v>100</v>
      </c>
      <c r="M849" s="204">
        <v>100</v>
      </c>
      <c r="N849" s="204">
        <v>100</v>
      </c>
      <c r="O849" s="204">
        <v>100</v>
      </c>
      <c r="P849" s="204">
        <v>100</v>
      </c>
      <c r="Q849" s="44" t="s">
        <v>23</v>
      </c>
      <c r="R849" s="205">
        <v>96</v>
      </c>
      <c r="S849" s="205">
        <v>98</v>
      </c>
      <c r="T849" s="217" t="s">
        <v>35</v>
      </c>
      <c r="U849">
        <v>2.5</v>
      </c>
      <c r="V849">
        <v>90</v>
      </c>
    </row>
    <row r="850" spans="1:22" ht="13.5" customHeight="1">
      <c r="A850" s="7" t="s">
        <v>31</v>
      </c>
      <c r="B850" s="204">
        <v>50</v>
      </c>
      <c r="C850" s="204">
        <v>38.799999999999997</v>
      </c>
      <c r="D850" s="204">
        <v>60</v>
      </c>
      <c r="E850" s="204">
        <v>80</v>
      </c>
      <c r="F850" s="204">
        <v>100</v>
      </c>
      <c r="G850" s="204">
        <v>60</v>
      </c>
      <c r="H850" s="204">
        <v>50</v>
      </c>
      <c r="I850" s="204">
        <v>66.7</v>
      </c>
      <c r="J850" s="204">
        <v>50</v>
      </c>
      <c r="K850" s="204">
        <v>100</v>
      </c>
      <c r="L850" s="204">
        <v>100</v>
      </c>
      <c r="M850" s="204">
        <v>66.7</v>
      </c>
      <c r="N850" s="204">
        <v>100</v>
      </c>
      <c r="O850" s="204">
        <v>66.7</v>
      </c>
      <c r="P850" s="204">
        <v>50</v>
      </c>
      <c r="Q850" s="44" t="s">
        <v>26</v>
      </c>
      <c r="R850" s="205">
        <v>90</v>
      </c>
      <c r="S850" s="205">
        <v>78</v>
      </c>
      <c r="T850" s="217" t="s">
        <v>46</v>
      </c>
      <c r="U850">
        <v>2.5</v>
      </c>
      <c r="V850">
        <v>82</v>
      </c>
    </row>
    <row r="851" spans="1:22" ht="13.5" customHeight="1">
      <c r="A851" s="7" t="s">
        <v>31</v>
      </c>
      <c r="B851" s="204">
        <v>34.6</v>
      </c>
      <c r="C851" s="204">
        <v>50.8</v>
      </c>
      <c r="D851" s="204">
        <v>42.9</v>
      </c>
      <c r="E851" s="204">
        <v>50</v>
      </c>
      <c r="F851" s="204">
        <v>50</v>
      </c>
      <c r="G851" s="204">
        <v>50</v>
      </c>
      <c r="H851" s="204">
        <v>50</v>
      </c>
      <c r="I851" s="204">
        <v>57.1</v>
      </c>
      <c r="J851" s="204">
        <v>50</v>
      </c>
      <c r="K851" s="204">
        <v>100</v>
      </c>
      <c r="L851" s="204">
        <v>100</v>
      </c>
      <c r="M851" s="204">
        <v>100</v>
      </c>
      <c r="N851" s="204">
        <v>100</v>
      </c>
      <c r="O851" s="204">
        <v>100</v>
      </c>
      <c r="P851" s="204">
        <v>100</v>
      </c>
      <c r="Q851" s="44" t="s">
        <v>26</v>
      </c>
      <c r="R851" s="205">
        <v>99</v>
      </c>
      <c r="S851" s="205">
        <v>100</v>
      </c>
      <c r="T851" s="217" t="s">
        <v>65</v>
      </c>
      <c r="U851">
        <v>2.5</v>
      </c>
      <c r="V851">
        <v>115</v>
      </c>
    </row>
    <row r="852" spans="1:22" ht="13.5" customHeight="1">
      <c r="A852" s="7" t="s">
        <v>47</v>
      </c>
      <c r="B852" s="204">
        <v>51.7</v>
      </c>
      <c r="C852" s="204">
        <v>39.1</v>
      </c>
      <c r="D852" s="204">
        <v>16.7</v>
      </c>
      <c r="E852" s="204">
        <v>0</v>
      </c>
      <c r="F852" s="204">
        <v>0</v>
      </c>
      <c r="G852" s="204">
        <v>0</v>
      </c>
      <c r="H852" s="204">
        <v>0</v>
      </c>
      <c r="I852" s="204">
        <v>0</v>
      </c>
      <c r="J852" s="204">
        <v>0</v>
      </c>
      <c r="K852" s="204">
        <v>0</v>
      </c>
      <c r="L852" s="204">
        <v>0</v>
      </c>
      <c r="M852" s="204">
        <v>0</v>
      </c>
      <c r="N852" s="204">
        <v>0</v>
      </c>
      <c r="O852" s="204">
        <v>25</v>
      </c>
      <c r="P852" s="204">
        <v>33.299999999999997</v>
      </c>
      <c r="Q852" s="44" t="s">
        <v>45</v>
      </c>
      <c r="R852" s="205">
        <v>79</v>
      </c>
      <c r="S852" s="205">
        <v>84</v>
      </c>
      <c r="T852" s="217" t="s">
        <v>46</v>
      </c>
      <c r="U852">
        <v>2.5</v>
      </c>
      <c r="V852">
        <v>140</v>
      </c>
    </row>
    <row r="853" spans="1:22" ht="13.5" customHeight="1">
      <c r="A853" s="7" t="s">
        <v>44</v>
      </c>
      <c r="B853" s="204">
        <v>45.7</v>
      </c>
      <c r="C853" s="204">
        <v>54.7</v>
      </c>
      <c r="D853" s="204">
        <v>60</v>
      </c>
      <c r="E853" s="204">
        <v>40</v>
      </c>
      <c r="F853" s="204">
        <v>50</v>
      </c>
      <c r="G853" s="204">
        <v>50</v>
      </c>
      <c r="H853" s="204">
        <v>50</v>
      </c>
      <c r="I853" s="204">
        <v>33.299999999999997</v>
      </c>
      <c r="J853" s="204">
        <v>50</v>
      </c>
      <c r="K853" s="204">
        <v>33.299999999999997</v>
      </c>
      <c r="L853" s="204">
        <v>33.299999999999997</v>
      </c>
      <c r="M853" s="204">
        <v>33.299999999999997</v>
      </c>
      <c r="N853" s="204">
        <v>33.299999999999997</v>
      </c>
      <c r="O853" s="204">
        <v>40</v>
      </c>
      <c r="P853" s="204">
        <v>25</v>
      </c>
      <c r="Q853" s="44" t="s">
        <v>26</v>
      </c>
      <c r="R853" s="205">
        <v>101</v>
      </c>
      <c r="S853" s="205">
        <v>92</v>
      </c>
      <c r="T853" s="217" t="s">
        <v>28</v>
      </c>
      <c r="U853">
        <v>2.5</v>
      </c>
      <c r="V853">
        <v>115</v>
      </c>
    </row>
    <row r="854" spans="1:22" ht="13.5" customHeight="1">
      <c r="A854" s="7" t="s">
        <v>33</v>
      </c>
      <c r="B854" s="204">
        <v>59.1</v>
      </c>
      <c r="C854" s="204">
        <v>57.9</v>
      </c>
      <c r="D854" s="204">
        <v>69.599999999999994</v>
      </c>
      <c r="E854" s="204">
        <v>33.299999999999997</v>
      </c>
      <c r="F854" s="204">
        <v>33.299999999999997</v>
      </c>
      <c r="G854" s="204">
        <v>50</v>
      </c>
      <c r="H854" s="204">
        <v>50</v>
      </c>
      <c r="I854" s="204">
        <v>33.299999999999997</v>
      </c>
      <c r="J854" s="204">
        <v>33.299999999999997</v>
      </c>
      <c r="K854" s="204">
        <v>100</v>
      </c>
      <c r="L854" s="204">
        <v>100</v>
      </c>
      <c r="M854" s="204">
        <v>100</v>
      </c>
      <c r="N854" s="204">
        <v>100</v>
      </c>
      <c r="O854" s="204">
        <v>100</v>
      </c>
      <c r="P854" s="204">
        <v>100</v>
      </c>
      <c r="Q854" s="44" t="s">
        <v>26</v>
      </c>
      <c r="R854" s="205">
        <v>99</v>
      </c>
      <c r="S854" s="205">
        <v>104</v>
      </c>
      <c r="T854" s="217" t="s">
        <v>35</v>
      </c>
      <c r="U854">
        <v>2.5</v>
      </c>
      <c r="V854">
        <v>95</v>
      </c>
    </row>
    <row r="855" spans="1:22" ht="13.5" customHeight="1">
      <c r="A855" s="7" t="s">
        <v>33</v>
      </c>
      <c r="B855" s="204">
        <v>54.8</v>
      </c>
      <c r="C855" s="204">
        <v>49.4</v>
      </c>
      <c r="D855" s="204">
        <v>44.4</v>
      </c>
      <c r="E855" s="204">
        <v>100</v>
      </c>
      <c r="F855" s="204">
        <v>100</v>
      </c>
      <c r="G855" s="204">
        <v>66.7</v>
      </c>
      <c r="H855" s="204">
        <v>50</v>
      </c>
      <c r="I855" s="204">
        <v>100</v>
      </c>
      <c r="J855" s="204">
        <v>100</v>
      </c>
      <c r="K855" s="204">
        <v>50</v>
      </c>
      <c r="L855" s="204">
        <v>50</v>
      </c>
      <c r="M855" s="204">
        <v>50</v>
      </c>
      <c r="N855" s="204">
        <v>50</v>
      </c>
      <c r="O855" s="204">
        <v>60</v>
      </c>
      <c r="P855" s="204">
        <v>50</v>
      </c>
      <c r="Q855" s="44" t="s">
        <v>23</v>
      </c>
      <c r="R855" s="205">
        <v>89</v>
      </c>
      <c r="S855" s="205">
        <v>90</v>
      </c>
      <c r="T855" s="217" t="s">
        <v>28</v>
      </c>
      <c r="U855">
        <v>2.5</v>
      </c>
      <c r="V855">
        <v>128</v>
      </c>
    </row>
    <row r="856" spans="1:22" ht="13.5" customHeight="1">
      <c r="A856" s="7" t="s">
        <v>22</v>
      </c>
      <c r="B856" s="204">
        <v>61.5</v>
      </c>
      <c r="C856" s="204">
        <v>54.7</v>
      </c>
      <c r="D856" s="204">
        <v>60</v>
      </c>
      <c r="E856" s="204">
        <v>42.9</v>
      </c>
      <c r="F856" s="204">
        <v>25</v>
      </c>
      <c r="G856" s="204">
        <v>66.7</v>
      </c>
      <c r="H856" s="204">
        <v>50</v>
      </c>
      <c r="I856" s="204">
        <v>62.5</v>
      </c>
      <c r="J856" s="204">
        <v>66.7</v>
      </c>
      <c r="K856" s="204">
        <v>50</v>
      </c>
      <c r="L856" s="204">
        <v>50</v>
      </c>
      <c r="M856" s="204">
        <v>50</v>
      </c>
      <c r="N856" s="204">
        <v>50</v>
      </c>
      <c r="O856" s="204">
        <v>50</v>
      </c>
      <c r="P856" s="204">
        <v>50</v>
      </c>
      <c r="Q856" s="44" t="s">
        <v>23</v>
      </c>
      <c r="R856" s="205">
        <v>87</v>
      </c>
      <c r="S856" s="205">
        <v>80</v>
      </c>
      <c r="T856" s="217" t="s">
        <v>46</v>
      </c>
      <c r="U856">
        <v>2.5</v>
      </c>
      <c r="V856">
        <v>72</v>
      </c>
    </row>
    <row r="857" spans="1:22" ht="13.5" customHeight="1">
      <c r="A857" s="7" t="s">
        <v>31</v>
      </c>
      <c r="B857" s="204">
        <v>51.7</v>
      </c>
      <c r="C857" s="204">
        <v>55.6</v>
      </c>
      <c r="D857" s="204">
        <v>75</v>
      </c>
      <c r="E857" s="204">
        <v>50</v>
      </c>
      <c r="F857" s="204">
        <v>50</v>
      </c>
      <c r="G857" s="204">
        <v>50</v>
      </c>
      <c r="H857" s="204">
        <v>50</v>
      </c>
      <c r="I857" s="204">
        <v>33.299999999999997</v>
      </c>
      <c r="J857" s="204">
        <v>33.299999999999997</v>
      </c>
      <c r="K857" s="204">
        <v>100</v>
      </c>
      <c r="L857" s="204">
        <v>100</v>
      </c>
      <c r="M857" s="204">
        <v>66.7</v>
      </c>
      <c r="N857" s="204">
        <v>50</v>
      </c>
      <c r="O857" s="204">
        <v>75</v>
      </c>
      <c r="P857" s="204">
        <v>66.7</v>
      </c>
      <c r="Q857" s="44" t="s">
        <v>45</v>
      </c>
      <c r="R857" s="205">
        <v>79</v>
      </c>
      <c r="S857" s="205">
        <v>86</v>
      </c>
      <c r="T857" s="217" t="s">
        <v>28</v>
      </c>
      <c r="U857">
        <v>2.5</v>
      </c>
      <c r="V857">
        <v>133</v>
      </c>
    </row>
    <row r="858" spans="1:22" ht="13.5" customHeight="1">
      <c r="A858" s="7" t="s">
        <v>36</v>
      </c>
      <c r="B858" s="204">
        <v>51.7</v>
      </c>
      <c r="C858" s="204">
        <v>49.4</v>
      </c>
      <c r="D858" s="204">
        <v>28.6</v>
      </c>
      <c r="E858" s="204">
        <v>0</v>
      </c>
      <c r="F858" s="204">
        <v>0</v>
      </c>
      <c r="G858" s="204">
        <v>0</v>
      </c>
      <c r="H858" s="204">
        <v>0</v>
      </c>
      <c r="I858" s="204">
        <v>40</v>
      </c>
      <c r="J858" s="204">
        <v>50</v>
      </c>
      <c r="K858" s="204">
        <v>50</v>
      </c>
      <c r="L858" s="204">
        <v>50</v>
      </c>
      <c r="M858" s="204">
        <v>50</v>
      </c>
      <c r="N858" s="204">
        <v>50</v>
      </c>
      <c r="O858" s="204">
        <v>25</v>
      </c>
      <c r="P858" s="204">
        <v>25</v>
      </c>
      <c r="Q858" s="44" t="s">
        <v>26</v>
      </c>
      <c r="R858" s="205">
        <v>93</v>
      </c>
      <c r="S858" s="205">
        <v>95</v>
      </c>
      <c r="T858" s="217" t="s">
        <v>24</v>
      </c>
      <c r="U858">
        <v>2.5</v>
      </c>
      <c r="V858">
        <v>105</v>
      </c>
    </row>
    <row r="859" spans="1:22" ht="13.5" customHeight="1">
      <c r="A859" s="7" t="s">
        <v>42</v>
      </c>
      <c r="B859" s="204">
        <v>84.2</v>
      </c>
      <c r="C859" s="204">
        <v>60.6</v>
      </c>
      <c r="D859" s="204">
        <v>50</v>
      </c>
      <c r="E859" s="204">
        <v>50</v>
      </c>
      <c r="F859" s="204">
        <v>25</v>
      </c>
      <c r="G859" s="204">
        <v>60</v>
      </c>
      <c r="H859" s="204">
        <v>33.299999999999997</v>
      </c>
      <c r="I859" s="204">
        <v>37.5</v>
      </c>
      <c r="J859" s="204">
        <v>20</v>
      </c>
      <c r="K859" s="204">
        <v>50</v>
      </c>
      <c r="L859" s="204">
        <v>50</v>
      </c>
      <c r="M859" s="204">
        <v>0</v>
      </c>
      <c r="N859" s="204">
        <v>0</v>
      </c>
      <c r="O859" s="204">
        <v>50</v>
      </c>
      <c r="P859" s="204">
        <v>50</v>
      </c>
      <c r="Q859" s="44" t="s">
        <v>23</v>
      </c>
      <c r="R859" s="205">
        <v>85</v>
      </c>
      <c r="S859" s="205">
        <v>82</v>
      </c>
      <c r="T859" s="217" t="s">
        <v>46</v>
      </c>
      <c r="U859">
        <v>2.5</v>
      </c>
      <c r="V859">
        <v>78</v>
      </c>
    </row>
    <row r="860" spans="1:22" ht="13.5" customHeight="1">
      <c r="A860" s="7" t="s">
        <v>36</v>
      </c>
      <c r="B860" s="204">
        <v>52.6</v>
      </c>
      <c r="C860" s="204">
        <v>60.6</v>
      </c>
      <c r="D860" s="204">
        <v>40</v>
      </c>
      <c r="E860" s="204">
        <v>33.299999999999997</v>
      </c>
      <c r="F860" s="204">
        <v>50</v>
      </c>
      <c r="G860" s="204">
        <v>33.299999999999997</v>
      </c>
      <c r="H860" s="204">
        <v>50</v>
      </c>
      <c r="I860" s="204">
        <v>0</v>
      </c>
      <c r="J860" s="204">
        <v>0</v>
      </c>
      <c r="K860" s="204">
        <v>0</v>
      </c>
      <c r="L860" s="204">
        <v>0</v>
      </c>
      <c r="M860" s="204">
        <v>0</v>
      </c>
      <c r="N860" s="204">
        <v>0</v>
      </c>
      <c r="O860" s="204">
        <v>0</v>
      </c>
      <c r="P860" s="204">
        <v>0</v>
      </c>
      <c r="Q860" s="44" t="s">
        <v>30</v>
      </c>
      <c r="R860" s="205">
        <v>89</v>
      </c>
      <c r="S860" s="205">
        <v>92</v>
      </c>
      <c r="T860" s="217" t="s">
        <v>28</v>
      </c>
      <c r="U860">
        <v>2.5</v>
      </c>
      <c r="V860">
        <v>80</v>
      </c>
    </row>
    <row r="861" spans="1:22" ht="13.5" customHeight="1">
      <c r="A861" s="7" t="s">
        <v>54</v>
      </c>
      <c r="B861" s="204">
        <v>71.400000000000006</v>
      </c>
      <c r="C861" s="204">
        <v>36.9</v>
      </c>
      <c r="D861" s="204">
        <v>53.8</v>
      </c>
      <c r="E861" s="204">
        <v>100</v>
      </c>
      <c r="F861" s="204">
        <v>100</v>
      </c>
      <c r="G861" s="204">
        <v>100</v>
      </c>
      <c r="H861" s="204">
        <v>100</v>
      </c>
      <c r="I861" s="204">
        <v>100</v>
      </c>
      <c r="J861" s="204">
        <v>100</v>
      </c>
      <c r="K861" s="204">
        <v>100</v>
      </c>
      <c r="L861" s="204">
        <v>100</v>
      </c>
      <c r="M861" s="204">
        <v>100</v>
      </c>
      <c r="N861" s="204">
        <v>100</v>
      </c>
      <c r="O861" s="204">
        <v>50</v>
      </c>
      <c r="P861" s="204">
        <v>50</v>
      </c>
      <c r="Q861" s="44" t="s">
        <v>26</v>
      </c>
      <c r="R861" s="205">
        <v>80</v>
      </c>
      <c r="S861" s="205">
        <v>90</v>
      </c>
      <c r="T861" s="217" t="s">
        <v>24</v>
      </c>
      <c r="U861">
        <v>2.5</v>
      </c>
      <c r="V861">
        <v>90</v>
      </c>
    </row>
    <row r="862" spans="1:22" ht="13.5" customHeight="1">
      <c r="A862" s="7" t="s">
        <v>36</v>
      </c>
      <c r="B862" s="204">
        <v>66.7</v>
      </c>
      <c r="C862" s="204">
        <v>60.6</v>
      </c>
      <c r="D862" s="204">
        <v>50</v>
      </c>
      <c r="E862" s="204">
        <v>42.9</v>
      </c>
      <c r="F862" s="204">
        <v>66.7</v>
      </c>
      <c r="G862" s="204">
        <v>50</v>
      </c>
      <c r="H862" s="204">
        <v>50</v>
      </c>
      <c r="I862" s="204">
        <v>45</v>
      </c>
      <c r="J862" s="204">
        <v>41.7</v>
      </c>
      <c r="K862" s="204">
        <v>0</v>
      </c>
      <c r="L862" s="204">
        <v>0</v>
      </c>
      <c r="M862" s="204">
        <v>50</v>
      </c>
      <c r="N862" s="204">
        <v>33.299999999999997</v>
      </c>
      <c r="O862" s="204">
        <v>40</v>
      </c>
      <c r="P862" s="204">
        <v>0</v>
      </c>
      <c r="Q862" s="44" t="s">
        <v>23</v>
      </c>
      <c r="R862" s="205">
        <v>82</v>
      </c>
      <c r="S862" s="205">
        <v>80</v>
      </c>
      <c r="T862" s="217" t="s">
        <v>40</v>
      </c>
      <c r="U862">
        <v>2.5</v>
      </c>
      <c r="V862">
        <v>68</v>
      </c>
    </row>
    <row r="863" spans="1:22" ht="13.5" customHeight="1">
      <c r="A863" s="7" t="s">
        <v>41</v>
      </c>
      <c r="B863" s="204">
        <v>50</v>
      </c>
      <c r="C863" s="204">
        <v>50.8</v>
      </c>
      <c r="D863" s="204">
        <v>42.9</v>
      </c>
      <c r="E863" s="204">
        <v>40</v>
      </c>
      <c r="F863" s="204">
        <v>33.299999999999997</v>
      </c>
      <c r="G863" s="204">
        <v>50</v>
      </c>
      <c r="H863" s="204">
        <v>50</v>
      </c>
      <c r="I863" s="204">
        <v>57.1</v>
      </c>
      <c r="J863" s="204">
        <v>50</v>
      </c>
      <c r="K863" s="204">
        <v>100</v>
      </c>
      <c r="L863" s="204">
        <v>100</v>
      </c>
      <c r="M863" s="204">
        <v>50</v>
      </c>
      <c r="N863" s="204">
        <v>50</v>
      </c>
      <c r="O863" s="204">
        <v>40</v>
      </c>
      <c r="P863" s="204">
        <v>40</v>
      </c>
      <c r="Q863" s="44" t="s">
        <v>23</v>
      </c>
      <c r="R863" s="205">
        <v>97</v>
      </c>
      <c r="S863" s="205">
        <v>82</v>
      </c>
      <c r="T863" s="217" t="s">
        <v>40</v>
      </c>
      <c r="U863">
        <v>2.5</v>
      </c>
      <c r="V863">
        <v>59</v>
      </c>
    </row>
    <row r="864" spans="1:22" ht="13.5" customHeight="1">
      <c r="A864" s="7" t="s">
        <v>31</v>
      </c>
      <c r="B864" s="204">
        <v>54.8</v>
      </c>
      <c r="C864" s="204">
        <v>68</v>
      </c>
      <c r="D864" s="204">
        <v>75</v>
      </c>
      <c r="E864" s="204">
        <v>50</v>
      </c>
      <c r="F864" s="204">
        <v>50</v>
      </c>
      <c r="G864" s="204">
        <v>66.7</v>
      </c>
      <c r="H864" s="204">
        <v>66.7</v>
      </c>
      <c r="I864" s="204">
        <v>50</v>
      </c>
      <c r="J864" s="204">
        <v>50</v>
      </c>
      <c r="K864" s="204">
        <v>100</v>
      </c>
      <c r="L864" s="204">
        <v>100</v>
      </c>
      <c r="M864" s="204">
        <v>100</v>
      </c>
      <c r="N864" s="204">
        <v>100</v>
      </c>
      <c r="O864" s="204">
        <v>100</v>
      </c>
      <c r="P864" s="204">
        <v>100</v>
      </c>
      <c r="Q864" s="44" t="s">
        <v>23</v>
      </c>
      <c r="R864" s="205">
        <v>102</v>
      </c>
      <c r="S864" s="205">
        <v>106</v>
      </c>
      <c r="T864" s="217" t="s">
        <v>48</v>
      </c>
      <c r="U864">
        <v>2.5</v>
      </c>
      <c r="V864">
        <v>119</v>
      </c>
    </row>
    <row r="865" spans="1:22" ht="13.5" customHeight="1">
      <c r="A865" s="7" t="s">
        <v>53</v>
      </c>
      <c r="B865" s="204">
        <v>29.3</v>
      </c>
      <c r="C865" s="204">
        <v>38.799999999999997</v>
      </c>
      <c r="D865" s="204">
        <v>30.8</v>
      </c>
      <c r="E865" s="204">
        <v>0</v>
      </c>
      <c r="F865" s="204">
        <v>0</v>
      </c>
      <c r="G865" s="204">
        <v>0</v>
      </c>
      <c r="H865" s="204">
        <v>0</v>
      </c>
      <c r="I865" s="204">
        <v>66.7</v>
      </c>
      <c r="J865" s="204">
        <v>66.7</v>
      </c>
      <c r="K865" s="204">
        <v>0</v>
      </c>
      <c r="L865" s="204">
        <v>0</v>
      </c>
      <c r="M865" s="204">
        <v>0</v>
      </c>
      <c r="N865" s="204">
        <v>0</v>
      </c>
      <c r="O865" s="204">
        <v>0</v>
      </c>
      <c r="P865" s="204">
        <v>0</v>
      </c>
      <c r="Q865" s="44" t="s">
        <v>26</v>
      </c>
      <c r="R865" s="205">
        <v>98</v>
      </c>
      <c r="S865" s="205">
        <v>80</v>
      </c>
      <c r="T865" s="217" t="s">
        <v>40</v>
      </c>
      <c r="U865">
        <v>2.5</v>
      </c>
      <c r="V865">
        <v>140</v>
      </c>
    </row>
    <row r="866" spans="1:22" ht="13.5" customHeight="1">
      <c r="A866" s="7" t="s">
        <v>44</v>
      </c>
      <c r="B866" s="204">
        <v>84.2</v>
      </c>
      <c r="C866" s="204">
        <v>76.5</v>
      </c>
      <c r="D866" s="204">
        <v>66.7</v>
      </c>
      <c r="E866" s="204">
        <v>100</v>
      </c>
      <c r="F866" s="204">
        <v>100</v>
      </c>
      <c r="G866" s="204">
        <v>100</v>
      </c>
      <c r="H866" s="204">
        <v>100</v>
      </c>
      <c r="I866" s="204">
        <v>100</v>
      </c>
      <c r="J866" s="204">
        <v>100</v>
      </c>
      <c r="K866" s="204">
        <v>100</v>
      </c>
      <c r="L866" s="204">
        <v>100</v>
      </c>
      <c r="M866" s="204">
        <v>100</v>
      </c>
      <c r="N866" s="204">
        <v>100</v>
      </c>
      <c r="O866" s="204">
        <v>100</v>
      </c>
      <c r="P866" s="204">
        <v>100</v>
      </c>
      <c r="Q866" s="44" t="s">
        <v>30</v>
      </c>
      <c r="R866" s="205">
        <v>85</v>
      </c>
      <c r="S866" s="205">
        <v>80</v>
      </c>
      <c r="T866" s="217" t="s">
        <v>40</v>
      </c>
      <c r="U866">
        <v>3.5</v>
      </c>
      <c r="V866">
        <v>105</v>
      </c>
    </row>
    <row r="867" spans="1:22" ht="13.5" customHeight="1">
      <c r="A867" s="7" t="s">
        <v>43</v>
      </c>
      <c r="B867" s="204">
        <v>51.7</v>
      </c>
      <c r="C867" s="204">
        <v>57.9</v>
      </c>
      <c r="D867" s="204">
        <v>60</v>
      </c>
      <c r="E867" s="204">
        <v>50</v>
      </c>
      <c r="F867" s="204">
        <v>50</v>
      </c>
      <c r="G867" s="204">
        <v>66.7</v>
      </c>
      <c r="H867" s="204">
        <v>100</v>
      </c>
      <c r="I867" s="204">
        <v>57.1</v>
      </c>
      <c r="J867" s="204">
        <v>66.7</v>
      </c>
      <c r="K867" s="204">
        <v>50</v>
      </c>
      <c r="L867" s="204">
        <v>50</v>
      </c>
      <c r="M867" s="204">
        <v>50</v>
      </c>
      <c r="N867" s="204">
        <v>50</v>
      </c>
      <c r="O867" s="204">
        <v>100</v>
      </c>
      <c r="P867" s="204">
        <v>100</v>
      </c>
      <c r="Q867" s="44" t="s">
        <v>23</v>
      </c>
      <c r="R867" s="205">
        <v>105</v>
      </c>
      <c r="S867" s="205">
        <v>102</v>
      </c>
      <c r="T867" s="217" t="s">
        <v>35</v>
      </c>
      <c r="U867">
        <v>2.5</v>
      </c>
      <c r="V867">
        <v>92</v>
      </c>
    </row>
    <row r="868" spans="1:22" ht="13.5" customHeight="1">
      <c r="A868" s="7" t="s">
        <v>22</v>
      </c>
      <c r="B868" s="204">
        <v>52.6</v>
      </c>
      <c r="C868" s="204">
        <v>76.2</v>
      </c>
      <c r="D868" s="204">
        <v>40</v>
      </c>
      <c r="E868" s="204">
        <v>100</v>
      </c>
      <c r="F868" s="204">
        <v>100</v>
      </c>
      <c r="G868" s="204">
        <v>100</v>
      </c>
      <c r="H868" s="204">
        <v>100</v>
      </c>
      <c r="I868" s="204">
        <v>100</v>
      </c>
      <c r="J868" s="204">
        <v>100</v>
      </c>
      <c r="K868" s="204">
        <v>100</v>
      </c>
      <c r="L868" s="204">
        <v>100</v>
      </c>
      <c r="M868" s="204">
        <v>100</v>
      </c>
      <c r="N868" s="204">
        <v>100</v>
      </c>
      <c r="O868" s="204">
        <v>100</v>
      </c>
      <c r="P868" s="204">
        <v>100</v>
      </c>
      <c r="Q868" s="44" t="s">
        <v>34</v>
      </c>
      <c r="R868" s="205">
        <v>94</v>
      </c>
      <c r="S868" s="205">
        <v>98</v>
      </c>
      <c r="T868" s="217" t="s">
        <v>35</v>
      </c>
      <c r="U868">
        <v>2.5</v>
      </c>
      <c r="V868">
        <v>90</v>
      </c>
    </row>
    <row r="869" spans="1:22" ht="13.5" customHeight="1">
      <c r="A869" s="7" t="s">
        <v>31</v>
      </c>
      <c r="B869" s="204">
        <v>67.7</v>
      </c>
      <c r="C869" s="204">
        <v>50.8</v>
      </c>
      <c r="D869" s="204">
        <v>62.5</v>
      </c>
      <c r="E869" s="204">
        <v>66.7</v>
      </c>
      <c r="F869" s="204">
        <v>80</v>
      </c>
      <c r="G869" s="204">
        <v>60</v>
      </c>
      <c r="H869" s="204">
        <v>60</v>
      </c>
      <c r="I869" s="204">
        <v>61.5</v>
      </c>
      <c r="J869" s="204">
        <v>57.1</v>
      </c>
      <c r="K869" s="204">
        <v>100</v>
      </c>
      <c r="L869" s="204">
        <v>100</v>
      </c>
      <c r="M869" s="204">
        <v>100</v>
      </c>
      <c r="N869" s="204">
        <v>100</v>
      </c>
      <c r="O869" s="204">
        <v>75</v>
      </c>
      <c r="P869" s="204">
        <v>75</v>
      </c>
      <c r="Q869" s="44" t="s">
        <v>30</v>
      </c>
      <c r="R869" s="205">
        <v>78</v>
      </c>
      <c r="S869" s="205">
        <v>94</v>
      </c>
      <c r="T869" s="217" t="s">
        <v>24</v>
      </c>
      <c r="U869">
        <v>2.5</v>
      </c>
      <c r="V869">
        <v>90</v>
      </c>
    </row>
    <row r="870" spans="1:22" ht="27" customHeight="1">
      <c r="A870" s="7" t="s">
        <v>41</v>
      </c>
      <c r="B870" s="204">
        <v>59.1</v>
      </c>
      <c r="C870" s="204">
        <v>39.1</v>
      </c>
      <c r="D870" s="204">
        <v>25</v>
      </c>
      <c r="E870" s="204">
        <v>75</v>
      </c>
      <c r="F870" s="204">
        <v>100</v>
      </c>
      <c r="G870" s="204">
        <v>60</v>
      </c>
      <c r="H870" s="204">
        <v>100</v>
      </c>
      <c r="I870" s="204">
        <v>75</v>
      </c>
      <c r="J870" s="204">
        <v>50</v>
      </c>
      <c r="K870" s="204">
        <v>50</v>
      </c>
      <c r="L870" s="204">
        <v>50</v>
      </c>
      <c r="M870" s="204">
        <v>100</v>
      </c>
      <c r="N870" s="204">
        <v>100</v>
      </c>
      <c r="O870" s="204">
        <v>66.7</v>
      </c>
      <c r="P870" s="204">
        <v>66.7</v>
      </c>
      <c r="Q870" s="44" t="s">
        <v>26</v>
      </c>
      <c r="R870" s="205">
        <v>91</v>
      </c>
      <c r="S870" s="205">
        <v>88</v>
      </c>
      <c r="T870" s="217" t="s">
        <v>24</v>
      </c>
      <c r="U870">
        <v>2.5</v>
      </c>
      <c r="V870">
        <v>75</v>
      </c>
    </row>
    <row r="871" spans="1:22" ht="13.5" customHeight="1">
      <c r="A871" s="7" t="s">
        <v>62</v>
      </c>
      <c r="B871" s="204">
        <v>28.2</v>
      </c>
      <c r="C871" s="204">
        <v>38.799999999999997</v>
      </c>
      <c r="D871" s="204">
        <v>14.3</v>
      </c>
      <c r="E871" s="204">
        <v>33.299999999999997</v>
      </c>
      <c r="F871" s="204">
        <v>33.299999999999997</v>
      </c>
      <c r="G871" s="204">
        <v>0</v>
      </c>
      <c r="H871" s="204">
        <v>0</v>
      </c>
      <c r="I871" s="204">
        <v>14.3</v>
      </c>
      <c r="J871" s="204">
        <v>20</v>
      </c>
      <c r="K871" s="204">
        <v>33.299999999999997</v>
      </c>
      <c r="L871" s="204">
        <v>50</v>
      </c>
      <c r="M871" s="204">
        <v>33.299999999999997</v>
      </c>
      <c r="N871" s="204">
        <v>50</v>
      </c>
      <c r="O871" s="204">
        <v>42.9</v>
      </c>
      <c r="P871" s="204">
        <v>60</v>
      </c>
      <c r="Q871" s="44" t="s">
        <v>26</v>
      </c>
      <c r="R871" s="205">
        <v>82</v>
      </c>
      <c r="S871" s="205">
        <v>100</v>
      </c>
      <c r="T871" s="217" t="s">
        <v>35</v>
      </c>
      <c r="U871">
        <v>2.5</v>
      </c>
      <c r="V871">
        <v>120</v>
      </c>
    </row>
    <row r="872" spans="1:22" ht="27" customHeight="1">
      <c r="A872" s="7" t="s">
        <v>57</v>
      </c>
      <c r="B872" s="204">
        <v>72.7</v>
      </c>
      <c r="C872" s="204">
        <v>86.4</v>
      </c>
      <c r="D872" s="204">
        <v>100</v>
      </c>
      <c r="E872" s="204">
        <v>80</v>
      </c>
      <c r="F872" s="204">
        <v>100</v>
      </c>
      <c r="G872" s="204">
        <v>80</v>
      </c>
      <c r="H872" s="204">
        <v>100</v>
      </c>
      <c r="I872" s="204">
        <v>100</v>
      </c>
      <c r="J872" s="204">
        <v>100</v>
      </c>
      <c r="K872" s="204">
        <v>50</v>
      </c>
      <c r="L872" s="204">
        <v>33.299999999999997</v>
      </c>
      <c r="M872" s="204">
        <v>50</v>
      </c>
      <c r="N872" s="204">
        <v>33.299999999999997</v>
      </c>
      <c r="O872" s="204">
        <v>50</v>
      </c>
      <c r="P872" s="204">
        <v>50</v>
      </c>
      <c r="Q872" s="44" t="s">
        <v>30</v>
      </c>
      <c r="R872" s="205">
        <v>80</v>
      </c>
      <c r="S872" s="205">
        <v>80</v>
      </c>
      <c r="T872" s="217" t="s">
        <v>51</v>
      </c>
      <c r="U872">
        <v>2.5</v>
      </c>
      <c r="V872">
        <v>54</v>
      </c>
    </row>
    <row r="873" spans="1:22" ht="13.5" customHeight="1">
      <c r="A873" s="7" t="s">
        <v>25</v>
      </c>
      <c r="B873" s="204">
        <v>60</v>
      </c>
      <c r="C873" s="204">
        <v>39.1</v>
      </c>
      <c r="D873" s="204">
        <v>0</v>
      </c>
      <c r="E873" s="204">
        <v>37.5</v>
      </c>
      <c r="F873" s="204">
        <v>33.299999999999997</v>
      </c>
      <c r="G873" s="204">
        <v>37.5</v>
      </c>
      <c r="H873" s="204">
        <v>33.299999999999997</v>
      </c>
      <c r="I873" s="204">
        <v>66.7</v>
      </c>
      <c r="J873" s="204">
        <v>33.299999999999997</v>
      </c>
      <c r="K873" s="204">
        <v>0</v>
      </c>
      <c r="L873" s="204">
        <v>0</v>
      </c>
      <c r="M873" s="204">
        <v>0</v>
      </c>
      <c r="N873" s="204">
        <v>0</v>
      </c>
      <c r="O873" s="204">
        <v>40</v>
      </c>
      <c r="P873" s="204">
        <v>33.299999999999997</v>
      </c>
      <c r="Q873" s="44" t="s">
        <v>26</v>
      </c>
      <c r="R873" s="205">
        <v>91</v>
      </c>
      <c r="S873" s="205">
        <v>94</v>
      </c>
      <c r="T873" s="217" t="s">
        <v>28</v>
      </c>
      <c r="U873">
        <v>2.5</v>
      </c>
      <c r="V873">
        <v>105</v>
      </c>
    </row>
    <row r="874" spans="1:22" ht="13.5" customHeight="1">
      <c r="A874" s="7" t="s">
        <v>25</v>
      </c>
      <c r="B874" s="204">
        <v>52.6</v>
      </c>
      <c r="C874" s="204">
        <v>71.400000000000006</v>
      </c>
      <c r="D874" s="204">
        <v>57.1</v>
      </c>
      <c r="E874" s="204">
        <v>60</v>
      </c>
      <c r="F874" s="204">
        <v>50</v>
      </c>
      <c r="G874" s="204">
        <v>66.7</v>
      </c>
      <c r="H874" s="204">
        <v>50</v>
      </c>
      <c r="I874" s="204">
        <v>40</v>
      </c>
      <c r="J874" s="204">
        <v>50</v>
      </c>
      <c r="K874" s="204">
        <v>0</v>
      </c>
      <c r="L874" s="204">
        <v>0</v>
      </c>
      <c r="M874" s="204">
        <v>0</v>
      </c>
      <c r="N874" s="204">
        <v>0</v>
      </c>
      <c r="O874" s="204">
        <v>0</v>
      </c>
      <c r="P874" s="204">
        <v>0</v>
      </c>
      <c r="Q874" s="44" t="s">
        <v>34</v>
      </c>
      <c r="R874" s="205">
        <v>82</v>
      </c>
      <c r="S874" s="205">
        <v>82</v>
      </c>
      <c r="T874" s="217" t="s">
        <v>40</v>
      </c>
      <c r="U874">
        <v>3.5</v>
      </c>
      <c r="V874">
        <v>93</v>
      </c>
    </row>
    <row r="875" spans="1:22" s="5" customFormat="1" ht="13.5" customHeight="1">
      <c r="A875" s="7" t="s">
        <v>37</v>
      </c>
      <c r="B875" s="204">
        <v>29.3</v>
      </c>
      <c r="C875" s="204">
        <v>55.6</v>
      </c>
      <c r="D875" s="204">
        <v>50</v>
      </c>
      <c r="E875" s="204">
        <v>66.7</v>
      </c>
      <c r="F875" s="204">
        <v>100</v>
      </c>
      <c r="G875" s="204">
        <v>66.7</v>
      </c>
      <c r="H875" s="204">
        <v>100</v>
      </c>
      <c r="I875" s="204">
        <v>57.1</v>
      </c>
      <c r="J875" s="204">
        <v>66.7</v>
      </c>
      <c r="K875" s="204">
        <v>100</v>
      </c>
      <c r="L875" s="204">
        <v>100</v>
      </c>
      <c r="M875" s="204">
        <v>100</v>
      </c>
      <c r="N875" s="204">
        <v>100</v>
      </c>
      <c r="O875" s="204">
        <v>25</v>
      </c>
      <c r="P875" s="204">
        <v>33.299999999999997</v>
      </c>
      <c r="Q875" s="44" t="s">
        <v>45</v>
      </c>
      <c r="R875" s="205">
        <v>90</v>
      </c>
      <c r="S875" s="205">
        <v>76</v>
      </c>
      <c r="T875" s="217" t="s">
        <v>46</v>
      </c>
      <c r="U875" s="5">
        <v>2.5</v>
      </c>
      <c r="V875" s="5">
        <v>165</v>
      </c>
    </row>
    <row r="876" spans="1:22" s="5" customFormat="1" ht="13.5" customHeight="1">
      <c r="A876" s="7" t="s">
        <v>42</v>
      </c>
      <c r="B876" s="204">
        <v>54.8</v>
      </c>
      <c r="C876" s="204">
        <v>68</v>
      </c>
      <c r="D876" s="204">
        <v>75</v>
      </c>
      <c r="E876" s="204">
        <v>50</v>
      </c>
      <c r="F876" s="204">
        <v>50</v>
      </c>
      <c r="G876" s="204">
        <v>50</v>
      </c>
      <c r="H876" s="204">
        <v>50</v>
      </c>
      <c r="I876" s="204">
        <v>50</v>
      </c>
      <c r="J876" s="204">
        <v>50</v>
      </c>
      <c r="K876" s="204">
        <v>50</v>
      </c>
      <c r="L876" s="204">
        <v>50</v>
      </c>
      <c r="M876" s="204">
        <v>50</v>
      </c>
      <c r="N876" s="204">
        <v>50</v>
      </c>
      <c r="O876" s="204">
        <v>50</v>
      </c>
      <c r="P876" s="204">
        <v>50</v>
      </c>
      <c r="Q876" s="44" t="s">
        <v>26</v>
      </c>
      <c r="R876" s="205">
        <v>92</v>
      </c>
      <c r="S876" s="205">
        <v>94</v>
      </c>
      <c r="T876" s="217" t="s">
        <v>28</v>
      </c>
      <c r="U876" s="5">
        <v>2.5</v>
      </c>
      <c r="V876" s="5">
        <v>108</v>
      </c>
    </row>
    <row r="877" spans="1:22" s="5" customFormat="1" ht="13.5" customHeight="1">
      <c r="A877" s="7" t="s">
        <v>47</v>
      </c>
      <c r="B877" s="204">
        <v>45.7</v>
      </c>
      <c r="C877" s="204">
        <v>50.8</v>
      </c>
      <c r="D877" s="204">
        <v>25</v>
      </c>
      <c r="E877" s="204">
        <v>42.9</v>
      </c>
      <c r="F877" s="204">
        <v>25</v>
      </c>
      <c r="G877" s="204">
        <v>33.299999999999997</v>
      </c>
      <c r="H877" s="204">
        <v>25</v>
      </c>
      <c r="I877" s="204">
        <v>62.5</v>
      </c>
      <c r="J877" s="204">
        <v>66.7</v>
      </c>
      <c r="K877" s="204">
        <v>0</v>
      </c>
      <c r="L877" s="204">
        <v>0</v>
      </c>
      <c r="M877" s="204">
        <v>0</v>
      </c>
      <c r="N877" s="204">
        <v>0</v>
      </c>
      <c r="O877" s="204">
        <v>75</v>
      </c>
      <c r="P877" s="204">
        <v>75</v>
      </c>
      <c r="Q877" s="44" t="s">
        <v>23</v>
      </c>
      <c r="R877" s="205">
        <v>85</v>
      </c>
      <c r="S877" s="205">
        <v>80</v>
      </c>
      <c r="T877" s="217" t="s">
        <v>46</v>
      </c>
      <c r="U877" s="5">
        <v>2.5</v>
      </c>
      <c r="V877" s="5">
        <v>75</v>
      </c>
    </row>
    <row r="878" spans="1:22" s="5" customFormat="1" ht="13.5" customHeight="1">
      <c r="A878" s="7" t="s">
        <v>31</v>
      </c>
      <c r="B878" s="204">
        <v>50</v>
      </c>
      <c r="C878" s="204">
        <v>36.9</v>
      </c>
      <c r="D878" s="204">
        <v>40</v>
      </c>
      <c r="E878" s="204">
        <v>100</v>
      </c>
      <c r="F878" s="204">
        <v>100</v>
      </c>
      <c r="G878" s="204">
        <v>100</v>
      </c>
      <c r="H878" s="204">
        <v>100</v>
      </c>
      <c r="I878" s="204">
        <v>100</v>
      </c>
      <c r="J878" s="204">
        <v>100</v>
      </c>
      <c r="K878" s="204">
        <v>60</v>
      </c>
      <c r="L878" s="204">
        <v>50</v>
      </c>
      <c r="M878" s="204">
        <v>60</v>
      </c>
      <c r="N878" s="204">
        <v>50</v>
      </c>
      <c r="O878" s="204">
        <v>40</v>
      </c>
      <c r="P878" s="204">
        <v>33.299999999999997</v>
      </c>
      <c r="Q878" s="44" t="s">
        <v>26</v>
      </c>
      <c r="R878" s="205">
        <v>84</v>
      </c>
      <c r="S878" s="205">
        <v>95</v>
      </c>
      <c r="T878" s="217" t="s">
        <v>35</v>
      </c>
      <c r="U878" s="5">
        <v>2.5</v>
      </c>
      <c r="V878" s="5">
        <v>95</v>
      </c>
    </row>
    <row r="879" spans="1:22" s="5" customFormat="1" ht="13.5" customHeight="1">
      <c r="A879" s="7" t="s">
        <v>66</v>
      </c>
      <c r="B879" s="204">
        <v>66.7</v>
      </c>
      <c r="C879" s="204">
        <v>57.9</v>
      </c>
      <c r="D879" s="204">
        <v>33.299999999999997</v>
      </c>
      <c r="E879" s="204">
        <v>50</v>
      </c>
      <c r="F879" s="204">
        <v>33.299999999999997</v>
      </c>
      <c r="G879" s="204">
        <v>60</v>
      </c>
      <c r="H879" s="204">
        <v>50</v>
      </c>
      <c r="I879" s="204">
        <v>45</v>
      </c>
      <c r="J879" s="204">
        <v>41.7</v>
      </c>
      <c r="K879" s="204">
        <v>50</v>
      </c>
      <c r="L879" s="204">
        <v>50</v>
      </c>
      <c r="M879" s="204">
        <v>66.7</v>
      </c>
      <c r="N879" s="204">
        <v>66.7</v>
      </c>
      <c r="O879" s="204">
        <v>40</v>
      </c>
      <c r="P879" s="204">
        <v>33.299999999999997</v>
      </c>
      <c r="Q879" s="44" t="s">
        <v>26</v>
      </c>
      <c r="R879" s="205">
        <v>82</v>
      </c>
      <c r="S879" s="205">
        <v>88</v>
      </c>
      <c r="T879" s="217" t="s">
        <v>27</v>
      </c>
      <c r="U879" s="5">
        <v>2.5</v>
      </c>
      <c r="V879" s="5">
        <v>105</v>
      </c>
    </row>
    <row r="880" spans="1:22" s="5" customFormat="1" ht="13.5" customHeight="1">
      <c r="A880" s="7" t="s">
        <v>66</v>
      </c>
      <c r="B880" s="204">
        <v>66.7</v>
      </c>
      <c r="C880" s="204">
        <v>68</v>
      </c>
      <c r="D880" s="204">
        <v>60</v>
      </c>
      <c r="E880" s="204">
        <v>40</v>
      </c>
      <c r="F880" s="204">
        <v>0</v>
      </c>
      <c r="G880" s="204">
        <v>40</v>
      </c>
      <c r="H880" s="204">
        <v>0</v>
      </c>
      <c r="I880" s="204">
        <v>60</v>
      </c>
      <c r="J880" s="204">
        <v>33.299999999999997</v>
      </c>
      <c r="K880" s="204">
        <v>25</v>
      </c>
      <c r="L880" s="204">
        <v>0</v>
      </c>
      <c r="M880" s="204">
        <v>25</v>
      </c>
      <c r="N880" s="204">
        <v>0</v>
      </c>
      <c r="O880" s="204">
        <v>14.3</v>
      </c>
      <c r="P880" s="204">
        <v>0</v>
      </c>
      <c r="Q880" s="44" t="s">
        <v>26</v>
      </c>
      <c r="R880" s="205">
        <v>88</v>
      </c>
      <c r="S880" s="205">
        <v>80</v>
      </c>
      <c r="T880" s="217" t="s">
        <v>39</v>
      </c>
      <c r="U880" s="5">
        <v>2.5</v>
      </c>
      <c r="V880" s="5">
        <v>102</v>
      </c>
    </row>
    <row r="881" spans="1:22" s="5" customFormat="1" ht="27" customHeight="1">
      <c r="A881" s="7" t="s">
        <v>22</v>
      </c>
      <c r="B881" s="204">
        <v>33.299999999999997</v>
      </c>
      <c r="C881" s="204">
        <v>38.799999999999997</v>
      </c>
      <c r="D881" s="204">
        <v>37.5</v>
      </c>
      <c r="E881" s="204">
        <v>50</v>
      </c>
      <c r="F881" s="204">
        <v>66.7</v>
      </c>
      <c r="G881" s="204">
        <v>50</v>
      </c>
      <c r="H881" s="204">
        <v>66.7</v>
      </c>
      <c r="I881" s="204">
        <v>40</v>
      </c>
      <c r="J881" s="204">
        <v>100</v>
      </c>
      <c r="K881" s="204">
        <v>100</v>
      </c>
      <c r="L881" s="204">
        <v>100</v>
      </c>
      <c r="M881" s="204">
        <v>100</v>
      </c>
      <c r="N881" s="204">
        <v>100</v>
      </c>
      <c r="O881" s="204">
        <v>50</v>
      </c>
      <c r="P881" s="204">
        <v>100</v>
      </c>
      <c r="Q881" s="44" t="s">
        <v>26</v>
      </c>
      <c r="R881" s="205">
        <v>92</v>
      </c>
      <c r="S881" s="205">
        <v>104</v>
      </c>
      <c r="T881" s="217" t="s">
        <v>35</v>
      </c>
      <c r="U881" s="5">
        <v>2.5</v>
      </c>
      <c r="V881" s="5">
        <v>100</v>
      </c>
    </row>
    <row r="882" spans="1:22" s="5" customFormat="1" ht="13.5" customHeight="1">
      <c r="A882" s="7" t="s">
        <v>36</v>
      </c>
      <c r="B882" s="204">
        <v>28.2</v>
      </c>
      <c r="C882" s="204">
        <v>39.1</v>
      </c>
      <c r="D882" s="204">
        <v>0</v>
      </c>
      <c r="E882" s="204">
        <v>50</v>
      </c>
      <c r="F882" s="204">
        <v>50</v>
      </c>
      <c r="G882" s="204">
        <v>50</v>
      </c>
      <c r="H882" s="204">
        <v>50</v>
      </c>
      <c r="I882" s="204">
        <v>33.299999999999997</v>
      </c>
      <c r="J882" s="204">
        <v>33.299999999999997</v>
      </c>
      <c r="K882" s="204">
        <v>0</v>
      </c>
      <c r="L882" s="204">
        <v>0</v>
      </c>
      <c r="M882" s="204">
        <v>0</v>
      </c>
      <c r="N882" s="204">
        <v>0</v>
      </c>
      <c r="O882" s="204">
        <v>66.7</v>
      </c>
      <c r="P882" s="204">
        <v>66.7</v>
      </c>
      <c r="Q882" s="44" t="s">
        <v>45</v>
      </c>
      <c r="R882" s="205">
        <v>82</v>
      </c>
      <c r="S882" s="205">
        <v>96</v>
      </c>
      <c r="T882" s="217" t="s">
        <v>48</v>
      </c>
      <c r="U882" s="5">
        <v>2.5</v>
      </c>
      <c r="V882" s="5">
        <v>125</v>
      </c>
    </row>
    <row r="883" spans="1:22" s="5" customFormat="1" ht="13.5" customHeight="1">
      <c r="A883" s="7" t="s">
        <v>36</v>
      </c>
      <c r="B883" s="204">
        <v>66.7</v>
      </c>
      <c r="C883" s="204">
        <v>50.8</v>
      </c>
      <c r="D883" s="204">
        <v>50</v>
      </c>
      <c r="E883" s="204">
        <v>37.5</v>
      </c>
      <c r="F883" s="204">
        <v>33.299999999999997</v>
      </c>
      <c r="G883" s="204">
        <v>44.4</v>
      </c>
      <c r="H883" s="204">
        <v>42.9</v>
      </c>
      <c r="I883" s="204">
        <v>45</v>
      </c>
      <c r="J883" s="204">
        <v>41.7</v>
      </c>
      <c r="K883" s="204">
        <v>25</v>
      </c>
      <c r="L883" s="204">
        <v>0</v>
      </c>
      <c r="M883" s="204">
        <v>40</v>
      </c>
      <c r="N883" s="204">
        <v>25</v>
      </c>
      <c r="O883" s="204">
        <v>14.3</v>
      </c>
      <c r="P883" s="204">
        <v>0</v>
      </c>
      <c r="Q883" s="44" t="s">
        <v>26</v>
      </c>
      <c r="R883" s="205">
        <v>79</v>
      </c>
      <c r="S883" s="205">
        <v>100</v>
      </c>
      <c r="T883" s="217" t="s">
        <v>35</v>
      </c>
      <c r="U883" s="5">
        <v>2.5</v>
      </c>
      <c r="V883" s="5">
        <v>75</v>
      </c>
    </row>
    <row r="884" spans="1:22" s="5" customFormat="1" ht="13.5" customHeight="1">
      <c r="A884" s="7" t="s">
        <v>33</v>
      </c>
      <c r="B884" s="204">
        <v>100</v>
      </c>
      <c r="C884" s="204">
        <v>36.9</v>
      </c>
      <c r="D884" s="204">
        <v>53.8</v>
      </c>
      <c r="E884" s="204">
        <v>50</v>
      </c>
      <c r="F884" s="204">
        <v>50</v>
      </c>
      <c r="G884" s="204">
        <v>66.7</v>
      </c>
      <c r="H884" s="204">
        <v>50</v>
      </c>
      <c r="I884" s="204">
        <v>100</v>
      </c>
      <c r="J884" s="204">
        <v>100</v>
      </c>
      <c r="K884" s="204">
        <v>100</v>
      </c>
      <c r="L884" s="204">
        <v>100</v>
      </c>
      <c r="M884" s="204">
        <v>100</v>
      </c>
      <c r="N884" s="204">
        <v>100</v>
      </c>
      <c r="O884" s="204">
        <v>100</v>
      </c>
      <c r="P884" s="204">
        <v>100</v>
      </c>
      <c r="Q884" s="44" t="s">
        <v>45</v>
      </c>
      <c r="R884" s="205">
        <v>78</v>
      </c>
      <c r="S884" s="205">
        <v>100</v>
      </c>
      <c r="T884" s="217" t="s">
        <v>32</v>
      </c>
      <c r="U884" s="5">
        <v>2.5</v>
      </c>
      <c r="V884" s="5">
        <v>125</v>
      </c>
    </row>
    <row r="885" spans="1:22" s="5" customFormat="1" ht="13.5" customHeight="1">
      <c r="A885" s="7" t="s">
        <v>33</v>
      </c>
      <c r="B885" s="204">
        <v>61.5</v>
      </c>
      <c r="C885" s="204">
        <v>49.4</v>
      </c>
      <c r="D885" s="204">
        <v>57.1</v>
      </c>
      <c r="E885" s="204">
        <v>66.7</v>
      </c>
      <c r="F885" s="204">
        <v>100</v>
      </c>
      <c r="G885" s="204">
        <v>60</v>
      </c>
      <c r="H885" s="204">
        <v>66.7</v>
      </c>
      <c r="I885" s="204">
        <v>100</v>
      </c>
      <c r="J885" s="204">
        <v>100</v>
      </c>
      <c r="K885" s="204">
        <v>66.7</v>
      </c>
      <c r="L885" s="204">
        <v>66.7</v>
      </c>
      <c r="M885" s="204">
        <v>66.7</v>
      </c>
      <c r="N885" s="204">
        <v>66.7</v>
      </c>
      <c r="O885" s="204">
        <v>75</v>
      </c>
      <c r="P885" s="204">
        <v>75</v>
      </c>
      <c r="Q885" s="44" t="s">
        <v>45</v>
      </c>
      <c r="R885" s="205">
        <v>80</v>
      </c>
      <c r="S885" s="205">
        <v>88</v>
      </c>
      <c r="T885" s="217" t="s">
        <v>28</v>
      </c>
      <c r="U885" s="5">
        <v>2.5</v>
      </c>
      <c r="V885" s="5">
        <v>133</v>
      </c>
    </row>
    <row r="886" spans="1:22" s="5" customFormat="1" ht="13.5" customHeight="1">
      <c r="A886" s="7" t="s">
        <v>37</v>
      </c>
      <c r="B886" s="204">
        <v>54.8</v>
      </c>
      <c r="C886" s="204">
        <v>59.6</v>
      </c>
      <c r="D886" s="204">
        <v>80</v>
      </c>
      <c r="E886" s="204">
        <v>71.400000000000006</v>
      </c>
      <c r="F886" s="204">
        <v>50</v>
      </c>
      <c r="G886" s="204">
        <v>83.3</v>
      </c>
      <c r="H886" s="204">
        <v>50</v>
      </c>
      <c r="I886" s="204">
        <v>50</v>
      </c>
      <c r="J886" s="204">
        <v>66.7</v>
      </c>
      <c r="K886" s="204">
        <v>100</v>
      </c>
      <c r="L886" s="204">
        <v>100</v>
      </c>
      <c r="M886" s="204">
        <v>100</v>
      </c>
      <c r="N886" s="204">
        <v>100</v>
      </c>
      <c r="O886" s="204">
        <v>100</v>
      </c>
      <c r="P886" s="204">
        <v>100</v>
      </c>
      <c r="Q886" s="44" t="s">
        <v>23</v>
      </c>
      <c r="R886" s="205">
        <v>102</v>
      </c>
      <c r="S886" s="205">
        <v>94</v>
      </c>
      <c r="T886" s="217" t="s">
        <v>28</v>
      </c>
      <c r="U886" s="5">
        <v>2.5</v>
      </c>
      <c r="V886" s="5">
        <v>102</v>
      </c>
    </row>
    <row r="887" spans="1:22" s="5" customFormat="1" ht="13.5" customHeight="1">
      <c r="A887" s="7" t="s">
        <v>36</v>
      </c>
      <c r="B887" s="204">
        <v>16.7</v>
      </c>
      <c r="C887" s="204">
        <v>38.799999999999997</v>
      </c>
      <c r="D887" s="204">
        <v>60</v>
      </c>
      <c r="E887" s="204">
        <v>0</v>
      </c>
      <c r="F887" s="204">
        <v>0</v>
      </c>
      <c r="G887" s="204">
        <v>0</v>
      </c>
      <c r="H887" s="204">
        <v>0</v>
      </c>
      <c r="I887" s="204">
        <v>0</v>
      </c>
      <c r="J887" s="204">
        <v>0</v>
      </c>
      <c r="K887" s="204">
        <v>0</v>
      </c>
      <c r="L887" s="204">
        <v>0</v>
      </c>
      <c r="M887" s="204">
        <v>0</v>
      </c>
      <c r="N887" s="204">
        <v>0</v>
      </c>
      <c r="O887" s="204">
        <v>0</v>
      </c>
      <c r="P887" s="204">
        <v>0</v>
      </c>
      <c r="Q887" s="44" t="s">
        <v>26</v>
      </c>
      <c r="R887" s="205">
        <v>99</v>
      </c>
      <c r="S887" s="205">
        <v>105</v>
      </c>
      <c r="T887" s="217" t="s">
        <v>35</v>
      </c>
      <c r="U887" s="5">
        <v>2.5</v>
      </c>
      <c r="V887" s="5">
        <v>120</v>
      </c>
    </row>
    <row r="888" spans="1:22" s="5" customFormat="1" ht="13.5" customHeight="1">
      <c r="A888" s="7" t="s">
        <v>36</v>
      </c>
      <c r="B888" s="204">
        <v>33.299999999999997</v>
      </c>
      <c r="C888" s="204">
        <v>50.8</v>
      </c>
      <c r="D888" s="204">
        <v>55.6</v>
      </c>
      <c r="E888" s="204">
        <v>25</v>
      </c>
      <c r="F888" s="204">
        <v>33.299999999999997</v>
      </c>
      <c r="G888" s="204">
        <v>25</v>
      </c>
      <c r="H888" s="204">
        <v>33.299999999999997</v>
      </c>
      <c r="I888" s="204">
        <v>0</v>
      </c>
      <c r="J888" s="204">
        <v>0</v>
      </c>
      <c r="K888" s="204">
        <v>33.299999999999997</v>
      </c>
      <c r="L888" s="204">
        <v>0</v>
      </c>
      <c r="M888" s="204">
        <v>33.299999999999997</v>
      </c>
      <c r="N888" s="204">
        <v>0</v>
      </c>
      <c r="O888" s="204">
        <v>50</v>
      </c>
      <c r="P888" s="204">
        <v>0</v>
      </c>
      <c r="Q888" s="44" t="s">
        <v>26</v>
      </c>
      <c r="R888" s="205">
        <v>94</v>
      </c>
      <c r="S888" s="205">
        <v>110</v>
      </c>
      <c r="T888" s="217" t="s">
        <v>35</v>
      </c>
      <c r="U888" s="5">
        <v>2.5</v>
      </c>
      <c r="V888" s="5">
        <v>120</v>
      </c>
    </row>
    <row r="889" spans="1:22" s="5" customFormat="1" ht="27" customHeight="1">
      <c r="A889" s="7" t="s">
        <v>36</v>
      </c>
      <c r="B889" s="204">
        <v>50</v>
      </c>
      <c r="C889" s="204">
        <v>38.799999999999997</v>
      </c>
      <c r="D889" s="204">
        <v>60</v>
      </c>
      <c r="E889" s="204">
        <v>50</v>
      </c>
      <c r="F889" s="204">
        <v>66.7</v>
      </c>
      <c r="G889" s="204">
        <v>50</v>
      </c>
      <c r="H889" s="204">
        <v>66.7</v>
      </c>
      <c r="I889" s="204">
        <v>0</v>
      </c>
      <c r="J889" s="204">
        <v>0</v>
      </c>
      <c r="K889" s="204">
        <v>0</v>
      </c>
      <c r="L889" s="204">
        <v>0</v>
      </c>
      <c r="M889" s="204">
        <v>0</v>
      </c>
      <c r="N889" s="204">
        <v>0</v>
      </c>
      <c r="O889" s="204">
        <v>0</v>
      </c>
      <c r="P889" s="204">
        <v>0</v>
      </c>
      <c r="Q889" s="44" t="s">
        <v>45</v>
      </c>
      <c r="R889" s="205">
        <v>90</v>
      </c>
      <c r="S889" s="205">
        <v>99</v>
      </c>
      <c r="T889" s="217" t="s">
        <v>35</v>
      </c>
      <c r="U889" s="5">
        <v>2.5</v>
      </c>
      <c r="V889" s="5">
        <v>106</v>
      </c>
    </row>
    <row r="890" spans="1:22" s="5" customFormat="1" ht="27" customHeight="1">
      <c r="A890" s="7" t="s">
        <v>43</v>
      </c>
      <c r="B890" s="204">
        <v>50</v>
      </c>
      <c r="C890" s="204">
        <v>63.6</v>
      </c>
      <c r="D890" s="204">
        <v>100</v>
      </c>
      <c r="E890" s="204">
        <v>100</v>
      </c>
      <c r="F890" s="204">
        <v>100</v>
      </c>
      <c r="G890" s="204">
        <v>100</v>
      </c>
      <c r="H890" s="204">
        <v>100</v>
      </c>
      <c r="I890" s="204">
        <v>66.7</v>
      </c>
      <c r="J890" s="204">
        <v>66.7</v>
      </c>
      <c r="K890" s="204">
        <v>100</v>
      </c>
      <c r="L890" s="204">
        <v>100</v>
      </c>
      <c r="M890" s="204">
        <v>100</v>
      </c>
      <c r="N890" s="204">
        <v>100</v>
      </c>
      <c r="O890" s="204">
        <v>100</v>
      </c>
      <c r="P890" s="204">
        <v>100</v>
      </c>
      <c r="Q890" s="44" t="s">
        <v>23</v>
      </c>
      <c r="R890" s="205">
        <v>90</v>
      </c>
      <c r="S890" s="205">
        <v>90</v>
      </c>
      <c r="T890" s="10" t="s">
        <v>27</v>
      </c>
    </row>
    <row r="891" spans="1:22" s="5" customFormat="1" ht="13.5" customHeight="1">
      <c r="A891" s="7" t="s">
        <v>31</v>
      </c>
      <c r="B891" s="204">
        <v>42.9</v>
      </c>
      <c r="C891" s="204">
        <v>54.7</v>
      </c>
      <c r="D891" s="204">
        <v>57.1</v>
      </c>
      <c r="E891" s="204">
        <v>60</v>
      </c>
      <c r="F891" s="204">
        <v>60</v>
      </c>
      <c r="G891" s="204">
        <v>60</v>
      </c>
      <c r="H891" s="204">
        <v>60</v>
      </c>
      <c r="I891" s="204">
        <v>37.5</v>
      </c>
      <c r="J891" s="204">
        <v>50</v>
      </c>
      <c r="K891" s="204">
        <v>100</v>
      </c>
      <c r="L891" s="204">
        <v>100</v>
      </c>
      <c r="M891" s="204">
        <v>100</v>
      </c>
      <c r="N891" s="204">
        <v>100</v>
      </c>
      <c r="O891" s="204">
        <v>100</v>
      </c>
      <c r="P891" s="204">
        <v>100</v>
      </c>
      <c r="Q891" s="44" t="s">
        <v>26</v>
      </c>
      <c r="R891" s="205">
        <v>90</v>
      </c>
      <c r="S891" s="205">
        <v>85</v>
      </c>
      <c r="T891" s="10" t="s">
        <v>28</v>
      </c>
    </row>
    <row r="892" spans="1:22" s="5" customFormat="1" ht="13.5" customHeight="1">
      <c r="A892" s="7" t="s">
        <v>31</v>
      </c>
      <c r="B892" s="204">
        <v>58</v>
      </c>
      <c r="C892" s="204">
        <v>73.3</v>
      </c>
      <c r="D892" s="204">
        <v>83.3</v>
      </c>
      <c r="E892" s="204">
        <v>50</v>
      </c>
      <c r="F892" s="204">
        <v>50</v>
      </c>
      <c r="G892" s="204">
        <v>50</v>
      </c>
      <c r="H892" s="204">
        <v>50</v>
      </c>
      <c r="I892" s="204">
        <v>33.299999999999997</v>
      </c>
      <c r="J892" s="204">
        <v>33.299999999999997</v>
      </c>
      <c r="K892" s="204">
        <v>100</v>
      </c>
      <c r="L892" s="204">
        <v>100</v>
      </c>
      <c r="M892" s="204">
        <v>100</v>
      </c>
      <c r="N892" s="204">
        <v>100</v>
      </c>
      <c r="O892" s="204">
        <v>100</v>
      </c>
      <c r="P892" s="204">
        <v>100</v>
      </c>
      <c r="Q892" s="44" t="s">
        <v>23</v>
      </c>
      <c r="R892" s="205">
        <v>110</v>
      </c>
      <c r="S892" s="205">
        <v>90</v>
      </c>
      <c r="T892" s="57" t="s">
        <v>28</v>
      </c>
    </row>
    <row r="893" spans="1:22" s="5" customFormat="1" ht="13.5" customHeight="1">
      <c r="A893" s="7" t="s">
        <v>37</v>
      </c>
      <c r="B893" s="204">
        <v>57.7</v>
      </c>
      <c r="C893" s="204">
        <v>73.3</v>
      </c>
      <c r="D893" s="204">
        <v>60</v>
      </c>
      <c r="E893" s="204">
        <v>100</v>
      </c>
      <c r="F893" s="204">
        <v>100</v>
      </c>
      <c r="G893" s="204">
        <v>100</v>
      </c>
      <c r="H893" s="204">
        <v>100</v>
      </c>
      <c r="I893" s="204">
        <v>57.1</v>
      </c>
      <c r="J893" s="204">
        <v>57.1</v>
      </c>
      <c r="K893" s="204">
        <v>100</v>
      </c>
      <c r="L893" s="204">
        <v>100</v>
      </c>
      <c r="M893" s="204">
        <v>100</v>
      </c>
      <c r="N893" s="204">
        <v>100</v>
      </c>
      <c r="O893" s="204">
        <v>100</v>
      </c>
      <c r="P893" s="204">
        <v>100</v>
      </c>
      <c r="Q893" s="44" t="s">
        <v>23</v>
      </c>
      <c r="R893" s="205">
        <v>96</v>
      </c>
      <c r="S893" s="205">
        <v>85</v>
      </c>
      <c r="T893" s="10" t="s">
        <v>28</v>
      </c>
    </row>
    <row r="894" spans="1:22" s="5" customFormat="1" ht="27" customHeight="1">
      <c r="A894" s="7" t="s">
        <v>53</v>
      </c>
      <c r="B894" s="204">
        <v>47.1</v>
      </c>
      <c r="C894" s="204">
        <v>38.1</v>
      </c>
      <c r="D894" s="204">
        <v>25</v>
      </c>
      <c r="E894" s="204">
        <v>0</v>
      </c>
      <c r="F894" s="204">
        <v>0</v>
      </c>
      <c r="G894" s="204">
        <v>0</v>
      </c>
      <c r="H894" s="204">
        <v>0</v>
      </c>
      <c r="I894" s="204">
        <v>57.1</v>
      </c>
      <c r="J894" s="204">
        <v>57.1</v>
      </c>
      <c r="K894" s="204">
        <v>0</v>
      </c>
      <c r="L894" s="204">
        <v>0</v>
      </c>
      <c r="M894" s="204">
        <v>0</v>
      </c>
      <c r="N894" s="204">
        <v>0</v>
      </c>
      <c r="O894" s="204">
        <v>60</v>
      </c>
      <c r="P894" s="204">
        <v>0</v>
      </c>
      <c r="Q894" s="44" t="s">
        <v>26</v>
      </c>
      <c r="R894" s="205">
        <v>95</v>
      </c>
      <c r="S894" s="205">
        <v>110</v>
      </c>
      <c r="T894" s="10" t="s">
        <v>35</v>
      </c>
    </row>
    <row r="895" spans="1:22" s="5" customFormat="1" ht="13.5" customHeight="1">
      <c r="A895" s="7" t="s">
        <v>31</v>
      </c>
      <c r="B895" s="204">
        <v>62.5</v>
      </c>
      <c r="C895" s="204">
        <v>39.1</v>
      </c>
      <c r="D895" s="204">
        <v>70</v>
      </c>
      <c r="E895" s="204">
        <v>100</v>
      </c>
      <c r="F895" s="204">
        <v>100</v>
      </c>
      <c r="G895" s="204">
        <v>100</v>
      </c>
      <c r="H895" s="204">
        <v>100</v>
      </c>
      <c r="I895" s="204">
        <v>50</v>
      </c>
      <c r="J895" s="204">
        <v>50</v>
      </c>
      <c r="K895" s="204">
        <v>100</v>
      </c>
      <c r="L895" s="204">
        <v>100</v>
      </c>
      <c r="M895" s="204">
        <v>100</v>
      </c>
      <c r="N895" s="204">
        <v>100</v>
      </c>
      <c r="O895" s="204">
        <v>100</v>
      </c>
      <c r="P895" s="204">
        <v>100</v>
      </c>
      <c r="Q895" s="44" t="s">
        <v>45</v>
      </c>
      <c r="R895" s="205">
        <v>75</v>
      </c>
      <c r="S895" s="205">
        <v>90</v>
      </c>
      <c r="T895" s="57" t="s">
        <v>24</v>
      </c>
    </row>
    <row r="896" spans="1:22" ht="13.5" customHeight="1">
      <c r="A896" s="7" t="s">
        <v>31</v>
      </c>
      <c r="B896" s="204">
        <v>50</v>
      </c>
      <c r="C896" s="204">
        <v>46.5</v>
      </c>
      <c r="D896" s="204">
        <v>64.3</v>
      </c>
      <c r="E896" s="204">
        <v>100</v>
      </c>
      <c r="F896" s="204">
        <v>100</v>
      </c>
      <c r="G896" s="204">
        <v>100</v>
      </c>
      <c r="H896" s="204">
        <v>100</v>
      </c>
      <c r="I896" s="204">
        <v>75</v>
      </c>
      <c r="J896" s="204">
        <v>75</v>
      </c>
      <c r="K896" s="204">
        <v>100</v>
      </c>
      <c r="L896" s="204">
        <v>100</v>
      </c>
      <c r="M896" s="204">
        <v>100</v>
      </c>
      <c r="N896" s="204">
        <v>100</v>
      </c>
      <c r="O896" s="204">
        <v>100</v>
      </c>
      <c r="P896" s="204">
        <v>100</v>
      </c>
      <c r="Q896" s="44" t="s">
        <v>45</v>
      </c>
      <c r="R896" s="205">
        <v>90</v>
      </c>
      <c r="S896" s="205">
        <v>90</v>
      </c>
      <c r="T896" s="10" t="s">
        <v>28</v>
      </c>
    </row>
    <row r="897" spans="1:20" ht="13.5" customHeight="1">
      <c r="A897" s="7" t="s">
        <v>53</v>
      </c>
      <c r="B897" s="204">
        <v>42.9</v>
      </c>
      <c r="C897" s="204">
        <v>36.9</v>
      </c>
      <c r="D897" s="204">
        <v>16.7</v>
      </c>
      <c r="E897" s="204">
        <v>0</v>
      </c>
      <c r="F897" s="204">
        <v>0</v>
      </c>
      <c r="G897" s="204">
        <v>0</v>
      </c>
      <c r="H897" s="204">
        <v>0</v>
      </c>
      <c r="I897" s="204">
        <v>25</v>
      </c>
      <c r="J897" s="204">
        <v>0</v>
      </c>
      <c r="K897" s="204">
        <v>0</v>
      </c>
      <c r="L897" s="204">
        <v>0</v>
      </c>
      <c r="M897" s="204">
        <v>0</v>
      </c>
      <c r="N897" s="204">
        <v>0</v>
      </c>
      <c r="O897" s="204">
        <v>33.299999999999997</v>
      </c>
      <c r="P897" s="204">
        <v>33.299999999999997</v>
      </c>
      <c r="Q897" s="44" t="s">
        <v>45</v>
      </c>
      <c r="R897" s="205">
        <v>95</v>
      </c>
      <c r="S897" s="205">
        <v>70</v>
      </c>
      <c r="T897" s="10" t="s">
        <v>40</v>
      </c>
    </row>
    <row r="898" spans="1:20" ht="13.5" customHeight="1">
      <c r="A898" s="7" t="s">
        <v>43</v>
      </c>
      <c r="B898" s="204">
        <v>62.5</v>
      </c>
      <c r="C898" s="204">
        <v>36.9</v>
      </c>
      <c r="D898" s="204">
        <v>50</v>
      </c>
      <c r="E898" s="204">
        <v>100</v>
      </c>
      <c r="F898" s="204">
        <v>100</v>
      </c>
      <c r="G898" s="204">
        <v>100</v>
      </c>
      <c r="H898" s="204">
        <v>100</v>
      </c>
      <c r="I898" s="204">
        <v>100</v>
      </c>
      <c r="J898" s="204">
        <v>100</v>
      </c>
      <c r="K898" s="204">
        <v>100</v>
      </c>
      <c r="L898" s="204">
        <v>100</v>
      </c>
      <c r="M898" s="204">
        <v>100</v>
      </c>
      <c r="N898" s="204">
        <v>100</v>
      </c>
      <c r="O898" s="204">
        <v>100</v>
      </c>
      <c r="P898" s="204">
        <v>100</v>
      </c>
      <c r="Q898" s="44" t="s">
        <v>45</v>
      </c>
      <c r="R898" s="205">
        <v>105</v>
      </c>
      <c r="S898" s="205">
        <v>90</v>
      </c>
      <c r="T898" s="10" t="s">
        <v>28</v>
      </c>
    </row>
    <row r="899" spans="1:20" ht="13.5" customHeight="1">
      <c r="A899" s="7" t="s">
        <v>60</v>
      </c>
      <c r="B899" s="204">
        <v>46.2</v>
      </c>
      <c r="C899" s="204">
        <v>36.9</v>
      </c>
      <c r="D899" s="204">
        <v>24.4</v>
      </c>
      <c r="E899" s="204">
        <v>0</v>
      </c>
      <c r="F899" s="204">
        <v>0</v>
      </c>
      <c r="G899" s="204">
        <v>0</v>
      </c>
      <c r="H899" s="204">
        <v>0</v>
      </c>
      <c r="I899" s="204">
        <v>0</v>
      </c>
      <c r="J899" s="204">
        <v>0</v>
      </c>
      <c r="K899" s="204">
        <v>0</v>
      </c>
      <c r="L899" s="204">
        <v>0</v>
      </c>
      <c r="M899" s="204">
        <v>0</v>
      </c>
      <c r="N899" s="204">
        <v>0</v>
      </c>
      <c r="O899" s="204">
        <v>33.299999999999997</v>
      </c>
      <c r="P899" s="204">
        <v>33.299999999999997</v>
      </c>
      <c r="Q899" s="44" t="s">
        <v>45</v>
      </c>
      <c r="R899" s="205">
        <v>105</v>
      </c>
      <c r="S899" s="205">
        <v>87</v>
      </c>
      <c r="T899" s="10" t="s">
        <v>24</v>
      </c>
    </row>
    <row r="900" spans="1:20" ht="13.5" customHeight="1">
      <c r="A900" s="7" t="s">
        <v>33</v>
      </c>
      <c r="B900" s="204">
        <v>58</v>
      </c>
      <c r="C900" s="204">
        <v>55.6</v>
      </c>
      <c r="D900" s="204">
        <v>66.7</v>
      </c>
      <c r="E900" s="204">
        <v>66.7</v>
      </c>
      <c r="F900" s="204">
        <v>66.7</v>
      </c>
      <c r="G900" s="204">
        <v>100</v>
      </c>
      <c r="H900" s="204">
        <v>100</v>
      </c>
      <c r="I900" s="204">
        <v>100</v>
      </c>
      <c r="J900" s="204">
        <v>100</v>
      </c>
      <c r="K900" s="204">
        <v>100</v>
      </c>
      <c r="L900" s="204">
        <v>100</v>
      </c>
      <c r="M900" s="204">
        <v>100</v>
      </c>
      <c r="N900" s="204">
        <v>100</v>
      </c>
      <c r="O900" s="204">
        <v>100</v>
      </c>
      <c r="P900" s="204">
        <v>100</v>
      </c>
      <c r="Q900" s="44" t="s">
        <v>45</v>
      </c>
      <c r="R900" s="205">
        <v>85</v>
      </c>
      <c r="S900" s="205">
        <v>95</v>
      </c>
      <c r="T900" s="10" t="s">
        <v>28</v>
      </c>
    </row>
    <row r="901" spans="1:20" ht="13.5" customHeight="1">
      <c r="A901" s="7" t="s">
        <v>74</v>
      </c>
      <c r="B901" s="204">
        <v>42.9</v>
      </c>
      <c r="C901" s="204">
        <v>38.799999999999997</v>
      </c>
      <c r="D901" s="204">
        <v>33.299999999999997</v>
      </c>
      <c r="E901" s="204">
        <v>0</v>
      </c>
      <c r="F901" s="204">
        <v>0</v>
      </c>
      <c r="G901" s="204">
        <v>0</v>
      </c>
      <c r="H901" s="204">
        <v>0</v>
      </c>
      <c r="I901" s="204">
        <v>25</v>
      </c>
      <c r="J901" s="204">
        <v>0</v>
      </c>
      <c r="K901" s="204">
        <v>0</v>
      </c>
      <c r="L901" s="204">
        <v>0</v>
      </c>
      <c r="M901" s="204">
        <v>0</v>
      </c>
      <c r="N901" s="204">
        <v>0</v>
      </c>
      <c r="O901" s="204">
        <v>0</v>
      </c>
      <c r="P901" s="204">
        <v>0</v>
      </c>
      <c r="Q901" s="44" t="s">
        <v>45</v>
      </c>
      <c r="R901" s="205">
        <v>95</v>
      </c>
      <c r="S901" s="205">
        <v>80</v>
      </c>
      <c r="T901" s="10" t="s">
        <v>46</v>
      </c>
    </row>
    <row r="902" spans="1:20" ht="13.5" customHeight="1">
      <c r="A902" s="7" t="s">
        <v>43</v>
      </c>
      <c r="B902" s="204">
        <v>42.9</v>
      </c>
      <c r="C902" s="204">
        <v>22.2</v>
      </c>
      <c r="D902" s="204">
        <v>30</v>
      </c>
      <c r="E902" s="204">
        <v>66.7</v>
      </c>
      <c r="F902" s="204">
        <v>66.7</v>
      </c>
      <c r="G902" s="204">
        <v>66.7</v>
      </c>
      <c r="H902" s="204">
        <v>66.7</v>
      </c>
      <c r="I902" s="204">
        <v>100</v>
      </c>
      <c r="J902" s="204">
        <v>100</v>
      </c>
      <c r="K902" s="204">
        <v>100</v>
      </c>
      <c r="L902" s="204">
        <v>100</v>
      </c>
      <c r="M902" s="204">
        <v>100</v>
      </c>
      <c r="N902" s="204">
        <v>100</v>
      </c>
      <c r="O902" s="204">
        <v>60</v>
      </c>
      <c r="P902" s="204">
        <v>33.299999999999997</v>
      </c>
      <c r="Q902" s="44" t="s">
        <v>45</v>
      </c>
      <c r="R902" s="205">
        <v>100</v>
      </c>
      <c r="S902" s="205">
        <v>100</v>
      </c>
      <c r="T902" s="217" t="s">
        <v>48</v>
      </c>
    </row>
    <row r="903" spans="1:20" ht="13.5" customHeight="1">
      <c r="A903" s="7" t="s">
        <v>22</v>
      </c>
      <c r="B903" s="204">
        <v>50</v>
      </c>
      <c r="C903" s="204">
        <v>50.8</v>
      </c>
      <c r="D903" s="204">
        <v>62.5</v>
      </c>
      <c r="E903" s="204">
        <v>66.7</v>
      </c>
      <c r="F903" s="204">
        <v>66.7</v>
      </c>
      <c r="G903" s="204">
        <v>66.7</v>
      </c>
      <c r="H903" s="204">
        <v>66.7</v>
      </c>
      <c r="I903" s="204">
        <v>100</v>
      </c>
      <c r="J903" s="204">
        <v>100</v>
      </c>
      <c r="K903" s="204">
        <v>100</v>
      </c>
      <c r="L903" s="204">
        <v>100</v>
      </c>
      <c r="M903" s="204">
        <v>100</v>
      </c>
      <c r="N903" s="204">
        <v>100</v>
      </c>
      <c r="O903" s="204">
        <v>66.7</v>
      </c>
      <c r="P903" s="204">
        <v>66.7</v>
      </c>
      <c r="Q903" s="44" t="s">
        <v>45</v>
      </c>
      <c r="R903" s="205">
        <v>95</v>
      </c>
      <c r="S903" s="205">
        <v>95</v>
      </c>
      <c r="T903" s="217" t="s">
        <v>27</v>
      </c>
    </row>
    <row r="904" spans="1:20" ht="13.5" customHeight="1">
      <c r="A904" s="7" t="s">
        <v>33</v>
      </c>
      <c r="B904" s="204">
        <v>58</v>
      </c>
      <c r="C904" s="204">
        <v>46.5</v>
      </c>
      <c r="D904" s="204">
        <v>57.1</v>
      </c>
      <c r="E904" s="204">
        <v>50</v>
      </c>
      <c r="F904" s="204">
        <v>50</v>
      </c>
      <c r="G904" s="204">
        <v>50</v>
      </c>
      <c r="H904" s="204">
        <v>50</v>
      </c>
      <c r="I904" s="204">
        <v>100</v>
      </c>
      <c r="J904" s="204">
        <v>100</v>
      </c>
      <c r="K904" s="204">
        <v>50</v>
      </c>
      <c r="L904" s="204">
        <v>50</v>
      </c>
      <c r="M904" s="204">
        <v>100</v>
      </c>
      <c r="N904" s="204">
        <v>100</v>
      </c>
      <c r="O904" s="204">
        <v>66.7</v>
      </c>
      <c r="P904" s="204">
        <v>66.7</v>
      </c>
      <c r="Q904" s="44" t="s">
        <v>45</v>
      </c>
      <c r="R904" s="205">
        <v>75</v>
      </c>
      <c r="S904" s="205">
        <v>90</v>
      </c>
      <c r="T904" s="217" t="s">
        <v>27</v>
      </c>
    </row>
    <row r="905" spans="1:20" ht="13.5" customHeight="1">
      <c r="A905" s="7" t="s">
        <v>31</v>
      </c>
      <c r="B905" s="204">
        <v>58</v>
      </c>
      <c r="C905" s="204">
        <v>57.9</v>
      </c>
      <c r="D905" s="204">
        <v>50</v>
      </c>
      <c r="E905" s="204">
        <v>66.7</v>
      </c>
      <c r="F905" s="204">
        <v>66.7</v>
      </c>
      <c r="G905" s="204">
        <v>66.7</v>
      </c>
      <c r="H905" s="204">
        <v>66.7</v>
      </c>
      <c r="I905" s="204">
        <v>100</v>
      </c>
      <c r="J905" s="204">
        <v>100</v>
      </c>
      <c r="K905" s="204">
        <v>33.299999999999997</v>
      </c>
      <c r="L905" s="204">
        <v>33.299999999999997</v>
      </c>
      <c r="M905" s="204">
        <v>50</v>
      </c>
      <c r="N905" s="204">
        <v>50</v>
      </c>
      <c r="O905" s="204">
        <v>100</v>
      </c>
      <c r="P905" s="204">
        <v>100</v>
      </c>
      <c r="Q905" s="44" t="s">
        <v>45</v>
      </c>
      <c r="R905" s="205">
        <v>90</v>
      </c>
      <c r="S905" s="205">
        <v>65</v>
      </c>
      <c r="T905" s="217" t="s">
        <v>40</v>
      </c>
    </row>
    <row r="906" spans="1:20" ht="13.5" customHeight="1">
      <c r="A906" s="7" t="s">
        <v>31</v>
      </c>
      <c r="B906" s="204">
        <v>46.2</v>
      </c>
      <c r="C906" s="204">
        <v>38.1</v>
      </c>
      <c r="D906" s="204">
        <v>30.8</v>
      </c>
      <c r="E906" s="204">
        <v>100</v>
      </c>
      <c r="F906" s="204">
        <v>100</v>
      </c>
      <c r="G906" s="204">
        <v>100</v>
      </c>
      <c r="H906" s="204">
        <v>100</v>
      </c>
      <c r="I906" s="204">
        <v>50</v>
      </c>
      <c r="J906" s="204">
        <v>50</v>
      </c>
      <c r="K906" s="204">
        <v>100</v>
      </c>
      <c r="L906" s="204">
        <v>100</v>
      </c>
      <c r="M906" s="204">
        <v>100</v>
      </c>
      <c r="N906" s="204">
        <v>100</v>
      </c>
      <c r="O906" s="204">
        <v>100</v>
      </c>
      <c r="P906" s="204">
        <v>100</v>
      </c>
      <c r="Q906" s="44" t="s">
        <v>45</v>
      </c>
      <c r="R906" s="205">
        <v>80</v>
      </c>
      <c r="S906" s="205">
        <v>100</v>
      </c>
      <c r="T906" s="217" t="s">
        <v>65</v>
      </c>
    </row>
    <row r="907" spans="1:20" ht="13.5" customHeight="1">
      <c r="A907" s="7" t="s">
        <v>60</v>
      </c>
      <c r="B907" s="204">
        <v>62.5</v>
      </c>
      <c r="C907" s="204">
        <v>49.4</v>
      </c>
      <c r="D907" s="204">
        <v>44.4</v>
      </c>
      <c r="E907" s="204">
        <v>0</v>
      </c>
      <c r="F907" s="204">
        <v>0</v>
      </c>
      <c r="G907" s="204">
        <v>0</v>
      </c>
      <c r="H907" s="204">
        <v>0</v>
      </c>
      <c r="I907" s="204">
        <v>66.7</v>
      </c>
      <c r="J907" s="204">
        <v>66.7</v>
      </c>
      <c r="K907" s="204">
        <v>0</v>
      </c>
      <c r="L907" s="204">
        <v>0</v>
      </c>
      <c r="M907" s="204">
        <v>0</v>
      </c>
      <c r="N907" s="204">
        <v>0</v>
      </c>
      <c r="O907" s="204">
        <v>0</v>
      </c>
      <c r="P907" s="204">
        <v>0</v>
      </c>
      <c r="Q907" s="44" t="s">
        <v>45</v>
      </c>
      <c r="R907" s="205">
        <v>75</v>
      </c>
      <c r="S907" s="205">
        <v>90</v>
      </c>
      <c r="T907" s="217" t="s">
        <v>24</v>
      </c>
    </row>
    <row r="908" spans="1:20" ht="13.5" customHeight="1">
      <c r="A908" s="7" t="s">
        <v>37</v>
      </c>
      <c r="B908" s="204">
        <v>100</v>
      </c>
      <c r="C908" s="204">
        <v>62.5</v>
      </c>
      <c r="D908" s="204">
        <v>50</v>
      </c>
      <c r="E908" s="204">
        <v>100</v>
      </c>
      <c r="F908" s="204">
        <v>100</v>
      </c>
      <c r="G908" s="204">
        <v>100</v>
      </c>
      <c r="H908" s="204">
        <v>100</v>
      </c>
      <c r="I908" s="204">
        <v>100</v>
      </c>
      <c r="J908" s="204">
        <v>100</v>
      </c>
      <c r="K908" s="204">
        <v>100</v>
      </c>
      <c r="L908" s="204">
        <v>100</v>
      </c>
      <c r="M908" s="204">
        <v>100</v>
      </c>
      <c r="N908" s="204">
        <v>100</v>
      </c>
      <c r="O908" s="204">
        <v>100</v>
      </c>
      <c r="P908" s="204">
        <v>100</v>
      </c>
      <c r="Q908" s="44" t="s">
        <v>34</v>
      </c>
      <c r="R908" s="205">
        <v>85</v>
      </c>
      <c r="S908" s="205">
        <v>85</v>
      </c>
      <c r="T908" s="217" t="s">
        <v>28</v>
      </c>
    </row>
    <row r="909" spans="1:20" ht="13.5" customHeight="1">
      <c r="A909" s="7" t="s">
        <v>31</v>
      </c>
      <c r="B909" s="204">
        <v>50</v>
      </c>
      <c r="C909" s="204">
        <v>36.9</v>
      </c>
      <c r="D909" s="204">
        <v>16.7</v>
      </c>
      <c r="E909" s="204">
        <v>100</v>
      </c>
      <c r="F909" s="204">
        <v>100</v>
      </c>
      <c r="G909" s="204">
        <v>100</v>
      </c>
      <c r="H909" s="204">
        <v>100</v>
      </c>
      <c r="I909" s="204">
        <v>50</v>
      </c>
      <c r="J909" s="204">
        <v>50</v>
      </c>
      <c r="K909" s="204">
        <v>100</v>
      </c>
      <c r="L909" s="204">
        <v>100</v>
      </c>
      <c r="M909" s="204">
        <v>100</v>
      </c>
      <c r="N909" s="204">
        <v>100</v>
      </c>
      <c r="O909" s="204">
        <v>40</v>
      </c>
      <c r="P909" s="204">
        <v>40</v>
      </c>
      <c r="Q909" s="44" t="s">
        <v>63</v>
      </c>
      <c r="R909" s="205">
        <v>75</v>
      </c>
      <c r="S909" s="205">
        <v>90</v>
      </c>
      <c r="T909" s="217" t="s">
        <v>28</v>
      </c>
    </row>
    <row r="910" spans="1:20" ht="13.5" customHeight="1">
      <c r="A910" s="49" t="s">
        <v>82</v>
      </c>
      <c r="B910" s="204">
        <v>55.6</v>
      </c>
      <c r="C910" s="204">
        <v>73.3</v>
      </c>
      <c r="D910" s="204">
        <v>100</v>
      </c>
      <c r="E910" s="204">
        <v>100</v>
      </c>
      <c r="F910" s="204">
        <v>100</v>
      </c>
      <c r="G910" s="204">
        <v>50</v>
      </c>
      <c r="H910" s="204">
        <v>50</v>
      </c>
      <c r="I910" s="204">
        <v>60</v>
      </c>
      <c r="J910" s="204">
        <v>60</v>
      </c>
      <c r="K910" s="204">
        <v>50</v>
      </c>
      <c r="L910" s="204">
        <v>50</v>
      </c>
      <c r="M910" s="204">
        <v>50</v>
      </c>
      <c r="N910" s="204">
        <v>50</v>
      </c>
      <c r="O910" s="204">
        <v>50</v>
      </c>
      <c r="P910" s="204">
        <v>50</v>
      </c>
      <c r="Q910" s="44" t="s">
        <v>26</v>
      </c>
      <c r="R910" s="205">
        <v>90</v>
      </c>
      <c r="S910" s="205">
        <v>95</v>
      </c>
      <c r="T910" s="217" t="s">
        <v>27</v>
      </c>
    </row>
    <row r="911" spans="1:20" ht="13.5" customHeight="1">
      <c r="A911" s="7" t="s">
        <v>31</v>
      </c>
      <c r="B911" s="204">
        <v>47.1</v>
      </c>
      <c r="C911" s="204">
        <v>76.2</v>
      </c>
      <c r="D911" s="204">
        <v>100</v>
      </c>
      <c r="E911" s="204">
        <v>50</v>
      </c>
      <c r="F911" s="204">
        <v>50</v>
      </c>
      <c r="G911" s="204">
        <v>50</v>
      </c>
      <c r="H911" s="204">
        <v>50</v>
      </c>
      <c r="I911" s="204">
        <v>50</v>
      </c>
      <c r="J911" s="204">
        <v>57.1</v>
      </c>
      <c r="K911" s="204">
        <v>100</v>
      </c>
      <c r="L911" s="204">
        <v>100</v>
      </c>
      <c r="M911" s="204">
        <v>100</v>
      </c>
      <c r="N911" s="204">
        <v>100</v>
      </c>
      <c r="O911" s="204">
        <v>33.299999999999997</v>
      </c>
      <c r="P911" s="204">
        <v>33.299999999999997</v>
      </c>
      <c r="Q911" s="44" t="s">
        <v>26</v>
      </c>
      <c r="R911" s="205">
        <v>80</v>
      </c>
      <c r="S911" s="205">
        <v>75</v>
      </c>
      <c r="T911" s="217" t="s">
        <v>40</v>
      </c>
    </row>
    <row r="912" spans="1:20" ht="13.5" customHeight="1">
      <c r="A912" s="7" t="s">
        <v>22</v>
      </c>
      <c r="B912" s="204">
        <v>57.7</v>
      </c>
      <c r="C912" s="204">
        <v>60.6</v>
      </c>
      <c r="D912" s="204">
        <v>100</v>
      </c>
      <c r="E912" s="204">
        <v>100</v>
      </c>
      <c r="F912" s="204">
        <v>100</v>
      </c>
      <c r="G912" s="204">
        <v>100</v>
      </c>
      <c r="H912" s="204">
        <v>100</v>
      </c>
      <c r="I912" s="204">
        <v>50</v>
      </c>
      <c r="J912" s="204">
        <v>57.1</v>
      </c>
      <c r="K912" s="204">
        <v>50</v>
      </c>
      <c r="L912" s="204">
        <v>50</v>
      </c>
      <c r="M912" s="204">
        <v>50</v>
      </c>
      <c r="N912" s="204">
        <v>50</v>
      </c>
      <c r="O912" s="204">
        <v>100</v>
      </c>
      <c r="P912" s="204">
        <v>100</v>
      </c>
      <c r="Q912" s="44" t="s">
        <v>23</v>
      </c>
      <c r="R912" s="205">
        <v>85</v>
      </c>
      <c r="S912" s="205">
        <v>75</v>
      </c>
      <c r="T912" s="217" t="s">
        <v>40</v>
      </c>
    </row>
    <row r="913" spans="1:20" ht="13.5" customHeight="1">
      <c r="A913" s="7" t="s">
        <v>22</v>
      </c>
      <c r="B913" s="204">
        <v>100</v>
      </c>
      <c r="C913" s="204">
        <v>86.4</v>
      </c>
      <c r="D913" s="204">
        <v>100</v>
      </c>
      <c r="E913" s="204">
        <v>100</v>
      </c>
      <c r="F913" s="204">
        <v>100</v>
      </c>
      <c r="G913" s="204">
        <v>100</v>
      </c>
      <c r="H913" s="204">
        <v>100</v>
      </c>
      <c r="I913" s="204">
        <v>100</v>
      </c>
      <c r="J913" s="204">
        <v>100</v>
      </c>
      <c r="K913" s="204">
        <v>100</v>
      </c>
      <c r="L913" s="204">
        <v>100</v>
      </c>
      <c r="M913" s="204">
        <v>100</v>
      </c>
      <c r="N913" s="204">
        <v>100</v>
      </c>
      <c r="O913" s="204">
        <v>50</v>
      </c>
      <c r="P913" s="204">
        <v>50</v>
      </c>
      <c r="Q913" s="44" t="s">
        <v>34</v>
      </c>
      <c r="R913" s="205">
        <v>80</v>
      </c>
      <c r="S913" s="205">
        <v>70</v>
      </c>
      <c r="T913" s="217" t="s">
        <v>40</v>
      </c>
    </row>
    <row r="914" spans="1:20" ht="13.5" customHeight="1">
      <c r="A914" s="7" t="s">
        <v>42</v>
      </c>
      <c r="B914" s="204">
        <v>45.2</v>
      </c>
      <c r="C914" s="204">
        <v>49</v>
      </c>
      <c r="D914" s="204">
        <v>25</v>
      </c>
      <c r="E914" s="204">
        <v>0</v>
      </c>
      <c r="F914" s="204">
        <v>0</v>
      </c>
      <c r="G914" s="204">
        <v>0</v>
      </c>
      <c r="H914" s="204">
        <v>0</v>
      </c>
      <c r="I914" s="204">
        <v>37.5</v>
      </c>
      <c r="J914" s="204">
        <v>50</v>
      </c>
      <c r="K914" s="204">
        <v>0</v>
      </c>
      <c r="L914" s="204">
        <v>0</v>
      </c>
      <c r="M914" s="204">
        <v>0</v>
      </c>
      <c r="N914" s="204">
        <v>0</v>
      </c>
      <c r="O914" s="204">
        <v>0</v>
      </c>
      <c r="P914" s="204">
        <v>0</v>
      </c>
      <c r="Q914" s="44" t="s">
        <v>45</v>
      </c>
      <c r="R914" s="205">
        <v>95</v>
      </c>
      <c r="S914" s="205">
        <v>100</v>
      </c>
      <c r="T914" s="217" t="s">
        <v>35</v>
      </c>
    </row>
    <row r="915" spans="1:20" ht="13.5" customHeight="1">
      <c r="A915" s="7" t="s">
        <v>22</v>
      </c>
      <c r="B915" s="204">
        <v>34.6</v>
      </c>
      <c r="C915" s="204">
        <v>54.7</v>
      </c>
      <c r="D915" s="204">
        <v>53.8</v>
      </c>
      <c r="E915" s="204">
        <v>100</v>
      </c>
      <c r="F915" s="204">
        <v>100</v>
      </c>
      <c r="G915" s="204">
        <v>66.7</v>
      </c>
      <c r="H915" s="204">
        <v>66.7</v>
      </c>
      <c r="I915" s="204">
        <v>57.1</v>
      </c>
      <c r="J915" s="204">
        <v>57.1</v>
      </c>
      <c r="K915" s="204">
        <v>100</v>
      </c>
      <c r="L915" s="204">
        <v>100</v>
      </c>
      <c r="M915" s="204">
        <v>100</v>
      </c>
      <c r="N915" s="204">
        <v>100</v>
      </c>
      <c r="O915" s="204">
        <v>100</v>
      </c>
      <c r="P915" s="204">
        <v>100</v>
      </c>
      <c r="Q915" s="44" t="s">
        <v>45</v>
      </c>
      <c r="R915" s="205">
        <v>80</v>
      </c>
      <c r="S915" s="205">
        <v>80</v>
      </c>
      <c r="T915" s="217" t="s">
        <v>46</v>
      </c>
    </row>
    <row r="916" spans="1:20" ht="13.5" customHeight="1">
      <c r="A916" s="7" t="s">
        <v>36</v>
      </c>
      <c r="B916" s="204">
        <v>45.2</v>
      </c>
      <c r="C916" s="204">
        <v>55.6</v>
      </c>
      <c r="D916" s="204">
        <v>66.7</v>
      </c>
      <c r="E916" s="204">
        <v>0</v>
      </c>
      <c r="F916" s="204">
        <v>0</v>
      </c>
      <c r="G916" s="204">
        <v>50</v>
      </c>
      <c r="H916" s="204">
        <v>50</v>
      </c>
      <c r="I916" s="204">
        <v>50</v>
      </c>
      <c r="J916" s="204">
        <v>50</v>
      </c>
      <c r="K916" s="204">
        <v>50</v>
      </c>
      <c r="L916" s="204">
        <v>50</v>
      </c>
      <c r="M916" s="204">
        <v>50</v>
      </c>
      <c r="N916" s="204">
        <v>50</v>
      </c>
      <c r="O916" s="204">
        <v>75</v>
      </c>
      <c r="P916" s="204">
        <v>75</v>
      </c>
      <c r="Q916" s="44" t="s">
        <v>45</v>
      </c>
      <c r="R916" s="205">
        <v>105</v>
      </c>
      <c r="S916" s="205">
        <v>102</v>
      </c>
      <c r="T916" s="217" t="s">
        <v>35</v>
      </c>
    </row>
    <row r="917" spans="1:20" ht="13.5" customHeight="1">
      <c r="A917" s="7" t="s">
        <v>36</v>
      </c>
      <c r="B917" s="204">
        <v>57.7</v>
      </c>
      <c r="C917" s="204">
        <v>73.3</v>
      </c>
      <c r="D917" s="204">
        <v>60</v>
      </c>
      <c r="E917" s="204">
        <v>40</v>
      </c>
      <c r="F917" s="204">
        <v>50</v>
      </c>
      <c r="G917" s="204">
        <v>33.299999999999997</v>
      </c>
      <c r="H917" s="204">
        <v>50</v>
      </c>
      <c r="I917" s="204">
        <v>50</v>
      </c>
      <c r="J917" s="204">
        <v>57.1</v>
      </c>
      <c r="K917" s="204">
        <v>0</v>
      </c>
      <c r="L917" s="204">
        <v>0</v>
      </c>
      <c r="M917" s="204">
        <v>0</v>
      </c>
      <c r="N917" s="204">
        <v>0</v>
      </c>
      <c r="O917" s="204">
        <v>50</v>
      </c>
      <c r="P917" s="204">
        <v>50</v>
      </c>
      <c r="Q917" s="44" t="s">
        <v>23</v>
      </c>
      <c r="R917" s="205">
        <v>100</v>
      </c>
      <c r="S917" s="205">
        <v>95</v>
      </c>
      <c r="T917" s="217" t="s">
        <v>35</v>
      </c>
    </row>
    <row r="918" spans="1:20" ht="13.5" customHeight="1">
      <c r="A918" s="7" t="s">
        <v>22</v>
      </c>
      <c r="B918" s="204">
        <v>42.9</v>
      </c>
      <c r="C918" s="204">
        <v>50.8</v>
      </c>
      <c r="D918" s="204">
        <v>62.5</v>
      </c>
      <c r="E918" s="204">
        <v>60</v>
      </c>
      <c r="F918" s="204">
        <v>60</v>
      </c>
      <c r="G918" s="204">
        <v>60</v>
      </c>
      <c r="H918" s="204">
        <v>60</v>
      </c>
      <c r="I918" s="204">
        <v>37.5</v>
      </c>
      <c r="J918" s="204">
        <v>50</v>
      </c>
      <c r="K918" s="204">
        <v>50</v>
      </c>
      <c r="L918" s="204">
        <v>50</v>
      </c>
      <c r="M918" s="204">
        <v>50</v>
      </c>
      <c r="N918" s="204">
        <v>50</v>
      </c>
      <c r="O918" s="204">
        <v>75</v>
      </c>
      <c r="P918" s="204">
        <v>75</v>
      </c>
      <c r="Q918" s="44" t="s">
        <v>63</v>
      </c>
      <c r="R918" s="205">
        <v>90</v>
      </c>
      <c r="S918" s="205">
        <v>85</v>
      </c>
      <c r="T918" s="217" t="s">
        <v>27</v>
      </c>
    </row>
    <row r="919" spans="1:20" ht="27" customHeight="1">
      <c r="A919" s="7" t="s">
        <v>22</v>
      </c>
      <c r="B919" s="204">
        <v>57.7</v>
      </c>
      <c r="C919" s="204">
        <v>59.6</v>
      </c>
      <c r="D919" s="204">
        <v>60</v>
      </c>
      <c r="E919" s="204">
        <v>100</v>
      </c>
      <c r="F919" s="204">
        <v>100</v>
      </c>
      <c r="G919" s="204">
        <v>66.7</v>
      </c>
      <c r="H919" s="204">
        <v>66.7</v>
      </c>
      <c r="I919" s="204">
        <v>57.1</v>
      </c>
      <c r="J919" s="204">
        <v>57.1</v>
      </c>
      <c r="K919" s="204">
        <v>100</v>
      </c>
      <c r="L919" s="204">
        <v>100</v>
      </c>
      <c r="M919" s="204">
        <v>100</v>
      </c>
      <c r="N919" s="204">
        <v>100</v>
      </c>
      <c r="O919" s="204">
        <v>50</v>
      </c>
      <c r="P919" s="204">
        <v>50</v>
      </c>
      <c r="Q919" s="44" t="s">
        <v>23</v>
      </c>
      <c r="R919" s="205">
        <v>105</v>
      </c>
      <c r="S919" s="205">
        <v>85</v>
      </c>
      <c r="T919" s="217" t="s">
        <v>28</v>
      </c>
    </row>
    <row r="920" spans="1:20" ht="13.5" customHeight="1">
      <c r="A920" s="7" t="s">
        <v>29</v>
      </c>
      <c r="B920" s="204">
        <v>44.4</v>
      </c>
      <c r="C920" s="204">
        <v>36.9</v>
      </c>
      <c r="D920" s="204">
        <v>25</v>
      </c>
      <c r="E920" s="204">
        <v>66.7</v>
      </c>
      <c r="F920" s="204">
        <v>66.7</v>
      </c>
      <c r="G920" s="204">
        <v>66.7</v>
      </c>
      <c r="H920" s="204">
        <v>66.7</v>
      </c>
      <c r="I920" s="204">
        <v>100</v>
      </c>
      <c r="J920" s="204">
        <v>100</v>
      </c>
      <c r="K920" s="204">
        <v>100</v>
      </c>
      <c r="L920" s="204">
        <v>100</v>
      </c>
      <c r="M920" s="204">
        <v>100</v>
      </c>
      <c r="N920" s="204">
        <v>100</v>
      </c>
      <c r="O920" s="204">
        <v>75</v>
      </c>
      <c r="P920" s="204">
        <v>75</v>
      </c>
      <c r="Q920" s="44" t="s">
        <v>45</v>
      </c>
      <c r="R920" s="205">
        <v>80</v>
      </c>
      <c r="S920" s="205">
        <v>75</v>
      </c>
      <c r="T920" s="217" t="s">
        <v>40</v>
      </c>
    </row>
    <row r="921" spans="1:20" ht="13.5" customHeight="1">
      <c r="A921" s="7" t="s">
        <v>36</v>
      </c>
      <c r="B921" s="204">
        <v>46.2</v>
      </c>
      <c r="C921" s="204">
        <v>49.4</v>
      </c>
      <c r="D921" s="204">
        <v>0</v>
      </c>
      <c r="E921" s="204">
        <v>0</v>
      </c>
      <c r="F921" s="204">
        <v>0</v>
      </c>
      <c r="G921" s="204">
        <v>0</v>
      </c>
      <c r="H921" s="204">
        <v>0</v>
      </c>
      <c r="I921" s="204">
        <v>0</v>
      </c>
      <c r="J921" s="204">
        <v>0</v>
      </c>
      <c r="K921" s="204">
        <v>0</v>
      </c>
      <c r="L921" s="204">
        <v>0</v>
      </c>
      <c r="M921" s="204">
        <v>0</v>
      </c>
      <c r="N921" s="204">
        <v>0</v>
      </c>
      <c r="O921" s="204">
        <v>0</v>
      </c>
      <c r="P921" s="204">
        <v>0</v>
      </c>
      <c r="Q921" s="44" t="s">
        <v>63</v>
      </c>
      <c r="R921" s="205">
        <v>75</v>
      </c>
      <c r="S921" s="205">
        <v>80</v>
      </c>
      <c r="T921" s="217" t="s">
        <v>40</v>
      </c>
    </row>
    <row r="922" spans="1:20" ht="13.5" customHeight="1">
      <c r="A922" s="7" t="s">
        <v>36</v>
      </c>
      <c r="B922" s="204">
        <v>63.6</v>
      </c>
      <c r="C922" s="204">
        <v>57.9</v>
      </c>
      <c r="D922" s="204">
        <v>66.7</v>
      </c>
      <c r="E922" s="204">
        <v>66.7</v>
      </c>
      <c r="F922" s="204">
        <v>66.7</v>
      </c>
      <c r="G922" s="204">
        <v>66.7</v>
      </c>
      <c r="H922" s="204">
        <v>66.7</v>
      </c>
      <c r="I922" s="204">
        <v>0</v>
      </c>
      <c r="J922" s="204">
        <v>0</v>
      </c>
      <c r="K922" s="204">
        <v>0</v>
      </c>
      <c r="L922" s="204">
        <v>0</v>
      </c>
      <c r="M922" s="204">
        <v>0</v>
      </c>
      <c r="N922" s="204">
        <v>0</v>
      </c>
      <c r="O922" s="204">
        <v>0</v>
      </c>
      <c r="P922" s="204">
        <v>0</v>
      </c>
      <c r="Q922" s="86" t="s">
        <v>45</v>
      </c>
      <c r="R922" s="199">
        <v>80</v>
      </c>
      <c r="S922" s="199">
        <v>65</v>
      </c>
      <c r="T922" s="223" t="s">
        <v>40</v>
      </c>
    </row>
    <row r="923" spans="1:20" ht="13.5" customHeight="1">
      <c r="A923" s="7" t="s">
        <v>75</v>
      </c>
      <c r="B923" s="204">
        <v>71.400000000000006</v>
      </c>
      <c r="C923" s="204">
        <v>59.6</v>
      </c>
      <c r="D923" s="204">
        <v>0</v>
      </c>
      <c r="E923" s="204">
        <v>0</v>
      </c>
      <c r="F923" s="204">
        <v>0</v>
      </c>
      <c r="G923" s="204">
        <v>0</v>
      </c>
      <c r="H923" s="204">
        <v>0</v>
      </c>
      <c r="I923" s="204">
        <v>50</v>
      </c>
      <c r="J923" s="204">
        <v>50</v>
      </c>
      <c r="K923" s="204">
        <v>50</v>
      </c>
      <c r="L923" s="204">
        <v>50</v>
      </c>
      <c r="M923" s="204">
        <v>50</v>
      </c>
      <c r="N923" s="204">
        <v>50</v>
      </c>
      <c r="O923" s="204">
        <v>75</v>
      </c>
      <c r="P923" s="204">
        <v>75</v>
      </c>
      <c r="Q923" s="86" t="s">
        <v>26</v>
      </c>
      <c r="R923" s="199">
        <v>92</v>
      </c>
      <c r="S923" s="199">
        <v>105</v>
      </c>
      <c r="T923" s="223" t="s">
        <v>35</v>
      </c>
    </row>
    <row r="924" spans="1:20" ht="13.5" customHeight="1">
      <c r="A924" s="7" t="s">
        <v>53</v>
      </c>
      <c r="B924" s="204">
        <v>68.400000000000006</v>
      </c>
      <c r="C924" s="204">
        <v>60.6</v>
      </c>
      <c r="D924" s="204">
        <v>66.7</v>
      </c>
      <c r="E924" s="204">
        <v>0</v>
      </c>
      <c r="F924" s="204">
        <v>0</v>
      </c>
      <c r="G924" s="204">
        <v>0</v>
      </c>
      <c r="H924" s="204">
        <v>0</v>
      </c>
      <c r="I924" s="204">
        <v>50</v>
      </c>
      <c r="J924" s="204">
        <v>50</v>
      </c>
      <c r="K924" s="204">
        <v>50</v>
      </c>
      <c r="L924" s="204">
        <v>50</v>
      </c>
      <c r="M924" s="204">
        <v>0</v>
      </c>
      <c r="N924" s="204">
        <v>0</v>
      </c>
      <c r="O924" s="204">
        <v>0</v>
      </c>
      <c r="P924" s="204">
        <v>0</v>
      </c>
      <c r="Q924" s="86" t="s">
        <v>23</v>
      </c>
      <c r="R924" s="199">
        <v>88</v>
      </c>
      <c r="S924" s="199">
        <v>80</v>
      </c>
      <c r="T924" s="223" t="s">
        <v>46</v>
      </c>
    </row>
    <row r="925" spans="1:20" ht="13.5" customHeight="1">
      <c r="A925" s="7" t="s">
        <v>42</v>
      </c>
      <c r="B925" s="204">
        <v>71.400000000000006</v>
      </c>
      <c r="C925" s="204">
        <v>50.8</v>
      </c>
      <c r="D925" s="204">
        <v>62.5</v>
      </c>
      <c r="E925" s="204">
        <v>0</v>
      </c>
      <c r="F925" s="204">
        <v>0</v>
      </c>
      <c r="G925" s="204">
        <v>0</v>
      </c>
      <c r="H925" s="204">
        <v>0</v>
      </c>
      <c r="I925" s="204">
        <v>0</v>
      </c>
      <c r="J925" s="204">
        <v>0</v>
      </c>
      <c r="K925" s="204">
        <v>50</v>
      </c>
      <c r="L925" s="204">
        <v>50</v>
      </c>
      <c r="M925" s="204">
        <v>50</v>
      </c>
      <c r="N925" s="204">
        <v>50</v>
      </c>
      <c r="O925" s="204">
        <v>50</v>
      </c>
      <c r="P925" s="204">
        <v>50</v>
      </c>
      <c r="Q925" s="86" t="s">
        <v>45</v>
      </c>
      <c r="R925" s="199">
        <v>85</v>
      </c>
      <c r="S925" s="199">
        <v>98</v>
      </c>
      <c r="T925" s="223" t="s">
        <v>32</v>
      </c>
    </row>
    <row r="926" spans="1:20" ht="13.5" customHeight="1">
      <c r="A926" s="7" t="s">
        <v>33</v>
      </c>
      <c r="B926" s="204">
        <v>71.400000000000006</v>
      </c>
      <c r="C926" s="204">
        <v>73.3</v>
      </c>
      <c r="D926" s="204">
        <v>66.7</v>
      </c>
      <c r="E926" s="204">
        <v>100</v>
      </c>
      <c r="F926" s="204">
        <v>100</v>
      </c>
      <c r="G926" s="204">
        <v>100</v>
      </c>
      <c r="H926" s="204">
        <v>100</v>
      </c>
      <c r="I926" s="204">
        <v>100</v>
      </c>
      <c r="J926" s="204">
        <v>100</v>
      </c>
      <c r="K926" s="204">
        <v>100</v>
      </c>
      <c r="L926" s="204">
        <v>100</v>
      </c>
      <c r="M926" s="204">
        <v>100</v>
      </c>
      <c r="N926" s="204">
        <v>100</v>
      </c>
      <c r="O926" s="204">
        <v>100</v>
      </c>
      <c r="P926" s="204">
        <v>100</v>
      </c>
      <c r="Q926" s="86" t="s">
        <v>26</v>
      </c>
      <c r="R926" s="199">
        <v>85</v>
      </c>
      <c r="S926" s="199">
        <v>65</v>
      </c>
      <c r="T926" s="223" t="s">
        <v>40</v>
      </c>
    </row>
    <row r="927" spans="1:20" ht="13.5" customHeight="1">
      <c r="A927" s="7" t="s">
        <v>31</v>
      </c>
      <c r="B927" s="204">
        <v>71.400000000000006</v>
      </c>
      <c r="C927" s="204">
        <v>100</v>
      </c>
      <c r="D927" s="204">
        <v>100</v>
      </c>
      <c r="E927" s="204">
        <v>100</v>
      </c>
      <c r="F927" s="204">
        <v>100</v>
      </c>
      <c r="G927" s="204">
        <v>100</v>
      </c>
      <c r="H927" s="204">
        <v>100</v>
      </c>
      <c r="I927" s="204">
        <v>100</v>
      </c>
      <c r="J927" s="204">
        <v>100</v>
      </c>
      <c r="K927" s="204">
        <v>100</v>
      </c>
      <c r="L927" s="204">
        <v>100</v>
      </c>
      <c r="M927" s="204">
        <v>100</v>
      </c>
      <c r="N927" s="204">
        <v>100</v>
      </c>
      <c r="O927" s="204">
        <v>100</v>
      </c>
      <c r="P927" s="204">
        <v>100</v>
      </c>
      <c r="Q927" s="86" t="s">
        <v>38</v>
      </c>
      <c r="R927" s="199">
        <v>104</v>
      </c>
      <c r="S927" s="199">
        <v>88</v>
      </c>
      <c r="T927" s="223" t="s">
        <v>35</v>
      </c>
    </row>
    <row r="928" spans="1:20" ht="13.5" customHeight="1">
      <c r="A928" s="7" t="s">
        <v>57</v>
      </c>
      <c r="B928" s="204">
        <v>100</v>
      </c>
      <c r="C928" s="204">
        <v>66.7</v>
      </c>
      <c r="D928" s="204">
        <v>50</v>
      </c>
      <c r="E928" s="204">
        <v>100</v>
      </c>
      <c r="F928" s="204">
        <v>100</v>
      </c>
      <c r="G928" s="204">
        <v>100</v>
      </c>
      <c r="H928" s="204">
        <v>100</v>
      </c>
      <c r="I928" s="204">
        <v>100</v>
      </c>
      <c r="J928" s="204">
        <v>100</v>
      </c>
      <c r="K928" s="204">
        <v>100</v>
      </c>
      <c r="L928" s="204">
        <v>100</v>
      </c>
      <c r="M928" s="204">
        <v>100</v>
      </c>
      <c r="N928" s="204">
        <v>100</v>
      </c>
      <c r="O928" s="204">
        <v>100</v>
      </c>
      <c r="P928" s="204">
        <v>100</v>
      </c>
      <c r="Q928" s="86" t="s">
        <v>38</v>
      </c>
      <c r="R928" s="199">
        <v>100</v>
      </c>
      <c r="S928" s="199">
        <v>94</v>
      </c>
      <c r="T928" s="223" t="s">
        <v>35</v>
      </c>
    </row>
    <row r="929" spans="1:20" ht="13.5" customHeight="1">
      <c r="A929" s="7" t="s">
        <v>29</v>
      </c>
      <c r="B929" s="204">
        <v>71.400000000000006</v>
      </c>
      <c r="C929" s="204">
        <v>68</v>
      </c>
      <c r="D929" s="204">
        <v>54.5</v>
      </c>
      <c r="E929" s="204">
        <v>100</v>
      </c>
      <c r="F929" s="204">
        <v>100</v>
      </c>
      <c r="G929" s="204">
        <v>100</v>
      </c>
      <c r="H929" s="204">
        <v>100</v>
      </c>
      <c r="I929" s="204">
        <v>100</v>
      </c>
      <c r="J929" s="204">
        <v>100</v>
      </c>
      <c r="K929" s="204">
        <v>100</v>
      </c>
      <c r="L929" s="204">
        <v>100</v>
      </c>
      <c r="M929" s="204">
        <v>100</v>
      </c>
      <c r="N929" s="204">
        <v>100</v>
      </c>
      <c r="O929" s="204">
        <v>100</v>
      </c>
      <c r="P929" s="204">
        <v>100</v>
      </c>
      <c r="Q929" s="86" t="s">
        <v>26</v>
      </c>
      <c r="R929" s="199">
        <v>100</v>
      </c>
      <c r="S929" s="199">
        <v>88</v>
      </c>
      <c r="T929" s="223" t="s">
        <v>28</v>
      </c>
    </row>
    <row r="930" spans="1:20" ht="13.5" customHeight="1">
      <c r="A930" s="7" t="s">
        <v>37</v>
      </c>
      <c r="B930" s="204">
        <v>50</v>
      </c>
      <c r="C930" s="204">
        <v>50.8</v>
      </c>
      <c r="D930" s="204">
        <v>62.5</v>
      </c>
      <c r="E930" s="204">
        <v>50</v>
      </c>
      <c r="F930" s="204">
        <v>50</v>
      </c>
      <c r="G930" s="204">
        <v>50</v>
      </c>
      <c r="H930" s="204">
        <v>100</v>
      </c>
      <c r="I930" s="204">
        <v>60</v>
      </c>
      <c r="J930" s="204">
        <v>75</v>
      </c>
      <c r="K930" s="204">
        <v>100</v>
      </c>
      <c r="L930" s="204">
        <v>100</v>
      </c>
      <c r="M930" s="204">
        <v>100</v>
      </c>
      <c r="N930" s="204">
        <v>100</v>
      </c>
      <c r="O930" s="204">
        <v>100</v>
      </c>
      <c r="P930" s="204">
        <v>100</v>
      </c>
      <c r="Q930" s="86" t="s">
        <v>26</v>
      </c>
      <c r="R930" s="199">
        <v>98</v>
      </c>
      <c r="S930" s="199">
        <v>94</v>
      </c>
      <c r="T930" s="223" t="s">
        <v>27</v>
      </c>
    </row>
    <row r="931" spans="1:20" ht="13.5" customHeight="1">
      <c r="A931" s="7" t="s">
        <v>22</v>
      </c>
      <c r="B931" s="204">
        <v>63.6</v>
      </c>
      <c r="C931" s="204">
        <v>50.8</v>
      </c>
      <c r="D931" s="204">
        <v>40</v>
      </c>
      <c r="E931" s="204">
        <v>100</v>
      </c>
      <c r="F931" s="204">
        <v>100</v>
      </c>
      <c r="G931" s="204">
        <v>100</v>
      </c>
      <c r="H931" s="204">
        <v>100</v>
      </c>
      <c r="I931" s="204">
        <v>66.7</v>
      </c>
      <c r="J931" s="204">
        <v>66.7</v>
      </c>
      <c r="K931" s="204">
        <v>100</v>
      </c>
      <c r="L931" s="204">
        <v>100</v>
      </c>
      <c r="M931" s="204">
        <v>100</v>
      </c>
      <c r="N931" s="204">
        <v>100</v>
      </c>
      <c r="O931" s="204">
        <v>100</v>
      </c>
      <c r="P931" s="204">
        <v>100</v>
      </c>
      <c r="Q931" s="86" t="s">
        <v>45</v>
      </c>
      <c r="R931" s="199">
        <v>78</v>
      </c>
      <c r="S931" s="199">
        <v>78</v>
      </c>
      <c r="T931" s="223" t="s">
        <v>40</v>
      </c>
    </row>
    <row r="932" spans="1:20" ht="13.5" customHeight="1">
      <c r="A932" s="7" t="s">
        <v>29</v>
      </c>
      <c r="B932" s="204">
        <v>100</v>
      </c>
      <c r="C932" s="204">
        <v>100</v>
      </c>
      <c r="D932" s="204">
        <v>100</v>
      </c>
      <c r="E932" s="204">
        <v>100</v>
      </c>
      <c r="F932" s="204">
        <v>100</v>
      </c>
      <c r="G932" s="204">
        <v>100</v>
      </c>
      <c r="H932" s="204">
        <v>100</v>
      </c>
      <c r="I932" s="204">
        <v>100</v>
      </c>
      <c r="J932" s="204">
        <v>100</v>
      </c>
      <c r="K932" s="204">
        <v>100</v>
      </c>
      <c r="L932" s="204">
        <v>100</v>
      </c>
      <c r="M932" s="204">
        <v>100</v>
      </c>
      <c r="N932" s="204">
        <v>100</v>
      </c>
      <c r="O932" s="204">
        <v>100</v>
      </c>
      <c r="P932" s="204">
        <v>100</v>
      </c>
      <c r="Q932" s="86" t="s">
        <v>50</v>
      </c>
      <c r="R932" s="199">
        <v>98</v>
      </c>
      <c r="S932" s="199">
        <v>84</v>
      </c>
      <c r="T932" s="223" t="s">
        <v>40</v>
      </c>
    </row>
    <row r="933" spans="1:20" ht="13.5" customHeight="1">
      <c r="A933" s="7" t="s">
        <v>33</v>
      </c>
      <c r="B933" s="204">
        <v>50</v>
      </c>
      <c r="C933" s="204">
        <v>38.1</v>
      </c>
      <c r="D933" s="204">
        <v>35.700000000000003</v>
      </c>
      <c r="E933" s="204">
        <v>100</v>
      </c>
      <c r="F933" s="204">
        <v>100</v>
      </c>
      <c r="G933" s="204">
        <v>50</v>
      </c>
      <c r="H933" s="204">
        <v>50</v>
      </c>
      <c r="I933" s="204">
        <v>75</v>
      </c>
      <c r="J933" s="204">
        <v>75</v>
      </c>
      <c r="K933" s="204">
        <v>100</v>
      </c>
      <c r="L933" s="204">
        <v>100</v>
      </c>
      <c r="M933" s="204">
        <v>100</v>
      </c>
      <c r="N933" s="204">
        <v>100</v>
      </c>
      <c r="O933" s="204">
        <v>100</v>
      </c>
      <c r="P933" s="204">
        <v>100</v>
      </c>
      <c r="Q933" s="86" t="s">
        <v>63</v>
      </c>
      <c r="R933" s="199">
        <v>86</v>
      </c>
      <c r="S933" s="199">
        <v>80</v>
      </c>
      <c r="T933" s="223" t="s">
        <v>46</v>
      </c>
    </row>
    <row r="934" spans="1:20" ht="13.5" customHeight="1">
      <c r="A934" s="7" t="s">
        <v>53</v>
      </c>
      <c r="B934" s="204">
        <v>60</v>
      </c>
      <c r="C934" s="204">
        <v>49.4</v>
      </c>
      <c r="D934" s="204">
        <v>60</v>
      </c>
      <c r="E934" s="204">
        <v>0</v>
      </c>
      <c r="F934" s="204">
        <v>0</v>
      </c>
      <c r="G934" s="204">
        <v>0</v>
      </c>
      <c r="H934" s="204">
        <v>0</v>
      </c>
      <c r="I934" s="204">
        <v>0</v>
      </c>
      <c r="J934" s="204">
        <v>0</v>
      </c>
      <c r="K934" s="204">
        <v>0</v>
      </c>
      <c r="L934" s="204">
        <v>0</v>
      </c>
      <c r="M934" s="204">
        <v>0</v>
      </c>
      <c r="N934" s="204">
        <v>0</v>
      </c>
      <c r="O934" s="204">
        <v>0</v>
      </c>
      <c r="P934" s="204">
        <v>0</v>
      </c>
      <c r="Q934" s="227" t="s">
        <v>26</v>
      </c>
      <c r="R934" s="218">
        <v>105</v>
      </c>
      <c r="S934" s="218">
        <v>86</v>
      </c>
      <c r="T934" s="223" t="s">
        <v>24</v>
      </c>
    </row>
    <row r="935" spans="1:20" ht="27" customHeight="1">
      <c r="A935" s="7" t="s">
        <v>22</v>
      </c>
      <c r="B935" s="204">
        <v>50</v>
      </c>
      <c r="C935" s="204">
        <v>60.6</v>
      </c>
      <c r="D935" s="204">
        <v>50</v>
      </c>
      <c r="E935" s="204">
        <v>100</v>
      </c>
      <c r="F935" s="204">
        <v>100</v>
      </c>
      <c r="G935" s="204">
        <v>100</v>
      </c>
      <c r="H935" s="204">
        <v>100</v>
      </c>
      <c r="I935" s="204">
        <v>50</v>
      </c>
      <c r="J935" s="204">
        <v>50</v>
      </c>
      <c r="K935" s="204">
        <v>100</v>
      </c>
      <c r="L935" s="204">
        <v>100</v>
      </c>
      <c r="M935" s="204">
        <v>100</v>
      </c>
      <c r="N935" s="204">
        <v>100</v>
      </c>
      <c r="O935" s="204">
        <v>75</v>
      </c>
      <c r="P935" s="204">
        <v>75</v>
      </c>
      <c r="Q935" s="86" t="s">
        <v>26</v>
      </c>
      <c r="R935" s="199">
        <v>82</v>
      </c>
      <c r="S935" s="199">
        <v>70</v>
      </c>
      <c r="T935" s="223" t="s">
        <v>40</v>
      </c>
    </row>
    <row r="936" spans="1:20" ht="13.5" customHeight="1">
      <c r="A936" s="7" t="s">
        <v>47</v>
      </c>
      <c r="B936" s="204">
        <v>43.8</v>
      </c>
      <c r="C936" s="204">
        <v>36.9</v>
      </c>
      <c r="D936" s="204">
        <v>30</v>
      </c>
      <c r="E936" s="204">
        <v>0</v>
      </c>
      <c r="F936" s="204">
        <v>0</v>
      </c>
      <c r="G936" s="204">
        <v>0</v>
      </c>
      <c r="H936" s="204">
        <v>0</v>
      </c>
      <c r="I936" s="204">
        <v>0</v>
      </c>
      <c r="J936" s="204">
        <v>0</v>
      </c>
      <c r="K936" s="204">
        <v>0</v>
      </c>
      <c r="L936" s="204">
        <v>0</v>
      </c>
      <c r="M936" s="204">
        <v>0</v>
      </c>
      <c r="N936" s="204">
        <v>0</v>
      </c>
      <c r="O936" s="204">
        <v>40</v>
      </c>
      <c r="P936" s="204">
        <v>40</v>
      </c>
      <c r="Q936" s="86" t="s">
        <v>45</v>
      </c>
      <c r="R936" s="199">
        <v>104</v>
      </c>
      <c r="S936" s="199">
        <v>75</v>
      </c>
      <c r="T936" s="223" t="s">
        <v>46</v>
      </c>
    </row>
    <row r="937" spans="1:20" ht="13.5" customHeight="1">
      <c r="A937" s="7" t="s">
        <v>44</v>
      </c>
      <c r="B937" s="204">
        <v>43.8</v>
      </c>
      <c r="C937" s="204">
        <v>76.2</v>
      </c>
      <c r="D937" s="204">
        <v>80</v>
      </c>
      <c r="E937" s="204">
        <v>100</v>
      </c>
      <c r="F937" s="204">
        <v>100</v>
      </c>
      <c r="G937" s="204">
        <v>100</v>
      </c>
      <c r="H937" s="204">
        <v>100</v>
      </c>
      <c r="I937" s="204">
        <v>66.7</v>
      </c>
      <c r="J937" s="204">
        <v>66.7</v>
      </c>
      <c r="K937" s="204">
        <v>100</v>
      </c>
      <c r="L937" s="204">
        <v>100</v>
      </c>
      <c r="M937" s="204">
        <v>100</v>
      </c>
      <c r="N937" s="204">
        <v>100</v>
      </c>
      <c r="O937" s="204">
        <v>100</v>
      </c>
      <c r="P937" s="204">
        <v>100</v>
      </c>
      <c r="Q937" s="86" t="s">
        <v>30</v>
      </c>
      <c r="R937" s="199">
        <v>104</v>
      </c>
      <c r="S937" s="199">
        <v>94</v>
      </c>
      <c r="T937" s="223" t="s">
        <v>28</v>
      </c>
    </row>
    <row r="938" spans="1:20" ht="13.5" customHeight="1">
      <c r="A938" s="7" t="s">
        <v>44</v>
      </c>
      <c r="B938" s="204">
        <v>100</v>
      </c>
      <c r="C938" s="204">
        <v>54.7</v>
      </c>
      <c r="D938" s="204">
        <v>42.9</v>
      </c>
      <c r="E938" s="204">
        <v>100</v>
      </c>
      <c r="F938" s="204">
        <v>100</v>
      </c>
      <c r="G938" s="204">
        <v>100</v>
      </c>
      <c r="H938" s="204">
        <v>100</v>
      </c>
      <c r="I938" s="204">
        <v>100</v>
      </c>
      <c r="J938" s="204">
        <v>100</v>
      </c>
      <c r="K938" s="204">
        <v>100</v>
      </c>
      <c r="L938" s="204">
        <v>100</v>
      </c>
      <c r="M938" s="204">
        <v>100</v>
      </c>
      <c r="N938" s="204">
        <v>100</v>
      </c>
      <c r="O938" s="204">
        <v>100</v>
      </c>
      <c r="P938" s="204">
        <v>100</v>
      </c>
      <c r="Q938" s="86" t="s">
        <v>26</v>
      </c>
      <c r="R938" s="199">
        <v>80</v>
      </c>
      <c r="S938" s="199">
        <v>75</v>
      </c>
      <c r="T938" s="223" t="s">
        <v>40</v>
      </c>
    </row>
    <row r="939" spans="1:20" ht="13.5" customHeight="1">
      <c r="A939" s="7" t="s">
        <v>31</v>
      </c>
      <c r="B939" s="204">
        <v>100</v>
      </c>
      <c r="C939" s="204">
        <v>71.400000000000006</v>
      </c>
      <c r="D939" s="204">
        <v>100</v>
      </c>
      <c r="E939" s="204">
        <v>100</v>
      </c>
      <c r="F939" s="204">
        <v>100</v>
      </c>
      <c r="G939" s="204">
        <v>50</v>
      </c>
      <c r="H939" s="204">
        <v>50</v>
      </c>
      <c r="I939" s="204">
        <v>100</v>
      </c>
      <c r="J939" s="204">
        <v>100</v>
      </c>
      <c r="K939" s="204">
        <v>100</v>
      </c>
      <c r="L939" s="204">
        <v>100</v>
      </c>
      <c r="M939" s="204">
        <v>100</v>
      </c>
      <c r="N939" s="204">
        <v>100</v>
      </c>
      <c r="O939" s="204">
        <v>100</v>
      </c>
      <c r="P939" s="204">
        <v>100</v>
      </c>
      <c r="Q939" s="86" t="s">
        <v>34</v>
      </c>
      <c r="R939" s="199">
        <v>90</v>
      </c>
      <c r="S939" s="199">
        <v>75</v>
      </c>
      <c r="T939" s="223" t="s">
        <v>40</v>
      </c>
    </row>
    <row r="940" spans="1:20" ht="13.5" customHeight="1">
      <c r="A940" s="7" t="s">
        <v>22</v>
      </c>
      <c r="B940" s="204">
        <v>92.3</v>
      </c>
      <c r="C940" s="204">
        <v>100</v>
      </c>
      <c r="D940" s="204">
        <v>100</v>
      </c>
      <c r="E940" s="204">
        <v>100</v>
      </c>
      <c r="F940" s="204">
        <v>100</v>
      </c>
      <c r="G940" s="204">
        <v>100</v>
      </c>
      <c r="H940" s="204">
        <v>100</v>
      </c>
      <c r="I940" s="204">
        <v>100</v>
      </c>
      <c r="J940" s="204">
        <v>100</v>
      </c>
      <c r="K940" s="204">
        <v>100</v>
      </c>
      <c r="L940" s="204">
        <v>100</v>
      </c>
      <c r="M940" s="204">
        <v>100</v>
      </c>
      <c r="N940" s="204">
        <v>100</v>
      </c>
      <c r="O940" s="204">
        <v>100</v>
      </c>
      <c r="P940" s="204">
        <v>100</v>
      </c>
      <c r="Q940" s="86" t="s">
        <v>34</v>
      </c>
      <c r="R940" s="199">
        <v>94</v>
      </c>
      <c r="S940" s="199">
        <v>88</v>
      </c>
      <c r="T940" s="223" t="s">
        <v>28</v>
      </c>
    </row>
    <row r="941" spans="1:20" ht="13.5" customHeight="1">
      <c r="A941" s="7" t="s">
        <v>44</v>
      </c>
      <c r="B941" s="204">
        <v>100</v>
      </c>
      <c r="C941" s="204">
        <v>63.6</v>
      </c>
      <c r="D941" s="204">
        <v>100</v>
      </c>
      <c r="E941" s="204">
        <v>100</v>
      </c>
      <c r="F941" s="204">
        <v>100</v>
      </c>
      <c r="G941" s="204">
        <v>100</v>
      </c>
      <c r="H941" s="204">
        <v>100</v>
      </c>
      <c r="I941" s="204">
        <v>100</v>
      </c>
      <c r="J941" s="204">
        <v>100</v>
      </c>
      <c r="K941" s="204">
        <v>100</v>
      </c>
      <c r="L941" s="204">
        <v>100</v>
      </c>
      <c r="M941" s="204">
        <v>100</v>
      </c>
      <c r="N941" s="204">
        <v>100</v>
      </c>
      <c r="O941" s="204">
        <v>100</v>
      </c>
      <c r="P941" s="204">
        <v>100</v>
      </c>
      <c r="Q941" s="86" t="s">
        <v>30</v>
      </c>
      <c r="R941" s="199">
        <v>100</v>
      </c>
      <c r="S941" s="199">
        <v>75</v>
      </c>
      <c r="T941" s="223" t="s">
        <v>40</v>
      </c>
    </row>
    <row r="942" spans="1:20" ht="13.5" customHeight="1">
      <c r="A942" s="7" t="s">
        <v>22</v>
      </c>
      <c r="B942" s="204">
        <v>58</v>
      </c>
      <c r="C942" s="204">
        <v>59.6</v>
      </c>
      <c r="D942" s="204">
        <v>72.7</v>
      </c>
      <c r="E942" s="204">
        <v>100</v>
      </c>
      <c r="F942" s="204">
        <v>100</v>
      </c>
      <c r="G942" s="204">
        <v>100</v>
      </c>
      <c r="H942" s="204">
        <v>100</v>
      </c>
      <c r="I942" s="204">
        <v>60</v>
      </c>
      <c r="J942" s="204">
        <v>75</v>
      </c>
      <c r="K942" s="204">
        <v>100</v>
      </c>
      <c r="L942" s="204">
        <v>100</v>
      </c>
      <c r="M942" s="204">
        <v>100</v>
      </c>
      <c r="N942" s="204">
        <v>100</v>
      </c>
      <c r="O942" s="204">
        <v>100</v>
      </c>
      <c r="P942" s="204">
        <v>100</v>
      </c>
      <c r="Q942" s="86" t="s">
        <v>26</v>
      </c>
      <c r="R942" s="199">
        <v>88</v>
      </c>
      <c r="S942" s="199">
        <v>92</v>
      </c>
      <c r="T942" s="217" t="s">
        <v>28</v>
      </c>
    </row>
    <row r="943" spans="1:20" ht="13.5" customHeight="1">
      <c r="A943" s="7" t="s">
        <v>55</v>
      </c>
      <c r="B943" s="204">
        <v>60</v>
      </c>
      <c r="C943" s="204">
        <v>68</v>
      </c>
      <c r="D943" s="204">
        <v>100</v>
      </c>
      <c r="E943" s="204">
        <v>100</v>
      </c>
      <c r="F943" s="204">
        <v>100</v>
      </c>
      <c r="G943" s="204">
        <v>100</v>
      </c>
      <c r="H943" s="204">
        <v>100</v>
      </c>
      <c r="I943" s="204">
        <v>66.7</v>
      </c>
      <c r="J943" s="204">
        <v>66.7</v>
      </c>
      <c r="K943" s="204">
        <v>100</v>
      </c>
      <c r="L943" s="204">
        <v>100</v>
      </c>
      <c r="M943" s="204">
        <v>100</v>
      </c>
      <c r="N943" s="204">
        <v>100</v>
      </c>
      <c r="O943" s="204">
        <v>100</v>
      </c>
      <c r="P943" s="204">
        <v>100</v>
      </c>
      <c r="Q943" s="86" t="s">
        <v>23</v>
      </c>
      <c r="R943" s="199">
        <v>92</v>
      </c>
      <c r="S943" s="199">
        <v>92</v>
      </c>
      <c r="T943" s="217" t="s">
        <v>27</v>
      </c>
    </row>
    <row r="944" spans="1:20" ht="13.5" customHeight="1">
      <c r="A944" s="7" t="s">
        <v>31</v>
      </c>
      <c r="B944" s="204">
        <v>76.900000000000006</v>
      </c>
      <c r="C944" s="204">
        <v>74.400000000000006</v>
      </c>
      <c r="D944" s="204">
        <v>85.7</v>
      </c>
      <c r="E944" s="204">
        <v>50</v>
      </c>
      <c r="F944" s="204">
        <v>50</v>
      </c>
      <c r="G944" s="204">
        <v>50</v>
      </c>
      <c r="H944" s="204">
        <v>50</v>
      </c>
      <c r="I944" s="204">
        <v>100</v>
      </c>
      <c r="J944" s="204">
        <v>100</v>
      </c>
      <c r="K944" s="204">
        <v>100</v>
      </c>
      <c r="L944" s="204">
        <v>100</v>
      </c>
      <c r="M944" s="204">
        <v>100</v>
      </c>
      <c r="N944" s="204">
        <v>100</v>
      </c>
      <c r="O944" s="204">
        <v>100</v>
      </c>
      <c r="P944" s="204">
        <v>100</v>
      </c>
      <c r="Q944" s="86" t="s">
        <v>26</v>
      </c>
      <c r="R944" s="199">
        <v>85</v>
      </c>
      <c r="S944" s="199">
        <v>80</v>
      </c>
      <c r="T944" s="228" t="s">
        <v>39</v>
      </c>
    </row>
    <row r="945" spans="1:20" ht="13.5" customHeight="1">
      <c r="A945" s="7" t="s">
        <v>37</v>
      </c>
      <c r="B945" s="204">
        <v>100</v>
      </c>
      <c r="C945" s="204">
        <v>68</v>
      </c>
      <c r="D945" s="204">
        <v>80</v>
      </c>
      <c r="E945" s="204">
        <v>100</v>
      </c>
      <c r="F945" s="204">
        <v>100</v>
      </c>
      <c r="G945" s="204">
        <v>100</v>
      </c>
      <c r="H945" s="204">
        <v>100</v>
      </c>
      <c r="I945" s="204">
        <v>100</v>
      </c>
      <c r="J945" s="204">
        <v>100</v>
      </c>
      <c r="K945" s="204">
        <v>100</v>
      </c>
      <c r="L945" s="204">
        <v>100</v>
      </c>
      <c r="M945" s="204">
        <v>100</v>
      </c>
      <c r="N945" s="204">
        <v>100</v>
      </c>
      <c r="O945" s="204">
        <v>100</v>
      </c>
      <c r="P945" s="204">
        <v>100</v>
      </c>
      <c r="Q945" s="86" t="s">
        <v>26</v>
      </c>
      <c r="R945" s="199">
        <v>96</v>
      </c>
      <c r="S945" s="199">
        <v>98</v>
      </c>
      <c r="T945" s="217" t="s">
        <v>48</v>
      </c>
    </row>
    <row r="946" spans="1:20" ht="13.5" customHeight="1">
      <c r="A946" s="7" t="s">
        <v>36</v>
      </c>
      <c r="B946" s="204">
        <v>63.6</v>
      </c>
      <c r="C946" s="204">
        <v>50.8</v>
      </c>
      <c r="D946" s="204">
        <v>40</v>
      </c>
      <c r="E946" s="204">
        <v>50</v>
      </c>
      <c r="F946" s="204">
        <v>50</v>
      </c>
      <c r="G946" s="204">
        <v>50</v>
      </c>
      <c r="H946" s="204">
        <v>50</v>
      </c>
      <c r="I946" s="204">
        <v>0</v>
      </c>
      <c r="J946" s="204">
        <v>0</v>
      </c>
      <c r="K946" s="204">
        <v>0</v>
      </c>
      <c r="L946" s="204">
        <v>0</v>
      </c>
      <c r="M946" s="204">
        <v>25</v>
      </c>
      <c r="N946" s="204">
        <v>25</v>
      </c>
      <c r="O946" s="204">
        <v>0</v>
      </c>
      <c r="P946" s="204">
        <v>0</v>
      </c>
      <c r="Q946" s="86" t="s">
        <v>26</v>
      </c>
      <c r="R946" s="199">
        <v>94</v>
      </c>
      <c r="S946" s="199">
        <v>86</v>
      </c>
      <c r="T946" s="217" t="s">
        <v>28</v>
      </c>
    </row>
    <row r="947" spans="1:20" ht="13.5" customHeight="1">
      <c r="A947" s="7" t="s">
        <v>31</v>
      </c>
      <c r="B947" s="204">
        <v>50</v>
      </c>
      <c r="C947" s="204">
        <v>55.6</v>
      </c>
      <c r="D947" s="204">
        <v>85.7</v>
      </c>
      <c r="E947" s="204">
        <v>100</v>
      </c>
      <c r="F947" s="204">
        <v>100</v>
      </c>
      <c r="G947" s="204">
        <v>100</v>
      </c>
      <c r="H947" s="204">
        <v>100</v>
      </c>
      <c r="I947" s="204">
        <v>100</v>
      </c>
      <c r="J947" s="204">
        <v>100</v>
      </c>
      <c r="K947" s="204">
        <v>50</v>
      </c>
      <c r="L947" s="204">
        <v>50</v>
      </c>
      <c r="M947" s="204">
        <v>100</v>
      </c>
      <c r="N947" s="204">
        <v>100</v>
      </c>
      <c r="O947" s="204">
        <v>75</v>
      </c>
      <c r="P947" s="204">
        <v>75</v>
      </c>
      <c r="Q947" s="86" t="s">
        <v>26</v>
      </c>
      <c r="R947" s="199">
        <v>85</v>
      </c>
      <c r="S947" s="199">
        <v>80</v>
      </c>
      <c r="T947" s="217" t="s">
        <v>39</v>
      </c>
    </row>
    <row r="948" spans="1:20" ht="13.5" customHeight="1">
      <c r="A948" s="7" t="s">
        <v>42</v>
      </c>
      <c r="B948" s="204">
        <v>53.8</v>
      </c>
      <c r="C948" s="204">
        <v>38.799999999999997</v>
      </c>
      <c r="D948" s="204">
        <v>44.4</v>
      </c>
      <c r="E948" s="204">
        <v>0</v>
      </c>
      <c r="F948" s="204">
        <v>0</v>
      </c>
      <c r="G948" s="204">
        <v>0</v>
      </c>
      <c r="H948" s="204">
        <v>0</v>
      </c>
      <c r="I948" s="204">
        <v>60</v>
      </c>
      <c r="J948" s="204">
        <v>60</v>
      </c>
      <c r="K948" s="204">
        <v>0</v>
      </c>
      <c r="L948" s="204">
        <v>0</v>
      </c>
      <c r="M948" s="204">
        <v>0</v>
      </c>
      <c r="N948" s="204">
        <v>0</v>
      </c>
      <c r="O948" s="204">
        <v>50</v>
      </c>
      <c r="P948" s="204">
        <v>50</v>
      </c>
      <c r="Q948" s="86" t="s">
        <v>45</v>
      </c>
      <c r="R948" s="199">
        <v>88</v>
      </c>
      <c r="S948" s="199">
        <v>75</v>
      </c>
      <c r="T948" s="217" t="s">
        <v>40</v>
      </c>
    </row>
    <row r="949" spans="1:20" ht="13.5" customHeight="1">
      <c r="A949" s="7" t="s">
        <v>29</v>
      </c>
      <c r="B949" s="204">
        <v>57.7</v>
      </c>
      <c r="C949" s="204">
        <v>74.400000000000006</v>
      </c>
      <c r="D949" s="204">
        <v>85.7</v>
      </c>
      <c r="E949" s="204">
        <v>33.299999999999997</v>
      </c>
      <c r="F949" s="204">
        <v>33.299999999999997</v>
      </c>
      <c r="G949" s="204">
        <v>66.7</v>
      </c>
      <c r="H949" s="204">
        <v>66.7</v>
      </c>
      <c r="I949" s="204">
        <v>57.1</v>
      </c>
      <c r="J949" s="204">
        <v>57.1</v>
      </c>
      <c r="K949" s="204">
        <v>100</v>
      </c>
      <c r="L949" s="204">
        <v>100</v>
      </c>
      <c r="M949" s="204">
        <v>50</v>
      </c>
      <c r="N949" s="204">
        <v>50</v>
      </c>
      <c r="O949" s="204">
        <v>100</v>
      </c>
      <c r="P949" s="204">
        <v>100</v>
      </c>
      <c r="Q949" s="86" t="s">
        <v>23</v>
      </c>
      <c r="R949" s="199">
        <v>95</v>
      </c>
      <c r="S949" s="199">
        <v>88</v>
      </c>
      <c r="T949" s="217" t="s">
        <v>28</v>
      </c>
    </row>
    <row r="950" spans="1:20" ht="13.5" customHeight="1">
      <c r="A950" s="7" t="s">
        <v>22</v>
      </c>
      <c r="B950" s="204">
        <v>46.2</v>
      </c>
      <c r="C950" s="204">
        <v>57.9</v>
      </c>
      <c r="D950" s="204">
        <v>42.9</v>
      </c>
      <c r="E950" s="204">
        <v>60</v>
      </c>
      <c r="F950" s="204">
        <v>60</v>
      </c>
      <c r="G950" s="204">
        <v>60</v>
      </c>
      <c r="H950" s="204">
        <v>60</v>
      </c>
      <c r="I950" s="204">
        <v>37.5</v>
      </c>
      <c r="J950" s="204">
        <v>50</v>
      </c>
      <c r="K950" s="204">
        <v>100</v>
      </c>
      <c r="L950" s="204">
        <v>100</v>
      </c>
      <c r="M950" s="204">
        <v>100</v>
      </c>
      <c r="N950" s="204">
        <v>100</v>
      </c>
      <c r="O950" s="204">
        <v>33.299999999999997</v>
      </c>
      <c r="P950" s="204">
        <v>33.299999999999997</v>
      </c>
      <c r="Q950" s="86" t="s">
        <v>26</v>
      </c>
      <c r="R950" s="199">
        <v>104</v>
      </c>
      <c r="S950" s="199">
        <v>88</v>
      </c>
      <c r="T950" s="217" t="s">
        <v>24</v>
      </c>
    </row>
    <row r="951" spans="1:20" ht="13.5" customHeight="1">
      <c r="A951" s="7" t="s">
        <v>41</v>
      </c>
      <c r="B951" s="204">
        <v>50</v>
      </c>
      <c r="C951" s="204">
        <v>38.1</v>
      </c>
      <c r="D951" s="204">
        <v>100</v>
      </c>
      <c r="E951" s="204">
        <v>100</v>
      </c>
      <c r="F951" s="204">
        <v>100</v>
      </c>
      <c r="G951" s="204">
        <v>100</v>
      </c>
      <c r="H951" s="204">
        <v>100</v>
      </c>
      <c r="I951" s="204">
        <v>100</v>
      </c>
      <c r="J951" s="204">
        <v>100</v>
      </c>
      <c r="K951" s="204">
        <v>100</v>
      </c>
      <c r="L951" s="204">
        <v>100</v>
      </c>
      <c r="M951" s="204">
        <v>100</v>
      </c>
      <c r="N951" s="204">
        <v>100</v>
      </c>
      <c r="O951" s="204">
        <v>100</v>
      </c>
      <c r="P951" s="204">
        <v>100</v>
      </c>
      <c r="Q951" s="86" t="s">
        <v>23</v>
      </c>
      <c r="R951" s="199">
        <v>98</v>
      </c>
      <c r="S951" s="199">
        <v>80</v>
      </c>
      <c r="T951" s="217" t="s">
        <v>40</v>
      </c>
    </row>
    <row r="952" spans="1:20" ht="13.5" customHeight="1">
      <c r="A952" s="7" t="s">
        <v>22</v>
      </c>
      <c r="B952" s="204">
        <v>50</v>
      </c>
      <c r="C952" s="204">
        <v>50.8</v>
      </c>
      <c r="D952" s="204">
        <v>100</v>
      </c>
      <c r="E952" s="204">
        <v>100</v>
      </c>
      <c r="F952" s="204">
        <v>100</v>
      </c>
      <c r="G952" s="204">
        <v>100</v>
      </c>
      <c r="H952" s="204">
        <v>100</v>
      </c>
      <c r="I952" s="204">
        <v>50</v>
      </c>
      <c r="J952" s="204">
        <v>50</v>
      </c>
      <c r="K952" s="204">
        <v>100</v>
      </c>
      <c r="L952" s="204">
        <v>100</v>
      </c>
      <c r="M952" s="204">
        <v>100</v>
      </c>
      <c r="N952" s="204">
        <v>100</v>
      </c>
      <c r="O952" s="204">
        <v>100</v>
      </c>
      <c r="P952" s="204">
        <v>100</v>
      </c>
      <c r="Q952" s="86" t="s">
        <v>23</v>
      </c>
      <c r="R952" s="199">
        <v>94</v>
      </c>
      <c r="S952" s="199">
        <v>86</v>
      </c>
      <c r="T952" s="217" t="s">
        <v>27</v>
      </c>
    </row>
    <row r="953" spans="1:20" ht="13.5" customHeight="1">
      <c r="A953" s="7" t="s">
        <v>42</v>
      </c>
      <c r="B953" s="204">
        <v>47.1</v>
      </c>
      <c r="C953" s="204">
        <v>46.5</v>
      </c>
      <c r="D953" s="204">
        <v>0</v>
      </c>
      <c r="E953" s="204">
        <v>50</v>
      </c>
      <c r="F953" s="204">
        <v>50</v>
      </c>
      <c r="G953" s="204">
        <v>33.299999999999997</v>
      </c>
      <c r="H953" s="204">
        <v>33.299999999999997</v>
      </c>
      <c r="I953" s="204">
        <v>33.299999999999997</v>
      </c>
      <c r="J953" s="204">
        <v>33.299999999999997</v>
      </c>
      <c r="K953" s="204">
        <v>0</v>
      </c>
      <c r="L953" s="204">
        <v>0</v>
      </c>
      <c r="M953" s="204">
        <v>0</v>
      </c>
      <c r="N953" s="204">
        <v>0</v>
      </c>
      <c r="O953" s="204">
        <v>33.299999999999997</v>
      </c>
      <c r="P953" s="204">
        <v>33.299999999999997</v>
      </c>
      <c r="Q953" s="86" t="s">
        <v>26</v>
      </c>
      <c r="R953" s="199">
        <v>104</v>
      </c>
      <c r="S953" s="199">
        <v>94</v>
      </c>
      <c r="T953" s="217" t="s">
        <v>35</v>
      </c>
    </row>
    <row r="954" spans="1:20" ht="13.5" customHeight="1">
      <c r="A954" s="7" t="s">
        <v>43</v>
      </c>
      <c r="B954" s="204">
        <v>62.5</v>
      </c>
      <c r="C954" s="204">
        <v>54.7</v>
      </c>
      <c r="D954" s="204">
        <v>100</v>
      </c>
      <c r="E954" s="204">
        <v>100</v>
      </c>
      <c r="F954" s="204">
        <v>100</v>
      </c>
      <c r="G954" s="204">
        <v>100</v>
      </c>
      <c r="H954" s="204">
        <v>100</v>
      </c>
      <c r="I954" s="204">
        <v>100</v>
      </c>
      <c r="J954" s="204">
        <v>100</v>
      </c>
      <c r="K954" s="204">
        <v>100</v>
      </c>
      <c r="L954" s="204">
        <v>100</v>
      </c>
      <c r="M954" s="204">
        <v>100</v>
      </c>
      <c r="N954" s="204">
        <v>100</v>
      </c>
      <c r="O954" s="204">
        <v>100</v>
      </c>
      <c r="P954" s="204">
        <v>100</v>
      </c>
      <c r="Q954" s="86" t="s">
        <v>30</v>
      </c>
      <c r="R954" s="199">
        <v>88</v>
      </c>
      <c r="S954" s="199">
        <v>65</v>
      </c>
      <c r="T954" s="217" t="s">
        <v>40</v>
      </c>
    </row>
    <row r="955" spans="1:20" ht="13.5" customHeight="1">
      <c r="A955" s="7" t="s">
        <v>47</v>
      </c>
      <c r="B955" s="204">
        <v>46.2</v>
      </c>
      <c r="C955" s="204">
        <v>38.799999999999997</v>
      </c>
      <c r="D955" s="204">
        <v>40</v>
      </c>
      <c r="E955" s="204">
        <v>0</v>
      </c>
      <c r="F955" s="204">
        <v>0</v>
      </c>
      <c r="G955" s="204">
        <v>50</v>
      </c>
      <c r="H955" s="204">
        <v>50</v>
      </c>
      <c r="I955" s="204">
        <v>25</v>
      </c>
      <c r="J955" s="204">
        <v>0</v>
      </c>
      <c r="K955" s="204">
        <v>50</v>
      </c>
      <c r="L955" s="204">
        <v>0</v>
      </c>
      <c r="M955" s="204">
        <v>66.7</v>
      </c>
      <c r="N955" s="204">
        <v>0</v>
      </c>
      <c r="O955" s="204">
        <v>60</v>
      </c>
      <c r="P955" s="204">
        <v>33.299999999999997</v>
      </c>
      <c r="Q955" s="86" t="s">
        <v>45</v>
      </c>
      <c r="R955" s="199">
        <v>78</v>
      </c>
      <c r="S955" s="199">
        <v>75</v>
      </c>
      <c r="T955" s="217" t="s">
        <v>40</v>
      </c>
    </row>
    <row r="956" spans="1:20" ht="13.5" customHeight="1">
      <c r="A956" s="7" t="s">
        <v>41</v>
      </c>
      <c r="B956" s="204">
        <v>55.6</v>
      </c>
      <c r="C956" s="204">
        <v>74.400000000000006</v>
      </c>
      <c r="D956" s="204">
        <v>33.299999999999997</v>
      </c>
      <c r="E956" s="204">
        <v>100</v>
      </c>
      <c r="F956" s="204">
        <v>100</v>
      </c>
      <c r="G956" s="204">
        <v>100</v>
      </c>
      <c r="H956" s="204">
        <v>100</v>
      </c>
      <c r="I956" s="204">
        <v>50</v>
      </c>
      <c r="J956" s="204">
        <v>50</v>
      </c>
      <c r="K956" s="204">
        <v>100</v>
      </c>
      <c r="L956" s="204">
        <v>100</v>
      </c>
      <c r="M956" s="204">
        <v>100</v>
      </c>
      <c r="N956" s="204">
        <v>100</v>
      </c>
      <c r="O956" s="204">
        <v>100</v>
      </c>
      <c r="P956" s="204">
        <v>100</v>
      </c>
      <c r="Q956" s="86" t="s">
        <v>26</v>
      </c>
      <c r="R956" s="199">
        <v>60</v>
      </c>
      <c r="S956" s="199">
        <v>84</v>
      </c>
      <c r="T956" s="217" t="s">
        <v>39</v>
      </c>
    </row>
    <row r="957" spans="1:20" ht="13.5" customHeight="1">
      <c r="A957" s="7" t="s">
        <v>33</v>
      </c>
      <c r="B957" s="204">
        <v>47.1</v>
      </c>
      <c r="C957" s="204">
        <v>57.9</v>
      </c>
      <c r="D957" s="204">
        <v>69.599999999999994</v>
      </c>
      <c r="E957" s="204">
        <v>40</v>
      </c>
      <c r="F957" s="204">
        <v>50</v>
      </c>
      <c r="G957" s="204">
        <v>50</v>
      </c>
      <c r="H957" s="204">
        <v>66.7</v>
      </c>
      <c r="I957" s="204">
        <v>50</v>
      </c>
      <c r="J957" s="204">
        <v>57.1</v>
      </c>
      <c r="K957" s="204">
        <v>33.299999999999997</v>
      </c>
      <c r="L957" s="204">
        <v>33.299999999999997</v>
      </c>
      <c r="M957" s="204">
        <v>50</v>
      </c>
      <c r="N957" s="204">
        <v>50</v>
      </c>
      <c r="O957" s="204">
        <v>33.299999999999997</v>
      </c>
      <c r="P957" s="204">
        <v>33.299999999999997</v>
      </c>
      <c r="Q957" s="86" t="s">
        <v>23</v>
      </c>
      <c r="R957" s="199">
        <v>96</v>
      </c>
      <c r="S957" s="199">
        <v>96</v>
      </c>
      <c r="T957" s="217" t="s">
        <v>32</v>
      </c>
    </row>
    <row r="958" spans="1:20" ht="13.5" customHeight="1">
      <c r="A958" s="7" t="s">
        <v>36</v>
      </c>
      <c r="B958" s="204">
        <v>53.8</v>
      </c>
      <c r="C958" s="204">
        <v>46.5</v>
      </c>
      <c r="D958" s="204">
        <v>25</v>
      </c>
      <c r="E958" s="204">
        <v>50</v>
      </c>
      <c r="F958" s="204">
        <v>50</v>
      </c>
      <c r="G958" s="204">
        <v>66.7</v>
      </c>
      <c r="H958" s="204">
        <v>66.7</v>
      </c>
      <c r="I958" s="204">
        <v>60</v>
      </c>
      <c r="J958" s="204">
        <v>60</v>
      </c>
      <c r="K958" s="204">
        <v>0</v>
      </c>
      <c r="L958" s="204">
        <v>0</v>
      </c>
      <c r="M958" s="204">
        <v>0</v>
      </c>
      <c r="N958" s="204">
        <v>0</v>
      </c>
      <c r="O958" s="204">
        <v>0</v>
      </c>
      <c r="P958" s="204">
        <v>0</v>
      </c>
      <c r="Q958" s="86" t="s">
        <v>26</v>
      </c>
      <c r="R958" s="199">
        <v>104</v>
      </c>
      <c r="S958" s="199">
        <v>82</v>
      </c>
      <c r="T958" s="217" t="s">
        <v>39</v>
      </c>
    </row>
    <row r="959" spans="1:20" ht="13.5" customHeight="1">
      <c r="A959" s="7" t="s">
        <v>33</v>
      </c>
      <c r="B959" s="204">
        <v>58</v>
      </c>
      <c r="C959" s="204">
        <v>55.6</v>
      </c>
      <c r="D959" s="204">
        <v>66.7</v>
      </c>
      <c r="E959" s="204">
        <v>66.7</v>
      </c>
      <c r="F959" s="204">
        <v>66.7</v>
      </c>
      <c r="G959" s="204">
        <v>100</v>
      </c>
      <c r="H959" s="204">
        <v>100</v>
      </c>
      <c r="I959" s="204">
        <v>100</v>
      </c>
      <c r="J959" s="204">
        <v>100</v>
      </c>
      <c r="K959" s="204">
        <v>50</v>
      </c>
      <c r="L959" s="204">
        <v>50</v>
      </c>
      <c r="M959" s="204">
        <v>33.299999999999997</v>
      </c>
      <c r="N959" s="204">
        <v>33.299999999999997</v>
      </c>
      <c r="O959" s="204">
        <v>66.7</v>
      </c>
      <c r="P959" s="204">
        <v>66.7</v>
      </c>
      <c r="Q959" s="86" t="s">
        <v>45</v>
      </c>
      <c r="R959" s="199">
        <v>84</v>
      </c>
      <c r="S959" s="199">
        <v>70</v>
      </c>
      <c r="T959" s="217" t="s">
        <v>40</v>
      </c>
    </row>
    <row r="960" spans="1:20" ht="13.5" customHeight="1">
      <c r="A960" s="7" t="s">
        <v>22</v>
      </c>
      <c r="B960" s="204">
        <v>76.900000000000006</v>
      </c>
      <c r="C960" s="204">
        <v>60.6</v>
      </c>
      <c r="D960" s="204">
        <v>100</v>
      </c>
      <c r="E960" s="204">
        <v>100</v>
      </c>
      <c r="F960" s="204">
        <v>100</v>
      </c>
      <c r="G960" s="204">
        <v>100</v>
      </c>
      <c r="H960" s="204">
        <v>100</v>
      </c>
      <c r="I960" s="204">
        <v>75</v>
      </c>
      <c r="J960" s="204">
        <v>75</v>
      </c>
      <c r="K960" s="204">
        <v>100</v>
      </c>
      <c r="L960" s="204">
        <v>100</v>
      </c>
      <c r="M960" s="204">
        <v>100</v>
      </c>
      <c r="N960" s="204">
        <v>100</v>
      </c>
      <c r="O960" s="204">
        <v>100</v>
      </c>
      <c r="P960" s="204">
        <v>100</v>
      </c>
      <c r="Q960" s="86" t="s">
        <v>23</v>
      </c>
      <c r="R960" s="199">
        <v>104</v>
      </c>
      <c r="S960" s="199">
        <v>94</v>
      </c>
      <c r="T960" s="217" t="s">
        <v>27</v>
      </c>
    </row>
    <row r="961" spans="1:22" ht="13.5" customHeight="1">
      <c r="A961" s="7" t="s">
        <v>31</v>
      </c>
      <c r="B961" s="204">
        <v>57.7</v>
      </c>
      <c r="C961" s="204">
        <v>46.5</v>
      </c>
      <c r="D961" s="204">
        <v>23.1</v>
      </c>
      <c r="E961" s="204">
        <v>40</v>
      </c>
      <c r="F961" s="204">
        <v>50</v>
      </c>
      <c r="G961" s="204">
        <v>40</v>
      </c>
      <c r="H961" s="204">
        <v>50</v>
      </c>
      <c r="I961" s="204">
        <v>50</v>
      </c>
      <c r="J961" s="204">
        <v>57.1</v>
      </c>
      <c r="K961" s="204">
        <v>75</v>
      </c>
      <c r="L961" s="204">
        <v>50</v>
      </c>
      <c r="M961" s="204">
        <v>75</v>
      </c>
      <c r="N961" s="204">
        <v>50</v>
      </c>
      <c r="O961" s="204">
        <v>100</v>
      </c>
      <c r="P961" s="204">
        <v>100</v>
      </c>
      <c r="Q961" s="86" t="s">
        <v>23</v>
      </c>
      <c r="R961" s="199">
        <v>100</v>
      </c>
      <c r="S961" s="199">
        <v>84</v>
      </c>
      <c r="T961" s="217" t="s">
        <v>39</v>
      </c>
    </row>
    <row r="962" spans="1:22" ht="13.5" customHeight="1">
      <c r="A962" s="7" t="s">
        <v>42</v>
      </c>
      <c r="B962" s="204">
        <v>47.1</v>
      </c>
      <c r="C962" s="204">
        <v>46.5</v>
      </c>
      <c r="D962" s="204">
        <v>0</v>
      </c>
      <c r="E962" s="204">
        <v>33.299999999999997</v>
      </c>
      <c r="F962" s="204">
        <v>33.299999999999997</v>
      </c>
      <c r="G962" s="204">
        <v>66.7</v>
      </c>
      <c r="H962" s="204">
        <v>66.7</v>
      </c>
      <c r="I962" s="204">
        <v>57.1</v>
      </c>
      <c r="J962" s="204">
        <v>57.1</v>
      </c>
      <c r="K962" s="204">
        <v>33.299999999999997</v>
      </c>
      <c r="L962" s="204">
        <v>33.299999999999997</v>
      </c>
      <c r="M962" s="204">
        <v>50</v>
      </c>
      <c r="N962" s="204">
        <v>50</v>
      </c>
      <c r="O962" s="204">
        <v>33.299999999999997</v>
      </c>
      <c r="P962" s="204">
        <v>33.299999999999997</v>
      </c>
      <c r="Q962" s="86" t="s">
        <v>26</v>
      </c>
      <c r="R962" s="199">
        <v>80</v>
      </c>
      <c r="S962" s="199">
        <v>84</v>
      </c>
      <c r="T962" s="217" t="s">
        <v>46</v>
      </c>
    </row>
    <row r="963" spans="1:22" ht="13.5" customHeight="1">
      <c r="A963" s="7" t="s">
        <v>25</v>
      </c>
      <c r="B963" s="204">
        <v>71.400000000000006</v>
      </c>
      <c r="C963" s="204">
        <v>59.6</v>
      </c>
      <c r="D963" s="204">
        <v>0</v>
      </c>
      <c r="E963" s="204">
        <v>0</v>
      </c>
      <c r="F963" s="204">
        <v>0</v>
      </c>
      <c r="G963" s="204">
        <v>0</v>
      </c>
      <c r="H963" s="204">
        <v>0</v>
      </c>
      <c r="I963" s="204">
        <v>50</v>
      </c>
      <c r="J963" s="204">
        <v>50</v>
      </c>
      <c r="K963" s="204">
        <v>0</v>
      </c>
      <c r="L963" s="204">
        <v>0</v>
      </c>
      <c r="M963" s="204">
        <v>0</v>
      </c>
      <c r="N963" s="204">
        <v>0</v>
      </c>
      <c r="O963" s="204">
        <v>33.299999999999997</v>
      </c>
      <c r="P963" s="204">
        <v>33.299999999999997</v>
      </c>
      <c r="Q963" s="86" t="s">
        <v>26</v>
      </c>
      <c r="R963" s="199">
        <v>83</v>
      </c>
      <c r="S963" s="199">
        <v>82</v>
      </c>
      <c r="T963" s="217" t="s">
        <v>39</v>
      </c>
    </row>
    <row r="964" spans="1:22" ht="13.5" customHeight="1">
      <c r="A964" s="7" t="s">
        <v>36</v>
      </c>
      <c r="B964" s="204">
        <v>58</v>
      </c>
      <c r="C964" s="204">
        <v>76.5</v>
      </c>
      <c r="D964" s="204">
        <v>75</v>
      </c>
      <c r="E964" s="204">
        <v>0</v>
      </c>
      <c r="F964" s="204">
        <v>0</v>
      </c>
      <c r="G964" s="204">
        <v>0</v>
      </c>
      <c r="H964" s="204">
        <v>0</v>
      </c>
      <c r="I964" s="204">
        <v>33.299999999999997</v>
      </c>
      <c r="J964" s="204">
        <v>33.299999999999997</v>
      </c>
      <c r="K964" s="204">
        <v>0</v>
      </c>
      <c r="L964" s="204">
        <v>0</v>
      </c>
      <c r="M964" s="204">
        <v>0</v>
      </c>
      <c r="N964" s="204">
        <v>0</v>
      </c>
      <c r="O964" s="204">
        <v>66.7</v>
      </c>
      <c r="P964" s="204">
        <v>66.7</v>
      </c>
      <c r="Q964" s="86" t="s">
        <v>23</v>
      </c>
      <c r="R964" s="199">
        <v>94</v>
      </c>
      <c r="S964" s="199">
        <v>75</v>
      </c>
      <c r="T964" s="217" t="s">
        <v>46</v>
      </c>
    </row>
    <row r="965" spans="1:22" ht="13.5" customHeight="1">
      <c r="A965" s="7" t="s">
        <v>31</v>
      </c>
      <c r="B965" s="204">
        <v>45.2</v>
      </c>
      <c r="C965" s="204">
        <v>49.4</v>
      </c>
      <c r="D965" s="204">
        <v>57.1</v>
      </c>
      <c r="E965" s="204">
        <v>50</v>
      </c>
      <c r="F965" s="204">
        <v>50</v>
      </c>
      <c r="G965" s="204">
        <v>50</v>
      </c>
      <c r="H965" s="204">
        <v>100</v>
      </c>
      <c r="I965" s="204">
        <v>40</v>
      </c>
      <c r="J965" s="204">
        <v>50</v>
      </c>
      <c r="K965" s="204">
        <v>100</v>
      </c>
      <c r="L965" s="204">
        <v>100</v>
      </c>
      <c r="M965" s="204">
        <v>100</v>
      </c>
      <c r="N965" s="204">
        <v>100</v>
      </c>
      <c r="O965" s="204">
        <v>75</v>
      </c>
      <c r="P965" s="204">
        <v>75</v>
      </c>
      <c r="Q965" s="86" t="s">
        <v>26</v>
      </c>
      <c r="R965" s="199">
        <v>100</v>
      </c>
      <c r="S965" s="199">
        <v>88</v>
      </c>
      <c r="T965" s="217" t="s">
        <v>27</v>
      </c>
    </row>
    <row r="966" spans="1:22" ht="13.5" customHeight="1">
      <c r="A966" s="7" t="s">
        <v>31</v>
      </c>
      <c r="B966" s="204">
        <v>92.3</v>
      </c>
      <c r="C966" s="204">
        <v>60.6</v>
      </c>
      <c r="D966" s="204">
        <v>100</v>
      </c>
      <c r="E966" s="204">
        <v>100</v>
      </c>
      <c r="F966" s="204">
        <v>100</v>
      </c>
      <c r="G966" s="204">
        <v>100</v>
      </c>
      <c r="H966" s="204">
        <v>100</v>
      </c>
      <c r="I966" s="204">
        <v>100</v>
      </c>
      <c r="J966" s="204">
        <v>100</v>
      </c>
      <c r="K966" s="204">
        <v>100</v>
      </c>
      <c r="L966" s="204">
        <v>100</v>
      </c>
      <c r="M966" s="204">
        <v>100</v>
      </c>
      <c r="N966" s="204">
        <v>100</v>
      </c>
      <c r="O966" s="204">
        <v>100</v>
      </c>
      <c r="P966" s="204">
        <v>100</v>
      </c>
      <c r="Q966" s="86" t="s">
        <v>23</v>
      </c>
      <c r="R966" s="199">
        <v>90</v>
      </c>
      <c r="S966" s="199">
        <v>90</v>
      </c>
      <c r="T966" s="229" t="s">
        <v>28</v>
      </c>
    </row>
    <row r="967" spans="1:22" ht="13.5" customHeight="1">
      <c r="A967" s="7" t="s">
        <v>44</v>
      </c>
      <c r="B967" s="204">
        <v>47.1</v>
      </c>
      <c r="C967" s="204">
        <v>59.6</v>
      </c>
      <c r="D967" s="204">
        <v>58.8</v>
      </c>
      <c r="E967" s="204">
        <v>50</v>
      </c>
      <c r="F967" s="204">
        <v>50</v>
      </c>
      <c r="G967" s="204">
        <v>100</v>
      </c>
      <c r="H967" s="204">
        <v>100</v>
      </c>
      <c r="I967" s="204">
        <v>33.299999999999997</v>
      </c>
      <c r="J967" s="204">
        <v>33.299999999999997</v>
      </c>
      <c r="K967" s="204">
        <v>100</v>
      </c>
      <c r="L967" s="204">
        <v>100</v>
      </c>
      <c r="M967" s="204">
        <v>100</v>
      </c>
      <c r="N967" s="204">
        <v>100</v>
      </c>
      <c r="O967" s="204">
        <v>100</v>
      </c>
      <c r="P967" s="204">
        <v>100</v>
      </c>
      <c r="Q967" s="86" t="s">
        <v>45</v>
      </c>
      <c r="R967" s="199">
        <v>76</v>
      </c>
      <c r="S967" s="199">
        <v>75</v>
      </c>
      <c r="T967" s="223" t="s">
        <v>40</v>
      </c>
    </row>
    <row r="968" spans="1:22" ht="13.5" customHeight="1">
      <c r="A968" s="7" t="s">
        <v>53</v>
      </c>
      <c r="B968" s="204">
        <v>28.6</v>
      </c>
      <c r="C968" s="204">
        <v>55.6</v>
      </c>
      <c r="D968" s="204">
        <v>20</v>
      </c>
      <c r="E968" s="204">
        <v>60</v>
      </c>
      <c r="F968" s="204">
        <v>60</v>
      </c>
      <c r="G968" s="204">
        <v>60</v>
      </c>
      <c r="H968" s="204">
        <v>60</v>
      </c>
      <c r="I968" s="204">
        <v>37.5</v>
      </c>
      <c r="J968" s="204">
        <v>50</v>
      </c>
      <c r="K968" s="204">
        <v>0</v>
      </c>
      <c r="L968" s="204">
        <v>0</v>
      </c>
      <c r="M968" s="204">
        <v>0</v>
      </c>
      <c r="N968" s="204">
        <v>0</v>
      </c>
      <c r="O968" s="204">
        <v>60</v>
      </c>
      <c r="P968" s="204">
        <v>33.299999999999997</v>
      </c>
      <c r="Q968" s="86" t="s">
        <v>26</v>
      </c>
      <c r="R968" s="199">
        <v>100</v>
      </c>
      <c r="S968" s="199">
        <v>86</v>
      </c>
      <c r="T968" s="223" t="s">
        <v>27</v>
      </c>
    </row>
    <row r="969" spans="1:22" ht="13.5" customHeight="1">
      <c r="A969" s="7" t="s">
        <v>53</v>
      </c>
      <c r="B969" s="204">
        <v>50</v>
      </c>
      <c r="C969" s="204">
        <v>38.1</v>
      </c>
      <c r="D969" s="204">
        <v>35.700000000000003</v>
      </c>
      <c r="E969" s="204">
        <v>0</v>
      </c>
      <c r="F969" s="204">
        <v>0</v>
      </c>
      <c r="G969" s="204">
        <v>0</v>
      </c>
      <c r="H969" s="204">
        <v>0</v>
      </c>
      <c r="I969" s="204">
        <v>66.7</v>
      </c>
      <c r="J969" s="204">
        <v>66.7</v>
      </c>
      <c r="K969" s="204">
        <v>0</v>
      </c>
      <c r="L969" s="204">
        <v>0</v>
      </c>
      <c r="M969" s="204">
        <v>0</v>
      </c>
      <c r="N969" s="204">
        <v>0</v>
      </c>
      <c r="O969" s="204">
        <v>50</v>
      </c>
      <c r="P969" s="204">
        <v>50</v>
      </c>
      <c r="Q969" s="86" t="s">
        <v>26</v>
      </c>
      <c r="R969" s="199">
        <v>100</v>
      </c>
      <c r="S969" s="199">
        <v>80</v>
      </c>
      <c r="T969" s="223" t="s">
        <v>39</v>
      </c>
    </row>
    <row r="970" spans="1:22" ht="13.5" customHeight="1">
      <c r="A970" s="7" t="s">
        <v>64</v>
      </c>
      <c r="B970" s="204">
        <v>46.2</v>
      </c>
      <c r="C970" s="204">
        <v>36.9</v>
      </c>
      <c r="D970" s="204">
        <v>42.9</v>
      </c>
      <c r="E970" s="204">
        <v>0</v>
      </c>
      <c r="F970" s="204">
        <v>0</v>
      </c>
      <c r="G970" s="204">
        <v>0</v>
      </c>
      <c r="H970" s="204">
        <v>0</v>
      </c>
      <c r="I970" s="204">
        <v>0</v>
      </c>
      <c r="J970" s="204">
        <v>0</v>
      </c>
      <c r="K970" s="204">
        <v>33.299999999999997</v>
      </c>
      <c r="L970" s="204">
        <v>0</v>
      </c>
      <c r="M970" s="204">
        <v>33.299999999999997</v>
      </c>
      <c r="N970" s="204">
        <v>0</v>
      </c>
      <c r="O970" s="204">
        <v>28.6</v>
      </c>
      <c r="P970" s="204">
        <v>0</v>
      </c>
      <c r="Q970" s="44" t="s">
        <v>45</v>
      </c>
      <c r="R970" s="205">
        <v>100</v>
      </c>
      <c r="S970" s="205">
        <v>80</v>
      </c>
      <c r="T970" s="217" t="s">
        <v>46</v>
      </c>
    </row>
    <row r="971" spans="1:22" ht="27" customHeight="1">
      <c r="A971" s="7" t="s">
        <v>37</v>
      </c>
      <c r="B971" s="204">
        <v>60</v>
      </c>
      <c r="C971" s="204">
        <v>39.1</v>
      </c>
      <c r="D971" s="204">
        <v>50</v>
      </c>
      <c r="E971" s="204">
        <v>100</v>
      </c>
      <c r="F971" s="204">
        <v>100</v>
      </c>
      <c r="G971" s="204">
        <v>100</v>
      </c>
      <c r="H971" s="204">
        <v>100</v>
      </c>
      <c r="I971" s="204">
        <v>100</v>
      </c>
      <c r="J971" s="204">
        <v>100</v>
      </c>
      <c r="K971" s="204">
        <v>100</v>
      </c>
      <c r="L971" s="204">
        <v>100</v>
      </c>
      <c r="M971" s="204">
        <v>100</v>
      </c>
      <c r="N971" s="204">
        <v>100</v>
      </c>
      <c r="O971" s="204">
        <v>50</v>
      </c>
      <c r="P971" s="204">
        <v>50</v>
      </c>
      <c r="Q971" s="44" t="s">
        <v>45</v>
      </c>
      <c r="R971" s="205">
        <v>105</v>
      </c>
      <c r="S971" s="205">
        <v>75</v>
      </c>
      <c r="T971" s="217" t="s">
        <v>40</v>
      </c>
    </row>
    <row r="972" spans="1:22" ht="13.5" customHeight="1">
      <c r="A972" s="7" t="s">
        <v>74</v>
      </c>
      <c r="B972" s="204">
        <v>47.1</v>
      </c>
      <c r="C972" s="204">
        <v>38.1</v>
      </c>
      <c r="D972" s="204">
        <v>25</v>
      </c>
      <c r="E972" s="204">
        <v>50</v>
      </c>
      <c r="F972" s="204">
        <v>50</v>
      </c>
      <c r="G972" s="204">
        <v>50</v>
      </c>
      <c r="H972" s="204">
        <v>50</v>
      </c>
      <c r="I972" s="204">
        <v>50</v>
      </c>
      <c r="J972" s="204">
        <v>57.1</v>
      </c>
      <c r="K972" s="204">
        <v>33.299999999999997</v>
      </c>
      <c r="L972" s="204">
        <v>33.299999999999997</v>
      </c>
      <c r="M972" s="204">
        <v>50</v>
      </c>
      <c r="N972" s="204">
        <v>50</v>
      </c>
      <c r="O972" s="204">
        <v>40</v>
      </c>
      <c r="P972" s="204">
        <v>0</v>
      </c>
      <c r="Q972" s="86" t="s">
        <v>45</v>
      </c>
      <c r="R972" s="199">
        <v>100</v>
      </c>
      <c r="S972" s="199">
        <v>90</v>
      </c>
      <c r="T972" s="217" t="s">
        <v>27</v>
      </c>
    </row>
    <row r="973" spans="1:22" ht="13.5" customHeight="1">
      <c r="A973" s="7" t="s">
        <v>44</v>
      </c>
      <c r="B973" s="204">
        <v>71.400000000000006</v>
      </c>
      <c r="C973" s="204">
        <v>80</v>
      </c>
      <c r="D973" s="204">
        <v>100</v>
      </c>
      <c r="E973" s="204">
        <v>100</v>
      </c>
      <c r="F973" s="204">
        <v>100</v>
      </c>
      <c r="G973" s="204">
        <v>100</v>
      </c>
      <c r="H973" s="204">
        <v>100</v>
      </c>
      <c r="I973" s="204">
        <v>100</v>
      </c>
      <c r="J973" s="204">
        <v>100</v>
      </c>
      <c r="K973" s="204">
        <v>100</v>
      </c>
      <c r="L973" s="204">
        <v>100</v>
      </c>
      <c r="M973" s="204">
        <v>100</v>
      </c>
      <c r="N973" s="204">
        <v>100</v>
      </c>
      <c r="O973" s="204">
        <v>50</v>
      </c>
      <c r="P973" s="204">
        <v>50</v>
      </c>
      <c r="Q973" s="44" t="s">
        <v>30</v>
      </c>
      <c r="R973" s="205">
        <v>108</v>
      </c>
      <c r="S973" s="205">
        <v>95</v>
      </c>
      <c r="T973" s="217" t="s">
        <v>27</v>
      </c>
      <c r="U973">
        <v>2.5</v>
      </c>
      <c r="V973">
        <v>97</v>
      </c>
    </row>
    <row r="974" spans="1:22" ht="13.5" customHeight="1">
      <c r="A974" s="7" t="s">
        <v>42</v>
      </c>
      <c r="B974" s="204">
        <v>71.400000000000006</v>
      </c>
      <c r="C974" s="204">
        <v>38.1</v>
      </c>
      <c r="D974" s="204">
        <v>44.4</v>
      </c>
      <c r="E974" s="204">
        <v>66.7</v>
      </c>
      <c r="F974" s="204">
        <v>66.7</v>
      </c>
      <c r="G974" s="204">
        <v>0</v>
      </c>
      <c r="H974" s="204">
        <v>0</v>
      </c>
      <c r="I974" s="204">
        <v>0</v>
      </c>
      <c r="J974" s="204">
        <v>0</v>
      </c>
      <c r="K974" s="204">
        <v>50</v>
      </c>
      <c r="L974" s="204">
        <v>50</v>
      </c>
      <c r="M974" s="204">
        <v>33.299999999999997</v>
      </c>
      <c r="N974" s="204">
        <v>33.299999999999997</v>
      </c>
      <c r="O974" s="204">
        <v>33.299999999999997</v>
      </c>
      <c r="P974" s="204">
        <v>33.299999999999997</v>
      </c>
      <c r="Q974" s="44" t="s">
        <v>45</v>
      </c>
      <c r="R974" s="205">
        <v>104</v>
      </c>
      <c r="S974" s="205">
        <v>85</v>
      </c>
      <c r="T974" s="217" t="s">
        <v>27</v>
      </c>
      <c r="U974">
        <v>2.5</v>
      </c>
      <c r="V974">
        <v>135</v>
      </c>
    </row>
    <row r="975" spans="1:22" ht="13.5" customHeight="1">
      <c r="A975" s="7" t="s">
        <v>22</v>
      </c>
      <c r="B975" s="204">
        <v>100</v>
      </c>
      <c r="C975" s="204">
        <v>66.7</v>
      </c>
      <c r="D975" s="204">
        <v>66.7</v>
      </c>
      <c r="E975" s="204">
        <v>100</v>
      </c>
      <c r="F975" s="204">
        <v>100</v>
      </c>
      <c r="G975" s="204">
        <v>100</v>
      </c>
      <c r="H975" s="204">
        <v>100</v>
      </c>
      <c r="I975" s="204">
        <v>100</v>
      </c>
      <c r="J975" s="204">
        <v>100</v>
      </c>
      <c r="K975" s="204">
        <v>100</v>
      </c>
      <c r="L975" s="204">
        <v>100</v>
      </c>
      <c r="M975" s="204">
        <v>100</v>
      </c>
      <c r="N975" s="204">
        <v>100</v>
      </c>
      <c r="O975" s="204">
        <v>100</v>
      </c>
      <c r="P975" s="204">
        <v>100</v>
      </c>
      <c r="Q975" s="44" t="s">
        <v>38</v>
      </c>
      <c r="R975" s="205">
        <v>84</v>
      </c>
      <c r="S975" s="205">
        <v>90</v>
      </c>
      <c r="T975" s="217" t="s">
        <v>27</v>
      </c>
    </row>
    <row r="976" spans="1:22" ht="13.5" customHeight="1">
      <c r="A976" s="7" t="s">
        <v>42</v>
      </c>
      <c r="B976" s="204">
        <v>50</v>
      </c>
      <c r="C976" s="204">
        <v>74.400000000000006</v>
      </c>
      <c r="D976" s="204">
        <v>33.299999999999997</v>
      </c>
      <c r="E976" s="204">
        <v>50</v>
      </c>
      <c r="F976" s="204">
        <v>50</v>
      </c>
      <c r="G976" s="204">
        <v>50</v>
      </c>
      <c r="H976" s="204">
        <v>50</v>
      </c>
      <c r="I976" s="204">
        <v>75</v>
      </c>
      <c r="J976" s="204">
        <v>75</v>
      </c>
      <c r="K976" s="204">
        <v>0</v>
      </c>
      <c r="L976" s="204">
        <v>0</v>
      </c>
      <c r="M976" s="204">
        <v>50</v>
      </c>
      <c r="N976" s="204">
        <v>50</v>
      </c>
      <c r="O976" s="204">
        <v>0</v>
      </c>
      <c r="P976" s="204">
        <v>0</v>
      </c>
      <c r="Q976" s="44" t="s">
        <v>26</v>
      </c>
      <c r="R976" s="205">
        <v>86</v>
      </c>
      <c r="S976" s="205">
        <v>100</v>
      </c>
      <c r="T976" s="217" t="s">
        <v>32</v>
      </c>
    </row>
    <row r="977" spans="1:20" ht="13.5" customHeight="1">
      <c r="A977" s="7" t="s">
        <v>41</v>
      </c>
      <c r="B977" s="204">
        <v>71.400000000000006</v>
      </c>
      <c r="C977" s="204">
        <v>80</v>
      </c>
      <c r="D977" s="204">
        <v>100</v>
      </c>
      <c r="E977" s="204">
        <v>100</v>
      </c>
      <c r="F977" s="204">
        <v>100</v>
      </c>
      <c r="G977" s="204">
        <v>100</v>
      </c>
      <c r="H977" s="204">
        <v>100</v>
      </c>
      <c r="I977" s="204">
        <v>50</v>
      </c>
      <c r="J977" s="204">
        <v>50</v>
      </c>
      <c r="K977" s="204">
        <v>100</v>
      </c>
      <c r="L977" s="204">
        <v>100</v>
      </c>
      <c r="M977" s="204">
        <v>100</v>
      </c>
      <c r="N977" s="204">
        <v>100</v>
      </c>
      <c r="O977" s="204">
        <v>100</v>
      </c>
      <c r="P977" s="204">
        <v>100</v>
      </c>
      <c r="Q977" s="44" t="s">
        <v>30</v>
      </c>
      <c r="R977" s="205">
        <v>85</v>
      </c>
      <c r="S977" s="205">
        <v>100</v>
      </c>
      <c r="T977" s="217" t="s">
        <v>32</v>
      </c>
    </row>
    <row r="978" spans="1:20" ht="13.5" customHeight="1">
      <c r="A978" s="7" t="s">
        <v>43</v>
      </c>
      <c r="B978" s="204">
        <v>68.400000000000006</v>
      </c>
      <c r="C978" s="204">
        <v>86.4</v>
      </c>
      <c r="D978" s="204">
        <v>100</v>
      </c>
      <c r="E978" s="204">
        <v>100</v>
      </c>
      <c r="F978" s="204">
        <v>100</v>
      </c>
      <c r="G978" s="204">
        <v>100</v>
      </c>
      <c r="H978" s="204">
        <v>100</v>
      </c>
      <c r="I978" s="204">
        <v>75</v>
      </c>
      <c r="J978" s="204">
        <v>75</v>
      </c>
      <c r="K978" s="204">
        <v>100</v>
      </c>
      <c r="L978" s="204">
        <v>100</v>
      </c>
      <c r="M978" s="204">
        <v>100</v>
      </c>
      <c r="N978" s="204">
        <v>100</v>
      </c>
      <c r="O978" s="204">
        <v>100</v>
      </c>
      <c r="P978" s="204">
        <v>100</v>
      </c>
      <c r="Q978" s="44" t="s">
        <v>30</v>
      </c>
      <c r="R978" s="205">
        <v>89</v>
      </c>
      <c r="S978" s="205">
        <v>80</v>
      </c>
      <c r="T978" s="217" t="s">
        <v>46</v>
      </c>
    </row>
    <row r="979" spans="1:20" ht="13.5" customHeight="1">
      <c r="A979" s="7" t="s">
        <v>54</v>
      </c>
      <c r="B979" s="204">
        <v>100</v>
      </c>
      <c r="C979" s="204">
        <v>100</v>
      </c>
      <c r="D979" s="204">
        <v>100</v>
      </c>
      <c r="E979" s="204">
        <v>100</v>
      </c>
      <c r="F979" s="204">
        <v>100</v>
      </c>
      <c r="G979" s="204">
        <v>100</v>
      </c>
      <c r="H979" s="204">
        <v>100</v>
      </c>
      <c r="I979" s="204">
        <v>100</v>
      </c>
      <c r="J979" s="204">
        <v>100</v>
      </c>
      <c r="K979" s="204">
        <v>100</v>
      </c>
      <c r="L979" s="204">
        <v>100</v>
      </c>
      <c r="M979" s="204">
        <v>100</v>
      </c>
      <c r="N979" s="204">
        <v>100</v>
      </c>
      <c r="O979" s="204">
        <v>100</v>
      </c>
      <c r="P979" s="204">
        <v>100</v>
      </c>
      <c r="Q979" s="44" t="s">
        <v>50</v>
      </c>
      <c r="R979" s="205">
        <v>75</v>
      </c>
      <c r="S979" s="205">
        <v>100</v>
      </c>
      <c r="T979" s="217" t="s">
        <v>35</v>
      </c>
    </row>
    <row r="980" spans="1:20" ht="13.5" customHeight="1">
      <c r="A980" s="7" t="s">
        <v>41</v>
      </c>
      <c r="B980" s="204">
        <v>71.400000000000006</v>
      </c>
      <c r="C980" s="204">
        <v>76.2</v>
      </c>
      <c r="D980" s="204">
        <v>80</v>
      </c>
      <c r="E980" s="204">
        <v>100</v>
      </c>
      <c r="F980" s="204">
        <v>100</v>
      </c>
      <c r="G980" s="204">
        <v>100</v>
      </c>
      <c r="H980" s="204">
        <v>100</v>
      </c>
      <c r="I980" s="204">
        <v>100</v>
      </c>
      <c r="J980" s="204">
        <v>100</v>
      </c>
      <c r="K980" s="204">
        <v>100</v>
      </c>
      <c r="L980" s="204">
        <v>100</v>
      </c>
      <c r="M980" s="204">
        <v>100</v>
      </c>
      <c r="N980" s="204">
        <v>100</v>
      </c>
      <c r="O980" s="204">
        <v>100</v>
      </c>
      <c r="P980" s="204">
        <v>100</v>
      </c>
      <c r="Q980" s="44" t="s">
        <v>34</v>
      </c>
      <c r="R980" s="205">
        <v>95</v>
      </c>
      <c r="S980" s="205">
        <v>85</v>
      </c>
      <c r="T980" s="217" t="s">
        <v>27</v>
      </c>
    </row>
    <row r="981" spans="1:20" ht="13.5" customHeight="1">
      <c r="A981" s="7" t="s">
        <v>41</v>
      </c>
      <c r="B981" s="204">
        <v>68.400000000000006</v>
      </c>
      <c r="C981" s="204">
        <v>100</v>
      </c>
      <c r="D981" s="204">
        <v>100</v>
      </c>
      <c r="E981" s="204">
        <v>100</v>
      </c>
      <c r="F981" s="204">
        <v>100</v>
      </c>
      <c r="G981" s="204">
        <v>100</v>
      </c>
      <c r="H981" s="204">
        <v>100</v>
      </c>
      <c r="I981" s="204">
        <v>50</v>
      </c>
      <c r="J981" s="204">
        <v>50</v>
      </c>
      <c r="K981" s="204">
        <v>100</v>
      </c>
      <c r="L981" s="204">
        <v>100</v>
      </c>
      <c r="M981" s="204">
        <v>100</v>
      </c>
      <c r="N981" s="204">
        <v>100</v>
      </c>
      <c r="O981" s="204">
        <v>100</v>
      </c>
      <c r="P981" s="204">
        <v>100</v>
      </c>
      <c r="Q981" s="44" t="s">
        <v>30</v>
      </c>
      <c r="R981" s="205">
        <v>85</v>
      </c>
      <c r="S981" s="205">
        <v>84</v>
      </c>
      <c r="T981" s="217" t="s">
        <v>46</v>
      </c>
    </row>
    <row r="982" spans="1:20" ht="13.5" customHeight="1">
      <c r="A982" s="7" t="s">
        <v>37</v>
      </c>
      <c r="B982" s="204">
        <v>71.400000000000006</v>
      </c>
      <c r="C982" s="204">
        <v>46.5</v>
      </c>
      <c r="D982" s="204">
        <v>25</v>
      </c>
      <c r="E982" s="204">
        <v>50</v>
      </c>
      <c r="F982" s="204">
        <v>50</v>
      </c>
      <c r="G982" s="204">
        <v>50</v>
      </c>
      <c r="H982" s="204">
        <v>50</v>
      </c>
      <c r="I982" s="204">
        <v>60</v>
      </c>
      <c r="J982" s="204">
        <v>60</v>
      </c>
      <c r="K982" s="204">
        <v>100</v>
      </c>
      <c r="L982" s="204">
        <v>100</v>
      </c>
      <c r="M982" s="204">
        <v>100</v>
      </c>
      <c r="N982" s="204">
        <v>100</v>
      </c>
      <c r="O982" s="204">
        <v>100</v>
      </c>
      <c r="P982" s="204">
        <v>100</v>
      </c>
      <c r="Q982" s="44" t="s">
        <v>26</v>
      </c>
      <c r="R982" s="205">
        <v>85</v>
      </c>
      <c r="S982" s="205">
        <v>96</v>
      </c>
      <c r="T982" s="217" t="s">
        <v>48</v>
      </c>
    </row>
    <row r="983" spans="1:20" ht="13.5" customHeight="1">
      <c r="A983" s="7" t="s">
        <v>22</v>
      </c>
      <c r="B983" s="204">
        <v>71.400000000000006</v>
      </c>
      <c r="C983" s="204">
        <v>38.1</v>
      </c>
      <c r="D983" s="204">
        <v>44.4</v>
      </c>
      <c r="E983" s="204">
        <v>100</v>
      </c>
      <c r="F983" s="204">
        <v>100</v>
      </c>
      <c r="G983" s="204">
        <v>100</v>
      </c>
      <c r="H983" s="204">
        <v>100</v>
      </c>
      <c r="I983" s="204">
        <v>50</v>
      </c>
      <c r="J983" s="204">
        <v>50</v>
      </c>
      <c r="K983" s="204">
        <v>100</v>
      </c>
      <c r="L983" s="204">
        <v>100</v>
      </c>
      <c r="M983" s="204">
        <v>100</v>
      </c>
      <c r="N983" s="204">
        <v>100</v>
      </c>
      <c r="O983" s="204">
        <v>33.299999999999997</v>
      </c>
      <c r="P983" s="204">
        <v>33.299999999999997</v>
      </c>
      <c r="Q983" s="44" t="s">
        <v>26</v>
      </c>
      <c r="R983" s="205">
        <v>90</v>
      </c>
      <c r="S983" s="205">
        <v>94</v>
      </c>
      <c r="T983" s="217" t="s">
        <v>24</v>
      </c>
    </row>
    <row r="984" spans="1:20" ht="13.5" customHeight="1">
      <c r="A984" s="7" t="s">
        <v>33</v>
      </c>
      <c r="B984" s="204">
        <v>50</v>
      </c>
      <c r="C984" s="204">
        <v>68</v>
      </c>
      <c r="D984" s="204">
        <v>54.5</v>
      </c>
      <c r="E984" s="204">
        <v>100</v>
      </c>
      <c r="F984" s="204">
        <v>100</v>
      </c>
      <c r="G984" s="204">
        <v>50</v>
      </c>
      <c r="H984" s="204">
        <v>50</v>
      </c>
      <c r="I984" s="204">
        <v>60</v>
      </c>
      <c r="J984" s="204">
        <v>75</v>
      </c>
      <c r="K984" s="204">
        <v>100</v>
      </c>
      <c r="L984" s="204">
        <v>100</v>
      </c>
      <c r="M984" s="204">
        <v>100</v>
      </c>
      <c r="N984" s="204">
        <v>100</v>
      </c>
      <c r="O984" s="204">
        <v>100</v>
      </c>
      <c r="P984" s="204">
        <v>100</v>
      </c>
      <c r="Q984" s="44" t="s">
        <v>23</v>
      </c>
      <c r="R984" s="205">
        <v>90</v>
      </c>
      <c r="S984" s="205">
        <v>85</v>
      </c>
      <c r="T984" s="217" t="s">
        <v>28</v>
      </c>
    </row>
    <row r="985" spans="1:20" ht="27" customHeight="1">
      <c r="A985" s="7" t="s">
        <v>22</v>
      </c>
      <c r="B985" s="204">
        <v>50</v>
      </c>
      <c r="C985" s="204">
        <v>80</v>
      </c>
      <c r="D985" s="204">
        <v>100</v>
      </c>
      <c r="E985" s="204">
        <v>50</v>
      </c>
      <c r="F985" s="204">
        <v>50</v>
      </c>
      <c r="G985" s="204">
        <v>50</v>
      </c>
      <c r="H985" s="204">
        <v>50</v>
      </c>
      <c r="I985" s="204">
        <v>60</v>
      </c>
      <c r="J985" s="204">
        <v>60</v>
      </c>
      <c r="K985" s="204">
        <v>100</v>
      </c>
      <c r="L985" s="204">
        <v>100</v>
      </c>
      <c r="M985" s="204">
        <v>100</v>
      </c>
      <c r="N985" s="204">
        <v>100</v>
      </c>
      <c r="O985" s="204">
        <v>100</v>
      </c>
      <c r="P985" s="204">
        <v>100</v>
      </c>
      <c r="Q985" s="44" t="s">
        <v>23</v>
      </c>
      <c r="R985" s="205">
        <v>100</v>
      </c>
      <c r="S985" s="205">
        <v>100</v>
      </c>
      <c r="T985" s="217" t="s">
        <v>48</v>
      </c>
    </row>
    <row r="986" spans="1:20" ht="13.5" customHeight="1">
      <c r="A986" s="7" t="s">
        <v>36</v>
      </c>
      <c r="B986" s="204">
        <v>50</v>
      </c>
      <c r="C986" s="204">
        <v>74.400000000000006</v>
      </c>
      <c r="D986" s="204">
        <v>33.299999999999997</v>
      </c>
      <c r="E986" s="204">
        <v>50</v>
      </c>
      <c r="F986" s="204">
        <v>50</v>
      </c>
      <c r="G986" s="204">
        <v>33.299999999999997</v>
      </c>
      <c r="H986" s="204">
        <v>33.299999999999997</v>
      </c>
      <c r="I986" s="204">
        <v>66.7</v>
      </c>
      <c r="J986" s="204">
        <v>66.7</v>
      </c>
      <c r="K986" s="204">
        <v>0</v>
      </c>
      <c r="L986" s="204">
        <v>0</v>
      </c>
      <c r="M986" s="204">
        <v>0</v>
      </c>
      <c r="N986" s="204">
        <v>0</v>
      </c>
      <c r="O986" s="204">
        <v>40</v>
      </c>
      <c r="P986" s="204">
        <v>40</v>
      </c>
      <c r="Q986" s="44" t="s">
        <v>26</v>
      </c>
      <c r="R986" s="205">
        <v>96</v>
      </c>
      <c r="S986" s="205">
        <v>110</v>
      </c>
      <c r="T986" s="217" t="s">
        <v>35</v>
      </c>
    </row>
    <row r="987" spans="1:20" ht="13.5" customHeight="1">
      <c r="A987" s="7" t="s">
        <v>25</v>
      </c>
      <c r="B987" s="204">
        <v>50</v>
      </c>
      <c r="C987" s="204">
        <v>73.3</v>
      </c>
      <c r="D987" s="204">
        <v>66.7</v>
      </c>
      <c r="E987" s="204">
        <v>50</v>
      </c>
      <c r="F987" s="204">
        <v>50</v>
      </c>
      <c r="G987" s="204">
        <v>50</v>
      </c>
      <c r="H987" s="204">
        <v>50</v>
      </c>
      <c r="I987" s="204">
        <v>57.1</v>
      </c>
      <c r="J987" s="204">
        <v>57.1</v>
      </c>
      <c r="K987" s="204">
        <v>0</v>
      </c>
      <c r="L987" s="204">
        <v>0</v>
      </c>
      <c r="M987" s="204">
        <v>0</v>
      </c>
      <c r="N987" s="204">
        <v>0</v>
      </c>
      <c r="O987" s="204">
        <v>0</v>
      </c>
      <c r="P987" s="204">
        <v>0</v>
      </c>
      <c r="Q987" s="44" t="s">
        <v>26</v>
      </c>
      <c r="R987" s="205">
        <v>80</v>
      </c>
      <c r="S987" s="205">
        <v>75</v>
      </c>
      <c r="T987" s="217" t="s">
        <v>40</v>
      </c>
    </row>
    <row r="988" spans="1:20" ht="13.5" customHeight="1">
      <c r="A988" s="7" t="s">
        <v>60</v>
      </c>
      <c r="B988" s="204">
        <v>50</v>
      </c>
      <c r="C988" s="204">
        <v>55.6</v>
      </c>
      <c r="D988" s="204">
        <v>50</v>
      </c>
      <c r="E988" s="204">
        <v>50</v>
      </c>
      <c r="F988" s="204">
        <v>50</v>
      </c>
      <c r="G988" s="204">
        <v>57.1</v>
      </c>
      <c r="H988" s="204">
        <v>57.1</v>
      </c>
      <c r="I988" s="204">
        <v>20</v>
      </c>
      <c r="J988" s="204">
        <v>20</v>
      </c>
      <c r="K988" s="204">
        <v>33.299999999999997</v>
      </c>
      <c r="L988" s="204">
        <v>33.299999999999997</v>
      </c>
      <c r="M988" s="204">
        <v>50</v>
      </c>
      <c r="N988" s="204">
        <v>50</v>
      </c>
      <c r="O988" s="204">
        <v>20</v>
      </c>
      <c r="P988" s="204">
        <v>20</v>
      </c>
      <c r="Q988" s="44" t="s">
        <v>26</v>
      </c>
      <c r="R988" s="205">
        <v>100</v>
      </c>
      <c r="S988" s="205">
        <v>105</v>
      </c>
      <c r="T988" s="217" t="s">
        <v>35</v>
      </c>
    </row>
    <row r="989" spans="1:20" ht="13.5" customHeight="1">
      <c r="A989" s="7" t="s">
        <v>44</v>
      </c>
      <c r="B989" s="204">
        <v>50</v>
      </c>
      <c r="C989" s="204">
        <v>73.3</v>
      </c>
      <c r="D989" s="204">
        <v>66.7</v>
      </c>
      <c r="E989" s="204">
        <v>75</v>
      </c>
      <c r="F989" s="204">
        <v>75</v>
      </c>
      <c r="G989" s="204">
        <v>66.7</v>
      </c>
      <c r="H989" s="204">
        <v>66.7</v>
      </c>
      <c r="I989" s="204">
        <v>62.5</v>
      </c>
      <c r="J989" s="204">
        <v>62.5</v>
      </c>
      <c r="K989" s="204">
        <v>100</v>
      </c>
      <c r="L989" s="204">
        <v>100</v>
      </c>
      <c r="M989" s="204">
        <v>100</v>
      </c>
      <c r="N989" s="204">
        <v>100</v>
      </c>
      <c r="O989" s="204">
        <v>60</v>
      </c>
      <c r="P989" s="204">
        <v>60</v>
      </c>
      <c r="Q989" s="44" t="s">
        <v>26</v>
      </c>
      <c r="R989" s="205">
        <v>95</v>
      </c>
      <c r="S989" s="205">
        <v>95</v>
      </c>
      <c r="T989" s="217" t="s">
        <v>27</v>
      </c>
    </row>
    <row r="990" spans="1:20" ht="13.5" customHeight="1">
      <c r="A990" s="7" t="s">
        <v>36</v>
      </c>
      <c r="B990" s="204">
        <v>50</v>
      </c>
      <c r="C990" s="204">
        <v>38.1</v>
      </c>
      <c r="D990" s="204">
        <v>35.700000000000003</v>
      </c>
      <c r="E990" s="204">
        <v>0</v>
      </c>
      <c r="F990" s="204">
        <v>0</v>
      </c>
      <c r="G990" s="204">
        <v>0</v>
      </c>
      <c r="H990" s="204">
        <v>0</v>
      </c>
      <c r="I990" s="204">
        <v>37.5</v>
      </c>
      <c r="J990" s="204">
        <v>37.5</v>
      </c>
      <c r="K990" s="204">
        <v>0</v>
      </c>
      <c r="L990" s="204">
        <v>0</v>
      </c>
      <c r="M990" s="204">
        <v>0</v>
      </c>
      <c r="N990" s="204">
        <v>0</v>
      </c>
      <c r="O990" s="204">
        <v>0</v>
      </c>
      <c r="P990" s="204">
        <v>0</v>
      </c>
      <c r="Q990" s="44" t="s">
        <v>45</v>
      </c>
      <c r="R990" s="205">
        <v>95</v>
      </c>
      <c r="S990" s="205">
        <v>90</v>
      </c>
      <c r="T990" s="217" t="s">
        <v>24</v>
      </c>
    </row>
    <row r="991" spans="1:20" ht="13.5" customHeight="1">
      <c r="A991" s="7" t="s">
        <v>36</v>
      </c>
      <c r="B991" s="204">
        <v>50</v>
      </c>
      <c r="C991" s="204">
        <v>59.6</v>
      </c>
      <c r="D991" s="204">
        <v>50</v>
      </c>
      <c r="E991" s="204">
        <v>50</v>
      </c>
      <c r="F991" s="204">
        <v>50</v>
      </c>
      <c r="G991" s="204">
        <v>50</v>
      </c>
      <c r="H991" s="204">
        <v>50</v>
      </c>
      <c r="I991" s="204">
        <v>33.299999999999997</v>
      </c>
      <c r="J991" s="204">
        <v>33.299999999999997</v>
      </c>
      <c r="K991" s="204">
        <v>0</v>
      </c>
      <c r="L991" s="204">
        <v>0</v>
      </c>
      <c r="M991" s="204">
        <v>50</v>
      </c>
      <c r="N991" s="204">
        <v>50</v>
      </c>
      <c r="O991" s="204">
        <v>40</v>
      </c>
      <c r="P991" s="204">
        <v>40</v>
      </c>
      <c r="Q991" s="44" t="s">
        <v>26</v>
      </c>
      <c r="R991" s="205">
        <v>96</v>
      </c>
      <c r="S991" s="205">
        <v>85</v>
      </c>
      <c r="T991" s="217" t="s">
        <v>27</v>
      </c>
    </row>
    <row r="992" spans="1:20" ht="13.5" customHeight="1">
      <c r="A992" s="7" t="s">
        <v>31</v>
      </c>
      <c r="B992" s="204">
        <v>50</v>
      </c>
      <c r="C992" s="204">
        <v>50.8</v>
      </c>
      <c r="D992" s="204">
        <v>62.5</v>
      </c>
      <c r="E992" s="204">
        <v>100</v>
      </c>
      <c r="F992" s="204">
        <v>100</v>
      </c>
      <c r="G992" s="204">
        <v>100</v>
      </c>
      <c r="H992" s="204">
        <v>100</v>
      </c>
      <c r="I992" s="204">
        <v>28.6</v>
      </c>
      <c r="J992" s="204">
        <v>28.6</v>
      </c>
      <c r="K992" s="204">
        <v>100</v>
      </c>
      <c r="L992" s="204">
        <v>100</v>
      </c>
      <c r="M992" s="204">
        <v>100</v>
      </c>
      <c r="N992" s="204">
        <v>100</v>
      </c>
      <c r="O992" s="204">
        <v>66.7</v>
      </c>
      <c r="P992" s="204">
        <v>66.7</v>
      </c>
      <c r="Q992" s="44" t="s">
        <v>45</v>
      </c>
      <c r="R992" s="205">
        <v>95</v>
      </c>
      <c r="S992" s="205">
        <v>80</v>
      </c>
      <c r="T992" s="217" t="s">
        <v>46</v>
      </c>
    </row>
    <row r="993" spans="1:20" ht="13.5" customHeight="1">
      <c r="A993" s="7" t="s">
        <v>53</v>
      </c>
      <c r="B993" s="204">
        <v>50</v>
      </c>
      <c r="C993" s="204">
        <v>73.3</v>
      </c>
      <c r="D993" s="204">
        <v>66.7</v>
      </c>
      <c r="E993" s="204">
        <v>50</v>
      </c>
      <c r="F993" s="204">
        <v>50</v>
      </c>
      <c r="G993" s="204">
        <v>50</v>
      </c>
      <c r="H993" s="204">
        <v>50</v>
      </c>
      <c r="I993" s="204">
        <v>28.6</v>
      </c>
      <c r="J993" s="204">
        <v>28.6</v>
      </c>
      <c r="K993" s="204">
        <v>33.299999999999997</v>
      </c>
      <c r="L993" s="204">
        <v>33.299999999999997</v>
      </c>
      <c r="M993" s="204">
        <v>0</v>
      </c>
      <c r="N993" s="204">
        <v>0</v>
      </c>
      <c r="O993" s="204">
        <v>60</v>
      </c>
      <c r="P993" s="204">
        <v>60</v>
      </c>
      <c r="Q993" s="44" t="s">
        <v>26</v>
      </c>
      <c r="R993" s="205">
        <v>98</v>
      </c>
      <c r="S993" s="205">
        <v>105</v>
      </c>
      <c r="T993" s="217" t="s">
        <v>35</v>
      </c>
    </row>
    <row r="994" spans="1:20" ht="13.5" customHeight="1">
      <c r="A994" s="7" t="s">
        <v>22</v>
      </c>
      <c r="B994" s="204">
        <v>42.9</v>
      </c>
      <c r="C994" s="204">
        <v>38.1</v>
      </c>
      <c r="D994" s="204">
        <v>35.700000000000003</v>
      </c>
      <c r="E994" s="204">
        <v>66.7</v>
      </c>
      <c r="F994" s="204">
        <v>66.7</v>
      </c>
      <c r="G994" s="204">
        <v>66.7</v>
      </c>
      <c r="H994" s="204">
        <v>66.7</v>
      </c>
      <c r="I994" s="204">
        <v>50</v>
      </c>
      <c r="J994" s="204">
        <v>50</v>
      </c>
      <c r="K994" s="204">
        <v>50</v>
      </c>
      <c r="L994" s="204">
        <v>50</v>
      </c>
      <c r="M994" s="204">
        <v>50</v>
      </c>
      <c r="N994" s="204">
        <v>50</v>
      </c>
      <c r="O994" s="204">
        <v>50</v>
      </c>
      <c r="P994" s="204">
        <v>50</v>
      </c>
      <c r="Q994" s="44" t="s">
        <v>45</v>
      </c>
      <c r="R994" s="205">
        <v>92</v>
      </c>
      <c r="S994" s="205">
        <v>85</v>
      </c>
      <c r="T994" s="217" t="s">
        <v>40</v>
      </c>
    </row>
    <row r="995" spans="1:20" ht="13.5" customHeight="1">
      <c r="A995" s="7" t="s">
        <v>44</v>
      </c>
      <c r="B995" s="204">
        <v>68.400000000000006</v>
      </c>
      <c r="C995" s="204">
        <v>76.2</v>
      </c>
      <c r="D995" s="204">
        <v>100</v>
      </c>
      <c r="E995" s="204">
        <v>100</v>
      </c>
      <c r="F995" s="204">
        <v>100</v>
      </c>
      <c r="G995" s="204">
        <v>100</v>
      </c>
      <c r="H995" s="204">
        <v>100</v>
      </c>
      <c r="I995" s="204">
        <v>50</v>
      </c>
      <c r="J995" s="204">
        <v>50</v>
      </c>
      <c r="K995" s="204">
        <v>100</v>
      </c>
      <c r="L995" s="204">
        <v>100</v>
      </c>
      <c r="M995" s="204">
        <v>100</v>
      </c>
      <c r="N995" s="204">
        <v>100</v>
      </c>
      <c r="O995" s="204">
        <v>100</v>
      </c>
      <c r="P995" s="204">
        <v>100</v>
      </c>
      <c r="Q995" s="44" t="s">
        <v>23</v>
      </c>
      <c r="R995" s="205">
        <v>94</v>
      </c>
      <c r="S995" s="205">
        <v>85</v>
      </c>
      <c r="T995" s="217" t="s">
        <v>27</v>
      </c>
    </row>
    <row r="996" spans="1:20" ht="13.5" customHeight="1">
      <c r="A996" s="7" t="s">
        <v>36</v>
      </c>
      <c r="B996" s="204">
        <v>50</v>
      </c>
      <c r="C996" s="204">
        <v>36.9</v>
      </c>
      <c r="D996" s="204">
        <v>16.7</v>
      </c>
      <c r="E996" s="204">
        <v>50</v>
      </c>
      <c r="F996" s="204">
        <v>50</v>
      </c>
      <c r="G996" s="204">
        <v>66.7</v>
      </c>
      <c r="H996" s="204">
        <v>66.7</v>
      </c>
      <c r="I996" s="204">
        <v>37.5</v>
      </c>
      <c r="J996" s="204">
        <v>37.5</v>
      </c>
      <c r="K996" s="204">
        <v>0</v>
      </c>
      <c r="L996" s="204">
        <v>0</v>
      </c>
      <c r="M996" s="204">
        <v>0</v>
      </c>
      <c r="N996" s="204">
        <v>0</v>
      </c>
      <c r="O996" s="204">
        <v>0</v>
      </c>
      <c r="P996" s="204">
        <v>0</v>
      </c>
      <c r="Q996" s="44" t="s">
        <v>45</v>
      </c>
      <c r="R996" s="205">
        <v>105</v>
      </c>
      <c r="S996" s="205">
        <v>85</v>
      </c>
      <c r="T996" s="217" t="s">
        <v>28</v>
      </c>
    </row>
    <row r="997" spans="1:20" ht="13.5" customHeight="1">
      <c r="A997" s="7" t="s">
        <v>42</v>
      </c>
      <c r="B997" s="204">
        <v>55.6</v>
      </c>
      <c r="C997" s="204">
        <v>36.9</v>
      </c>
      <c r="D997" s="204">
        <v>50</v>
      </c>
      <c r="E997" s="204">
        <v>0</v>
      </c>
      <c r="F997" s="204">
        <v>0</v>
      </c>
      <c r="G997" s="204">
        <v>0</v>
      </c>
      <c r="H997" s="204">
        <v>0</v>
      </c>
      <c r="I997" s="204">
        <v>0</v>
      </c>
      <c r="J997" s="204">
        <v>0</v>
      </c>
      <c r="K997" s="204">
        <v>0</v>
      </c>
      <c r="L997" s="204">
        <v>0</v>
      </c>
      <c r="M997" s="204">
        <v>0</v>
      </c>
      <c r="N997" s="204">
        <v>0</v>
      </c>
      <c r="O997" s="204">
        <v>50</v>
      </c>
      <c r="P997" s="204">
        <v>50</v>
      </c>
      <c r="Q997" s="44" t="s">
        <v>45</v>
      </c>
      <c r="R997" s="205">
        <v>85</v>
      </c>
      <c r="S997" s="205">
        <v>95</v>
      </c>
      <c r="T997" s="217" t="s">
        <v>27</v>
      </c>
    </row>
    <row r="998" spans="1:20" ht="13.5" customHeight="1">
      <c r="A998" s="7" t="s">
        <v>31</v>
      </c>
      <c r="B998" s="204">
        <v>100</v>
      </c>
      <c r="C998" s="204">
        <v>73.3</v>
      </c>
      <c r="D998" s="204">
        <v>83.3</v>
      </c>
      <c r="E998" s="204">
        <v>100</v>
      </c>
      <c r="F998" s="204">
        <v>100</v>
      </c>
      <c r="G998" s="204">
        <v>100</v>
      </c>
      <c r="H998" s="204">
        <v>100</v>
      </c>
      <c r="I998" s="204">
        <v>100</v>
      </c>
      <c r="J998" s="204">
        <v>100</v>
      </c>
      <c r="K998" s="204">
        <v>100</v>
      </c>
      <c r="L998" s="204">
        <v>100</v>
      </c>
      <c r="M998" s="204">
        <v>100</v>
      </c>
      <c r="N998" s="204">
        <v>100</v>
      </c>
      <c r="O998" s="204">
        <v>100</v>
      </c>
      <c r="P998" s="204">
        <v>100</v>
      </c>
      <c r="Q998" s="44" t="s">
        <v>23</v>
      </c>
      <c r="R998" s="205">
        <v>92</v>
      </c>
      <c r="S998" s="205">
        <v>90</v>
      </c>
      <c r="T998" s="217" t="s">
        <v>24</v>
      </c>
    </row>
    <row r="999" spans="1:20" ht="13.5" customHeight="1">
      <c r="A999" s="7" t="s">
        <v>31</v>
      </c>
      <c r="B999" s="204">
        <v>76.900000000000006</v>
      </c>
      <c r="C999" s="204">
        <v>73.3</v>
      </c>
      <c r="D999" s="204">
        <v>60</v>
      </c>
      <c r="E999" s="204">
        <v>100</v>
      </c>
      <c r="F999" s="204">
        <v>100</v>
      </c>
      <c r="G999" s="204">
        <v>100</v>
      </c>
      <c r="H999" s="204">
        <v>100</v>
      </c>
      <c r="I999" s="204">
        <v>50</v>
      </c>
      <c r="J999" s="204">
        <v>50</v>
      </c>
      <c r="K999" s="204">
        <v>50</v>
      </c>
      <c r="L999" s="204">
        <v>50</v>
      </c>
      <c r="M999" s="204">
        <v>50</v>
      </c>
      <c r="N999" s="204">
        <v>50</v>
      </c>
      <c r="O999" s="204">
        <v>50</v>
      </c>
      <c r="P999" s="204">
        <v>50</v>
      </c>
      <c r="Q999" s="44" t="s">
        <v>45</v>
      </c>
      <c r="R999" s="205">
        <v>75</v>
      </c>
      <c r="S999" s="205">
        <v>100</v>
      </c>
      <c r="T999" s="217" t="s">
        <v>35</v>
      </c>
    </row>
    <row r="1000" spans="1:20" ht="13.5" customHeight="1">
      <c r="A1000" s="7" t="s">
        <v>44</v>
      </c>
      <c r="B1000" s="204">
        <v>54.5</v>
      </c>
      <c r="C1000" s="204">
        <v>84.6</v>
      </c>
      <c r="D1000" s="204">
        <v>100</v>
      </c>
      <c r="E1000" s="204">
        <v>100</v>
      </c>
      <c r="F1000" s="204">
        <v>100</v>
      </c>
      <c r="G1000" s="204">
        <v>100</v>
      </c>
      <c r="H1000" s="204">
        <v>100</v>
      </c>
      <c r="I1000" s="204">
        <v>100</v>
      </c>
      <c r="J1000" s="204">
        <v>100</v>
      </c>
      <c r="K1000" s="204">
        <v>100</v>
      </c>
      <c r="L1000" s="204">
        <v>100</v>
      </c>
      <c r="M1000" s="204">
        <v>100</v>
      </c>
      <c r="N1000" s="204">
        <v>100</v>
      </c>
      <c r="O1000" s="204">
        <v>100</v>
      </c>
      <c r="P1000" s="204">
        <v>100</v>
      </c>
      <c r="Q1000" s="44" t="s">
        <v>30</v>
      </c>
      <c r="R1000" s="205">
        <v>95</v>
      </c>
      <c r="S1000" s="205">
        <v>94</v>
      </c>
      <c r="T1000" s="217" t="s">
        <v>27</v>
      </c>
    </row>
    <row r="1001" spans="1:20" ht="13.5" customHeight="1">
      <c r="A1001" s="7" t="s">
        <v>36</v>
      </c>
      <c r="B1001" s="204">
        <v>60</v>
      </c>
      <c r="C1001" s="204">
        <v>50.8</v>
      </c>
      <c r="D1001" s="204">
        <v>40</v>
      </c>
      <c r="E1001" s="204">
        <v>0</v>
      </c>
      <c r="F1001" s="204">
        <v>0</v>
      </c>
      <c r="G1001" s="204">
        <v>0</v>
      </c>
      <c r="H1001" s="204">
        <v>0</v>
      </c>
      <c r="I1001" s="204">
        <v>0</v>
      </c>
      <c r="J1001" s="204">
        <v>0</v>
      </c>
      <c r="K1001" s="204">
        <v>50</v>
      </c>
      <c r="L1001" s="204">
        <v>50</v>
      </c>
      <c r="M1001" s="204">
        <v>0</v>
      </c>
      <c r="N1001" s="204">
        <v>0</v>
      </c>
      <c r="O1001" s="204">
        <v>0</v>
      </c>
      <c r="P1001" s="204">
        <v>0</v>
      </c>
      <c r="Q1001" s="44" t="s">
        <v>23</v>
      </c>
      <c r="R1001" s="205">
        <v>95</v>
      </c>
      <c r="S1001" s="205">
        <v>85</v>
      </c>
      <c r="T1001" s="217" t="s">
        <v>28</v>
      </c>
    </row>
    <row r="1002" spans="1:20" ht="13.5" customHeight="1">
      <c r="A1002" s="7" t="s">
        <v>31</v>
      </c>
      <c r="B1002" s="204">
        <v>92.3</v>
      </c>
      <c r="C1002" s="204">
        <v>100</v>
      </c>
      <c r="D1002" s="204">
        <v>100</v>
      </c>
      <c r="E1002" s="204">
        <v>100</v>
      </c>
      <c r="F1002" s="204">
        <v>100</v>
      </c>
      <c r="G1002" s="204">
        <v>100</v>
      </c>
      <c r="H1002" s="204">
        <v>100</v>
      </c>
      <c r="I1002" s="204">
        <v>100</v>
      </c>
      <c r="J1002" s="204">
        <v>100</v>
      </c>
      <c r="K1002" s="204">
        <v>100</v>
      </c>
      <c r="L1002" s="204">
        <v>100</v>
      </c>
      <c r="M1002" s="204">
        <v>100</v>
      </c>
      <c r="N1002" s="204">
        <v>100</v>
      </c>
      <c r="O1002" s="204">
        <v>100</v>
      </c>
      <c r="P1002" s="204">
        <v>100</v>
      </c>
      <c r="Q1002" s="44" t="s">
        <v>34</v>
      </c>
      <c r="R1002" s="205">
        <v>85</v>
      </c>
      <c r="S1002" s="205">
        <v>85</v>
      </c>
      <c r="T1002" s="217" t="s">
        <v>27</v>
      </c>
    </row>
    <row r="1003" spans="1:20" ht="13.5" customHeight="1">
      <c r="A1003" s="7" t="s">
        <v>60</v>
      </c>
      <c r="B1003" s="204">
        <v>47.1</v>
      </c>
      <c r="C1003" s="204">
        <v>71.400000000000006</v>
      </c>
      <c r="D1003" s="204">
        <v>83.3</v>
      </c>
      <c r="E1003" s="204">
        <v>50</v>
      </c>
      <c r="F1003" s="204">
        <v>50</v>
      </c>
      <c r="G1003" s="204">
        <v>50</v>
      </c>
      <c r="H1003" s="204">
        <v>50</v>
      </c>
      <c r="I1003" s="204">
        <v>50</v>
      </c>
      <c r="J1003" s="204">
        <v>57.1</v>
      </c>
      <c r="K1003" s="204">
        <v>0</v>
      </c>
      <c r="L1003" s="204">
        <v>0</v>
      </c>
      <c r="M1003" s="204">
        <v>0</v>
      </c>
      <c r="N1003" s="204">
        <v>0</v>
      </c>
      <c r="O1003" s="204">
        <v>33.299999999999997</v>
      </c>
      <c r="P1003" s="204">
        <v>33.299999999999997</v>
      </c>
      <c r="Q1003" s="44" t="s">
        <v>34</v>
      </c>
      <c r="R1003" s="205">
        <v>85</v>
      </c>
      <c r="S1003" s="205">
        <v>95</v>
      </c>
      <c r="T1003" s="217" t="s">
        <v>35</v>
      </c>
    </row>
    <row r="1004" spans="1:20" ht="13.5" customHeight="1">
      <c r="A1004" s="7" t="s">
        <v>53</v>
      </c>
      <c r="B1004" s="204">
        <v>50</v>
      </c>
      <c r="C1004" s="204">
        <v>55.6</v>
      </c>
      <c r="D1004" s="204">
        <v>0</v>
      </c>
      <c r="E1004" s="204">
        <v>0</v>
      </c>
      <c r="F1004" s="204">
        <v>0</v>
      </c>
      <c r="G1004" s="204">
        <v>0</v>
      </c>
      <c r="H1004" s="204">
        <v>0</v>
      </c>
      <c r="I1004" s="204">
        <v>50</v>
      </c>
      <c r="J1004" s="204">
        <v>50</v>
      </c>
      <c r="K1004" s="204">
        <v>0</v>
      </c>
      <c r="L1004" s="204">
        <v>0</v>
      </c>
      <c r="M1004" s="204">
        <v>0</v>
      </c>
      <c r="N1004" s="204">
        <v>0</v>
      </c>
      <c r="O1004" s="204">
        <v>0</v>
      </c>
      <c r="P1004" s="204">
        <v>0</v>
      </c>
      <c r="Q1004" s="44" t="s">
        <v>26</v>
      </c>
      <c r="R1004" s="205">
        <v>90</v>
      </c>
      <c r="S1004" s="205">
        <v>88</v>
      </c>
      <c r="T1004" s="217" t="s">
        <v>27</v>
      </c>
    </row>
    <row r="1005" spans="1:20" ht="13.5" customHeight="1">
      <c r="A1005" s="7" t="s">
        <v>25</v>
      </c>
      <c r="B1005" s="204">
        <v>33.299999999999997</v>
      </c>
      <c r="C1005" s="204">
        <v>86.4</v>
      </c>
      <c r="D1005" s="204">
        <v>76.900000000000006</v>
      </c>
      <c r="E1005" s="204">
        <v>0</v>
      </c>
      <c r="F1005" s="204">
        <v>0</v>
      </c>
      <c r="G1005" s="204">
        <v>0</v>
      </c>
      <c r="H1005" s="204">
        <v>0</v>
      </c>
      <c r="I1005" s="204">
        <v>50</v>
      </c>
      <c r="J1005" s="204">
        <v>50</v>
      </c>
      <c r="K1005" s="204">
        <v>0</v>
      </c>
      <c r="L1005" s="204">
        <v>0</v>
      </c>
      <c r="M1005" s="204">
        <v>0</v>
      </c>
      <c r="N1005" s="204">
        <v>0</v>
      </c>
      <c r="O1005" s="204">
        <v>0</v>
      </c>
      <c r="P1005" s="204">
        <v>0</v>
      </c>
      <c r="Q1005" s="44" t="s">
        <v>34</v>
      </c>
      <c r="R1005" s="205">
        <v>95</v>
      </c>
      <c r="S1005" s="205">
        <v>85</v>
      </c>
      <c r="T1005" s="217" t="s">
        <v>28</v>
      </c>
    </row>
    <row r="1006" spans="1:20" ht="13.5" customHeight="1">
      <c r="A1006" s="7" t="s">
        <v>31</v>
      </c>
      <c r="B1006" s="204">
        <v>55.6</v>
      </c>
      <c r="C1006" s="204">
        <v>57.9</v>
      </c>
      <c r="D1006" s="204">
        <v>66.7</v>
      </c>
      <c r="E1006" s="204">
        <v>100</v>
      </c>
      <c r="F1006" s="204">
        <v>100</v>
      </c>
      <c r="G1006" s="204">
        <v>100</v>
      </c>
      <c r="H1006" s="204">
        <v>100</v>
      </c>
      <c r="I1006" s="204">
        <v>100</v>
      </c>
      <c r="J1006" s="204">
        <v>100</v>
      </c>
      <c r="K1006" s="204">
        <v>100</v>
      </c>
      <c r="L1006" s="204">
        <v>100</v>
      </c>
      <c r="M1006" s="204">
        <v>100</v>
      </c>
      <c r="N1006" s="204">
        <v>100</v>
      </c>
      <c r="O1006" s="204">
        <v>100</v>
      </c>
      <c r="P1006" s="204">
        <v>100</v>
      </c>
      <c r="Q1006" s="44" t="s">
        <v>30</v>
      </c>
      <c r="R1006" s="205">
        <v>80</v>
      </c>
      <c r="S1006" s="205">
        <v>85</v>
      </c>
      <c r="T1006" s="217" t="s">
        <v>40</v>
      </c>
    </row>
    <row r="1007" spans="1:20" ht="13.5" customHeight="1">
      <c r="A1007" s="7" t="s">
        <v>42</v>
      </c>
      <c r="B1007" s="204">
        <v>40</v>
      </c>
      <c r="C1007" s="204">
        <v>46.5</v>
      </c>
      <c r="D1007" s="204">
        <v>25</v>
      </c>
      <c r="E1007" s="204">
        <v>0</v>
      </c>
      <c r="F1007" s="204">
        <v>0</v>
      </c>
      <c r="G1007" s="204">
        <v>0</v>
      </c>
      <c r="H1007" s="204">
        <v>0</v>
      </c>
      <c r="I1007" s="204">
        <v>50</v>
      </c>
      <c r="J1007" s="204">
        <v>50</v>
      </c>
      <c r="K1007" s="204">
        <v>50</v>
      </c>
      <c r="L1007" s="204">
        <v>50</v>
      </c>
      <c r="M1007" s="204">
        <v>33.299999999999997</v>
      </c>
      <c r="N1007" s="204">
        <v>33.299999999999997</v>
      </c>
      <c r="O1007" s="204">
        <v>0</v>
      </c>
      <c r="P1007" s="204">
        <v>0</v>
      </c>
      <c r="Q1007" s="44" t="s">
        <v>26</v>
      </c>
      <c r="R1007" s="205">
        <v>94</v>
      </c>
      <c r="S1007" s="205">
        <v>94</v>
      </c>
      <c r="T1007" s="217" t="s">
        <v>28</v>
      </c>
    </row>
    <row r="1008" spans="1:20" ht="13.5" customHeight="1">
      <c r="A1008" s="7" t="s">
        <v>22</v>
      </c>
      <c r="B1008" s="204">
        <v>100</v>
      </c>
      <c r="C1008" s="204">
        <v>87.5</v>
      </c>
      <c r="D1008" s="204">
        <v>75</v>
      </c>
      <c r="E1008" s="204">
        <v>100</v>
      </c>
      <c r="F1008" s="204">
        <v>100</v>
      </c>
      <c r="G1008" s="204">
        <v>100</v>
      </c>
      <c r="H1008" s="204">
        <v>100</v>
      </c>
      <c r="I1008" s="204">
        <v>100</v>
      </c>
      <c r="J1008" s="204">
        <v>100</v>
      </c>
      <c r="K1008" s="204">
        <v>100</v>
      </c>
      <c r="L1008" s="204">
        <v>100</v>
      </c>
      <c r="M1008" s="204">
        <v>100</v>
      </c>
      <c r="N1008" s="204">
        <v>100</v>
      </c>
      <c r="O1008" s="204">
        <v>100</v>
      </c>
      <c r="P1008" s="204">
        <v>100</v>
      </c>
      <c r="Q1008" s="44" t="s">
        <v>23</v>
      </c>
      <c r="R1008" s="205">
        <v>85</v>
      </c>
      <c r="S1008" s="205">
        <v>85</v>
      </c>
      <c r="T1008" s="217" t="s">
        <v>40</v>
      </c>
    </row>
    <row r="1009" spans="1:20" ht="13.5" customHeight="1">
      <c r="A1009" s="7" t="s">
        <v>54</v>
      </c>
      <c r="B1009" s="204">
        <v>60</v>
      </c>
      <c r="C1009" s="204">
        <v>36.9</v>
      </c>
      <c r="D1009" s="204">
        <v>50</v>
      </c>
      <c r="E1009" s="204">
        <v>100</v>
      </c>
      <c r="F1009" s="204">
        <v>100</v>
      </c>
      <c r="G1009" s="204">
        <v>100</v>
      </c>
      <c r="H1009" s="204">
        <v>100</v>
      </c>
      <c r="I1009" s="204">
        <v>100</v>
      </c>
      <c r="J1009" s="204">
        <v>100</v>
      </c>
      <c r="K1009" s="204">
        <v>100</v>
      </c>
      <c r="L1009" s="204">
        <v>100</v>
      </c>
      <c r="M1009" s="204">
        <v>100</v>
      </c>
      <c r="N1009" s="204">
        <v>100</v>
      </c>
      <c r="O1009" s="204">
        <v>100</v>
      </c>
      <c r="P1009" s="204">
        <v>100</v>
      </c>
      <c r="Q1009" s="44" t="s">
        <v>45</v>
      </c>
      <c r="R1009" s="205">
        <v>100</v>
      </c>
      <c r="S1009" s="205">
        <v>95</v>
      </c>
      <c r="T1009" s="217" t="s">
        <v>35</v>
      </c>
    </row>
    <row r="1010" spans="1:20" ht="13.5" customHeight="1">
      <c r="A1010" s="7" t="s">
        <v>53</v>
      </c>
      <c r="B1010" s="204">
        <v>45.2</v>
      </c>
      <c r="C1010" s="204">
        <v>49.4</v>
      </c>
      <c r="D1010" s="204">
        <v>57.1</v>
      </c>
      <c r="E1010" s="204">
        <v>20</v>
      </c>
      <c r="F1010" s="204">
        <v>20</v>
      </c>
      <c r="G1010" s="204">
        <v>50</v>
      </c>
      <c r="H1010" s="204">
        <v>50</v>
      </c>
      <c r="I1010" s="204">
        <v>50</v>
      </c>
      <c r="J1010" s="204">
        <v>50</v>
      </c>
      <c r="K1010" s="204">
        <v>0</v>
      </c>
      <c r="L1010" s="204">
        <v>0</v>
      </c>
      <c r="M1010" s="204">
        <v>0</v>
      </c>
      <c r="N1010" s="204">
        <v>0</v>
      </c>
      <c r="O1010" s="204">
        <v>33.299999999999997</v>
      </c>
      <c r="P1010" s="204">
        <v>33.299999999999997</v>
      </c>
      <c r="Q1010" s="44" t="s">
        <v>63</v>
      </c>
      <c r="R1010" s="205">
        <v>80</v>
      </c>
      <c r="S1010" s="205">
        <v>95</v>
      </c>
      <c r="T1010" s="217" t="s">
        <v>27</v>
      </c>
    </row>
    <row r="1011" spans="1:20" ht="13.5" customHeight="1">
      <c r="A1011" s="7" t="s">
        <v>25</v>
      </c>
      <c r="B1011" s="204">
        <v>44.4</v>
      </c>
      <c r="C1011" s="204">
        <v>38.1</v>
      </c>
      <c r="D1011" s="204">
        <v>30.8</v>
      </c>
      <c r="E1011" s="204">
        <v>16.7</v>
      </c>
      <c r="F1011" s="204">
        <v>20</v>
      </c>
      <c r="G1011" s="204">
        <v>33.299999999999997</v>
      </c>
      <c r="H1011" s="204">
        <v>40</v>
      </c>
      <c r="I1011" s="204">
        <v>33.299999999999997</v>
      </c>
      <c r="J1011" s="204">
        <v>40</v>
      </c>
      <c r="K1011" s="204">
        <v>50</v>
      </c>
      <c r="L1011" s="204">
        <v>50</v>
      </c>
      <c r="M1011" s="204">
        <v>50</v>
      </c>
      <c r="N1011" s="204">
        <v>50</v>
      </c>
      <c r="O1011" s="204">
        <v>33.299999999999997</v>
      </c>
      <c r="P1011" s="204">
        <v>50</v>
      </c>
      <c r="Q1011" s="44" t="s">
        <v>45</v>
      </c>
      <c r="R1011" s="205">
        <v>104</v>
      </c>
      <c r="S1011" s="205">
        <v>100</v>
      </c>
      <c r="T1011" s="217" t="s">
        <v>35</v>
      </c>
    </row>
    <row r="1012" spans="1:20" ht="13.5" customHeight="1">
      <c r="A1012" s="7" t="s">
        <v>44</v>
      </c>
      <c r="B1012" s="204">
        <v>60</v>
      </c>
      <c r="C1012" s="204">
        <v>49.4</v>
      </c>
      <c r="D1012" s="204">
        <v>60</v>
      </c>
      <c r="E1012" s="204">
        <v>100</v>
      </c>
      <c r="F1012" s="204">
        <v>100</v>
      </c>
      <c r="G1012" s="204">
        <v>100</v>
      </c>
      <c r="H1012" s="204">
        <v>100</v>
      </c>
      <c r="I1012" s="204">
        <v>100</v>
      </c>
      <c r="J1012" s="204">
        <v>100</v>
      </c>
      <c r="K1012" s="204">
        <v>100</v>
      </c>
      <c r="L1012" s="204">
        <v>100</v>
      </c>
      <c r="M1012" s="204">
        <v>100</v>
      </c>
      <c r="N1012" s="204">
        <v>100</v>
      </c>
      <c r="O1012" s="204">
        <v>100</v>
      </c>
      <c r="P1012" s="204">
        <v>100</v>
      </c>
      <c r="Q1012" s="44" t="s">
        <v>45</v>
      </c>
      <c r="R1012" s="205">
        <v>104</v>
      </c>
      <c r="S1012" s="205">
        <v>104</v>
      </c>
      <c r="T1012" s="217" t="s">
        <v>32</v>
      </c>
    </row>
    <row r="1013" spans="1:20" ht="13.5" customHeight="1">
      <c r="A1013" s="7" t="s">
        <v>41</v>
      </c>
      <c r="B1013" s="204">
        <v>57.7</v>
      </c>
      <c r="C1013" s="204">
        <v>49</v>
      </c>
      <c r="D1013" s="204">
        <v>41.7</v>
      </c>
      <c r="E1013" s="204">
        <v>42.9</v>
      </c>
      <c r="F1013" s="204">
        <v>33.299999999999997</v>
      </c>
      <c r="G1013" s="204">
        <v>42.9</v>
      </c>
      <c r="H1013" s="204">
        <v>33.299999999999997</v>
      </c>
      <c r="I1013" s="204">
        <v>16.7</v>
      </c>
      <c r="J1013" s="204">
        <v>16.7</v>
      </c>
      <c r="K1013" s="204">
        <v>66.7</v>
      </c>
      <c r="L1013" s="204">
        <v>66.7</v>
      </c>
      <c r="M1013" s="204">
        <v>66.7</v>
      </c>
      <c r="N1013" s="204">
        <v>50</v>
      </c>
      <c r="O1013" s="204">
        <v>57.1</v>
      </c>
      <c r="P1013" s="204">
        <v>50</v>
      </c>
      <c r="Q1013" s="44" t="s">
        <v>45</v>
      </c>
      <c r="R1013" s="205">
        <v>95</v>
      </c>
      <c r="S1013" s="205">
        <v>85</v>
      </c>
      <c r="T1013" s="217" t="s">
        <v>24</v>
      </c>
    </row>
    <row r="1014" spans="1:20" ht="13.5" customHeight="1">
      <c r="A1014" s="7" t="s">
        <v>31</v>
      </c>
      <c r="B1014" s="204">
        <v>60</v>
      </c>
      <c r="C1014" s="204">
        <v>49.4</v>
      </c>
      <c r="D1014" s="204">
        <v>60</v>
      </c>
      <c r="E1014" s="204">
        <v>100</v>
      </c>
      <c r="F1014" s="204">
        <v>100</v>
      </c>
      <c r="G1014" s="204">
        <v>100</v>
      </c>
      <c r="H1014" s="204">
        <v>100</v>
      </c>
      <c r="I1014" s="204">
        <v>60</v>
      </c>
      <c r="J1014" s="204">
        <v>60</v>
      </c>
      <c r="K1014" s="204">
        <v>100</v>
      </c>
      <c r="L1014" s="204">
        <v>100</v>
      </c>
      <c r="M1014" s="204">
        <v>100</v>
      </c>
      <c r="N1014" s="204">
        <v>100</v>
      </c>
      <c r="O1014" s="204">
        <v>50</v>
      </c>
      <c r="P1014" s="204">
        <v>50</v>
      </c>
      <c r="Q1014" s="44" t="s">
        <v>45</v>
      </c>
      <c r="R1014" s="205">
        <v>95</v>
      </c>
      <c r="S1014" s="205">
        <v>75</v>
      </c>
      <c r="T1014" s="217" t="s">
        <v>40</v>
      </c>
    </row>
    <row r="1015" spans="1:20" ht="13.5" customHeight="1">
      <c r="A1015" s="7" t="s">
        <v>25</v>
      </c>
      <c r="B1015" s="204">
        <v>28.6</v>
      </c>
      <c r="C1015" s="204">
        <v>50.8</v>
      </c>
      <c r="D1015" s="204">
        <v>58.8</v>
      </c>
      <c r="E1015" s="204">
        <v>0</v>
      </c>
      <c r="F1015" s="204">
        <v>0</v>
      </c>
      <c r="G1015" s="204">
        <v>0</v>
      </c>
      <c r="H1015" s="204">
        <v>0</v>
      </c>
      <c r="I1015" s="204">
        <v>42.9</v>
      </c>
      <c r="J1015" s="204">
        <v>42.9</v>
      </c>
      <c r="K1015" s="204">
        <v>0</v>
      </c>
      <c r="L1015" s="204">
        <v>0</v>
      </c>
      <c r="M1015" s="204">
        <v>20</v>
      </c>
      <c r="N1015" s="204">
        <v>20</v>
      </c>
      <c r="O1015" s="204">
        <v>37.5</v>
      </c>
      <c r="P1015" s="204">
        <v>37.5</v>
      </c>
      <c r="Q1015" s="44" t="s">
        <v>45</v>
      </c>
      <c r="R1015" s="205">
        <v>84</v>
      </c>
      <c r="S1015" s="205">
        <v>95</v>
      </c>
      <c r="T1015" s="217" t="s">
        <v>28</v>
      </c>
    </row>
    <row r="1016" spans="1:20" ht="13.5" customHeight="1">
      <c r="A1016" s="7" t="s">
        <v>29</v>
      </c>
      <c r="B1016" s="204">
        <v>60</v>
      </c>
      <c r="C1016" s="204">
        <v>38.799999999999997</v>
      </c>
      <c r="D1016" s="204">
        <v>44.4</v>
      </c>
      <c r="E1016" s="204">
        <v>100</v>
      </c>
      <c r="F1016" s="204">
        <v>100</v>
      </c>
      <c r="G1016" s="204">
        <v>100</v>
      </c>
      <c r="H1016" s="204">
        <v>100</v>
      </c>
      <c r="I1016" s="204">
        <v>66.7</v>
      </c>
      <c r="J1016" s="204">
        <v>66.7</v>
      </c>
      <c r="K1016" s="204">
        <v>100</v>
      </c>
      <c r="L1016" s="204">
        <v>100</v>
      </c>
      <c r="M1016" s="204">
        <v>100</v>
      </c>
      <c r="N1016" s="204">
        <v>100</v>
      </c>
      <c r="O1016" s="204">
        <v>100</v>
      </c>
      <c r="P1016" s="204">
        <v>100</v>
      </c>
      <c r="Q1016" s="44" t="s">
        <v>63</v>
      </c>
      <c r="R1016" s="205">
        <v>76</v>
      </c>
      <c r="S1016" s="205">
        <v>95</v>
      </c>
      <c r="T1016" s="217" t="s">
        <v>27</v>
      </c>
    </row>
    <row r="1017" spans="1:20" ht="13.5" customHeight="1">
      <c r="A1017" s="7" t="s">
        <v>36</v>
      </c>
      <c r="B1017" s="204">
        <v>28.6</v>
      </c>
      <c r="C1017" s="204">
        <v>22.2</v>
      </c>
      <c r="D1017" s="204">
        <v>30</v>
      </c>
      <c r="E1017" s="204">
        <v>50</v>
      </c>
      <c r="F1017" s="204">
        <v>50</v>
      </c>
      <c r="G1017" s="204">
        <v>0</v>
      </c>
      <c r="H1017" s="204">
        <v>0</v>
      </c>
      <c r="I1017" s="204">
        <v>50</v>
      </c>
      <c r="J1017" s="204">
        <v>50</v>
      </c>
      <c r="K1017" s="204">
        <v>0</v>
      </c>
      <c r="L1017" s="204">
        <v>0</v>
      </c>
      <c r="M1017" s="204">
        <v>33.299999999999997</v>
      </c>
      <c r="N1017" s="204">
        <v>33.299999999999997</v>
      </c>
      <c r="O1017" s="204">
        <v>33.299999999999997</v>
      </c>
      <c r="P1017" s="204">
        <v>33.299999999999997</v>
      </c>
      <c r="Q1017" s="44" t="s">
        <v>45</v>
      </c>
      <c r="R1017" s="205">
        <v>80</v>
      </c>
      <c r="S1017" s="205">
        <v>94</v>
      </c>
      <c r="T1017" s="217" t="s">
        <v>27</v>
      </c>
    </row>
    <row r="1018" spans="1:20" ht="13.5" customHeight="1">
      <c r="A1018" s="7" t="s">
        <v>37</v>
      </c>
      <c r="B1018" s="204">
        <v>40</v>
      </c>
      <c r="C1018" s="204">
        <v>49</v>
      </c>
      <c r="D1018" s="204">
        <v>100</v>
      </c>
      <c r="E1018" s="204">
        <v>100</v>
      </c>
      <c r="F1018" s="204">
        <v>100</v>
      </c>
      <c r="G1018" s="204">
        <v>100</v>
      </c>
      <c r="H1018" s="204">
        <v>100</v>
      </c>
      <c r="I1018" s="204">
        <v>100</v>
      </c>
      <c r="J1018" s="204">
        <v>100</v>
      </c>
      <c r="K1018" s="204">
        <v>100</v>
      </c>
      <c r="L1018" s="204">
        <v>100</v>
      </c>
      <c r="M1018" s="204">
        <v>100</v>
      </c>
      <c r="N1018" s="204">
        <v>100</v>
      </c>
      <c r="O1018" s="204">
        <v>100</v>
      </c>
      <c r="P1018" s="204">
        <v>100</v>
      </c>
      <c r="Q1018" s="44" t="s">
        <v>45</v>
      </c>
      <c r="R1018" s="205">
        <v>90</v>
      </c>
      <c r="S1018" s="205">
        <v>91</v>
      </c>
      <c r="T1018" s="217" t="s">
        <v>28</v>
      </c>
    </row>
    <row r="1019" spans="1:20" ht="13.5" customHeight="1">
      <c r="A1019" s="7" t="s">
        <v>36</v>
      </c>
      <c r="B1019" s="204">
        <v>76.900000000000006</v>
      </c>
      <c r="C1019" s="204">
        <v>57.9</v>
      </c>
      <c r="D1019" s="204">
        <v>62.5</v>
      </c>
      <c r="E1019" s="204">
        <v>33.299999999999997</v>
      </c>
      <c r="F1019" s="204">
        <v>33.299999999999997</v>
      </c>
      <c r="G1019" s="204">
        <v>25</v>
      </c>
      <c r="H1019" s="204">
        <v>25</v>
      </c>
      <c r="I1019" s="204">
        <v>50</v>
      </c>
      <c r="J1019" s="204">
        <v>50</v>
      </c>
      <c r="K1019" s="204">
        <v>33.299999999999997</v>
      </c>
      <c r="L1019" s="204">
        <v>33.299999999999997</v>
      </c>
      <c r="M1019" s="204">
        <v>0</v>
      </c>
      <c r="N1019" s="204">
        <v>0</v>
      </c>
      <c r="O1019" s="204">
        <v>0</v>
      </c>
      <c r="P1019" s="204">
        <v>0</v>
      </c>
      <c r="Q1019" s="44" t="s">
        <v>26</v>
      </c>
      <c r="R1019" s="205">
        <v>95</v>
      </c>
      <c r="S1019" s="205">
        <v>85</v>
      </c>
      <c r="T1019" s="217" t="s">
        <v>27</v>
      </c>
    </row>
    <row r="1020" spans="1:20" ht="13.5" customHeight="1">
      <c r="A1020" s="7" t="s">
        <v>36</v>
      </c>
      <c r="B1020" s="204">
        <v>60</v>
      </c>
      <c r="C1020" s="204">
        <v>39.1</v>
      </c>
      <c r="D1020" s="204">
        <v>50</v>
      </c>
      <c r="E1020" s="204">
        <v>0</v>
      </c>
      <c r="F1020" s="204">
        <v>0</v>
      </c>
      <c r="G1020" s="204">
        <v>0</v>
      </c>
      <c r="H1020" s="204">
        <v>0</v>
      </c>
      <c r="I1020" s="204">
        <v>0</v>
      </c>
      <c r="J1020" s="204">
        <v>0</v>
      </c>
      <c r="K1020" s="204">
        <v>0</v>
      </c>
      <c r="L1020" s="204">
        <v>0</v>
      </c>
      <c r="M1020" s="204">
        <v>0</v>
      </c>
      <c r="N1020" s="204">
        <v>0</v>
      </c>
      <c r="O1020" s="204">
        <v>50</v>
      </c>
      <c r="P1020" s="204">
        <v>50</v>
      </c>
      <c r="Q1020" s="44" t="s">
        <v>45</v>
      </c>
      <c r="R1020" s="205">
        <v>95</v>
      </c>
      <c r="S1020" s="205">
        <v>80</v>
      </c>
      <c r="T1020" s="217" t="s">
        <v>39</v>
      </c>
    </row>
    <row r="1021" spans="1:20" ht="27" customHeight="1">
      <c r="A1021" s="7" t="s">
        <v>31</v>
      </c>
      <c r="B1021" s="204">
        <v>58</v>
      </c>
      <c r="C1021" s="204">
        <v>49.4</v>
      </c>
      <c r="D1021" s="204">
        <v>57.1</v>
      </c>
      <c r="E1021" s="204">
        <v>100</v>
      </c>
      <c r="F1021" s="204">
        <v>100</v>
      </c>
      <c r="G1021" s="204">
        <v>100</v>
      </c>
      <c r="H1021" s="204">
        <v>100</v>
      </c>
      <c r="I1021" s="204">
        <v>100</v>
      </c>
      <c r="J1021" s="204">
        <v>100</v>
      </c>
      <c r="K1021" s="204">
        <v>100</v>
      </c>
      <c r="L1021" s="204">
        <v>100</v>
      </c>
      <c r="M1021" s="204">
        <v>100</v>
      </c>
      <c r="N1021" s="204">
        <v>100</v>
      </c>
      <c r="O1021" s="204">
        <v>100</v>
      </c>
      <c r="P1021" s="204">
        <v>100</v>
      </c>
      <c r="Q1021" s="44" t="s">
        <v>26</v>
      </c>
      <c r="R1021" s="205">
        <v>100</v>
      </c>
      <c r="S1021" s="205">
        <v>84</v>
      </c>
      <c r="T1021" s="217" t="s">
        <v>46</v>
      </c>
    </row>
    <row r="1022" spans="1:20" ht="13.5" customHeight="1">
      <c r="A1022" s="7" t="s">
        <v>33</v>
      </c>
      <c r="B1022" s="204">
        <v>100</v>
      </c>
      <c r="C1022" s="204">
        <v>39.1</v>
      </c>
      <c r="D1022" s="204">
        <v>33.299999999999997</v>
      </c>
      <c r="E1022" s="204">
        <v>100</v>
      </c>
      <c r="F1022" s="204">
        <v>100</v>
      </c>
      <c r="G1022" s="204">
        <v>100</v>
      </c>
      <c r="H1022" s="204">
        <v>100</v>
      </c>
      <c r="I1022" s="204">
        <v>100</v>
      </c>
      <c r="J1022" s="204">
        <v>100</v>
      </c>
      <c r="K1022" s="204">
        <v>100</v>
      </c>
      <c r="L1022" s="204">
        <v>100</v>
      </c>
      <c r="M1022" s="204">
        <v>100</v>
      </c>
      <c r="N1022" s="204">
        <v>100</v>
      </c>
      <c r="O1022" s="204">
        <v>100</v>
      </c>
      <c r="P1022" s="204">
        <v>100</v>
      </c>
      <c r="Q1022" s="44" t="s">
        <v>45</v>
      </c>
      <c r="R1022" s="205">
        <v>86</v>
      </c>
      <c r="S1022" s="205">
        <v>85</v>
      </c>
      <c r="T1022" s="217" t="s">
        <v>27</v>
      </c>
    </row>
    <row r="1023" spans="1:20" ht="13.5" customHeight="1">
      <c r="A1023" s="7" t="s">
        <v>36</v>
      </c>
      <c r="B1023" s="204">
        <v>57.7</v>
      </c>
      <c r="C1023" s="204">
        <v>36.9</v>
      </c>
      <c r="D1023" s="204">
        <v>22.2</v>
      </c>
      <c r="E1023" s="204">
        <v>33.299999999999997</v>
      </c>
      <c r="F1023" s="204">
        <v>33.299999999999997</v>
      </c>
      <c r="G1023" s="204">
        <v>50</v>
      </c>
      <c r="H1023" s="204">
        <v>50</v>
      </c>
      <c r="I1023" s="204">
        <v>57.1</v>
      </c>
      <c r="J1023" s="204">
        <v>57.1</v>
      </c>
      <c r="K1023" s="204">
        <v>33.299999999999997</v>
      </c>
      <c r="L1023" s="204">
        <v>33.299999999999997</v>
      </c>
      <c r="M1023" s="204">
        <v>0</v>
      </c>
      <c r="N1023" s="204">
        <v>0</v>
      </c>
      <c r="O1023" s="204">
        <v>33.299999999999997</v>
      </c>
      <c r="P1023" s="204">
        <v>33.299999999999997</v>
      </c>
      <c r="Q1023" s="44" t="s">
        <v>45</v>
      </c>
      <c r="R1023" s="205">
        <v>95</v>
      </c>
      <c r="S1023" s="205">
        <v>80</v>
      </c>
      <c r="T1023" s="217" t="s">
        <v>39</v>
      </c>
    </row>
    <row r="1024" spans="1:20" ht="13.5" customHeight="1">
      <c r="A1024" s="7" t="s">
        <v>31</v>
      </c>
      <c r="B1024" s="204">
        <v>53.8</v>
      </c>
      <c r="C1024" s="204">
        <v>76.5</v>
      </c>
      <c r="D1024" s="204">
        <v>100</v>
      </c>
      <c r="E1024" s="204">
        <v>100</v>
      </c>
      <c r="F1024" s="204">
        <v>100</v>
      </c>
      <c r="G1024" s="204">
        <v>100</v>
      </c>
      <c r="H1024" s="204">
        <v>100</v>
      </c>
      <c r="I1024" s="204">
        <v>100</v>
      </c>
      <c r="J1024" s="204">
        <v>100</v>
      </c>
      <c r="K1024" s="204">
        <v>100</v>
      </c>
      <c r="L1024" s="204">
        <v>100</v>
      </c>
      <c r="M1024" s="204">
        <v>50</v>
      </c>
      <c r="N1024" s="204">
        <v>50</v>
      </c>
      <c r="O1024" s="204">
        <v>75</v>
      </c>
      <c r="P1024" s="204">
        <v>75</v>
      </c>
      <c r="Q1024" s="44" t="s">
        <v>23</v>
      </c>
      <c r="R1024" s="205">
        <v>88</v>
      </c>
      <c r="S1024" s="205">
        <v>91</v>
      </c>
      <c r="T1024" s="217" t="s">
        <v>27</v>
      </c>
    </row>
    <row r="1025" spans="1:20" ht="13.5" customHeight="1">
      <c r="A1025" s="7" t="s">
        <v>44</v>
      </c>
      <c r="B1025" s="204">
        <v>76.900000000000006</v>
      </c>
      <c r="C1025" s="204">
        <v>54.7</v>
      </c>
      <c r="D1025" s="204">
        <v>53.8</v>
      </c>
      <c r="E1025" s="204">
        <v>50</v>
      </c>
      <c r="F1025" s="204">
        <v>50</v>
      </c>
      <c r="G1025" s="204">
        <v>100</v>
      </c>
      <c r="H1025" s="204">
        <v>100</v>
      </c>
      <c r="I1025" s="204">
        <v>75</v>
      </c>
      <c r="J1025" s="204">
        <v>75</v>
      </c>
      <c r="K1025" s="204">
        <v>100</v>
      </c>
      <c r="L1025" s="204">
        <v>100</v>
      </c>
      <c r="M1025" s="204">
        <v>100</v>
      </c>
      <c r="N1025" s="204">
        <v>100</v>
      </c>
      <c r="O1025" s="204">
        <v>100</v>
      </c>
      <c r="P1025" s="204">
        <v>100</v>
      </c>
      <c r="Q1025" s="44" t="s">
        <v>26</v>
      </c>
      <c r="R1025" s="205">
        <v>95</v>
      </c>
      <c r="S1025" s="205">
        <v>80</v>
      </c>
      <c r="T1025" s="217" t="s">
        <v>51</v>
      </c>
    </row>
    <row r="1026" spans="1:20" ht="13.5" customHeight="1">
      <c r="A1026" s="7" t="s">
        <v>44</v>
      </c>
      <c r="B1026" s="204">
        <v>53.8</v>
      </c>
      <c r="C1026" s="204">
        <v>73.3</v>
      </c>
      <c r="D1026" s="204">
        <v>100</v>
      </c>
      <c r="E1026" s="204">
        <v>100</v>
      </c>
      <c r="F1026" s="204">
        <v>100</v>
      </c>
      <c r="G1026" s="204">
        <v>100</v>
      </c>
      <c r="H1026" s="204">
        <v>100</v>
      </c>
      <c r="I1026" s="204">
        <v>100</v>
      </c>
      <c r="J1026" s="204">
        <v>100</v>
      </c>
      <c r="K1026" s="204">
        <v>100</v>
      </c>
      <c r="L1026" s="204">
        <v>100</v>
      </c>
      <c r="M1026" s="204">
        <v>100</v>
      </c>
      <c r="N1026" s="204">
        <v>100</v>
      </c>
      <c r="O1026" s="204">
        <v>100</v>
      </c>
      <c r="P1026" s="204">
        <v>100</v>
      </c>
      <c r="Q1026" s="44" t="s">
        <v>26</v>
      </c>
      <c r="R1026" s="205">
        <v>70</v>
      </c>
      <c r="S1026" s="205">
        <v>94</v>
      </c>
      <c r="T1026" s="217" t="s">
        <v>35</v>
      </c>
    </row>
    <row r="1027" spans="1:20" ht="13.5" customHeight="1">
      <c r="A1027" s="7" t="s">
        <v>41</v>
      </c>
      <c r="B1027" s="204">
        <v>100</v>
      </c>
      <c r="C1027" s="204">
        <v>100</v>
      </c>
      <c r="D1027" s="204">
        <v>100</v>
      </c>
      <c r="E1027" s="204">
        <v>100</v>
      </c>
      <c r="F1027" s="204">
        <v>100</v>
      </c>
      <c r="G1027" s="204">
        <v>100</v>
      </c>
      <c r="H1027" s="204">
        <v>100</v>
      </c>
      <c r="I1027" s="204">
        <v>100</v>
      </c>
      <c r="J1027" s="204">
        <v>100</v>
      </c>
      <c r="K1027" s="204">
        <v>100</v>
      </c>
      <c r="L1027" s="204">
        <v>100</v>
      </c>
      <c r="M1027" s="204">
        <v>100</v>
      </c>
      <c r="N1027" s="204">
        <v>100</v>
      </c>
      <c r="O1027" s="204">
        <v>100</v>
      </c>
      <c r="P1027" s="204">
        <v>100</v>
      </c>
      <c r="Q1027" s="44" t="s">
        <v>50</v>
      </c>
      <c r="R1027" s="205">
        <v>80</v>
      </c>
      <c r="S1027" s="205">
        <v>85</v>
      </c>
      <c r="T1027" s="217" t="s">
        <v>40</v>
      </c>
    </row>
    <row r="1028" spans="1:20" ht="13.5" customHeight="1">
      <c r="A1028" s="7" t="s">
        <v>29</v>
      </c>
      <c r="B1028" s="204">
        <v>100</v>
      </c>
      <c r="C1028" s="204">
        <v>46.5</v>
      </c>
      <c r="D1028" s="204">
        <v>57.1</v>
      </c>
      <c r="E1028" s="204">
        <v>100</v>
      </c>
      <c r="F1028" s="204">
        <v>100</v>
      </c>
      <c r="G1028" s="204">
        <v>100</v>
      </c>
      <c r="H1028" s="204">
        <v>100</v>
      </c>
      <c r="I1028" s="204">
        <v>100</v>
      </c>
      <c r="J1028" s="204">
        <v>100</v>
      </c>
      <c r="K1028" s="204">
        <v>100</v>
      </c>
      <c r="L1028" s="204">
        <v>100</v>
      </c>
      <c r="M1028" s="204">
        <v>100</v>
      </c>
      <c r="N1028" s="204">
        <v>100</v>
      </c>
      <c r="O1028" s="204">
        <v>100</v>
      </c>
      <c r="P1028" s="204">
        <v>100</v>
      </c>
      <c r="Q1028" s="44" t="s">
        <v>26</v>
      </c>
      <c r="R1028" s="205">
        <v>85</v>
      </c>
      <c r="S1028" s="205">
        <v>100</v>
      </c>
      <c r="T1028" s="217" t="s">
        <v>35</v>
      </c>
    </row>
    <row r="1029" spans="1:20" ht="13.5" customHeight="1">
      <c r="A1029" s="7" t="s">
        <v>66</v>
      </c>
      <c r="B1029" s="204">
        <v>92.3</v>
      </c>
      <c r="C1029" s="204">
        <v>66.7</v>
      </c>
      <c r="D1029" s="204">
        <v>50</v>
      </c>
      <c r="E1029" s="204">
        <v>0</v>
      </c>
      <c r="F1029" s="204">
        <v>0</v>
      </c>
      <c r="G1029" s="204">
        <v>50</v>
      </c>
      <c r="H1029" s="204">
        <v>50</v>
      </c>
      <c r="I1029" s="204">
        <v>0</v>
      </c>
      <c r="J1029" s="204">
        <v>0</v>
      </c>
      <c r="K1029" s="204">
        <v>0</v>
      </c>
      <c r="L1029" s="204">
        <v>0</v>
      </c>
      <c r="M1029" s="204">
        <v>0</v>
      </c>
      <c r="N1029" s="204">
        <v>0</v>
      </c>
      <c r="O1029" s="204">
        <v>0</v>
      </c>
      <c r="P1029" s="204">
        <v>0</v>
      </c>
      <c r="Q1029" s="44" t="s">
        <v>59</v>
      </c>
      <c r="R1029" s="205">
        <v>94</v>
      </c>
      <c r="S1029" s="205">
        <v>84</v>
      </c>
      <c r="T1029" s="217" t="s">
        <v>40</v>
      </c>
    </row>
    <row r="1030" spans="1:20" ht="13.5" customHeight="1">
      <c r="A1030" s="7" t="s">
        <v>53</v>
      </c>
      <c r="B1030" s="204">
        <v>60</v>
      </c>
      <c r="C1030" s="204">
        <v>38.1</v>
      </c>
      <c r="D1030" s="204">
        <v>44.4</v>
      </c>
      <c r="E1030" s="204">
        <v>0</v>
      </c>
      <c r="F1030" s="204">
        <v>0</v>
      </c>
      <c r="G1030" s="204">
        <v>0</v>
      </c>
      <c r="H1030" s="204">
        <v>0</v>
      </c>
      <c r="I1030" s="204">
        <v>0</v>
      </c>
      <c r="J1030" s="204">
        <v>0</v>
      </c>
      <c r="K1030" s="204">
        <v>50</v>
      </c>
      <c r="L1030" s="204">
        <v>50</v>
      </c>
      <c r="M1030" s="204">
        <v>0</v>
      </c>
      <c r="N1030" s="204">
        <v>0</v>
      </c>
      <c r="O1030" s="204">
        <v>0</v>
      </c>
      <c r="P1030" s="204">
        <v>0</v>
      </c>
      <c r="Q1030" s="44" t="s">
        <v>45</v>
      </c>
      <c r="R1030" s="205">
        <v>92</v>
      </c>
      <c r="S1030" s="205">
        <v>90</v>
      </c>
      <c r="T1030" s="217" t="s">
        <v>27</v>
      </c>
    </row>
    <row r="1031" spans="1:20" ht="13.5" customHeight="1">
      <c r="A1031" s="7" t="s">
        <v>42</v>
      </c>
      <c r="B1031" s="204">
        <v>58</v>
      </c>
      <c r="C1031" s="204">
        <v>68</v>
      </c>
      <c r="D1031" s="204">
        <v>80</v>
      </c>
      <c r="E1031" s="204">
        <v>50</v>
      </c>
      <c r="F1031" s="204">
        <v>50</v>
      </c>
      <c r="G1031" s="204">
        <v>0</v>
      </c>
      <c r="H1031" s="204">
        <v>0</v>
      </c>
      <c r="I1031" s="204">
        <v>60</v>
      </c>
      <c r="J1031" s="204">
        <v>75</v>
      </c>
      <c r="K1031" s="204">
        <v>50</v>
      </c>
      <c r="L1031" s="204">
        <v>50</v>
      </c>
      <c r="M1031" s="204">
        <v>50</v>
      </c>
      <c r="N1031" s="204">
        <v>50</v>
      </c>
      <c r="O1031" s="204">
        <v>66.7</v>
      </c>
      <c r="P1031" s="204">
        <v>66.7</v>
      </c>
      <c r="Q1031" s="44" t="s">
        <v>23</v>
      </c>
      <c r="R1031" s="205">
        <v>98</v>
      </c>
      <c r="S1031" s="205">
        <v>100</v>
      </c>
      <c r="T1031" s="217" t="s">
        <v>32</v>
      </c>
    </row>
    <row r="1032" spans="1:20" ht="13.5" customHeight="1">
      <c r="A1032" s="7" t="s">
        <v>36</v>
      </c>
      <c r="B1032" s="204">
        <v>53.8</v>
      </c>
      <c r="C1032" s="204">
        <v>74.400000000000006</v>
      </c>
      <c r="D1032" s="204">
        <v>33.299999999999997</v>
      </c>
      <c r="E1032" s="204">
        <v>0</v>
      </c>
      <c r="F1032" s="204">
        <v>0</v>
      </c>
      <c r="G1032" s="204">
        <v>0</v>
      </c>
      <c r="H1032" s="204">
        <v>0</v>
      </c>
      <c r="I1032" s="204">
        <v>50</v>
      </c>
      <c r="J1032" s="204">
        <v>50</v>
      </c>
      <c r="K1032" s="204">
        <v>0</v>
      </c>
      <c r="L1032" s="204">
        <v>0</v>
      </c>
      <c r="M1032" s="204">
        <v>0</v>
      </c>
      <c r="N1032" s="204">
        <v>0</v>
      </c>
      <c r="O1032" s="204">
        <v>33.299999999999997</v>
      </c>
      <c r="P1032" s="204">
        <v>33.299999999999997</v>
      </c>
      <c r="Q1032" s="44" t="s">
        <v>26</v>
      </c>
      <c r="R1032" s="205">
        <v>100</v>
      </c>
      <c r="S1032" s="205">
        <v>85</v>
      </c>
      <c r="T1032" s="217" t="s">
        <v>28</v>
      </c>
    </row>
    <row r="1033" spans="1:20" ht="13.5" customHeight="1">
      <c r="A1033" s="7" t="s">
        <v>31</v>
      </c>
      <c r="B1033" s="204">
        <v>100</v>
      </c>
      <c r="C1033" s="204">
        <v>76.2</v>
      </c>
      <c r="D1033" s="204">
        <v>80</v>
      </c>
      <c r="E1033" s="204">
        <v>100</v>
      </c>
      <c r="F1033" s="204">
        <v>100</v>
      </c>
      <c r="G1033" s="204">
        <v>100</v>
      </c>
      <c r="H1033" s="204">
        <v>100</v>
      </c>
      <c r="I1033" s="204">
        <v>100</v>
      </c>
      <c r="J1033" s="204">
        <v>100</v>
      </c>
      <c r="K1033" s="204">
        <v>100</v>
      </c>
      <c r="L1033" s="204">
        <v>100</v>
      </c>
      <c r="M1033" s="204">
        <v>100</v>
      </c>
      <c r="N1033" s="204">
        <v>100</v>
      </c>
      <c r="O1033" s="204">
        <v>100</v>
      </c>
      <c r="P1033" s="204">
        <v>100</v>
      </c>
      <c r="Q1033" s="44" t="s">
        <v>26</v>
      </c>
      <c r="R1033" s="205">
        <v>92</v>
      </c>
      <c r="S1033" s="205">
        <v>90</v>
      </c>
      <c r="T1033" s="217" t="s">
        <v>24</v>
      </c>
    </row>
    <row r="1034" spans="1:20" ht="13.5" customHeight="1">
      <c r="A1034" s="7" t="s">
        <v>61</v>
      </c>
      <c r="B1034" s="204">
        <v>43.8</v>
      </c>
      <c r="C1034" s="204">
        <v>60.6</v>
      </c>
      <c r="D1034" s="204">
        <v>75</v>
      </c>
      <c r="E1034" s="204">
        <v>57.1</v>
      </c>
      <c r="F1034" s="204">
        <v>50</v>
      </c>
      <c r="G1034" s="204">
        <v>50</v>
      </c>
      <c r="H1034" s="204">
        <v>50</v>
      </c>
      <c r="I1034" s="204">
        <v>60</v>
      </c>
      <c r="J1034" s="204">
        <v>60</v>
      </c>
      <c r="K1034" s="204">
        <v>20</v>
      </c>
      <c r="L1034" s="204">
        <v>20</v>
      </c>
      <c r="M1034" s="204">
        <v>20</v>
      </c>
      <c r="N1034" s="204">
        <v>20</v>
      </c>
      <c r="O1034" s="204">
        <v>40</v>
      </c>
      <c r="P1034" s="204">
        <v>40</v>
      </c>
      <c r="Q1034" s="44" t="s">
        <v>26</v>
      </c>
      <c r="R1034" s="205">
        <v>100</v>
      </c>
      <c r="S1034" s="205">
        <v>85</v>
      </c>
      <c r="T1034" s="217" t="s">
        <v>27</v>
      </c>
    </row>
    <row r="1035" spans="1:20" ht="13.5" customHeight="1">
      <c r="A1035" s="7" t="s">
        <v>25</v>
      </c>
      <c r="B1035" s="204">
        <v>50</v>
      </c>
      <c r="C1035" s="204">
        <v>50.8</v>
      </c>
      <c r="D1035" s="204">
        <v>62.5</v>
      </c>
      <c r="E1035" s="204">
        <v>14.3</v>
      </c>
      <c r="F1035" s="204">
        <v>14.3</v>
      </c>
      <c r="G1035" s="204">
        <v>25</v>
      </c>
      <c r="H1035" s="204">
        <v>25</v>
      </c>
      <c r="I1035" s="204">
        <v>20</v>
      </c>
      <c r="J1035" s="204">
        <v>20</v>
      </c>
      <c r="K1035" s="204">
        <v>0</v>
      </c>
      <c r="L1035" s="204">
        <v>0</v>
      </c>
      <c r="M1035" s="204">
        <v>0</v>
      </c>
      <c r="N1035" s="204">
        <v>0</v>
      </c>
      <c r="O1035" s="204">
        <v>0</v>
      </c>
      <c r="P1035" s="204">
        <v>0</v>
      </c>
      <c r="Q1035" s="44" t="s">
        <v>26</v>
      </c>
      <c r="R1035" s="205">
        <v>100</v>
      </c>
      <c r="S1035" s="205">
        <v>95</v>
      </c>
      <c r="T1035" s="217" t="s">
        <v>24</v>
      </c>
    </row>
    <row r="1036" spans="1:20" ht="13.5" customHeight="1">
      <c r="A1036" s="7" t="s">
        <v>25</v>
      </c>
      <c r="B1036" s="204">
        <v>43.8</v>
      </c>
      <c r="C1036" s="204">
        <v>68</v>
      </c>
      <c r="D1036" s="204">
        <v>54.5</v>
      </c>
      <c r="E1036" s="204">
        <v>16.7</v>
      </c>
      <c r="F1036" s="204">
        <v>20</v>
      </c>
      <c r="G1036" s="204">
        <v>20</v>
      </c>
      <c r="H1036" s="204">
        <v>20</v>
      </c>
      <c r="I1036" s="204">
        <v>57.1</v>
      </c>
      <c r="J1036" s="204">
        <v>57.1</v>
      </c>
      <c r="K1036" s="204">
        <v>33.299999999999997</v>
      </c>
      <c r="L1036" s="204">
        <v>33.299999999999997</v>
      </c>
      <c r="M1036" s="204">
        <v>0</v>
      </c>
      <c r="N1036" s="204">
        <v>0</v>
      </c>
      <c r="O1036" s="204">
        <v>20</v>
      </c>
      <c r="P1036" s="204">
        <v>20</v>
      </c>
      <c r="Q1036" s="44" t="s">
        <v>26</v>
      </c>
      <c r="R1036" s="205">
        <v>95</v>
      </c>
      <c r="S1036" s="205">
        <v>85</v>
      </c>
      <c r="T1036" s="217" t="s">
        <v>40</v>
      </c>
    </row>
    <row r="1037" spans="1:20" ht="13.5" customHeight="1">
      <c r="A1037" s="7" t="s">
        <v>29</v>
      </c>
      <c r="B1037" s="204">
        <v>58</v>
      </c>
      <c r="C1037" s="204">
        <v>54.7</v>
      </c>
      <c r="D1037" s="204">
        <v>42.9</v>
      </c>
      <c r="E1037" s="204">
        <v>100</v>
      </c>
      <c r="F1037" s="204">
        <v>100</v>
      </c>
      <c r="G1037" s="204">
        <v>100</v>
      </c>
      <c r="H1037" s="204">
        <v>100</v>
      </c>
      <c r="I1037" s="204">
        <v>37.5</v>
      </c>
      <c r="J1037" s="204">
        <v>37.5</v>
      </c>
      <c r="K1037" s="204">
        <v>33.299999999999997</v>
      </c>
      <c r="L1037" s="204">
        <v>33.299999999999997</v>
      </c>
      <c r="M1037" s="204">
        <v>33.299999999999997</v>
      </c>
      <c r="N1037" s="204">
        <v>33.299999999999997</v>
      </c>
      <c r="O1037" s="204">
        <v>60</v>
      </c>
      <c r="P1037" s="204">
        <v>60</v>
      </c>
      <c r="Q1037" s="44" t="s">
        <v>45</v>
      </c>
      <c r="R1037" s="205">
        <v>80</v>
      </c>
      <c r="S1037" s="205">
        <v>85</v>
      </c>
      <c r="T1037" s="217" t="s">
        <v>40</v>
      </c>
    </row>
    <row r="1038" spans="1:20" ht="13.5" customHeight="1">
      <c r="A1038" s="7" t="s">
        <v>22</v>
      </c>
      <c r="B1038" s="204">
        <v>76.900000000000006</v>
      </c>
      <c r="C1038" s="204">
        <v>38.1</v>
      </c>
      <c r="D1038" s="204">
        <v>33.299999999999997</v>
      </c>
      <c r="E1038" s="204">
        <v>100</v>
      </c>
      <c r="F1038" s="204">
        <v>100</v>
      </c>
      <c r="G1038" s="204">
        <v>80</v>
      </c>
      <c r="H1038" s="204">
        <v>80</v>
      </c>
      <c r="I1038" s="204">
        <v>100</v>
      </c>
      <c r="J1038" s="204">
        <v>100</v>
      </c>
      <c r="K1038" s="204">
        <v>100</v>
      </c>
      <c r="L1038" s="204">
        <v>100</v>
      </c>
      <c r="M1038" s="204">
        <v>50</v>
      </c>
      <c r="N1038" s="204">
        <v>50</v>
      </c>
      <c r="O1038" s="204">
        <v>100</v>
      </c>
      <c r="P1038" s="204">
        <v>100</v>
      </c>
      <c r="Q1038" s="44" t="s">
        <v>45</v>
      </c>
      <c r="R1038" s="205">
        <v>98</v>
      </c>
      <c r="S1038" s="205">
        <v>93</v>
      </c>
      <c r="T1038" s="217" t="s">
        <v>24</v>
      </c>
    </row>
    <row r="1039" spans="1:20" ht="13.5" customHeight="1">
      <c r="A1039" s="7" t="s">
        <v>47</v>
      </c>
      <c r="B1039" s="204">
        <v>60</v>
      </c>
      <c r="C1039" s="204">
        <v>39.1</v>
      </c>
      <c r="D1039" s="204">
        <v>50</v>
      </c>
      <c r="E1039" s="204">
        <v>40</v>
      </c>
      <c r="F1039" s="204">
        <v>40</v>
      </c>
      <c r="G1039" s="204">
        <v>40</v>
      </c>
      <c r="H1039" s="204">
        <v>40</v>
      </c>
      <c r="I1039" s="204">
        <v>28.6</v>
      </c>
      <c r="J1039" s="204">
        <v>28.6</v>
      </c>
      <c r="K1039" s="204">
        <v>0</v>
      </c>
      <c r="L1039" s="204">
        <v>0</v>
      </c>
      <c r="M1039" s="204">
        <v>0</v>
      </c>
      <c r="N1039" s="204">
        <v>0</v>
      </c>
      <c r="O1039" s="204">
        <v>40</v>
      </c>
      <c r="P1039" s="204">
        <v>40</v>
      </c>
      <c r="Q1039" s="44" t="s">
        <v>63</v>
      </c>
      <c r="R1039" s="205">
        <v>82</v>
      </c>
      <c r="S1039" s="205">
        <v>85</v>
      </c>
      <c r="T1039" s="217" t="s">
        <v>40</v>
      </c>
    </row>
    <row r="1040" spans="1:20" ht="13.5" customHeight="1">
      <c r="A1040" s="7" t="s">
        <v>53</v>
      </c>
      <c r="B1040" s="204">
        <v>58</v>
      </c>
      <c r="C1040" s="204">
        <v>59.6</v>
      </c>
      <c r="D1040" s="204">
        <v>72.7</v>
      </c>
      <c r="E1040" s="204">
        <v>0</v>
      </c>
      <c r="F1040" s="204">
        <v>0</v>
      </c>
      <c r="G1040" s="204">
        <v>0</v>
      </c>
      <c r="H1040" s="204">
        <v>0</v>
      </c>
      <c r="I1040" s="204">
        <v>33.299999999999997</v>
      </c>
      <c r="J1040" s="204">
        <v>33.299999999999997</v>
      </c>
      <c r="K1040" s="204">
        <v>50</v>
      </c>
      <c r="L1040" s="204">
        <v>50</v>
      </c>
      <c r="M1040" s="204">
        <v>50</v>
      </c>
      <c r="N1040" s="204">
        <v>50</v>
      </c>
      <c r="O1040" s="204">
        <v>66.7</v>
      </c>
      <c r="P1040" s="204">
        <v>66.7</v>
      </c>
      <c r="Q1040" s="44" t="s">
        <v>26</v>
      </c>
      <c r="R1040" s="205">
        <v>86</v>
      </c>
      <c r="S1040" s="205">
        <v>105</v>
      </c>
      <c r="T1040" s="217" t="s">
        <v>48</v>
      </c>
    </row>
    <row r="1041" spans="1:20" ht="13.5" customHeight="1">
      <c r="A1041" s="7" t="s">
        <v>42</v>
      </c>
      <c r="B1041" s="204">
        <v>28.6</v>
      </c>
      <c r="C1041" s="204">
        <v>39.1</v>
      </c>
      <c r="D1041" s="204">
        <v>40</v>
      </c>
      <c r="E1041" s="204">
        <v>20</v>
      </c>
      <c r="F1041" s="204">
        <v>20</v>
      </c>
      <c r="G1041" s="204">
        <v>0</v>
      </c>
      <c r="H1041" s="204">
        <v>0</v>
      </c>
      <c r="I1041" s="204">
        <v>22.2</v>
      </c>
      <c r="J1041" s="204">
        <v>14.3</v>
      </c>
      <c r="K1041" s="204">
        <v>50</v>
      </c>
      <c r="L1041" s="204">
        <v>50</v>
      </c>
      <c r="M1041" s="204">
        <v>50</v>
      </c>
      <c r="N1041" s="204">
        <v>50</v>
      </c>
      <c r="O1041" s="204">
        <v>50</v>
      </c>
      <c r="P1041" s="204">
        <v>50</v>
      </c>
      <c r="Q1041" s="44" t="s">
        <v>45</v>
      </c>
      <c r="R1041" s="205">
        <v>96</v>
      </c>
      <c r="S1041" s="205">
        <v>94</v>
      </c>
      <c r="T1041" s="217" t="s">
        <v>27</v>
      </c>
    </row>
    <row r="1042" spans="1:20" ht="13.5" customHeight="1">
      <c r="A1042" s="7" t="s">
        <v>42</v>
      </c>
      <c r="B1042" s="204">
        <v>58</v>
      </c>
      <c r="C1042" s="204">
        <v>54.7</v>
      </c>
      <c r="D1042" s="204">
        <v>42.9</v>
      </c>
      <c r="E1042" s="204">
        <v>50</v>
      </c>
      <c r="F1042" s="204">
        <v>50</v>
      </c>
      <c r="G1042" s="204">
        <v>50</v>
      </c>
      <c r="H1042" s="204">
        <v>50</v>
      </c>
      <c r="I1042" s="204">
        <v>50</v>
      </c>
      <c r="J1042" s="204">
        <v>50</v>
      </c>
      <c r="K1042" s="204">
        <v>33.299999999999997</v>
      </c>
      <c r="L1042" s="204">
        <v>33.299999999999997</v>
      </c>
      <c r="M1042" s="204">
        <v>33.299999999999997</v>
      </c>
      <c r="N1042" s="204">
        <v>33.299999999999997</v>
      </c>
      <c r="O1042" s="204">
        <v>60</v>
      </c>
      <c r="P1042" s="204">
        <v>60</v>
      </c>
      <c r="Q1042" s="44" t="s">
        <v>45</v>
      </c>
      <c r="R1042" s="205">
        <v>75</v>
      </c>
      <c r="S1042" s="205">
        <v>75</v>
      </c>
      <c r="T1042" s="217" t="s">
        <v>40</v>
      </c>
    </row>
    <row r="1043" spans="1:20" ht="13.5" customHeight="1">
      <c r="A1043" s="7" t="s">
        <v>42</v>
      </c>
      <c r="B1043" s="204">
        <v>58</v>
      </c>
      <c r="C1043" s="204">
        <v>57.9</v>
      </c>
      <c r="D1043" s="204">
        <v>50</v>
      </c>
      <c r="E1043" s="204">
        <v>25</v>
      </c>
      <c r="F1043" s="204">
        <v>25</v>
      </c>
      <c r="G1043" s="204">
        <v>25</v>
      </c>
      <c r="H1043" s="204">
        <v>25</v>
      </c>
      <c r="I1043" s="204">
        <v>37.5</v>
      </c>
      <c r="J1043" s="204">
        <v>37.5</v>
      </c>
      <c r="K1043" s="204">
        <v>0</v>
      </c>
      <c r="L1043" s="204">
        <v>0</v>
      </c>
      <c r="M1043" s="204">
        <v>0</v>
      </c>
      <c r="N1043" s="204">
        <v>0</v>
      </c>
      <c r="O1043" s="204">
        <v>50</v>
      </c>
      <c r="P1043" s="204">
        <v>50</v>
      </c>
      <c r="Q1043" s="44" t="s">
        <v>26</v>
      </c>
      <c r="R1043" s="205">
        <v>86</v>
      </c>
      <c r="S1043" s="205">
        <v>88</v>
      </c>
      <c r="T1043" s="217" t="s">
        <v>27</v>
      </c>
    </row>
    <row r="1044" spans="1:20" ht="13.5" customHeight="1">
      <c r="A1044" s="7" t="s">
        <v>31</v>
      </c>
      <c r="B1044" s="204">
        <v>76.900000000000006</v>
      </c>
      <c r="C1044" s="204">
        <v>68</v>
      </c>
      <c r="D1044" s="204">
        <v>100</v>
      </c>
      <c r="E1044" s="204">
        <v>33.299999999999997</v>
      </c>
      <c r="F1044" s="204">
        <v>33.299999999999997</v>
      </c>
      <c r="G1044" s="204">
        <v>25</v>
      </c>
      <c r="H1044" s="204">
        <v>25</v>
      </c>
      <c r="I1044" s="204">
        <v>50</v>
      </c>
      <c r="J1044" s="204">
        <v>50</v>
      </c>
      <c r="K1044" s="204">
        <v>50</v>
      </c>
      <c r="L1044" s="204">
        <v>50</v>
      </c>
      <c r="M1044" s="204">
        <v>50</v>
      </c>
      <c r="N1044" s="204">
        <v>50</v>
      </c>
      <c r="O1044" s="204">
        <v>100</v>
      </c>
      <c r="P1044" s="204">
        <v>100</v>
      </c>
      <c r="Q1044" s="44" t="s">
        <v>26</v>
      </c>
      <c r="R1044" s="205">
        <v>80</v>
      </c>
      <c r="S1044" s="205">
        <v>85</v>
      </c>
      <c r="T1044" s="217" t="s">
        <v>28</v>
      </c>
    </row>
    <row r="1045" spans="1:20" ht="13.5" customHeight="1">
      <c r="A1045" s="7" t="s">
        <v>44</v>
      </c>
      <c r="B1045" s="204">
        <v>60</v>
      </c>
      <c r="C1045" s="204">
        <v>49.4</v>
      </c>
      <c r="D1045" s="204">
        <v>60</v>
      </c>
      <c r="E1045" s="204">
        <v>100</v>
      </c>
      <c r="F1045" s="204">
        <v>100</v>
      </c>
      <c r="G1045" s="204">
        <v>100</v>
      </c>
      <c r="H1045" s="204">
        <v>100</v>
      </c>
      <c r="I1045" s="204">
        <v>66.7</v>
      </c>
      <c r="J1045" s="204">
        <v>66.7</v>
      </c>
      <c r="K1045" s="204">
        <v>100</v>
      </c>
      <c r="L1045" s="204">
        <v>100</v>
      </c>
      <c r="M1045" s="204">
        <v>100</v>
      </c>
      <c r="N1045" s="204">
        <v>100</v>
      </c>
      <c r="O1045" s="204">
        <v>100</v>
      </c>
      <c r="P1045" s="204">
        <v>100</v>
      </c>
      <c r="Q1045" s="44" t="s">
        <v>45</v>
      </c>
      <c r="R1045" s="205">
        <v>100</v>
      </c>
      <c r="S1045" s="205">
        <v>85</v>
      </c>
      <c r="T1045" s="217" t="s">
        <v>27</v>
      </c>
    </row>
    <row r="1046" spans="1:20" ht="13.5" customHeight="1">
      <c r="A1046" s="7" t="s">
        <v>22</v>
      </c>
      <c r="B1046" s="204">
        <v>45.2</v>
      </c>
      <c r="C1046" s="204">
        <v>36.9</v>
      </c>
      <c r="D1046" s="204">
        <v>42.9</v>
      </c>
      <c r="E1046" s="204">
        <v>100</v>
      </c>
      <c r="F1046" s="204">
        <v>100</v>
      </c>
      <c r="G1046" s="204">
        <v>50</v>
      </c>
      <c r="H1046" s="204">
        <v>100</v>
      </c>
      <c r="I1046" s="204">
        <v>60</v>
      </c>
      <c r="J1046" s="204">
        <v>66.7</v>
      </c>
      <c r="K1046" s="204">
        <v>50</v>
      </c>
      <c r="L1046" s="204">
        <v>50</v>
      </c>
      <c r="M1046" s="204">
        <v>66.7</v>
      </c>
      <c r="N1046" s="204">
        <v>66.7</v>
      </c>
      <c r="O1046" s="204">
        <v>50</v>
      </c>
      <c r="P1046" s="204">
        <v>50</v>
      </c>
      <c r="Q1046" s="44" t="s">
        <v>45</v>
      </c>
      <c r="R1046" s="205">
        <v>92</v>
      </c>
      <c r="S1046" s="205">
        <v>96</v>
      </c>
      <c r="T1046" s="217" t="s">
        <v>35</v>
      </c>
    </row>
    <row r="1047" spans="1:20" ht="13.5" customHeight="1">
      <c r="A1047" s="7" t="s">
        <v>31</v>
      </c>
      <c r="B1047" s="204">
        <v>40</v>
      </c>
      <c r="C1047" s="204">
        <v>39.1</v>
      </c>
      <c r="D1047" s="204">
        <v>70</v>
      </c>
      <c r="E1047" s="204">
        <v>50</v>
      </c>
      <c r="F1047" s="204">
        <v>50</v>
      </c>
      <c r="G1047" s="204">
        <v>50</v>
      </c>
      <c r="H1047" s="204">
        <v>50</v>
      </c>
      <c r="I1047" s="204">
        <v>60</v>
      </c>
      <c r="J1047" s="204">
        <v>60</v>
      </c>
      <c r="K1047" s="204">
        <v>100</v>
      </c>
      <c r="L1047" s="204">
        <v>100</v>
      </c>
      <c r="M1047" s="204">
        <v>100</v>
      </c>
      <c r="N1047" s="204">
        <v>100</v>
      </c>
      <c r="O1047" s="204">
        <v>100</v>
      </c>
      <c r="P1047" s="204">
        <v>100</v>
      </c>
      <c r="Q1047" s="44" t="s">
        <v>45</v>
      </c>
      <c r="R1047" s="205">
        <v>95</v>
      </c>
      <c r="S1047" s="205">
        <v>80</v>
      </c>
      <c r="T1047" s="217" t="s">
        <v>46</v>
      </c>
    </row>
    <row r="1048" spans="1:20" ht="13.5" customHeight="1">
      <c r="A1048" s="7" t="s">
        <v>36</v>
      </c>
      <c r="B1048" s="204">
        <v>50</v>
      </c>
      <c r="C1048" s="204">
        <v>36.9</v>
      </c>
      <c r="D1048" s="204">
        <v>16.7</v>
      </c>
      <c r="E1048" s="204">
        <v>16.7</v>
      </c>
      <c r="F1048" s="204">
        <v>20</v>
      </c>
      <c r="G1048" s="204">
        <v>28.6</v>
      </c>
      <c r="H1048" s="204">
        <v>33.299999999999997</v>
      </c>
      <c r="I1048" s="204">
        <v>57.1</v>
      </c>
      <c r="J1048" s="204">
        <v>57.1</v>
      </c>
      <c r="K1048" s="204">
        <v>0</v>
      </c>
      <c r="L1048" s="204">
        <v>0</v>
      </c>
      <c r="M1048" s="204">
        <v>33.299999999999997</v>
      </c>
      <c r="N1048" s="204">
        <v>33.299999999999997</v>
      </c>
      <c r="O1048" s="204">
        <v>0</v>
      </c>
      <c r="P1048" s="204">
        <v>0</v>
      </c>
      <c r="Q1048" s="44" t="s">
        <v>45</v>
      </c>
      <c r="R1048" s="205">
        <v>104</v>
      </c>
      <c r="S1048" s="205">
        <v>90</v>
      </c>
      <c r="T1048" s="217" t="s">
        <v>28</v>
      </c>
    </row>
    <row r="1049" spans="1:20" ht="13.5" customHeight="1">
      <c r="A1049" s="7" t="s">
        <v>31</v>
      </c>
      <c r="B1049" s="204">
        <v>60</v>
      </c>
      <c r="C1049" s="204">
        <v>38.1</v>
      </c>
      <c r="D1049" s="204">
        <v>44.4</v>
      </c>
      <c r="E1049" s="204">
        <v>100</v>
      </c>
      <c r="F1049" s="204">
        <v>100</v>
      </c>
      <c r="G1049" s="204">
        <v>100</v>
      </c>
      <c r="H1049" s="204">
        <v>100</v>
      </c>
      <c r="I1049" s="204">
        <v>100</v>
      </c>
      <c r="J1049" s="204">
        <v>100</v>
      </c>
      <c r="K1049" s="204">
        <v>50</v>
      </c>
      <c r="L1049" s="204">
        <v>50</v>
      </c>
      <c r="M1049" s="204">
        <v>50</v>
      </c>
      <c r="N1049" s="204">
        <v>50</v>
      </c>
      <c r="O1049" s="204">
        <v>100</v>
      </c>
      <c r="P1049" s="204">
        <v>100</v>
      </c>
      <c r="Q1049" s="44" t="s">
        <v>45</v>
      </c>
      <c r="R1049" s="205">
        <v>104</v>
      </c>
      <c r="S1049" s="205">
        <v>75</v>
      </c>
      <c r="T1049" s="217" t="s">
        <v>40</v>
      </c>
    </row>
    <row r="1050" spans="1:20" ht="13.5" customHeight="1">
      <c r="A1050" s="7" t="s">
        <v>36</v>
      </c>
      <c r="B1050" s="204">
        <v>57.7</v>
      </c>
      <c r="C1050" s="204">
        <v>36.9</v>
      </c>
      <c r="D1050" s="204">
        <v>22.2</v>
      </c>
      <c r="E1050" s="204">
        <v>42.9</v>
      </c>
      <c r="F1050" s="204">
        <v>33.299999999999997</v>
      </c>
      <c r="G1050" s="204">
        <v>50</v>
      </c>
      <c r="H1050" s="204">
        <v>40</v>
      </c>
      <c r="I1050" s="204">
        <v>16.7</v>
      </c>
      <c r="J1050" s="204">
        <v>16.7</v>
      </c>
      <c r="K1050" s="204">
        <v>0</v>
      </c>
      <c r="L1050" s="204">
        <v>0</v>
      </c>
      <c r="M1050" s="204">
        <v>0</v>
      </c>
      <c r="N1050" s="204">
        <v>0</v>
      </c>
      <c r="O1050" s="204">
        <v>0</v>
      </c>
      <c r="P1050" s="204">
        <v>0</v>
      </c>
      <c r="Q1050" s="44" t="s">
        <v>45</v>
      </c>
      <c r="R1050" s="205">
        <v>87</v>
      </c>
      <c r="S1050" s="205">
        <v>75</v>
      </c>
      <c r="T1050" s="217" t="s">
        <v>40</v>
      </c>
    </row>
    <row r="1051" spans="1:20" ht="13.5" customHeight="1">
      <c r="A1051" s="7" t="s">
        <v>33</v>
      </c>
      <c r="B1051" s="204">
        <v>45.2</v>
      </c>
      <c r="C1051" s="204">
        <v>39.1</v>
      </c>
      <c r="D1051" s="204">
        <v>57.1</v>
      </c>
      <c r="E1051" s="204">
        <v>66.7</v>
      </c>
      <c r="F1051" s="204">
        <v>66.7</v>
      </c>
      <c r="G1051" s="204">
        <v>66.7</v>
      </c>
      <c r="H1051" s="204">
        <v>66.7</v>
      </c>
      <c r="I1051" s="204">
        <v>50</v>
      </c>
      <c r="J1051" s="204">
        <v>50</v>
      </c>
      <c r="K1051" s="204">
        <v>50</v>
      </c>
      <c r="L1051" s="204">
        <v>50</v>
      </c>
      <c r="M1051" s="204">
        <v>40</v>
      </c>
      <c r="N1051" s="204">
        <v>40</v>
      </c>
      <c r="O1051" s="204">
        <v>37.5</v>
      </c>
      <c r="P1051" s="204">
        <v>37.5</v>
      </c>
      <c r="Q1051" s="44" t="s">
        <v>63</v>
      </c>
      <c r="R1051" s="205">
        <v>80</v>
      </c>
      <c r="S1051" s="205">
        <v>90</v>
      </c>
      <c r="T1051" s="217" t="s">
        <v>28</v>
      </c>
    </row>
    <row r="1052" spans="1:20" ht="13.5" customHeight="1">
      <c r="A1052" s="7" t="s">
        <v>47</v>
      </c>
      <c r="B1052" s="204">
        <v>57.7</v>
      </c>
      <c r="C1052" s="204">
        <v>57.9</v>
      </c>
      <c r="D1052" s="204">
        <v>62.5</v>
      </c>
      <c r="E1052" s="204">
        <v>0</v>
      </c>
      <c r="F1052" s="204">
        <v>0</v>
      </c>
      <c r="G1052" s="204">
        <v>0</v>
      </c>
      <c r="H1052" s="204">
        <v>0</v>
      </c>
      <c r="I1052" s="204">
        <v>50</v>
      </c>
      <c r="J1052" s="204">
        <v>50</v>
      </c>
      <c r="K1052" s="204">
        <v>0</v>
      </c>
      <c r="L1052" s="204">
        <v>0</v>
      </c>
      <c r="M1052" s="204">
        <v>0</v>
      </c>
      <c r="N1052" s="204">
        <v>0</v>
      </c>
      <c r="O1052" s="204">
        <v>40</v>
      </c>
      <c r="P1052" s="204">
        <v>50</v>
      </c>
      <c r="Q1052" s="44" t="s">
        <v>45</v>
      </c>
      <c r="R1052" s="205">
        <v>78</v>
      </c>
      <c r="S1052" s="205">
        <v>78</v>
      </c>
      <c r="T1052" s="217" t="s">
        <v>39</v>
      </c>
    </row>
    <row r="1053" spans="1:20" ht="13.5" customHeight="1">
      <c r="A1053" s="7" t="s">
        <v>37</v>
      </c>
      <c r="B1053" s="204">
        <v>92.3</v>
      </c>
      <c r="C1053" s="204">
        <v>71.400000000000006</v>
      </c>
      <c r="D1053" s="204">
        <v>100</v>
      </c>
      <c r="E1053" s="204">
        <v>100</v>
      </c>
      <c r="F1053" s="204">
        <v>100</v>
      </c>
      <c r="G1053" s="204">
        <v>100</v>
      </c>
      <c r="H1053" s="204">
        <v>100</v>
      </c>
      <c r="I1053" s="204">
        <v>100</v>
      </c>
      <c r="J1053" s="204">
        <v>100</v>
      </c>
      <c r="K1053" s="204">
        <v>100</v>
      </c>
      <c r="L1053" s="204">
        <v>100</v>
      </c>
      <c r="M1053" s="204">
        <v>100</v>
      </c>
      <c r="N1053" s="204">
        <v>100</v>
      </c>
      <c r="O1053" s="204">
        <v>100</v>
      </c>
      <c r="P1053" s="204">
        <v>100</v>
      </c>
      <c r="Q1053" s="44" t="s">
        <v>34</v>
      </c>
      <c r="R1053" s="205">
        <v>95</v>
      </c>
      <c r="S1053" s="205">
        <v>85</v>
      </c>
      <c r="T1053" s="217" t="s">
        <v>28</v>
      </c>
    </row>
    <row r="1054" spans="1:20" ht="13.5" customHeight="1">
      <c r="A1054" s="7" t="s">
        <v>36</v>
      </c>
      <c r="B1054" s="204">
        <v>0</v>
      </c>
      <c r="C1054" s="204">
        <v>38.1</v>
      </c>
      <c r="D1054" s="204">
        <v>44.4</v>
      </c>
      <c r="E1054" s="204">
        <v>0</v>
      </c>
      <c r="F1054" s="204">
        <v>0</v>
      </c>
      <c r="G1054" s="204">
        <v>0</v>
      </c>
      <c r="H1054" s="204">
        <v>0</v>
      </c>
      <c r="I1054" s="204">
        <v>50</v>
      </c>
      <c r="J1054" s="204">
        <v>50</v>
      </c>
      <c r="K1054" s="204">
        <v>0</v>
      </c>
      <c r="L1054" s="204">
        <v>0</v>
      </c>
      <c r="M1054" s="204">
        <v>33.299999999999997</v>
      </c>
      <c r="N1054" s="204">
        <v>33.299999999999997</v>
      </c>
      <c r="O1054" s="204">
        <v>33.299999999999997</v>
      </c>
      <c r="P1054" s="204">
        <v>33.299999999999997</v>
      </c>
      <c r="Q1054" s="44" t="s">
        <v>26</v>
      </c>
      <c r="R1054" s="205">
        <v>110</v>
      </c>
      <c r="S1054" s="205">
        <v>80</v>
      </c>
      <c r="T1054" s="217" t="s">
        <v>40</v>
      </c>
    </row>
    <row r="1055" spans="1:20" ht="13.5" customHeight="1">
      <c r="A1055" s="7" t="s">
        <v>62</v>
      </c>
      <c r="B1055" s="204">
        <v>58</v>
      </c>
      <c r="C1055" s="204">
        <v>49.4</v>
      </c>
      <c r="D1055" s="204">
        <v>57.1</v>
      </c>
      <c r="E1055" s="204">
        <v>0</v>
      </c>
      <c r="F1055" s="204">
        <v>0</v>
      </c>
      <c r="G1055" s="204">
        <v>0</v>
      </c>
      <c r="H1055" s="204">
        <v>0</v>
      </c>
      <c r="I1055" s="204">
        <v>50</v>
      </c>
      <c r="J1055" s="204">
        <v>50</v>
      </c>
      <c r="K1055" s="204">
        <v>0</v>
      </c>
      <c r="L1055" s="204">
        <v>0</v>
      </c>
      <c r="M1055" s="204">
        <v>0</v>
      </c>
      <c r="N1055" s="204">
        <v>0</v>
      </c>
      <c r="O1055" s="204">
        <v>40</v>
      </c>
      <c r="P1055" s="204">
        <v>40</v>
      </c>
      <c r="Q1055" s="44" t="s">
        <v>26</v>
      </c>
      <c r="R1055" s="205">
        <v>92</v>
      </c>
      <c r="S1055" s="205">
        <v>105</v>
      </c>
      <c r="T1055" s="217" t="s">
        <v>35</v>
      </c>
    </row>
    <row r="1056" spans="1:20" ht="13.5" customHeight="1">
      <c r="A1056" s="7" t="s">
        <v>33</v>
      </c>
      <c r="B1056" s="204">
        <v>58</v>
      </c>
      <c r="C1056" s="204">
        <v>59.6</v>
      </c>
      <c r="D1056" s="204">
        <v>72.7</v>
      </c>
      <c r="E1056" s="204">
        <v>100</v>
      </c>
      <c r="F1056" s="204">
        <v>100</v>
      </c>
      <c r="G1056" s="204">
        <v>100</v>
      </c>
      <c r="H1056" s="204">
        <v>100</v>
      </c>
      <c r="I1056" s="204">
        <v>100</v>
      </c>
      <c r="J1056" s="204">
        <v>100</v>
      </c>
      <c r="K1056" s="204">
        <v>50</v>
      </c>
      <c r="L1056" s="204">
        <v>50</v>
      </c>
      <c r="M1056" s="204">
        <v>100</v>
      </c>
      <c r="N1056" s="204">
        <v>100</v>
      </c>
      <c r="O1056" s="204">
        <v>100</v>
      </c>
      <c r="P1056" s="204">
        <v>100</v>
      </c>
      <c r="Q1056" s="44" t="s">
        <v>30</v>
      </c>
      <c r="R1056" s="205">
        <v>100</v>
      </c>
      <c r="S1056" s="205">
        <v>84</v>
      </c>
      <c r="T1056" s="217" t="s">
        <v>40</v>
      </c>
    </row>
    <row r="1057" spans="1:20" ht="13.5" customHeight="1">
      <c r="A1057" s="7" t="s">
        <v>33</v>
      </c>
      <c r="B1057" s="204">
        <v>60</v>
      </c>
      <c r="C1057" s="204">
        <v>57.9</v>
      </c>
      <c r="D1057" s="204">
        <v>42.9</v>
      </c>
      <c r="E1057" s="204">
        <v>50</v>
      </c>
      <c r="F1057" s="204">
        <v>50</v>
      </c>
      <c r="G1057" s="204">
        <v>100</v>
      </c>
      <c r="H1057" s="204">
        <v>100</v>
      </c>
      <c r="I1057" s="204">
        <v>75</v>
      </c>
      <c r="J1057" s="204">
        <v>75</v>
      </c>
      <c r="K1057" s="204">
        <v>50</v>
      </c>
      <c r="L1057" s="204">
        <v>50</v>
      </c>
      <c r="M1057" s="204">
        <v>50</v>
      </c>
      <c r="N1057" s="204">
        <v>50</v>
      </c>
      <c r="O1057" s="204">
        <v>66.7</v>
      </c>
      <c r="P1057" s="204">
        <v>66.7</v>
      </c>
      <c r="Q1057" s="44" t="s">
        <v>26</v>
      </c>
      <c r="R1057" s="205">
        <v>85</v>
      </c>
      <c r="S1057" s="205">
        <v>89</v>
      </c>
      <c r="T1057" s="217" t="s">
        <v>28</v>
      </c>
    </row>
    <row r="1058" spans="1:20" ht="13.5" customHeight="1">
      <c r="A1058" s="7" t="s">
        <v>36</v>
      </c>
      <c r="B1058" s="204">
        <v>28.6</v>
      </c>
      <c r="C1058" s="204">
        <v>55.6</v>
      </c>
      <c r="D1058" s="204">
        <v>20</v>
      </c>
      <c r="E1058" s="204">
        <v>60</v>
      </c>
      <c r="F1058" s="204">
        <v>60</v>
      </c>
      <c r="G1058" s="204">
        <v>60</v>
      </c>
      <c r="H1058" s="204">
        <v>60</v>
      </c>
      <c r="I1058" s="204">
        <v>37.5</v>
      </c>
      <c r="J1058" s="204">
        <v>50</v>
      </c>
      <c r="K1058" s="204">
        <v>75</v>
      </c>
      <c r="L1058" s="204">
        <v>50</v>
      </c>
      <c r="M1058" s="204">
        <v>66.7</v>
      </c>
      <c r="N1058" s="204">
        <v>50</v>
      </c>
      <c r="O1058" s="204">
        <v>0</v>
      </c>
      <c r="P1058" s="204">
        <v>0</v>
      </c>
      <c r="Q1058" s="44" t="s">
        <v>23</v>
      </c>
      <c r="R1058" s="205">
        <v>104</v>
      </c>
      <c r="S1058" s="205">
        <v>92</v>
      </c>
      <c r="T1058" s="217" t="s">
        <v>28</v>
      </c>
    </row>
    <row r="1059" spans="1:20" ht="13.5" customHeight="1">
      <c r="A1059" s="7" t="s">
        <v>41</v>
      </c>
      <c r="B1059" s="204">
        <v>76.900000000000006</v>
      </c>
      <c r="C1059" s="204">
        <v>86.4</v>
      </c>
      <c r="D1059" s="204">
        <v>75</v>
      </c>
      <c r="E1059" s="204">
        <v>100</v>
      </c>
      <c r="F1059" s="204">
        <v>100</v>
      </c>
      <c r="G1059" s="204">
        <v>100</v>
      </c>
      <c r="H1059" s="204">
        <v>100</v>
      </c>
      <c r="I1059" s="204">
        <v>100</v>
      </c>
      <c r="J1059" s="204">
        <v>100</v>
      </c>
      <c r="K1059" s="204">
        <v>100</v>
      </c>
      <c r="L1059" s="204">
        <v>100</v>
      </c>
      <c r="M1059" s="204">
        <v>100</v>
      </c>
      <c r="N1059" s="204">
        <v>100</v>
      </c>
      <c r="O1059" s="204">
        <v>100</v>
      </c>
      <c r="P1059" s="204">
        <v>100</v>
      </c>
      <c r="Q1059" s="44" t="s">
        <v>30</v>
      </c>
      <c r="R1059" s="205">
        <v>89</v>
      </c>
      <c r="S1059" s="205">
        <v>92</v>
      </c>
      <c r="T1059" s="217" t="s">
        <v>28</v>
      </c>
    </row>
    <row r="1060" spans="1:20" ht="13.5" customHeight="1">
      <c r="A1060" s="7" t="s">
        <v>36</v>
      </c>
      <c r="B1060" s="204">
        <v>76.900000000000006</v>
      </c>
      <c r="C1060" s="204">
        <v>73.3</v>
      </c>
      <c r="D1060" s="204">
        <v>60</v>
      </c>
      <c r="E1060" s="204">
        <v>50</v>
      </c>
      <c r="F1060" s="204">
        <v>50</v>
      </c>
      <c r="G1060" s="204">
        <v>0</v>
      </c>
      <c r="H1060" s="204">
        <v>0</v>
      </c>
      <c r="I1060" s="204">
        <v>75</v>
      </c>
      <c r="J1060" s="204">
        <v>75</v>
      </c>
      <c r="K1060" s="204">
        <v>50</v>
      </c>
      <c r="L1060" s="204">
        <v>50</v>
      </c>
      <c r="M1060" s="204">
        <v>50</v>
      </c>
      <c r="N1060" s="204">
        <v>50</v>
      </c>
      <c r="O1060" s="204">
        <v>50</v>
      </c>
      <c r="P1060" s="204">
        <v>50</v>
      </c>
      <c r="Q1060" s="44" t="s">
        <v>26</v>
      </c>
      <c r="R1060" s="205">
        <v>94</v>
      </c>
      <c r="S1060" s="205">
        <v>94</v>
      </c>
      <c r="T1060" s="217" t="s">
        <v>27</v>
      </c>
    </row>
    <row r="1061" spans="1:20" ht="13.5" customHeight="1">
      <c r="A1061" s="7" t="s">
        <v>31</v>
      </c>
      <c r="B1061" s="204">
        <v>53.8</v>
      </c>
      <c r="C1061" s="204">
        <v>38.1</v>
      </c>
      <c r="D1061" s="204">
        <v>44.4</v>
      </c>
      <c r="E1061" s="204">
        <v>100</v>
      </c>
      <c r="F1061" s="204">
        <v>100</v>
      </c>
      <c r="G1061" s="204">
        <v>100</v>
      </c>
      <c r="H1061" s="204">
        <v>100</v>
      </c>
      <c r="I1061" s="204">
        <v>60</v>
      </c>
      <c r="J1061" s="204">
        <v>60</v>
      </c>
      <c r="K1061" s="204">
        <v>50</v>
      </c>
      <c r="L1061" s="204">
        <v>50</v>
      </c>
      <c r="M1061" s="204">
        <v>33.299999999999997</v>
      </c>
      <c r="N1061" s="204">
        <v>33.299999999999997</v>
      </c>
      <c r="O1061" s="204">
        <v>33.299999999999997</v>
      </c>
      <c r="P1061" s="204">
        <v>33.299999999999997</v>
      </c>
      <c r="Q1061" s="44" t="s">
        <v>45</v>
      </c>
      <c r="R1061" s="205">
        <v>104</v>
      </c>
      <c r="S1061" s="205">
        <v>104</v>
      </c>
      <c r="T1061" s="217" t="s">
        <v>35</v>
      </c>
    </row>
    <row r="1062" spans="1:20" ht="13.5" customHeight="1">
      <c r="A1062" s="7" t="s">
        <v>36</v>
      </c>
      <c r="B1062" s="204">
        <v>25</v>
      </c>
      <c r="C1062" s="204">
        <v>36.9</v>
      </c>
      <c r="D1062" s="204">
        <v>30</v>
      </c>
      <c r="E1062" s="204">
        <v>0</v>
      </c>
      <c r="F1062" s="204">
        <v>0</v>
      </c>
      <c r="G1062" s="204">
        <v>0</v>
      </c>
      <c r="H1062" s="204">
        <v>0</v>
      </c>
      <c r="I1062" s="204">
        <v>0</v>
      </c>
      <c r="J1062" s="204">
        <v>0</v>
      </c>
      <c r="K1062" s="204">
        <v>0</v>
      </c>
      <c r="L1062" s="204">
        <v>0</v>
      </c>
      <c r="M1062" s="204">
        <v>0</v>
      </c>
      <c r="N1062" s="204">
        <v>0</v>
      </c>
      <c r="O1062" s="204">
        <v>0</v>
      </c>
      <c r="P1062" s="204">
        <v>0</v>
      </c>
      <c r="Q1062" s="44" t="s">
        <v>45</v>
      </c>
      <c r="R1062" s="205">
        <v>94</v>
      </c>
      <c r="S1062" s="205">
        <v>84</v>
      </c>
      <c r="T1062" s="217" t="s">
        <v>46</v>
      </c>
    </row>
    <row r="1063" spans="1:20" ht="13.5" customHeight="1">
      <c r="A1063" s="7" t="s">
        <v>60</v>
      </c>
      <c r="B1063" s="204">
        <v>28.2</v>
      </c>
      <c r="C1063" s="204">
        <v>49</v>
      </c>
      <c r="D1063" s="204">
        <v>41.7</v>
      </c>
      <c r="E1063" s="204">
        <v>40</v>
      </c>
      <c r="F1063" s="204">
        <v>50</v>
      </c>
      <c r="G1063" s="204">
        <v>50</v>
      </c>
      <c r="H1063" s="204">
        <v>66.7</v>
      </c>
      <c r="I1063" s="204">
        <v>0</v>
      </c>
      <c r="J1063" s="204">
        <v>0</v>
      </c>
      <c r="K1063" s="204">
        <v>0</v>
      </c>
      <c r="L1063" s="204">
        <v>0</v>
      </c>
      <c r="M1063" s="204">
        <v>0</v>
      </c>
      <c r="N1063" s="204">
        <v>0</v>
      </c>
      <c r="O1063" s="204">
        <v>25</v>
      </c>
      <c r="P1063" s="204">
        <v>0</v>
      </c>
      <c r="Q1063" s="44" t="s">
        <v>26</v>
      </c>
      <c r="R1063" s="205">
        <v>100</v>
      </c>
      <c r="S1063" s="205">
        <v>85</v>
      </c>
      <c r="T1063" s="217" t="s">
        <v>27</v>
      </c>
    </row>
    <row r="1064" spans="1:20" ht="13.5" customHeight="1">
      <c r="A1064" s="7" t="s">
        <v>36</v>
      </c>
      <c r="B1064" s="204">
        <v>46.2</v>
      </c>
      <c r="C1064" s="204">
        <v>36.9</v>
      </c>
      <c r="D1064" s="204">
        <v>24.4</v>
      </c>
      <c r="E1064" s="204">
        <v>50</v>
      </c>
      <c r="F1064" s="204">
        <v>50</v>
      </c>
      <c r="G1064" s="204">
        <v>50</v>
      </c>
      <c r="H1064" s="204">
        <v>0</v>
      </c>
      <c r="I1064" s="204">
        <v>40</v>
      </c>
      <c r="J1064" s="204">
        <v>50</v>
      </c>
      <c r="K1064" s="204">
        <v>0</v>
      </c>
      <c r="L1064" s="204">
        <v>0</v>
      </c>
      <c r="M1064" s="204">
        <v>0</v>
      </c>
      <c r="N1064" s="204">
        <v>0</v>
      </c>
      <c r="O1064" s="204">
        <v>0</v>
      </c>
      <c r="P1064" s="204">
        <v>0</v>
      </c>
      <c r="Q1064" s="44" t="s">
        <v>45</v>
      </c>
      <c r="R1064" s="205">
        <v>86</v>
      </c>
      <c r="S1064" s="205">
        <v>94</v>
      </c>
      <c r="T1064" s="217" t="s">
        <v>35</v>
      </c>
    </row>
    <row r="1065" spans="1:20" ht="13.5" customHeight="1">
      <c r="A1065" s="7" t="s">
        <v>31</v>
      </c>
      <c r="B1065" s="204">
        <v>60</v>
      </c>
      <c r="C1065" s="204">
        <v>50.8</v>
      </c>
      <c r="D1065" s="204">
        <v>58.8</v>
      </c>
      <c r="E1065" s="204">
        <v>50</v>
      </c>
      <c r="F1065" s="204">
        <v>50</v>
      </c>
      <c r="G1065" s="204">
        <v>100</v>
      </c>
      <c r="H1065" s="204">
        <v>100</v>
      </c>
      <c r="I1065" s="204">
        <v>66.7</v>
      </c>
      <c r="J1065" s="204">
        <v>66.7</v>
      </c>
      <c r="K1065" s="204">
        <v>100</v>
      </c>
      <c r="L1065" s="204">
        <v>100</v>
      </c>
      <c r="M1065" s="204">
        <v>100</v>
      </c>
      <c r="N1065" s="204">
        <v>100</v>
      </c>
      <c r="O1065" s="204">
        <v>40</v>
      </c>
      <c r="P1065" s="204">
        <v>40</v>
      </c>
      <c r="Q1065" s="44" t="s">
        <v>45</v>
      </c>
      <c r="R1065" s="205">
        <v>100</v>
      </c>
      <c r="S1065" s="205">
        <v>93</v>
      </c>
      <c r="T1065" s="217" t="s">
        <v>27</v>
      </c>
    </row>
    <row r="1066" spans="1:20" ht="13.5" customHeight="1">
      <c r="A1066" s="7" t="s">
        <v>41</v>
      </c>
      <c r="B1066" s="204">
        <v>40</v>
      </c>
      <c r="C1066" s="204">
        <v>38.799999999999997</v>
      </c>
      <c r="D1066" s="204">
        <v>44.4</v>
      </c>
      <c r="E1066" s="204">
        <v>50</v>
      </c>
      <c r="F1066" s="204">
        <v>50</v>
      </c>
      <c r="G1066" s="204">
        <v>50</v>
      </c>
      <c r="H1066" s="204">
        <v>50</v>
      </c>
      <c r="I1066" s="204">
        <v>100</v>
      </c>
      <c r="J1066" s="204">
        <v>100</v>
      </c>
      <c r="K1066" s="204">
        <v>100</v>
      </c>
      <c r="L1066" s="204">
        <v>100</v>
      </c>
      <c r="M1066" s="204">
        <v>66.7</v>
      </c>
      <c r="N1066" s="204">
        <v>66.7</v>
      </c>
      <c r="O1066" s="204">
        <v>100</v>
      </c>
      <c r="P1066" s="204">
        <v>100</v>
      </c>
      <c r="Q1066" s="44" t="s">
        <v>63</v>
      </c>
      <c r="R1066" s="205">
        <v>80</v>
      </c>
      <c r="S1066" s="205">
        <v>100</v>
      </c>
      <c r="T1066" s="217" t="s">
        <v>48</v>
      </c>
    </row>
    <row r="1067" spans="1:20" ht="13.5" customHeight="1">
      <c r="A1067" s="7" t="s">
        <v>36</v>
      </c>
      <c r="B1067" s="204">
        <v>28.6</v>
      </c>
      <c r="C1067" s="204">
        <v>39.1</v>
      </c>
      <c r="D1067" s="204">
        <v>40</v>
      </c>
      <c r="E1067" s="204">
        <v>25</v>
      </c>
      <c r="F1067" s="204">
        <v>25</v>
      </c>
      <c r="G1067" s="204">
        <v>25</v>
      </c>
      <c r="H1067" s="204">
        <v>25</v>
      </c>
      <c r="I1067" s="204">
        <v>50</v>
      </c>
      <c r="J1067" s="204">
        <v>50</v>
      </c>
      <c r="K1067" s="204">
        <v>0</v>
      </c>
      <c r="L1067" s="204">
        <v>0</v>
      </c>
      <c r="M1067" s="204">
        <v>0</v>
      </c>
      <c r="N1067" s="204">
        <v>0</v>
      </c>
      <c r="O1067" s="204">
        <v>33.299999999999997</v>
      </c>
      <c r="P1067" s="204">
        <v>33.299999999999997</v>
      </c>
      <c r="Q1067" s="44" t="s">
        <v>45</v>
      </c>
      <c r="R1067" s="205">
        <v>96</v>
      </c>
      <c r="S1067" s="205">
        <v>80</v>
      </c>
      <c r="T1067" s="217" t="s">
        <v>39</v>
      </c>
    </row>
    <row r="1068" spans="1:20" ht="13.5" customHeight="1">
      <c r="A1068" s="7" t="s">
        <v>42</v>
      </c>
      <c r="B1068" s="204">
        <v>60</v>
      </c>
      <c r="C1068" s="204">
        <v>22.2</v>
      </c>
      <c r="D1068" s="204">
        <v>30</v>
      </c>
      <c r="E1068" s="204">
        <v>33.299999999999997</v>
      </c>
      <c r="F1068" s="204">
        <v>33.299999999999997</v>
      </c>
      <c r="G1068" s="204">
        <v>0</v>
      </c>
      <c r="H1068" s="204">
        <v>0</v>
      </c>
      <c r="I1068" s="204">
        <v>33.299999999999997</v>
      </c>
      <c r="J1068" s="204">
        <v>33.299999999999997</v>
      </c>
      <c r="K1068" s="204">
        <v>0</v>
      </c>
      <c r="L1068" s="204">
        <v>0</v>
      </c>
      <c r="M1068" s="204">
        <v>0</v>
      </c>
      <c r="N1068" s="204">
        <v>0</v>
      </c>
      <c r="O1068" s="204">
        <v>20</v>
      </c>
      <c r="P1068" s="204">
        <v>20</v>
      </c>
      <c r="Q1068" s="44" t="s">
        <v>45</v>
      </c>
      <c r="R1068" s="205">
        <v>100</v>
      </c>
      <c r="S1068" s="205">
        <v>95</v>
      </c>
      <c r="T1068" s="217" t="s">
        <v>27</v>
      </c>
    </row>
    <row r="1069" spans="1:20" ht="13.5" customHeight="1">
      <c r="A1069" s="7" t="s">
        <v>47</v>
      </c>
      <c r="B1069" s="204">
        <v>43.8</v>
      </c>
      <c r="C1069" s="204">
        <v>68</v>
      </c>
      <c r="D1069" s="204">
        <v>54.5</v>
      </c>
      <c r="E1069" s="204">
        <v>50</v>
      </c>
      <c r="F1069" s="204">
        <v>50</v>
      </c>
      <c r="G1069" s="204">
        <v>50</v>
      </c>
      <c r="H1069" s="204">
        <v>50</v>
      </c>
      <c r="I1069" s="204">
        <v>33.299999999999997</v>
      </c>
      <c r="J1069" s="204">
        <v>33.299999999999997</v>
      </c>
      <c r="K1069" s="204">
        <v>0</v>
      </c>
      <c r="L1069" s="204">
        <v>0</v>
      </c>
      <c r="M1069" s="204">
        <v>50</v>
      </c>
      <c r="N1069" s="204">
        <v>50</v>
      </c>
      <c r="O1069" s="204">
        <v>40</v>
      </c>
      <c r="P1069" s="204">
        <v>40</v>
      </c>
      <c r="Q1069" s="44" t="s">
        <v>26</v>
      </c>
      <c r="R1069" s="205">
        <v>100</v>
      </c>
      <c r="S1069" s="205">
        <v>96</v>
      </c>
      <c r="T1069" s="217" t="s">
        <v>35</v>
      </c>
    </row>
    <row r="1070" spans="1:20" ht="13.5" customHeight="1">
      <c r="A1070" s="7" t="s">
        <v>62</v>
      </c>
      <c r="B1070" s="204">
        <v>47.1</v>
      </c>
      <c r="C1070" s="204">
        <v>46.5</v>
      </c>
      <c r="D1070" s="204">
        <v>0</v>
      </c>
      <c r="E1070" s="204">
        <v>66.7</v>
      </c>
      <c r="F1070" s="204">
        <v>66.7</v>
      </c>
      <c r="G1070" s="204">
        <v>0</v>
      </c>
      <c r="H1070" s="204">
        <v>0</v>
      </c>
      <c r="I1070" s="204">
        <v>33.299999999999997</v>
      </c>
      <c r="J1070" s="204">
        <v>33.299999999999997</v>
      </c>
      <c r="K1070" s="204">
        <v>33.299999999999997</v>
      </c>
      <c r="L1070" s="204">
        <v>33.299999999999997</v>
      </c>
      <c r="M1070" s="204">
        <v>66.7</v>
      </c>
      <c r="N1070" s="204">
        <v>0</v>
      </c>
      <c r="O1070" s="204">
        <v>40</v>
      </c>
      <c r="P1070" s="204">
        <v>0</v>
      </c>
      <c r="Q1070" s="44" t="s">
        <v>26</v>
      </c>
      <c r="R1070" s="205">
        <v>94</v>
      </c>
      <c r="S1070" s="205">
        <v>104</v>
      </c>
      <c r="T1070" s="217" t="s">
        <v>35</v>
      </c>
    </row>
    <row r="1071" spans="1:20" ht="13.5" customHeight="1">
      <c r="A1071" s="7" t="s">
        <v>36</v>
      </c>
      <c r="B1071" s="204">
        <v>45.2</v>
      </c>
      <c r="C1071" s="204">
        <v>54.7</v>
      </c>
      <c r="D1071" s="204">
        <v>42.9</v>
      </c>
      <c r="E1071" s="204">
        <v>60</v>
      </c>
      <c r="F1071" s="204">
        <v>60</v>
      </c>
      <c r="G1071" s="204">
        <v>33.299999999999997</v>
      </c>
      <c r="H1071" s="204">
        <v>33.299999999999997</v>
      </c>
      <c r="I1071" s="204">
        <v>60</v>
      </c>
      <c r="J1071" s="204">
        <v>66.7</v>
      </c>
      <c r="K1071" s="204">
        <v>50</v>
      </c>
      <c r="L1071" s="204">
        <v>50</v>
      </c>
      <c r="M1071" s="204">
        <v>50</v>
      </c>
      <c r="N1071" s="204">
        <v>50</v>
      </c>
      <c r="O1071" s="204">
        <v>50</v>
      </c>
      <c r="P1071" s="204">
        <v>50</v>
      </c>
      <c r="Q1071" s="44" t="s">
        <v>45</v>
      </c>
      <c r="R1071" s="205">
        <v>95</v>
      </c>
      <c r="S1071" s="205">
        <v>95</v>
      </c>
      <c r="T1071" s="217" t="s">
        <v>28</v>
      </c>
    </row>
    <row r="1072" spans="1:20" ht="27" customHeight="1">
      <c r="A1072" s="7" t="s">
        <v>31</v>
      </c>
      <c r="B1072" s="204">
        <v>28.6</v>
      </c>
      <c r="C1072" s="204">
        <v>49.4</v>
      </c>
      <c r="D1072" s="204">
        <v>50</v>
      </c>
      <c r="E1072" s="204">
        <v>40</v>
      </c>
      <c r="F1072" s="204">
        <v>40</v>
      </c>
      <c r="G1072" s="204">
        <v>25</v>
      </c>
      <c r="H1072" s="204">
        <v>25</v>
      </c>
      <c r="I1072" s="204">
        <v>50</v>
      </c>
      <c r="J1072" s="204">
        <v>50</v>
      </c>
      <c r="K1072" s="204">
        <v>66.7</v>
      </c>
      <c r="L1072" s="204">
        <v>66.7</v>
      </c>
      <c r="M1072" s="204">
        <v>66.7</v>
      </c>
      <c r="N1072" s="204">
        <v>66.7</v>
      </c>
      <c r="O1072" s="204">
        <v>42.9</v>
      </c>
      <c r="P1072" s="204">
        <v>42.9</v>
      </c>
      <c r="Q1072" s="44" t="s">
        <v>45</v>
      </c>
      <c r="R1072" s="205">
        <v>100</v>
      </c>
      <c r="S1072" s="205">
        <v>80</v>
      </c>
      <c r="T1072" s="217" t="s">
        <v>46</v>
      </c>
    </row>
    <row r="1073" spans="1:22" ht="13.5" customHeight="1">
      <c r="A1073" s="7" t="s">
        <v>41</v>
      </c>
      <c r="B1073" s="204">
        <v>60</v>
      </c>
      <c r="C1073" s="204">
        <v>49.4</v>
      </c>
      <c r="D1073" s="204">
        <v>50</v>
      </c>
      <c r="E1073" s="204">
        <v>100</v>
      </c>
      <c r="F1073" s="204">
        <v>100</v>
      </c>
      <c r="G1073" s="204">
        <v>100</v>
      </c>
      <c r="H1073" s="204">
        <v>100</v>
      </c>
      <c r="I1073" s="204">
        <v>100</v>
      </c>
      <c r="J1073" s="204">
        <v>100</v>
      </c>
      <c r="K1073" s="204">
        <v>100</v>
      </c>
      <c r="L1073" s="204">
        <v>100</v>
      </c>
      <c r="M1073" s="204">
        <v>100</v>
      </c>
      <c r="N1073" s="204">
        <v>100</v>
      </c>
      <c r="O1073" s="204">
        <v>40</v>
      </c>
      <c r="P1073" s="204">
        <v>40</v>
      </c>
      <c r="Q1073" s="44" t="s">
        <v>45</v>
      </c>
      <c r="R1073" s="205">
        <v>80</v>
      </c>
      <c r="S1073" s="205">
        <v>89</v>
      </c>
      <c r="T1073" s="217" t="s">
        <v>28</v>
      </c>
    </row>
    <row r="1074" spans="1:22" ht="13.5" customHeight="1">
      <c r="A1074" s="7" t="s">
        <v>42</v>
      </c>
      <c r="B1074" s="204">
        <v>28.6</v>
      </c>
      <c r="C1074" s="204">
        <v>39.1</v>
      </c>
      <c r="D1074" s="204">
        <v>40</v>
      </c>
      <c r="E1074" s="204">
        <v>0</v>
      </c>
      <c r="F1074" s="204">
        <v>0</v>
      </c>
      <c r="G1074" s="204">
        <v>0</v>
      </c>
      <c r="H1074" s="204">
        <v>0</v>
      </c>
      <c r="I1074" s="204">
        <v>0</v>
      </c>
      <c r="J1074" s="204">
        <v>0</v>
      </c>
      <c r="K1074" s="204">
        <v>0</v>
      </c>
      <c r="L1074" s="204">
        <v>0</v>
      </c>
      <c r="M1074" s="204">
        <v>0</v>
      </c>
      <c r="N1074" s="204">
        <v>0</v>
      </c>
      <c r="O1074" s="204">
        <v>50</v>
      </c>
      <c r="P1074" s="204">
        <v>50</v>
      </c>
      <c r="Q1074" s="44" t="s">
        <v>26</v>
      </c>
      <c r="R1074" s="205">
        <v>96</v>
      </c>
      <c r="S1074" s="205">
        <v>100</v>
      </c>
      <c r="T1074" s="217" t="s">
        <v>35</v>
      </c>
    </row>
    <row r="1075" spans="1:22" ht="13.5" customHeight="1">
      <c r="A1075" s="7" t="s">
        <v>33</v>
      </c>
      <c r="B1075" s="204">
        <v>46.2</v>
      </c>
      <c r="C1075" s="204">
        <v>22.2</v>
      </c>
      <c r="D1075" s="204">
        <v>30</v>
      </c>
      <c r="E1075" s="204">
        <v>80</v>
      </c>
      <c r="F1075" s="204">
        <v>100</v>
      </c>
      <c r="G1075" s="204">
        <v>60</v>
      </c>
      <c r="H1075" s="204">
        <v>66.7</v>
      </c>
      <c r="I1075" s="204">
        <v>50</v>
      </c>
      <c r="J1075" s="204">
        <v>50</v>
      </c>
      <c r="K1075" s="204">
        <v>33.299999999999997</v>
      </c>
      <c r="L1075" s="204">
        <v>100</v>
      </c>
      <c r="M1075" s="204">
        <v>50</v>
      </c>
      <c r="N1075" s="204">
        <v>100</v>
      </c>
      <c r="O1075" s="204">
        <v>33.299999999999997</v>
      </c>
      <c r="P1075" s="204">
        <v>33.299999999999997</v>
      </c>
      <c r="Q1075" s="44" t="s">
        <v>45</v>
      </c>
      <c r="R1075" s="205">
        <v>90</v>
      </c>
      <c r="S1075" s="205">
        <v>90</v>
      </c>
      <c r="T1075" s="217" t="s">
        <v>28</v>
      </c>
    </row>
    <row r="1076" spans="1:22" ht="13.5" customHeight="1">
      <c r="A1076" s="7" t="s">
        <v>82</v>
      </c>
      <c r="B1076" s="204">
        <v>63.6</v>
      </c>
      <c r="C1076" s="204">
        <v>76.5</v>
      </c>
      <c r="D1076" s="204">
        <v>66.7</v>
      </c>
      <c r="E1076" s="204">
        <v>100</v>
      </c>
      <c r="F1076" s="204">
        <v>100</v>
      </c>
      <c r="G1076" s="204">
        <v>100</v>
      </c>
      <c r="H1076" s="204">
        <v>100</v>
      </c>
      <c r="I1076" s="204">
        <v>100</v>
      </c>
      <c r="J1076" s="204">
        <v>100</v>
      </c>
      <c r="K1076" s="204">
        <v>50</v>
      </c>
      <c r="L1076" s="204">
        <v>50</v>
      </c>
      <c r="M1076" s="204">
        <v>100</v>
      </c>
      <c r="N1076" s="204">
        <v>100</v>
      </c>
      <c r="O1076" s="204">
        <v>50</v>
      </c>
      <c r="P1076" s="204">
        <v>50</v>
      </c>
      <c r="Q1076" s="44" t="s">
        <v>30</v>
      </c>
      <c r="R1076" s="205">
        <v>96</v>
      </c>
      <c r="S1076" s="205">
        <v>100</v>
      </c>
      <c r="T1076" s="217" t="s">
        <v>32</v>
      </c>
      <c r="U1076">
        <v>2.75</v>
      </c>
      <c r="V1076">
        <v>70</v>
      </c>
    </row>
    <row r="1077" spans="1:22" ht="13.5" customHeight="1">
      <c r="A1077" s="7" t="s">
        <v>41</v>
      </c>
      <c r="B1077" s="204">
        <v>29.3</v>
      </c>
      <c r="C1077" s="204">
        <v>49.4</v>
      </c>
      <c r="D1077" s="204">
        <v>77.8</v>
      </c>
      <c r="E1077" s="204">
        <v>50</v>
      </c>
      <c r="F1077" s="204">
        <v>100</v>
      </c>
      <c r="G1077" s="204">
        <v>66.7</v>
      </c>
      <c r="H1077" s="204">
        <v>100</v>
      </c>
      <c r="I1077" s="204">
        <v>57.1</v>
      </c>
      <c r="J1077" s="204">
        <v>50</v>
      </c>
      <c r="K1077" s="204">
        <v>100</v>
      </c>
      <c r="L1077" s="204">
        <v>100</v>
      </c>
      <c r="M1077" s="204">
        <v>100</v>
      </c>
      <c r="N1077" s="204">
        <v>100</v>
      </c>
      <c r="O1077" s="204">
        <v>100</v>
      </c>
      <c r="P1077" s="204">
        <v>100</v>
      </c>
      <c r="Q1077" s="44" t="s">
        <v>23</v>
      </c>
      <c r="R1077" s="205">
        <v>95</v>
      </c>
      <c r="S1077" s="205">
        <v>88</v>
      </c>
      <c r="T1077" s="217" t="s">
        <v>28</v>
      </c>
      <c r="U1077">
        <v>2.25</v>
      </c>
      <c r="V1077">
        <v>110</v>
      </c>
    </row>
    <row r="1078" spans="1:22" ht="13.5" customHeight="1">
      <c r="A1078" s="7" t="s">
        <v>44</v>
      </c>
      <c r="B1078" s="204">
        <v>60</v>
      </c>
      <c r="C1078" s="204">
        <v>55.6</v>
      </c>
      <c r="D1078" s="204">
        <v>42.9</v>
      </c>
      <c r="E1078" s="204">
        <v>83.3</v>
      </c>
      <c r="F1078" s="204">
        <v>80</v>
      </c>
      <c r="G1078" s="204">
        <v>62.5</v>
      </c>
      <c r="H1078" s="204">
        <v>57.1</v>
      </c>
      <c r="I1078" s="204">
        <v>62.5</v>
      </c>
      <c r="J1078" s="204">
        <v>80</v>
      </c>
      <c r="K1078" s="204">
        <v>50</v>
      </c>
      <c r="L1078" s="204">
        <v>50</v>
      </c>
      <c r="M1078" s="204">
        <v>75</v>
      </c>
      <c r="N1078" s="204">
        <v>100</v>
      </c>
      <c r="O1078" s="204">
        <v>75</v>
      </c>
      <c r="P1078" s="204">
        <v>100</v>
      </c>
      <c r="Q1078" s="44" t="s">
        <v>23</v>
      </c>
      <c r="R1078" s="205">
        <v>94</v>
      </c>
      <c r="S1078" s="205">
        <v>84</v>
      </c>
      <c r="T1078" s="217" t="s">
        <v>46</v>
      </c>
      <c r="U1078">
        <v>2.5</v>
      </c>
      <c r="V1078">
        <v>90</v>
      </c>
    </row>
    <row r="1079" spans="1:22" ht="13.5" customHeight="1">
      <c r="A1079" s="7" t="s">
        <v>33</v>
      </c>
      <c r="B1079" s="204">
        <v>63.6</v>
      </c>
      <c r="C1079" s="204">
        <v>73.3</v>
      </c>
      <c r="D1079" s="204">
        <v>80</v>
      </c>
      <c r="E1079" s="204">
        <v>100</v>
      </c>
      <c r="F1079" s="204">
        <v>100</v>
      </c>
      <c r="G1079" s="204">
        <v>100</v>
      </c>
      <c r="H1079" s="204">
        <v>100</v>
      </c>
      <c r="I1079" s="204">
        <v>100</v>
      </c>
      <c r="J1079" s="204">
        <v>100</v>
      </c>
      <c r="K1079" s="204">
        <v>100</v>
      </c>
      <c r="L1079" s="204">
        <v>100</v>
      </c>
      <c r="M1079" s="204">
        <v>100</v>
      </c>
      <c r="N1079" s="204">
        <v>100</v>
      </c>
      <c r="O1079" s="204">
        <v>100</v>
      </c>
      <c r="P1079" s="204">
        <v>100</v>
      </c>
      <c r="Q1079" s="44" t="s">
        <v>23</v>
      </c>
      <c r="R1079" s="205">
        <v>101</v>
      </c>
      <c r="S1079" s="205">
        <v>96</v>
      </c>
      <c r="T1079" s="217" t="s">
        <v>35</v>
      </c>
      <c r="U1079">
        <v>2.5</v>
      </c>
      <c r="V1079">
        <v>87</v>
      </c>
    </row>
    <row r="1080" spans="1:22" ht="13.5" customHeight="1">
      <c r="A1080" s="7" t="s">
        <v>33</v>
      </c>
      <c r="B1080" s="204">
        <v>67.7</v>
      </c>
      <c r="C1080" s="204">
        <v>54.7</v>
      </c>
      <c r="D1080" s="204">
        <v>50</v>
      </c>
      <c r="E1080" s="204">
        <v>100</v>
      </c>
      <c r="F1080" s="204">
        <v>100</v>
      </c>
      <c r="G1080" s="204">
        <v>100</v>
      </c>
      <c r="H1080" s="204">
        <v>100</v>
      </c>
      <c r="I1080" s="204">
        <v>62.5</v>
      </c>
      <c r="J1080" s="204">
        <v>66.7</v>
      </c>
      <c r="K1080" s="204">
        <v>100</v>
      </c>
      <c r="L1080" s="204">
        <v>100</v>
      </c>
      <c r="M1080" s="204">
        <v>66.7</v>
      </c>
      <c r="N1080" s="204">
        <v>50</v>
      </c>
      <c r="O1080" s="204">
        <v>100</v>
      </c>
      <c r="P1080" s="204">
        <v>100</v>
      </c>
      <c r="Q1080" s="44" t="s">
        <v>23</v>
      </c>
      <c r="R1080" s="205">
        <v>89</v>
      </c>
      <c r="S1080" s="205">
        <v>80</v>
      </c>
      <c r="T1080" s="217" t="s">
        <v>46</v>
      </c>
      <c r="U1080">
        <v>2.75</v>
      </c>
      <c r="V1080">
        <v>91</v>
      </c>
    </row>
    <row r="1081" spans="1:22" ht="13.5" customHeight="1">
      <c r="A1081" s="7" t="s">
        <v>36</v>
      </c>
      <c r="B1081" s="204">
        <v>55.6</v>
      </c>
      <c r="C1081" s="204">
        <v>50.8</v>
      </c>
      <c r="D1081" s="204">
        <v>20</v>
      </c>
      <c r="E1081" s="204">
        <v>50</v>
      </c>
      <c r="F1081" s="204">
        <v>50</v>
      </c>
      <c r="G1081" s="204">
        <v>0</v>
      </c>
      <c r="H1081" s="204">
        <v>0</v>
      </c>
      <c r="I1081" s="204">
        <v>0</v>
      </c>
      <c r="J1081" s="204">
        <v>0</v>
      </c>
      <c r="K1081" s="204">
        <v>0</v>
      </c>
      <c r="L1081" s="204">
        <v>0</v>
      </c>
      <c r="M1081" s="204">
        <v>0</v>
      </c>
      <c r="N1081" s="204">
        <v>0</v>
      </c>
      <c r="O1081" s="204">
        <v>0</v>
      </c>
      <c r="P1081" s="204">
        <v>0</v>
      </c>
      <c r="Q1081" s="44" t="s">
        <v>23</v>
      </c>
      <c r="R1081" s="205">
        <v>101</v>
      </c>
      <c r="S1081" s="205">
        <v>94</v>
      </c>
      <c r="T1081" s="217" t="s">
        <v>28</v>
      </c>
      <c r="U1081">
        <v>2.25</v>
      </c>
      <c r="V1081">
        <v>83</v>
      </c>
    </row>
    <row r="1082" spans="1:22" ht="13.5" customHeight="1">
      <c r="A1082" s="7" t="s">
        <v>31</v>
      </c>
      <c r="B1082" s="204">
        <v>66.7</v>
      </c>
      <c r="C1082" s="204">
        <v>59.6</v>
      </c>
      <c r="D1082" s="204">
        <v>60</v>
      </c>
      <c r="E1082" s="204">
        <v>66.7</v>
      </c>
      <c r="F1082" s="204">
        <v>80</v>
      </c>
      <c r="G1082" s="204">
        <v>40</v>
      </c>
      <c r="H1082" s="204">
        <v>50</v>
      </c>
      <c r="I1082" s="204">
        <v>50</v>
      </c>
      <c r="J1082" s="204">
        <v>66.7</v>
      </c>
      <c r="K1082" s="204">
        <v>100</v>
      </c>
      <c r="L1082" s="204">
        <v>100</v>
      </c>
      <c r="M1082" s="204">
        <v>100</v>
      </c>
      <c r="N1082" s="204">
        <v>100</v>
      </c>
      <c r="O1082" s="204">
        <v>100</v>
      </c>
      <c r="P1082" s="204">
        <v>100</v>
      </c>
      <c r="Q1082" s="44" t="s">
        <v>30</v>
      </c>
      <c r="R1082" s="205">
        <v>95</v>
      </c>
      <c r="S1082" s="205">
        <v>78</v>
      </c>
      <c r="T1082" s="217" t="s">
        <v>39</v>
      </c>
      <c r="U1082">
        <v>2.75</v>
      </c>
      <c r="V1082">
        <v>92</v>
      </c>
    </row>
    <row r="1083" spans="1:22" ht="13.5" customHeight="1">
      <c r="A1083" s="7" t="s">
        <v>64</v>
      </c>
      <c r="B1083" s="204">
        <v>55.6</v>
      </c>
      <c r="C1083" s="204">
        <v>38.1</v>
      </c>
      <c r="D1083" s="204">
        <v>12.5</v>
      </c>
      <c r="E1083" s="204">
        <v>33.299999999999997</v>
      </c>
      <c r="F1083" s="204">
        <v>33.299999999999997</v>
      </c>
      <c r="G1083" s="204">
        <v>0</v>
      </c>
      <c r="H1083" s="204">
        <v>0</v>
      </c>
      <c r="I1083" s="204">
        <v>33.299999999999997</v>
      </c>
      <c r="J1083" s="204">
        <v>33.299999999999997</v>
      </c>
      <c r="K1083" s="204">
        <v>0</v>
      </c>
      <c r="L1083" s="204">
        <v>0</v>
      </c>
      <c r="M1083" s="204">
        <v>0</v>
      </c>
      <c r="N1083" s="204">
        <v>0</v>
      </c>
      <c r="O1083" s="204">
        <v>0</v>
      </c>
      <c r="P1083" s="204">
        <v>0</v>
      </c>
      <c r="Q1083" s="44" t="s">
        <v>26</v>
      </c>
      <c r="R1083" s="205">
        <v>100</v>
      </c>
      <c r="S1083" s="205">
        <v>84</v>
      </c>
      <c r="T1083" s="217" t="s">
        <v>51</v>
      </c>
      <c r="U1083">
        <v>2.5</v>
      </c>
      <c r="V1083">
        <v>90</v>
      </c>
    </row>
    <row r="1084" spans="1:22" ht="13.5" customHeight="1">
      <c r="A1084" s="7" t="s">
        <v>53</v>
      </c>
      <c r="B1084" s="204">
        <v>63.6</v>
      </c>
      <c r="C1084" s="204">
        <v>59.6</v>
      </c>
      <c r="D1084" s="204">
        <v>40</v>
      </c>
      <c r="E1084" s="204">
        <v>80</v>
      </c>
      <c r="F1084" s="204">
        <v>50</v>
      </c>
      <c r="G1084" s="204">
        <v>80</v>
      </c>
      <c r="H1084" s="204">
        <v>50</v>
      </c>
      <c r="I1084" s="204">
        <v>75</v>
      </c>
      <c r="J1084" s="204">
        <v>0</v>
      </c>
      <c r="K1084" s="204">
        <v>50</v>
      </c>
      <c r="L1084" s="204">
        <v>33.299999999999997</v>
      </c>
      <c r="M1084" s="204">
        <v>50</v>
      </c>
      <c r="N1084" s="204">
        <v>33.299999999999997</v>
      </c>
      <c r="O1084" s="204">
        <v>0</v>
      </c>
      <c r="P1084" s="204">
        <v>0</v>
      </c>
      <c r="Q1084" s="44" t="s">
        <v>30</v>
      </c>
      <c r="R1084" s="205">
        <v>99</v>
      </c>
      <c r="S1084" s="205">
        <v>90</v>
      </c>
      <c r="T1084" s="217" t="s">
        <v>28</v>
      </c>
      <c r="U1084">
        <v>2.75</v>
      </c>
      <c r="V1084">
        <v>76</v>
      </c>
    </row>
    <row r="1085" spans="1:22" ht="13.5" customHeight="1">
      <c r="A1085" s="7" t="s">
        <v>31</v>
      </c>
      <c r="B1085" s="204">
        <v>66.7</v>
      </c>
      <c r="C1085" s="204">
        <v>59.6</v>
      </c>
      <c r="D1085" s="204">
        <v>60</v>
      </c>
      <c r="E1085" s="204">
        <v>85.7</v>
      </c>
      <c r="F1085" s="204">
        <v>100</v>
      </c>
      <c r="G1085" s="204">
        <v>83.3</v>
      </c>
      <c r="H1085" s="204">
        <v>100</v>
      </c>
      <c r="I1085" s="204">
        <v>60</v>
      </c>
      <c r="J1085" s="204">
        <v>33.299999999999997</v>
      </c>
      <c r="K1085" s="204">
        <v>50</v>
      </c>
      <c r="L1085" s="204">
        <v>50</v>
      </c>
      <c r="M1085" s="204">
        <v>50</v>
      </c>
      <c r="N1085" s="204">
        <v>50</v>
      </c>
      <c r="O1085" s="204">
        <v>50</v>
      </c>
      <c r="P1085" s="204">
        <v>50</v>
      </c>
      <c r="Q1085" s="44" t="s">
        <v>30</v>
      </c>
      <c r="R1085" s="205">
        <v>80</v>
      </c>
      <c r="S1085" s="205">
        <v>96</v>
      </c>
      <c r="T1085" s="217" t="s">
        <v>35</v>
      </c>
      <c r="U1085">
        <v>2.75</v>
      </c>
      <c r="V1085">
        <v>85</v>
      </c>
    </row>
    <row r="1086" spans="1:22" ht="13.5" customHeight="1">
      <c r="A1086" s="7" t="s">
        <v>41</v>
      </c>
      <c r="B1086" s="204">
        <v>55.6</v>
      </c>
      <c r="C1086" s="204">
        <v>55.6</v>
      </c>
      <c r="D1086" s="204">
        <v>50</v>
      </c>
      <c r="E1086" s="204">
        <v>100</v>
      </c>
      <c r="F1086" s="204">
        <v>100</v>
      </c>
      <c r="G1086" s="204">
        <v>100</v>
      </c>
      <c r="H1086" s="204">
        <v>100</v>
      </c>
      <c r="I1086" s="204">
        <v>100</v>
      </c>
      <c r="J1086" s="204">
        <v>100</v>
      </c>
      <c r="K1086" s="204">
        <v>100</v>
      </c>
      <c r="L1086" s="204">
        <v>100</v>
      </c>
      <c r="M1086" s="204">
        <v>100</v>
      </c>
      <c r="N1086" s="204">
        <v>100</v>
      </c>
      <c r="O1086" s="204">
        <v>50</v>
      </c>
      <c r="P1086" s="204">
        <v>50</v>
      </c>
      <c r="Q1086" s="44" t="s">
        <v>23</v>
      </c>
      <c r="R1086" s="205">
        <v>103</v>
      </c>
      <c r="S1086" s="205">
        <v>94</v>
      </c>
      <c r="T1086" s="217" t="s">
        <v>27</v>
      </c>
      <c r="U1086">
        <v>2.5</v>
      </c>
      <c r="V1086">
        <v>77</v>
      </c>
    </row>
    <row r="1087" spans="1:22" ht="13.5" customHeight="1">
      <c r="A1087" s="7" t="s">
        <v>33</v>
      </c>
      <c r="B1087" s="204">
        <v>66.7</v>
      </c>
      <c r="C1087" s="204">
        <v>68</v>
      </c>
      <c r="D1087" s="204">
        <v>60</v>
      </c>
      <c r="E1087" s="204">
        <v>25</v>
      </c>
      <c r="F1087" s="204">
        <v>33.299999999999997</v>
      </c>
      <c r="G1087" s="204">
        <v>100</v>
      </c>
      <c r="H1087" s="204">
        <v>100</v>
      </c>
      <c r="I1087" s="204">
        <v>50</v>
      </c>
      <c r="J1087" s="204">
        <v>66.7</v>
      </c>
      <c r="K1087" s="204">
        <v>100</v>
      </c>
      <c r="L1087" s="204">
        <v>100</v>
      </c>
      <c r="M1087" s="204">
        <v>100</v>
      </c>
      <c r="N1087" s="204">
        <v>100</v>
      </c>
      <c r="O1087" s="204">
        <v>100</v>
      </c>
      <c r="P1087" s="204">
        <v>100</v>
      </c>
      <c r="Q1087" s="44" t="s">
        <v>23</v>
      </c>
      <c r="R1087" s="205">
        <v>95</v>
      </c>
      <c r="S1087" s="205">
        <v>94</v>
      </c>
      <c r="T1087" s="217" t="s">
        <v>28</v>
      </c>
      <c r="U1087">
        <v>2.75</v>
      </c>
      <c r="V1087">
        <v>79</v>
      </c>
    </row>
    <row r="1088" spans="1:22" ht="13.5" customHeight="1">
      <c r="A1088" s="7" t="s">
        <v>25</v>
      </c>
      <c r="B1088" s="204">
        <v>59.1</v>
      </c>
      <c r="C1088" s="204">
        <v>59.6</v>
      </c>
      <c r="D1088" s="204">
        <v>58.8</v>
      </c>
      <c r="E1088" s="204">
        <v>0</v>
      </c>
      <c r="F1088" s="204">
        <v>0</v>
      </c>
      <c r="G1088" s="204">
        <v>0</v>
      </c>
      <c r="H1088" s="204">
        <v>0</v>
      </c>
      <c r="I1088" s="204">
        <v>75</v>
      </c>
      <c r="J1088" s="204">
        <v>50</v>
      </c>
      <c r="K1088" s="204">
        <v>0</v>
      </c>
      <c r="L1088" s="204">
        <v>0</v>
      </c>
      <c r="M1088" s="204">
        <v>0</v>
      </c>
      <c r="N1088" s="204">
        <v>0</v>
      </c>
      <c r="O1088" s="204">
        <v>33.299999999999997</v>
      </c>
      <c r="P1088" s="204">
        <v>33.299999999999997</v>
      </c>
      <c r="Q1088" s="44" t="s">
        <v>26</v>
      </c>
      <c r="R1088" s="205">
        <v>80</v>
      </c>
      <c r="S1088" s="205">
        <v>98</v>
      </c>
      <c r="T1088" s="217" t="s">
        <v>35</v>
      </c>
      <c r="U1088">
        <v>2.5</v>
      </c>
      <c r="V1088">
        <v>91</v>
      </c>
    </row>
    <row r="1089" spans="1:22" ht="13.5" customHeight="1">
      <c r="A1089" s="7" t="s">
        <v>22</v>
      </c>
      <c r="B1089" s="204">
        <v>84.2</v>
      </c>
      <c r="C1089" s="204">
        <v>80</v>
      </c>
      <c r="D1089" s="204">
        <v>50</v>
      </c>
      <c r="E1089" s="204">
        <v>100</v>
      </c>
      <c r="F1089" s="204">
        <v>100</v>
      </c>
      <c r="G1089" s="204">
        <v>100</v>
      </c>
      <c r="H1089" s="204">
        <v>100</v>
      </c>
      <c r="I1089" s="204">
        <v>100</v>
      </c>
      <c r="J1089" s="204">
        <v>100</v>
      </c>
      <c r="K1089" s="204">
        <v>100</v>
      </c>
      <c r="L1089" s="204">
        <v>100</v>
      </c>
      <c r="M1089" s="204">
        <v>100</v>
      </c>
      <c r="N1089" s="204">
        <v>100</v>
      </c>
      <c r="O1089" s="204">
        <v>100</v>
      </c>
      <c r="P1089" s="204">
        <v>100</v>
      </c>
      <c r="Q1089" s="44" t="s">
        <v>30</v>
      </c>
      <c r="R1089" s="205">
        <v>95</v>
      </c>
      <c r="S1089" s="205">
        <v>94</v>
      </c>
      <c r="T1089" s="217" t="s">
        <v>28</v>
      </c>
      <c r="U1089">
        <v>3.25</v>
      </c>
      <c r="V1089">
        <v>78</v>
      </c>
    </row>
    <row r="1090" spans="1:22" ht="13.5" customHeight="1">
      <c r="A1090" s="7" t="s">
        <v>36</v>
      </c>
      <c r="B1090" s="204">
        <v>57.7</v>
      </c>
      <c r="C1090" s="204">
        <v>49</v>
      </c>
      <c r="D1090" s="204">
        <v>41.7</v>
      </c>
      <c r="E1090" s="204">
        <v>40</v>
      </c>
      <c r="F1090" s="204">
        <v>33.299999999999997</v>
      </c>
      <c r="G1090" s="204">
        <v>33.299999999999997</v>
      </c>
      <c r="H1090" s="204">
        <v>50</v>
      </c>
      <c r="I1090" s="204">
        <v>40</v>
      </c>
      <c r="J1090" s="204">
        <v>50</v>
      </c>
      <c r="K1090" s="204">
        <v>50</v>
      </c>
      <c r="L1090" s="204">
        <v>50</v>
      </c>
      <c r="M1090" s="204">
        <v>0</v>
      </c>
      <c r="N1090" s="204">
        <v>0</v>
      </c>
      <c r="O1090" s="204">
        <v>66.7</v>
      </c>
      <c r="P1090" s="204">
        <v>66.7</v>
      </c>
      <c r="Q1090" s="44" t="s">
        <v>23</v>
      </c>
      <c r="R1090" s="205">
        <v>95</v>
      </c>
      <c r="S1090" s="205">
        <v>94</v>
      </c>
      <c r="T1090" s="217" t="s">
        <v>28</v>
      </c>
      <c r="U1090">
        <v>2.25</v>
      </c>
      <c r="V1090">
        <v>88</v>
      </c>
    </row>
    <row r="1091" spans="1:22" ht="13.5" customHeight="1">
      <c r="A1091" s="7" t="s">
        <v>36</v>
      </c>
      <c r="B1091" s="204">
        <v>34.6</v>
      </c>
      <c r="C1091" s="204">
        <v>46.5</v>
      </c>
      <c r="D1091" s="204">
        <v>23.1</v>
      </c>
      <c r="E1091" s="204">
        <v>50</v>
      </c>
      <c r="F1091" s="204">
        <v>0</v>
      </c>
      <c r="G1091" s="204">
        <v>33.299999999999997</v>
      </c>
      <c r="H1091" s="204">
        <v>0</v>
      </c>
      <c r="I1091" s="204">
        <v>25</v>
      </c>
      <c r="J1091" s="204">
        <v>0</v>
      </c>
      <c r="K1091" s="204">
        <v>0</v>
      </c>
      <c r="L1091" s="204">
        <v>0</v>
      </c>
      <c r="M1091" s="204">
        <v>0</v>
      </c>
      <c r="N1091" s="204">
        <v>0</v>
      </c>
      <c r="O1091" s="204">
        <v>0</v>
      </c>
      <c r="P1091" s="204">
        <v>0</v>
      </c>
      <c r="Q1091" s="44" t="s">
        <v>23</v>
      </c>
      <c r="R1091" s="205">
        <v>100</v>
      </c>
      <c r="S1091" s="205">
        <v>88</v>
      </c>
      <c r="T1091" s="217" t="s">
        <v>28</v>
      </c>
      <c r="U1091">
        <v>2.5</v>
      </c>
      <c r="V1091">
        <v>83</v>
      </c>
    </row>
    <row r="1092" spans="1:22" ht="13.5" customHeight="1">
      <c r="A1092" s="7" t="s">
        <v>36</v>
      </c>
      <c r="B1092" s="204">
        <v>54.8</v>
      </c>
      <c r="C1092" s="204">
        <v>57.9</v>
      </c>
      <c r="D1092" s="204">
        <v>0</v>
      </c>
      <c r="E1092" s="204">
        <v>0</v>
      </c>
      <c r="F1092" s="204">
        <v>0</v>
      </c>
      <c r="G1092" s="204">
        <v>60</v>
      </c>
      <c r="H1092" s="204">
        <v>60</v>
      </c>
      <c r="I1092" s="204">
        <v>50</v>
      </c>
      <c r="J1092" s="204">
        <v>66.7</v>
      </c>
      <c r="K1092" s="204">
        <v>50</v>
      </c>
      <c r="L1092" s="204">
        <v>50</v>
      </c>
      <c r="M1092" s="204">
        <v>57.1</v>
      </c>
      <c r="N1092" s="204">
        <v>60</v>
      </c>
      <c r="O1092" s="204">
        <v>60</v>
      </c>
      <c r="P1092" s="204">
        <v>50</v>
      </c>
      <c r="Q1092" s="44" t="s">
        <v>23</v>
      </c>
      <c r="R1092" s="205">
        <v>100</v>
      </c>
      <c r="S1092" s="205">
        <v>86</v>
      </c>
      <c r="T1092" s="217" t="s">
        <v>28</v>
      </c>
      <c r="U1092">
        <v>2.25</v>
      </c>
      <c r="V1092">
        <v>81</v>
      </c>
    </row>
    <row r="1093" spans="1:22" ht="13.5" customHeight="1">
      <c r="A1093" s="7" t="s">
        <v>31</v>
      </c>
      <c r="B1093" s="204">
        <v>33.299999999999997</v>
      </c>
      <c r="C1093" s="204">
        <v>38.1</v>
      </c>
      <c r="D1093" s="204">
        <v>40</v>
      </c>
      <c r="E1093" s="204">
        <v>83.3</v>
      </c>
      <c r="F1093" s="204">
        <v>80</v>
      </c>
      <c r="G1093" s="204">
        <v>71.400000000000006</v>
      </c>
      <c r="H1093" s="204">
        <v>66.7</v>
      </c>
      <c r="I1093" s="204">
        <v>62.5</v>
      </c>
      <c r="J1093" s="204">
        <v>80</v>
      </c>
      <c r="K1093" s="204">
        <v>100</v>
      </c>
      <c r="L1093" s="204">
        <v>100</v>
      </c>
      <c r="M1093" s="204">
        <v>66.7</v>
      </c>
      <c r="N1093" s="204">
        <v>66.7</v>
      </c>
      <c r="O1093" s="204">
        <v>66.7</v>
      </c>
      <c r="P1093" s="204">
        <v>66.7</v>
      </c>
      <c r="Q1093" s="44" t="s">
        <v>26</v>
      </c>
      <c r="R1093" s="205">
        <v>80</v>
      </c>
      <c r="S1093" s="205">
        <v>96</v>
      </c>
      <c r="T1093" s="217" t="s">
        <v>48</v>
      </c>
      <c r="U1093">
        <v>2.25</v>
      </c>
      <c r="V1093">
        <v>76</v>
      </c>
    </row>
    <row r="1094" spans="1:22" ht="13.5" customHeight="1">
      <c r="A1094" s="7" t="s">
        <v>33</v>
      </c>
      <c r="B1094" s="204">
        <v>51.7</v>
      </c>
      <c r="C1094" s="204">
        <v>38.1</v>
      </c>
      <c r="D1094" s="204">
        <v>57.1</v>
      </c>
      <c r="E1094" s="204">
        <v>100</v>
      </c>
      <c r="F1094" s="204">
        <v>100</v>
      </c>
      <c r="G1094" s="204">
        <v>100</v>
      </c>
      <c r="H1094" s="204">
        <v>100</v>
      </c>
      <c r="I1094" s="204">
        <v>66.7</v>
      </c>
      <c r="J1094" s="204">
        <v>66.7</v>
      </c>
      <c r="K1094" s="204">
        <v>100</v>
      </c>
      <c r="L1094" s="204">
        <v>100</v>
      </c>
      <c r="M1094" s="204">
        <v>100</v>
      </c>
      <c r="N1094" s="204">
        <v>100</v>
      </c>
      <c r="O1094" s="204">
        <v>75</v>
      </c>
      <c r="P1094" s="204">
        <v>66.7</v>
      </c>
      <c r="Q1094" s="44" t="s">
        <v>26</v>
      </c>
      <c r="R1094" s="205">
        <v>90</v>
      </c>
      <c r="S1094" s="205">
        <v>80</v>
      </c>
      <c r="T1094" s="217" t="s">
        <v>46</v>
      </c>
      <c r="U1094">
        <v>2.25</v>
      </c>
      <c r="V1094">
        <v>75</v>
      </c>
    </row>
    <row r="1095" spans="1:22" ht="13.5" customHeight="1">
      <c r="A1095" s="7" t="s">
        <v>41</v>
      </c>
      <c r="B1095" s="204">
        <v>50</v>
      </c>
      <c r="C1095" s="204">
        <v>49.4</v>
      </c>
      <c r="D1095" s="204">
        <v>50</v>
      </c>
      <c r="E1095" s="204">
        <v>33.299999999999997</v>
      </c>
      <c r="F1095" s="204">
        <v>33.299999999999997</v>
      </c>
      <c r="G1095" s="204">
        <v>33.299999999999997</v>
      </c>
      <c r="H1095" s="204">
        <v>33.299999999999997</v>
      </c>
      <c r="I1095" s="204">
        <v>50</v>
      </c>
      <c r="J1095" s="204">
        <v>50</v>
      </c>
      <c r="K1095" s="204">
        <v>33.299999999999997</v>
      </c>
      <c r="L1095" s="204">
        <v>33.299999999999997</v>
      </c>
      <c r="M1095" s="204">
        <v>50</v>
      </c>
      <c r="N1095" s="204">
        <v>50</v>
      </c>
      <c r="O1095" s="204">
        <v>25</v>
      </c>
      <c r="P1095" s="204">
        <v>33.299999999999997</v>
      </c>
      <c r="Q1095" s="44" t="s">
        <v>23</v>
      </c>
      <c r="R1095" s="205">
        <v>85</v>
      </c>
      <c r="S1095" s="205">
        <v>98</v>
      </c>
      <c r="T1095" s="217" t="s">
        <v>35</v>
      </c>
      <c r="U1095">
        <v>2.5</v>
      </c>
      <c r="V1095">
        <v>87</v>
      </c>
    </row>
    <row r="1096" spans="1:22" ht="13.5" customHeight="1">
      <c r="A1096" s="7" t="s">
        <v>42</v>
      </c>
      <c r="B1096" s="204">
        <v>33.299999999999997</v>
      </c>
      <c r="C1096" s="204">
        <v>49.4</v>
      </c>
      <c r="D1096" s="204">
        <v>0</v>
      </c>
      <c r="E1096" s="204">
        <v>37.5</v>
      </c>
      <c r="F1096" s="204">
        <v>33.299999999999997</v>
      </c>
      <c r="G1096" s="204">
        <v>50</v>
      </c>
      <c r="H1096" s="204">
        <v>40</v>
      </c>
      <c r="I1096" s="204">
        <v>66.7</v>
      </c>
      <c r="J1096" s="204">
        <v>33.299999999999997</v>
      </c>
      <c r="K1096" s="204">
        <v>0</v>
      </c>
      <c r="L1096" s="204">
        <v>0</v>
      </c>
      <c r="M1096" s="204">
        <v>0</v>
      </c>
      <c r="N1096" s="204">
        <v>0</v>
      </c>
      <c r="O1096" s="204">
        <v>0</v>
      </c>
      <c r="P1096" s="204">
        <v>0</v>
      </c>
      <c r="Q1096" s="44" t="s">
        <v>23</v>
      </c>
      <c r="R1096" s="205">
        <v>82</v>
      </c>
      <c r="S1096" s="205">
        <v>80</v>
      </c>
      <c r="T1096" s="217" t="s">
        <v>39</v>
      </c>
      <c r="U1096">
        <v>2.5</v>
      </c>
      <c r="V1096">
        <v>92</v>
      </c>
    </row>
    <row r="1097" spans="1:22" ht="13.5" customHeight="1">
      <c r="A1097" s="7" t="s">
        <v>36</v>
      </c>
      <c r="B1097" s="204">
        <v>59.1</v>
      </c>
      <c r="C1097" s="204">
        <v>50.8</v>
      </c>
      <c r="D1097" s="204">
        <v>42.9</v>
      </c>
      <c r="E1097" s="204">
        <v>0</v>
      </c>
      <c r="F1097" s="204">
        <v>0</v>
      </c>
      <c r="G1097" s="204">
        <v>0</v>
      </c>
      <c r="H1097" s="204">
        <v>0</v>
      </c>
      <c r="I1097" s="204">
        <v>50</v>
      </c>
      <c r="J1097" s="204">
        <v>50</v>
      </c>
      <c r="K1097" s="204">
        <v>0</v>
      </c>
      <c r="L1097" s="204">
        <v>0</v>
      </c>
      <c r="M1097" s="204">
        <v>0</v>
      </c>
      <c r="N1097" s="204">
        <v>0</v>
      </c>
      <c r="O1097" s="204">
        <v>50</v>
      </c>
      <c r="P1097" s="204">
        <v>50</v>
      </c>
      <c r="Q1097" s="44" t="s">
        <v>26</v>
      </c>
      <c r="R1097" s="205">
        <v>81</v>
      </c>
      <c r="S1097" s="205">
        <v>94</v>
      </c>
      <c r="T1097" s="217" t="s">
        <v>28</v>
      </c>
      <c r="U1097">
        <v>2.75</v>
      </c>
      <c r="V1097">
        <v>81</v>
      </c>
    </row>
    <row r="1098" spans="1:22" ht="13.5" customHeight="1">
      <c r="A1098" s="7" t="s">
        <v>44</v>
      </c>
      <c r="B1098" s="204">
        <v>73.3</v>
      </c>
      <c r="C1098" s="204">
        <v>68</v>
      </c>
      <c r="D1098" s="204">
        <v>83.3</v>
      </c>
      <c r="E1098" s="204">
        <v>50</v>
      </c>
      <c r="F1098" s="204">
        <v>50</v>
      </c>
      <c r="G1098" s="204">
        <v>50</v>
      </c>
      <c r="H1098" s="204">
        <v>50</v>
      </c>
      <c r="I1098" s="204">
        <v>50</v>
      </c>
      <c r="J1098" s="204">
        <v>66.7</v>
      </c>
      <c r="K1098" s="204">
        <v>100</v>
      </c>
      <c r="L1098" s="204">
        <v>100</v>
      </c>
      <c r="M1098" s="204">
        <v>100</v>
      </c>
      <c r="N1098" s="204">
        <v>100</v>
      </c>
      <c r="O1098" s="204">
        <v>100</v>
      </c>
      <c r="P1098" s="204">
        <v>100</v>
      </c>
      <c r="Q1098" s="44" t="s">
        <v>23</v>
      </c>
      <c r="R1098" s="205">
        <v>87</v>
      </c>
      <c r="S1098" s="205">
        <v>80</v>
      </c>
      <c r="T1098" s="217" t="s">
        <v>51</v>
      </c>
      <c r="U1098">
        <v>2.75</v>
      </c>
      <c r="V1098">
        <v>79</v>
      </c>
    </row>
    <row r="1099" spans="1:22" ht="13.5" customHeight="1">
      <c r="A1099" s="7" t="s">
        <v>22</v>
      </c>
      <c r="B1099" s="204">
        <v>72.7</v>
      </c>
      <c r="C1099" s="204">
        <v>74.400000000000006</v>
      </c>
      <c r="D1099" s="204">
        <v>90</v>
      </c>
      <c r="E1099" s="204">
        <v>50</v>
      </c>
      <c r="F1099" s="204">
        <v>100</v>
      </c>
      <c r="G1099" s="204">
        <v>75</v>
      </c>
      <c r="H1099" s="204">
        <v>100</v>
      </c>
      <c r="I1099" s="204">
        <v>50</v>
      </c>
      <c r="J1099" s="204">
        <v>50</v>
      </c>
      <c r="K1099" s="204">
        <v>100</v>
      </c>
      <c r="L1099" s="204">
        <v>100</v>
      </c>
      <c r="M1099" s="204">
        <v>100</v>
      </c>
      <c r="N1099" s="204">
        <v>100</v>
      </c>
      <c r="O1099" s="204">
        <v>100</v>
      </c>
      <c r="P1099" s="204">
        <v>100</v>
      </c>
      <c r="Q1099" s="44" t="s">
        <v>23</v>
      </c>
      <c r="R1099" s="205">
        <v>80</v>
      </c>
      <c r="S1099" s="205">
        <v>80</v>
      </c>
      <c r="T1099" s="217" t="s">
        <v>51</v>
      </c>
      <c r="U1099">
        <v>2.75</v>
      </c>
      <c r="V1099">
        <v>68</v>
      </c>
    </row>
    <row r="1100" spans="1:22" ht="13.5" customHeight="1">
      <c r="A1100" s="7" t="s">
        <v>36</v>
      </c>
      <c r="B1100" s="204">
        <v>54.8</v>
      </c>
      <c r="C1100" s="204">
        <v>50.8</v>
      </c>
      <c r="D1100" s="204">
        <v>55.6</v>
      </c>
      <c r="E1100" s="204">
        <v>57.1</v>
      </c>
      <c r="F1100" s="204">
        <v>25</v>
      </c>
      <c r="G1100" s="204">
        <v>71.400000000000006</v>
      </c>
      <c r="H1100" s="204">
        <v>60</v>
      </c>
      <c r="I1100" s="204">
        <v>64.7</v>
      </c>
      <c r="J1100" s="204">
        <v>62.5</v>
      </c>
      <c r="K1100" s="204">
        <v>25</v>
      </c>
      <c r="L1100" s="204">
        <v>0</v>
      </c>
      <c r="M1100" s="204">
        <v>25</v>
      </c>
      <c r="N1100" s="204">
        <v>0</v>
      </c>
      <c r="O1100" s="204">
        <v>14.3</v>
      </c>
      <c r="P1100" s="204">
        <v>0</v>
      </c>
      <c r="Q1100" s="44" t="s">
        <v>23</v>
      </c>
      <c r="R1100" s="205">
        <v>86</v>
      </c>
      <c r="S1100" s="205">
        <v>86</v>
      </c>
      <c r="T1100" s="217" t="s">
        <v>27</v>
      </c>
      <c r="U1100">
        <v>2.5</v>
      </c>
      <c r="V1100">
        <v>78</v>
      </c>
    </row>
    <row r="1101" spans="1:22" s="5" customFormat="1" ht="13.5" customHeight="1">
      <c r="A1101" s="7" t="s">
        <v>53</v>
      </c>
      <c r="B1101" s="204">
        <v>45.2</v>
      </c>
      <c r="C1101" s="204">
        <v>22.2</v>
      </c>
      <c r="D1101" s="204">
        <v>30</v>
      </c>
      <c r="E1101" s="204">
        <v>0</v>
      </c>
      <c r="F1101" s="204">
        <v>0</v>
      </c>
      <c r="G1101" s="204">
        <v>0</v>
      </c>
      <c r="H1101" s="204">
        <v>0</v>
      </c>
      <c r="I1101" s="204">
        <v>0</v>
      </c>
      <c r="J1101" s="204">
        <v>0</v>
      </c>
      <c r="K1101" s="204">
        <v>0</v>
      </c>
      <c r="L1101" s="204">
        <v>0</v>
      </c>
      <c r="M1101" s="204">
        <v>0</v>
      </c>
      <c r="N1101" s="204">
        <v>0</v>
      </c>
      <c r="O1101" s="204">
        <v>0</v>
      </c>
      <c r="P1101" s="204">
        <v>0</v>
      </c>
      <c r="Q1101" s="44" t="s">
        <v>23</v>
      </c>
      <c r="R1101" s="205">
        <v>100</v>
      </c>
      <c r="S1101" s="205">
        <v>84</v>
      </c>
      <c r="T1101" s="217" t="s">
        <v>39</v>
      </c>
      <c r="U1101" s="5">
        <v>2.75</v>
      </c>
      <c r="V1101" s="5">
        <v>73</v>
      </c>
    </row>
    <row r="1102" spans="1:22" s="5" customFormat="1" ht="13.5" customHeight="1">
      <c r="A1102" s="7" t="s">
        <v>31</v>
      </c>
      <c r="B1102" s="204">
        <v>52.6</v>
      </c>
      <c r="C1102" s="204">
        <v>74.400000000000006</v>
      </c>
      <c r="D1102" s="204">
        <v>71.400000000000006</v>
      </c>
      <c r="E1102" s="204">
        <v>100</v>
      </c>
      <c r="F1102" s="204">
        <v>100</v>
      </c>
      <c r="G1102" s="204">
        <v>100</v>
      </c>
      <c r="H1102" s="204">
        <v>100</v>
      </c>
      <c r="I1102" s="204">
        <v>75</v>
      </c>
      <c r="J1102" s="204">
        <v>100</v>
      </c>
      <c r="K1102" s="204">
        <v>100</v>
      </c>
      <c r="L1102" s="204">
        <v>100</v>
      </c>
      <c r="M1102" s="204">
        <v>100</v>
      </c>
      <c r="N1102" s="204">
        <v>100</v>
      </c>
      <c r="O1102" s="204">
        <v>100</v>
      </c>
      <c r="P1102" s="204">
        <v>100</v>
      </c>
      <c r="Q1102" s="44" t="s">
        <v>30</v>
      </c>
      <c r="R1102" s="205">
        <v>94</v>
      </c>
      <c r="S1102" s="205">
        <v>86</v>
      </c>
      <c r="T1102" s="217" t="s">
        <v>24</v>
      </c>
      <c r="U1102" s="5">
        <v>2.75</v>
      </c>
      <c r="V1102" s="5">
        <v>90</v>
      </c>
    </row>
    <row r="1103" spans="1:22" s="5" customFormat="1" ht="13.5" customHeight="1">
      <c r="A1103" s="7" t="s">
        <v>36</v>
      </c>
      <c r="B1103" s="204">
        <v>45.7</v>
      </c>
      <c r="C1103" s="204">
        <v>39.1</v>
      </c>
      <c r="D1103" s="204">
        <v>33.299999999999997</v>
      </c>
      <c r="E1103" s="204">
        <v>40</v>
      </c>
      <c r="F1103" s="204">
        <v>50</v>
      </c>
      <c r="G1103" s="204">
        <v>25</v>
      </c>
      <c r="H1103" s="204">
        <v>33.299999999999997</v>
      </c>
      <c r="I1103" s="204">
        <v>33.299999999999997</v>
      </c>
      <c r="J1103" s="204">
        <v>50</v>
      </c>
      <c r="K1103" s="204">
        <v>50</v>
      </c>
      <c r="L1103" s="204">
        <v>50</v>
      </c>
      <c r="M1103" s="204">
        <v>0</v>
      </c>
      <c r="N1103" s="204">
        <v>0</v>
      </c>
      <c r="O1103" s="204">
        <v>50</v>
      </c>
      <c r="P1103" s="204">
        <v>50</v>
      </c>
      <c r="Q1103" s="44" t="s">
        <v>23</v>
      </c>
      <c r="R1103" s="205">
        <v>100</v>
      </c>
      <c r="S1103" s="205">
        <v>100</v>
      </c>
      <c r="T1103" s="217" t="s">
        <v>65</v>
      </c>
      <c r="U1103" s="5">
        <v>2.25</v>
      </c>
      <c r="V1103" s="5">
        <v>91</v>
      </c>
    </row>
    <row r="1104" spans="1:22" s="5" customFormat="1" ht="13.5" customHeight="1">
      <c r="A1104" s="7" t="s">
        <v>62</v>
      </c>
      <c r="B1104" s="204">
        <v>45.7</v>
      </c>
      <c r="C1104" s="204">
        <v>36.9</v>
      </c>
      <c r="D1104" s="204">
        <v>33.299999999999997</v>
      </c>
      <c r="E1104" s="204">
        <v>42.9</v>
      </c>
      <c r="F1104" s="204">
        <v>25</v>
      </c>
      <c r="G1104" s="204">
        <v>50</v>
      </c>
      <c r="H1104" s="204">
        <v>0</v>
      </c>
      <c r="I1104" s="204">
        <v>62.5</v>
      </c>
      <c r="J1104" s="204">
        <v>66.7</v>
      </c>
      <c r="K1104" s="204">
        <v>50</v>
      </c>
      <c r="L1104" s="204">
        <v>50</v>
      </c>
      <c r="M1104" s="204">
        <v>0</v>
      </c>
      <c r="N1104" s="204">
        <v>0</v>
      </c>
      <c r="O1104" s="204">
        <v>50</v>
      </c>
      <c r="P1104" s="204">
        <v>50</v>
      </c>
      <c r="Q1104" s="44" t="s">
        <v>30</v>
      </c>
      <c r="R1104" s="205">
        <v>100</v>
      </c>
      <c r="S1104" s="205">
        <v>80</v>
      </c>
      <c r="T1104" s="217" t="s">
        <v>46</v>
      </c>
      <c r="U1104" s="5">
        <v>2.5</v>
      </c>
      <c r="V1104" s="5">
        <v>79</v>
      </c>
    </row>
    <row r="1105" spans="1:22" s="5" customFormat="1" ht="13.5" customHeight="1">
      <c r="A1105" s="7" t="s">
        <v>36</v>
      </c>
      <c r="B1105" s="204">
        <v>54.8</v>
      </c>
      <c r="C1105" s="204">
        <v>63.6</v>
      </c>
      <c r="D1105" s="204">
        <v>25</v>
      </c>
      <c r="E1105" s="204">
        <v>50</v>
      </c>
      <c r="F1105" s="204">
        <v>0</v>
      </c>
      <c r="G1105" s="204">
        <v>50</v>
      </c>
      <c r="H1105" s="204">
        <v>0</v>
      </c>
      <c r="I1105" s="204">
        <v>60</v>
      </c>
      <c r="J1105" s="204">
        <v>33.299999999999997</v>
      </c>
      <c r="K1105" s="204">
        <v>0</v>
      </c>
      <c r="L1105" s="204">
        <v>0</v>
      </c>
      <c r="M1105" s="204">
        <v>0</v>
      </c>
      <c r="N1105" s="204">
        <v>0</v>
      </c>
      <c r="O1105" s="204">
        <v>40</v>
      </c>
      <c r="P1105" s="204">
        <v>0</v>
      </c>
      <c r="Q1105" s="44" t="s">
        <v>30</v>
      </c>
      <c r="R1105" s="205">
        <v>84</v>
      </c>
      <c r="S1105" s="205">
        <v>80</v>
      </c>
      <c r="T1105" s="217" t="s">
        <v>40</v>
      </c>
      <c r="U1105" s="5">
        <v>2.75</v>
      </c>
      <c r="V1105" s="5">
        <v>74</v>
      </c>
    </row>
    <row r="1106" spans="1:22" s="5" customFormat="1" ht="13.5" customHeight="1">
      <c r="A1106" s="7" t="s">
        <v>42</v>
      </c>
      <c r="B1106" s="204">
        <v>84.2</v>
      </c>
      <c r="C1106" s="204">
        <v>73.3</v>
      </c>
      <c r="D1106" s="204">
        <v>81.8</v>
      </c>
      <c r="E1106" s="204">
        <v>50</v>
      </c>
      <c r="F1106" s="204">
        <v>25</v>
      </c>
      <c r="G1106" s="204">
        <v>50</v>
      </c>
      <c r="H1106" s="204">
        <v>25</v>
      </c>
      <c r="I1106" s="204">
        <v>37.5</v>
      </c>
      <c r="J1106" s="204">
        <v>20</v>
      </c>
      <c r="K1106" s="204">
        <v>0</v>
      </c>
      <c r="L1106" s="204">
        <v>0</v>
      </c>
      <c r="M1106" s="204">
        <v>0</v>
      </c>
      <c r="N1106" s="204">
        <v>0</v>
      </c>
      <c r="O1106" s="204">
        <v>0</v>
      </c>
      <c r="P1106" s="204">
        <v>0</v>
      </c>
      <c r="Q1106" s="44" t="s">
        <v>30</v>
      </c>
      <c r="R1106" s="205">
        <v>100</v>
      </c>
      <c r="S1106" s="205">
        <v>80</v>
      </c>
      <c r="T1106" s="217" t="s">
        <v>46</v>
      </c>
      <c r="U1106" s="5">
        <v>2.75</v>
      </c>
      <c r="V1106" s="5">
        <v>91</v>
      </c>
    </row>
    <row r="1107" spans="1:22" s="5" customFormat="1" ht="13.5" customHeight="1">
      <c r="A1107" s="7" t="s">
        <v>42</v>
      </c>
      <c r="B1107" s="204">
        <v>50</v>
      </c>
      <c r="C1107" s="204">
        <v>39.1</v>
      </c>
      <c r="D1107" s="204">
        <v>25</v>
      </c>
      <c r="E1107" s="204">
        <v>50</v>
      </c>
      <c r="F1107" s="204">
        <v>0</v>
      </c>
      <c r="G1107" s="204">
        <v>66.7</v>
      </c>
      <c r="H1107" s="204">
        <v>50</v>
      </c>
      <c r="I1107" s="204">
        <v>57.1</v>
      </c>
      <c r="J1107" s="204">
        <v>66.7</v>
      </c>
      <c r="K1107" s="204">
        <v>50</v>
      </c>
      <c r="L1107" s="204">
        <v>0</v>
      </c>
      <c r="M1107" s="204">
        <v>0</v>
      </c>
      <c r="N1107" s="204">
        <v>0</v>
      </c>
      <c r="O1107" s="204">
        <v>50</v>
      </c>
      <c r="P1107" s="204">
        <v>0</v>
      </c>
      <c r="Q1107" s="44" t="s">
        <v>23</v>
      </c>
      <c r="R1107" s="205">
        <v>99</v>
      </c>
      <c r="S1107" s="205">
        <v>92</v>
      </c>
      <c r="T1107" s="217" t="s">
        <v>24</v>
      </c>
      <c r="U1107" s="5">
        <v>2.5</v>
      </c>
      <c r="V1107" s="5">
        <v>93</v>
      </c>
    </row>
    <row r="1108" spans="1:22" s="5" customFormat="1" ht="13.5" customHeight="1">
      <c r="A1108" s="7" t="s">
        <v>36</v>
      </c>
      <c r="B1108" s="204">
        <v>42.9</v>
      </c>
      <c r="C1108" s="204">
        <v>38.799999999999997</v>
      </c>
      <c r="D1108" s="204">
        <v>33.299999999999997</v>
      </c>
      <c r="E1108" s="204">
        <v>0</v>
      </c>
      <c r="F1108" s="204">
        <v>0</v>
      </c>
      <c r="G1108" s="204">
        <v>0</v>
      </c>
      <c r="H1108" s="204">
        <v>0</v>
      </c>
      <c r="I1108" s="204">
        <v>0</v>
      </c>
      <c r="J1108" s="204">
        <v>0</v>
      </c>
      <c r="K1108" s="204">
        <v>0</v>
      </c>
      <c r="L1108" s="204">
        <v>0</v>
      </c>
      <c r="M1108" s="204">
        <v>0</v>
      </c>
      <c r="N1108" s="204">
        <v>0</v>
      </c>
      <c r="O1108" s="204">
        <v>0</v>
      </c>
      <c r="P1108" s="204">
        <v>0</v>
      </c>
      <c r="Q1108" s="44" t="s">
        <v>26</v>
      </c>
      <c r="R1108" s="205">
        <v>92</v>
      </c>
      <c r="S1108" s="205">
        <v>86</v>
      </c>
      <c r="T1108" s="217" t="s">
        <v>28</v>
      </c>
      <c r="U1108" s="5">
        <v>1.75</v>
      </c>
      <c r="V1108" s="5">
        <v>87</v>
      </c>
    </row>
    <row r="1109" spans="1:22" s="5" customFormat="1" ht="13.5" customHeight="1">
      <c r="A1109" s="7" t="s">
        <v>42</v>
      </c>
      <c r="B1109" s="204">
        <v>67.7</v>
      </c>
      <c r="C1109" s="204">
        <v>54.7</v>
      </c>
      <c r="D1109" s="204">
        <v>50</v>
      </c>
      <c r="E1109" s="204">
        <v>33.299999999999997</v>
      </c>
      <c r="F1109" s="204">
        <v>0</v>
      </c>
      <c r="G1109" s="204">
        <v>50</v>
      </c>
      <c r="H1109" s="204">
        <v>33.299999999999997</v>
      </c>
      <c r="I1109" s="204">
        <v>50</v>
      </c>
      <c r="J1109" s="204">
        <v>50</v>
      </c>
      <c r="K1109" s="204">
        <v>75</v>
      </c>
      <c r="L1109" s="204">
        <v>75</v>
      </c>
      <c r="M1109" s="204">
        <v>75</v>
      </c>
      <c r="N1109" s="204">
        <v>75</v>
      </c>
      <c r="O1109" s="204">
        <v>66.7</v>
      </c>
      <c r="P1109" s="204">
        <v>66.7</v>
      </c>
      <c r="Q1109" s="44" t="s">
        <v>23</v>
      </c>
      <c r="R1109" s="205">
        <v>84</v>
      </c>
      <c r="S1109" s="205">
        <v>80</v>
      </c>
      <c r="T1109" s="217" t="s">
        <v>40</v>
      </c>
      <c r="U1109" s="5">
        <v>2.75</v>
      </c>
      <c r="V1109" s="5">
        <v>85</v>
      </c>
    </row>
    <row r="1110" spans="1:22" s="5" customFormat="1" ht="13.5" customHeight="1">
      <c r="A1110" s="7" t="s">
        <v>60</v>
      </c>
      <c r="B1110" s="204">
        <v>51.7</v>
      </c>
      <c r="C1110" s="204">
        <v>38.799999999999997</v>
      </c>
      <c r="D1110" s="204">
        <v>37.5</v>
      </c>
      <c r="E1110" s="204">
        <v>33.299999999999997</v>
      </c>
      <c r="F1110" s="204">
        <v>33.299999999999997</v>
      </c>
      <c r="G1110" s="204">
        <v>33.299999999999997</v>
      </c>
      <c r="H1110" s="204">
        <v>33.299999999999997</v>
      </c>
      <c r="I1110" s="204">
        <v>33.299999999999997</v>
      </c>
      <c r="J1110" s="204">
        <v>33.299999999999997</v>
      </c>
      <c r="K1110" s="204">
        <v>0</v>
      </c>
      <c r="L1110" s="204">
        <v>0</v>
      </c>
      <c r="M1110" s="204">
        <v>0</v>
      </c>
      <c r="N1110" s="204">
        <v>0</v>
      </c>
      <c r="O1110" s="204">
        <v>40</v>
      </c>
      <c r="P1110" s="204">
        <v>40</v>
      </c>
      <c r="Q1110" s="44" t="s">
        <v>23</v>
      </c>
      <c r="R1110" s="205">
        <v>96</v>
      </c>
      <c r="S1110" s="205">
        <v>100</v>
      </c>
      <c r="T1110" s="217" t="s">
        <v>35</v>
      </c>
      <c r="U1110" s="5">
        <v>2.5</v>
      </c>
      <c r="V1110" s="5">
        <v>91</v>
      </c>
    </row>
    <row r="1111" spans="1:22" s="5" customFormat="1" ht="13.5" customHeight="1">
      <c r="A1111" s="7" t="s">
        <v>47</v>
      </c>
      <c r="B1111" s="204">
        <v>52.6</v>
      </c>
      <c r="C1111" s="204">
        <v>60.6</v>
      </c>
      <c r="D1111" s="204">
        <v>40</v>
      </c>
      <c r="E1111" s="204">
        <v>66.7</v>
      </c>
      <c r="F1111" s="204">
        <v>0</v>
      </c>
      <c r="G1111" s="204">
        <v>50</v>
      </c>
      <c r="H1111" s="204">
        <v>0</v>
      </c>
      <c r="I1111" s="204">
        <v>0</v>
      </c>
      <c r="J1111" s="204">
        <v>0</v>
      </c>
      <c r="K1111" s="204">
        <v>50</v>
      </c>
      <c r="L1111" s="204">
        <v>50</v>
      </c>
      <c r="M1111" s="204">
        <v>50</v>
      </c>
      <c r="N1111" s="204">
        <v>50</v>
      </c>
      <c r="O1111" s="204">
        <v>50</v>
      </c>
      <c r="P1111" s="204">
        <v>50</v>
      </c>
      <c r="Q1111" s="44" t="s">
        <v>34</v>
      </c>
      <c r="R1111" s="205">
        <v>103</v>
      </c>
      <c r="S1111" s="205">
        <v>98</v>
      </c>
      <c r="T1111" s="217" t="s">
        <v>48</v>
      </c>
      <c r="U1111" s="5">
        <v>2.75</v>
      </c>
      <c r="V1111" s="5">
        <v>88</v>
      </c>
    </row>
    <row r="1112" spans="1:22" s="5" customFormat="1" ht="13.5" customHeight="1">
      <c r="A1112" s="7" t="s">
        <v>22</v>
      </c>
      <c r="B1112" s="204">
        <v>66.7</v>
      </c>
      <c r="C1112" s="204">
        <v>63.6</v>
      </c>
      <c r="D1112" s="204">
        <v>50</v>
      </c>
      <c r="E1112" s="204">
        <v>85.7</v>
      </c>
      <c r="F1112" s="204">
        <v>100</v>
      </c>
      <c r="G1112" s="204">
        <v>85.7</v>
      </c>
      <c r="H1112" s="204">
        <v>100</v>
      </c>
      <c r="I1112" s="204">
        <v>80</v>
      </c>
      <c r="J1112" s="204">
        <v>80</v>
      </c>
      <c r="K1112" s="204">
        <v>100</v>
      </c>
      <c r="L1112" s="204">
        <v>100</v>
      </c>
      <c r="M1112" s="204">
        <v>100</v>
      </c>
      <c r="N1112" s="204">
        <v>100</v>
      </c>
      <c r="O1112" s="204">
        <v>100</v>
      </c>
      <c r="P1112" s="204">
        <v>100</v>
      </c>
      <c r="Q1112" s="44" t="s">
        <v>30</v>
      </c>
      <c r="R1112" s="205">
        <v>91</v>
      </c>
      <c r="S1112" s="205">
        <v>88</v>
      </c>
      <c r="T1112" s="217" t="s">
        <v>28</v>
      </c>
      <c r="U1112" s="5">
        <v>2.75</v>
      </c>
      <c r="V1112" s="5">
        <v>75</v>
      </c>
    </row>
    <row r="1113" spans="1:22" s="5" customFormat="1" ht="13.5" customHeight="1">
      <c r="A1113" s="7" t="s">
        <v>42</v>
      </c>
      <c r="B1113" s="204">
        <v>29.3</v>
      </c>
      <c r="C1113" s="204">
        <v>38.1</v>
      </c>
      <c r="D1113" s="204">
        <v>12.5</v>
      </c>
      <c r="E1113" s="204">
        <v>20</v>
      </c>
      <c r="F1113" s="204">
        <v>0</v>
      </c>
      <c r="G1113" s="204">
        <v>0</v>
      </c>
      <c r="H1113" s="204">
        <v>0</v>
      </c>
      <c r="I1113" s="204">
        <v>50</v>
      </c>
      <c r="J1113" s="204">
        <v>33.299999999999997</v>
      </c>
      <c r="K1113" s="204">
        <v>25</v>
      </c>
      <c r="L1113" s="204">
        <v>0</v>
      </c>
      <c r="M1113" s="204">
        <v>0</v>
      </c>
      <c r="N1113" s="204">
        <v>0</v>
      </c>
      <c r="O1113" s="204">
        <v>28.6</v>
      </c>
      <c r="P1113" s="204">
        <v>16.7</v>
      </c>
      <c r="Q1113" s="44" t="s">
        <v>45</v>
      </c>
      <c r="R1113" s="205">
        <v>72</v>
      </c>
      <c r="S1113" s="205">
        <v>90</v>
      </c>
      <c r="T1113" s="217" t="s">
        <v>28</v>
      </c>
      <c r="U1113" s="5">
        <v>2.25</v>
      </c>
      <c r="V1113" s="5">
        <v>105</v>
      </c>
    </row>
    <row r="1114" spans="1:22" s="5" customFormat="1" ht="13.5" customHeight="1">
      <c r="A1114" s="7" t="s">
        <v>60</v>
      </c>
      <c r="B1114" s="204">
        <v>29.3</v>
      </c>
      <c r="C1114" s="204">
        <v>55.6</v>
      </c>
      <c r="D1114" s="204">
        <v>50</v>
      </c>
      <c r="E1114" s="204">
        <v>0</v>
      </c>
      <c r="F1114" s="204">
        <v>0</v>
      </c>
      <c r="G1114" s="204">
        <v>0</v>
      </c>
      <c r="H1114" s="204">
        <v>0</v>
      </c>
      <c r="I1114" s="204">
        <v>0</v>
      </c>
      <c r="J1114" s="204">
        <v>0</v>
      </c>
      <c r="K1114" s="204">
        <v>0</v>
      </c>
      <c r="L1114" s="204">
        <v>0</v>
      </c>
      <c r="M1114" s="204">
        <v>0</v>
      </c>
      <c r="N1114" s="204">
        <v>0</v>
      </c>
      <c r="O1114" s="204">
        <v>33.299999999999997</v>
      </c>
      <c r="P1114" s="204">
        <v>33.299999999999997</v>
      </c>
      <c r="Q1114" s="44" t="s">
        <v>45</v>
      </c>
      <c r="R1114" s="205">
        <v>78</v>
      </c>
      <c r="S1114" s="205">
        <v>86</v>
      </c>
      <c r="T1114" s="217" t="s">
        <v>28</v>
      </c>
      <c r="U1114" s="5">
        <v>1.75</v>
      </c>
      <c r="V1114" s="5">
        <v>70</v>
      </c>
    </row>
    <row r="1115" spans="1:22" s="5" customFormat="1" ht="13.5" customHeight="1">
      <c r="A1115" s="7" t="s">
        <v>31</v>
      </c>
      <c r="B1115" s="204">
        <v>55.6</v>
      </c>
      <c r="C1115" s="204">
        <v>57.9</v>
      </c>
      <c r="D1115" s="204">
        <v>80</v>
      </c>
      <c r="E1115" s="204">
        <v>71.400000000000006</v>
      </c>
      <c r="F1115" s="204">
        <v>100</v>
      </c>
      <c r="G1115" s="204">
        <v>71.400000000000006</v>
      </c>
      <c r="H1115" s="204">
        <v>100</v>
      </c>
      <c r="I1115" s="204">
        <v>66.7</v>
      </c>
      <c r="J1115" s="204">
        <v>50</v>
      </c>
      <c r="K1115" s="204">
        <v>75</v>
      </c>
      <c r="L1115" s="204">
        <v>100</v>
      </c>
      <c r="M1115" s="204">
        <v>100</v>
      </c>
      <c r="N1115" s="204">
        <v>100</v>
      </c>
      <c r="O1115" s="204">
        <v>68.8</v>
      </c>
      <c r="P1115" s="204">
        <v>100</v>
      </c>
      <c r="Q1115" s="44" t="s">
        <v>26</v>
      </c>
      <c r="R1115" s="205">
        <v>94</v>
      </c>
      <c r="S1115" s="205">
        <v>88</v>
      </c>
      <c r="T1115" s="217" t="s">
        <v>27</v>
      </c>
      <c r="U1115" s="5">
        <v>2.75</v>
      </c>
      <c r="V1115" s="5">
        <v>86</v>
      </c>
    </row>
    <row r="1116" spans="1:22" s="5" customFormat="1" ht="27" customHeight="1">
      <c r="A1116" s="7" t="s">
        <v>22</v>
      </c>
      <c r="B1116" s="204">
        <v>55.6</v>
      </c>
      <c r="C1116" s="204">
        <v>100</v>
      </c>
      <c r="D1116" s="204">
        <v>100</v>
      </c>
      <c r="E1116" s="204">
        <v>80</v>
      </c>
      <c r="F1116" s="204">
        <v>100</v>
      </c>
      <c r="G1116" s="204">
        <v>85.7</v>
      </c>
      <c r="H1116" s="204">
        <v>100</v>
      </c>
      <c r="I1116" s="204">
        <v>52.9</v>
      </c>
      <c r="J1116" s="204">
        <v>50</v>
      </c>
      <c r="K1116" s="204">
        <v>80</v>
      </c>
      <c r="L1116" s="204">
        <v>80</v>
      </c>
      <c r="M1116" s="204">
        <v>80</v>
      </c>
      <c r="N1116" s="204">
        <v>80</v>
      </c>
      <c r="O1116" s="204">
        <v>80</v>
      </c>
      <c r="P1116" s="204">
        <v>80</v>
      </c>
      <c r="Q1116" s="44" t="s">
        <v>30</v>
      </c>
      <c r="R1116" s="205">
        <v>91</v>
      </c>
      <c r="S1116" s="205">
        <v>94</v>
      </c>
      <c r="T1116" s="217" t="s">
        <v>27</v>
      </c>
      <c r="U1116" s="5">
        <v>3.25</v>
      </c>
      <c r="V1116" s="5">
        <v>104</v>
      </c>
    </row>
    <row r="1117" spans="1:22" s="5" customFormat="1" ht="13.5" customHeight="1">
      <c r="A1117" s="7" t="s">
        <v>41</v>
      </c>
      <c r="B1117" s="204">
        <v>63.6</v>
      </c>
      <c r="C1117" s="204">
        <v>76.2</v>
      </c>
      <c r="D1117" s="204">
        <v>100</v>
      </c>
      <c r="E1117" s="204">
        <v>100</v>
      </c>
      <c r="F1117" s="204">
        <v>100</v>
      </c>
      <c r="G1117" s="204">
        <v>100</v>
      </c>
      <c r="H1117" s="204">
        <v>100</v>
      </c>
      <c r="I1117" s="204">
        <v>66.7</v>
      </c>
      <c r="J1117" s="204">
        <v>66.7</v>
      </c>
      <c r="K1117" s="204">
        <v>100</v>
      </c>
      <c r="L1117" s="204">
        <v>100</v>
      </c>
      <c r="M1117" s="204">
        <v>100</v>
      </c>
      <c r="N1117" s="204">
        <v>100</v>
      </c>
      <c r="O1117" s="204">
        <v>100</v>
      </c>
      <c r="P1117" s="204">
        <v>100</v>
      </c>
      <c r="Q1117" s="44" t="s">
        <v>23</v>
      </c>
      <c r="R1117" s="205">
        <v>90</v>
      </c>
      <c r="S1117" s="205">
        <v>98</v>
      </c>
      <c r="T1117" s="217" t="s">
        <v>32</v>
      </c>
      <c r="U1117" s="5">
        <v>2.75</v>
      </c>
      <c r="V1117" s="5">
        <v>81</v>
      </c>
    </row>
    <row r="1118" spans="1:22" s="5" customFormat="1" ht="13.5" customHeight="1">
      <c r="A1118" s="7" t="s">
        <v>33</v>
      </c>
      <c r="B1118" s="204">
        <v>67.7</v>
      </c>
      <c r="C1118" s="204">
        <v>50.8</v>
      </c>
      <c r="D1118" s="204">
        <v>62.5</v>
      </c>
      <c r="E1118" s="204">
        <v>25</v>
      </c>
      <c r="F1118" s="204">
        <v>33.299999999999997</v>
      </c>
      <c r="G1118" s="204">
        <v>25</v>
      </c>
      <c r="H1118" s="204">
        <v>33.299999999999997</v>
      </c>
      <c r="I1118" s="204">
        <v>70.599999999999994</v>
      </c>
      <c r="J1118" s="204">
        <v>54.5</v>
      </c>
      <c r="K1118" s="204">
        <v>50</v>
      </c>
      <c r="L1118" s="204">
        <v>50</v>
      </c>
      <c r="M1118" s="204">
        <v>50</v>
      </c>
      <c r="N1118" s="204">
        <v>50</v>
      </c>
      <c r="O1118" s="204">
        <v>71.400000000000006</v>
      </c>
      <c r="P1118" s="204">
        <v>83.3</v>
      </c>
      <c r="Q1118" s="44" t="s">
        <v>26</v>
      </c>
      <c r="R1118" s="205">
        <v>102</v>
      </c>
      <c r="S1118" s="205">
        <v>100</v>
      </c>
      <c r="T1118" s="217" t="s">
        <v>35</v>
      </c>
      <c r="U1118" s="5">
        <v>2.25</v>
      </c>
      <c r="V1118" s="5">
        <v>100</v>
      </c>
    </row>
    <row r="1119" spans="1:22" s="5" customFormat="1" ht="13.5" customHeight="1">
      <c r="A1119" s="7" t="s">
        <v>42</v>
      </c>
      <c r="B1119" s="204">
        <v>62.5</v>
      </c>
      <c r="C1119" s="204">
        <v>84.6</v>
      </c>
      <c r="D1119" s="204">
        <v>50</v>
      </c>
      <c r="E1119" s="204">
        <v>75</v>
      </c>
      <c r="F1119" s="204">
        <v>0</v>
      </c>
      <c r="G1119" s="204">
        <v>75</v>
      </c>
      <c r="H1119" s="204">
        <v>0</v>
      </c>
      <c r="I1119" s="204">
        <v>75</v>
      </c>
      <c r="J1119" s="204">
        <v>66.7</v>
      </c>
      <c r="K1119" s="204">
        <v>50</v>
      </c>
      <c r="L1119" s="204">
        <v>0</v>
      </c>
      <c r="M1119" s="204">
        <v>50</v>
      </c>
      <c r="N1119" s="204">
        <v>0</v>
      </c>
      <c r="O1119" s="204">
        <v>50</v>
      </c>
      <c r="P1119" s="204">
        <v>0</v>
      </c>
      <c r="Q1119" s="44" t="s">
        <v>34</v>
      </c>
      <c r="R1119" s="205">
        <v>81</v>
      </c>
      <c r="S1119" s="205">
        <v>82</v>
      </c>
      <c r="T1119" s="217" t="s">
        <v>46</v>
      </c>
      <c r="U1119" s="5">
        <v>3.5</v>
      </c>
      <c r="V1119" s="5">
        <v>94</v>
      </c>
    </row>
    <row r="1120" spans="1:22" s="5" customFormat="1" ht="13.5" customHeight="1">
      <c r="A1120" s="7" t="s">
        <v>31</v>
      </c>
      <c r="B1120" s="204">
        <v>51.7</v>
      </c>
      <c r="C1120" s="204">
        <v>38.799999999999997</v>
      </c>
      <c r="D1120" s="204">
        <v>37.5</v>
      </c>
      <c r="E1120" s="204">
        <v>100</v>
      </c>
      <c r="F1120" s="204">
        <v>100</v>
      </c>
      <c r="G1120" s="204">
        <v>100</v>
      </c>
      <c r="H1120" s="204">
        <v>100</v>
      </c>
      <c r="I1120" s="204">
        <v>100</v>
      </c>
      <c r="J1120" s="204">
        <v>100</v>
      </c>
      <c r="K1120" s="204">
        <v>33.299999999999997</v>
      </c>
      <c r="L1120" s="204">
        <v>33.299999999999997</v>
      </c>
      <c r="M1120" s="204">
        <v>100</v>
      </c>
      <c r="N1120" s="204">
        <v>100</v>
      </c>
      <c r="O1120" s="204">
        <v>28.6</v>
      </c>
      <c r="P1120" s="204">
        <v>16.7</v>
      </c>
      <c r="Q1120" s="44" t="s">
        <v>26</v>
      </c>
      <c r="R1120" s="205">
        <v>98</v>
      </c>
      <c r="S1120" s="205">
        <v>80</v>
      </c>
      <c r="T1120" s="217" t="s">
        <v>40</v>
      </c>
      <c r="U1120" s="5">
        <v>2.25</v>
      </c>
      <c r="V1120" s="5">
        <v>104</v>
      </c>
    </row>
    <row r="1121" spans="1:22" s="5" customFormat="1" ht="13.5" customHeight="1">
      <c r="A1121" s="7" t="s">
        <v>31</v>
      </c>
      <c r="B1121" s="204">
        <v>54.8</v>
      </c>
      <c r="C1121" s="204">
        <v>74.400000000000006</v>
      </c>
      <c r="D1121" s="204">
        <v>71.400000000000006</v>
      </c>
      <c r="E1121" s="204">
        <v>85.7</v>
      </c>
      <c r="F1121" s="204">
        <v>66.7</v>
      </c>
      <c r="G1121" s="204">
        <v>83.3</v>
      </c>
      <c r="H1121" s="204">
        <v>50</v>
      </c>
      <c r="I1121" s="204">
        <v>80</v>
      </c>
      <c r="J1121" s="204">
        <v>80</v>
      </c>
      <c r="K1121" s="204">
        <v>100</v>
      </c>
      <c r="L1121" s="204">
        <v>100</v>
      </c>
      <c r="M1121" s="204">
        <v>100</v>
      </c>
      <c r="N1121" s="204">
        <v>100</v>
      </c>
      <c r="O1121" s="204">
        <v>100</v>
      </c>
      <c r="P1121" s="204">
        <v>100</v>
      </c>
      <c r="Q1121" s="44" t="s">
        <v>26</v>
      </c>
      <c r="R1121" s="205">
        <v>92</v>
      </c>
      <c r="S1121" s="205">
        <v>90</v>
      </c>
      <c r="T1121" s="217" t="s">
        <v>28</v>
      </c>
      <c r="U1121" s="5">
        <v>2.25</v>
      </c>
      <c r="V1121" s="5">
        <v>79</v>
      </c>
    </row>
    <row r="1122" spans="1:22" ht="13.5" customHeight="1">
      <c r="A1122" s="7" t="s">
        <v>41</v>
      </c>
      <c r="B1122" s="204">
        <v>59.1</v>
      </c>
      <c r="C1122" s="204">
        <v>54.7</v>
      </c>
      <c r="D1122" s="204">
        <v>53.8</v>
      </c>
      <c r="E1122" s="204">
        <v>100</v>
      </c>
      <c r="F1122" s="204">
        <v>100</v>
      </c>
      <c r="G1122" s="204">
        <v>100</v>
      </c>
      <c r="H1122" s="204">
        <v>100</v>
      </c>
      <c r="I1122" s="204">
        <v>60</v>
      </c>
      <c r="J1122" s="204">
        <v>50</v>
      </c>
      <c r="K1122" s="204">
        <v>100</v>
      </c>
      <c r="L1122" s="204">
        <v>100</v>
      </c>
      <c r="M1122" s="204">
        <v>100</v>
      </c>
      <c r="N1122" s="204">
        <v>100</v>
      </c>
      <c r="O1122" s="204">
        <v>68.8</v>
      </c>
      <c r="P1122" s="204">
        <v>100</v>
      </c>
      <c r="Q1122" s="44" t="s">
        <v>26</v>
      </c>
      <c r="R1122" s="205">
        <v>91</v>
      </c>
      <c r="S1122" s="205">
        <v>90</v>
      </c>
      <c r="T1122" s="217" t="s">
        <v>28</v>
      </c>
      <c r="U1122">
        <v>2.25</v>
      </c>
      <c r="V1122">
        <v>90</v>
      </c>
    </row>
    <row r="1123" spans="1:22" ht="13.5" customHeight="1">
      <c r="A1123" s="7" t="s">
        <v>53</v>
      </c>
      <c r="B1123" s="204">
        <v>46.2</v>
      </c>
      <c r="C1123" s="204">
        <v>39.1</v>
      </c>
      <c r="D1123" s="204">
        <v>25</v>
      </c>
      <c r="E1123" s="204">
        <v>33.299999999999997</v>
      </c>
      <c r="F1123" s="204">
        <v>0</v>
      </c>
      <c r="G1123" s="204">
        <v>33.299999999999997</v>
      </c>
      <c r="H1123" s="204">
        <v>0</v>
      </c>
      <c r="I1123" s="204">
        <v>40</v>
      </c>
      <c r="J1123" s="204">
        <v>0</v>
      </c>
      <c r="K1123" s="204">
        <v>33.299999999999997</v>
      </c>
      <c r="L1123" s="204">
        <v>33.299999999999997</v>
      </c>
      <c r="M1123" s="204">
        <v>33.299999999999997</v>
      </c>
      <c r="N1123" s="204">
        <v>33.299999999999997</v>
      </c>
      <c r="O1123" s="204">
        <v>33.299999999999997</v>
      </c>
      <c r="P1123" s="204">
        <v>33.299999999999997</v>
      </c>
      <c r="Q1123" s="44" t="s">
        <v>26</v>
      </c>
      <c r="R1123" s="205">
        <v>97</v>
      </c>
      <c r="S1123" s="205">
        <v>82</v>
      </c>
      <c r="T1123" s="217" t="s">
        <v>46</v>
      </c>
      <c r="U1123">
        <v>2.25</v>
      </c>
      <c r="V1123">
        <v>94</v>
      </c>
    </row>
    <row r="1124" spans="1:22" ht="13.5" customHeight="1">
      <c r="A1124" s="7" t="s">
        <v>60</v>
      </c>
      <c r="B1124" s="204">
        <v>57.7</v>
      </c>
      <c r="C1124" s="204">
        <v>59.6</v>
      </c>
      <c r="D1124" s="204">
        <v>60</v>
      </c>
      <c r="E1124" s="204">
        <v>50</v>
      </c>
      <c r="F1124" s="204">
        <v>0</v>
      </c>
      <c r="G1124" s="204">
        <v>50</v>
      </c>
      <c r="H1124" s="204">
        <v>0</v>
      </c>
      <c r="I1124" s="204">
        <v>52.9</v>
      </c>
      <c r="J1124" s="204">
        <v>50</v>
      </c>
      <c r="K1124" s="204">
        <v>60</v>
      </c>
      <c r="L1124" s="204">
        <v>50</v>
      </c>
      <c r="M1124" s="204">
        <v>33.299999999999997</v>
      </c>
      <c r="N1124" s="204">
        <v>50</v>
      </c>
      <c r="O1124" s="204">
        <v>44.4</v>
      </c>
      <c r="P1124" s="204">
        <v>50</v>
      </c>
      <c r="Q1124" s="44" t="s">
        <v>23</v>
      </c>
      <c r="R1124" s="205">
        <v>95</v>
      </c>
      <c r="S1124" s="205">
        <v>78</v>
      </c>
      <c r="T1124" s="217" t="s">
        <v>51</v>
      </c>
      <c r="U1124">
        <v>2.75</v>
      </c>
      <c r="V1124">
        <v>91</v>
      </c>
    </row>
    <row r="1125" spans="1:22" ht="13.5" customHeight="1">
      <c r="A1125" s="7" t="s">
        <v>57</v>
      </c>
      <c r="B1125" s="204">
        <v>84.2</v>
      </c>
      <c r="C1125" s="204">
        <v>84.6</v>
      </c>
      <c r="D1125" s="204">
        <v>100</v>
      </c>
      <c r="E1125" s="204">
        <v>100</v>
      </c>
      <c r="F1125" s="204">
        <v>100</v>
      </c>
      <c r="G1125" s="204">
        <v>100</v>
      </c>
      <c r="H1125" s="204">
        <v>100</v>
      </c>
      <c r="I1125" s="204">
        <v>66.7</v>
      </c>
      <c r="J1125" s="204">
        <v>66.7</v>
      </c>
      <c r="K1125" s="204">
        <v>100</v>
      </c>
      <c r="L1125" s="204">
        <v>100</v>
      </c>
      <c r="M1125" s="204">
        <v>100</v>
      </c>
      <c r="N1125" s="204">
        <v>100</v>
      </c>
      <c r="O1125" s="204">
        <v>100</v>
      </c>
      <c r="P1125" s="204">
        <v>100</v>
      </c>
      <c r="Q1125" s="44" t="s">
        <v>34</v>
      </c>
      <c r="R1125" s="205">
        <v>86</v>
      </c>
      <c r="S1125" s="205">
        <v>104</v>
      </c>
      <c r="T1125" s="217" t="s">
        <v>35</v>
      </c>
      <c r="U1125">
        <v>2.75</v>
      </c>
      <c r="V1125">
        <v>75</v>
      </c>
    </row>
    <row r="1126" spans="1:22" ht="13.5" customHeight="1">
      <c r="A1126" s="7" t="s">
        <v>44</v>
      </c>
      <c r="B1126" s="204">
        <v>84.2</v>
      </c>
      <c r="C1126" s="204">
        <v>76.2</v>
      </c>
      <c r="D1126" s="204">
        <v>100</v>
      </c>
      <c r="E1126" s="204">
        <v>100</v>
      </c>
      <c r="F1126" s="204">
        <v>100</v>
      </c>
      <c r="G1126" s="204">
        <v>100</v>
      </c>
      <c r="H1126" s="204">
        <v>100</v>
      </c>
      <c r="I1126" s="204">
        <v>50</v>
      </c>
      <c r="J1126" s="204">
        <v>66.7</v>
      </c>
      <c r="K1126" s="204">
        <v>100</v>
      </c>
      <c r="L1126" s="204">
        <v>100</v>
      </c>
      <c r="M1126" s="204">
        <v>100</v>
      </c>
      <c r="N1126" s="204">
        <v>100</v>
      </c>
      <c r="O1126" s="204">
        <v>100</v>
      </c>
      <c r="P1126" s="204">
        <v>100</v>
      </c>
      <c r="Q1126" s="44" t="s">
        <v>26</v>
      </c>
      <c r="R1126" s="205">
        <v>83</v>
      </c>
      <c r="S1126" s="205">
        <v>80</v>
      </c>
      <c r="T1126" s="217" t="s">
        <v>46</v>
      </c>
      <c r="U1126">
        <v>2.75</v>
      </c>
      <c r="V1126">
        <v>87</v>
      </c>
    </row>
    <row r="1127" spans="1:22" ht="13.5" customHeight="1">
      <c r="A1127" s="7" t="s">
        <v>43</v>
      </c>
      <c r="B1127" s="204">
        <v>66.7</v>
      </c>
      <c r="C1127" s="204">
        <v>73.3</v>
      </c>
      <c r="D1127" s="204">
        <v>77.8</v>
      </c>
      <c r="E1127" s="204">
        <v>80</v>
      </c>
      <c r="F1127" s="204">
        <v>77.8</v>
      </c>
      <c r="G1127" s="204">
        <v>72.7</v>
      </c>
      <c r="H1127" s="204">
        <v>77.8</v>
      </c>
      <c r="I1127" s="204">
        <v>62.5</v>
      </c>
      <c r="J1127" s="204">
        <v>57.1</v>
      </c>
      <c r="K1127" s="204">
        <v>50</v>
      </c>
      <c r="L1127" s="204">
        <v>50</v>
      </c>
      <c r="M1127" s="204">
        <v>50</v>
      </c>
      <c r="N1127" s="204">
        <v>50</v>
      </c>
      <c r="O1127" s="204">
        <v>50</v>
      </c>
      <c r="P1127" s="204">
        <v>40</v>
      </c>
      <c r="Q1127" s="44" t="s">
        <v>23</v>
      </c>
      <c r="R1127" s="205">
        <v>88</v>
      </c>
      <c r="S1127" s="205">
        <v>76</v>
      </c>
      <c r="T1127" s="217" t="s">
        <v>46</v>
      </c>
      <c r="U1127">
        <v>2.75</v>
      </c>
      <c r="V1127">
        <v>91</v>
      </c>
    </row>
    <row r="1128" spans="1:22" ht="13.5" customHeight="1">
      <c r="A1128" s="7" t="s">
        <v>22</v>
      </c>
      <c r="B1128" s="204">
        <v>54.8</v>
      </c>
      <c r="C1128" s="204">
        <v>74.400000000000006</v>
      </c>
      <c r="D1128" s="204">
        <v>71.400000000000006</v>
      </c>
      <c r="E1128" s="204">
        <v>85.7</v>
      </c>
      <c r="F1128" s="204">
        <v>100</v>
      </c>
      <c r="G1128" s="204">
        <v>85.7</v>
      </c>
      <c r="H1128" s="204">
        <v>100</v>
      </c>
      <c r="I1128" s="204">
        <v>80</v>
      </c>
      <c r="J1128" s="204">
        <v>80</v>
      </c>
      <c r="K1128" s="204">
        <v>100</v>
      </c>
      <c r="L1128" s="204">
        <v>100</v>
      </c>
      <c r="M1128" s="204">
        <v>100</v>
      </c>
      <c r="N1128" s="204">
        <v>100</v>
      </c>
      <c r="O1128" s="204">
        <v>85.7</v>
      </c>
      <c r="P1128" s="204">
        <v>85.7</v>
      </c>
      <c r="Q1128" s="44" t="s">
        <v>26</v>
      </c>
      <c r="R1128" s="205">
        <v>90</v>
      </c>
      <c r="S1128" s="205">
        <v>86</v>
      </c>
      <c r="T1128" s="217" t="s">
        <v>24</v>
      </c>
      <c r="U1128">
        <v>2.25</v>
      </c>
      <c r="V1128">
        <v>95</v>
      </c>
    </row>
    <row r="1129" spans="1:22" ht="13.5" customHeight="1">
      <c r="A1129" s="7" t="s">
        <v>42</v>
      </c>
      <c r="B1129" s="204">
        <v>51.7</v>
      </c>
      <c r="C1129" s="204">
        <v>49.4</v>
      </c>
      <c r="D1129" s="204">
        <v>28.6</v>
      </c>
      <c r="E1129" s="204">
        <v>20</v>
      </c>
      <c r="F1129" s="204">
        <v>0</v>
      </c>
      <c r="G1129" s="204">
        <v>0</v>
      </c>
      <c r="H1129" s="204">
        <v>0</v>
      </c>
      <c r="I1129" s="204">
        <v>50</v>
      </c>
      <c r="J1129" s="204">
        <v>33.299999999999997</v>
      </c>
      <c r="K1129" s="204">
        <v>33.299999999999997</v>
      </c>
      <c r="L1129" s="204">
        <v>0</v>
      </c>
      <c r="M1129" s="204">
        <v>33.299999999999997</v>
      </c>
      <c r="N1129" s="204">
        <v>0</v>
      </c>
      <c r="O1129" s="204">
        <v>50</v>
      </c>
      <c r="P1129" s="204">
        <v>0</v>
      </c>
      <c r="Q1129" s="44" t="s">
        <v>26</v>
      </c>
      <c r="R1129" s="205">
        <v>102</v>
      </c>
      <c r="S1129" s="205">
        <v>90</v>
      </c>
      <c r="T1129" s="217" t="s">
        <v>28</v>
      </c>
      <c r="U1129">
        <v>2.5</v>
      </c>
      <c r="V1129">
        <v>93</v>
      </c>
    </row>
    <row r="1130" spans="1:22" ht="13.5" customHeight="1">
      <c r="A1130" s="7" t="s">
        <v>44</v>
      </c>
      <c r="B1130" s="204">
        <v>57.7</v>
      </c>
      <c r="C1130" s="204">
        <v>49</v>
      </c>
      <c r="D1130" s="204">
        <v>41.7</v>
      </c>
      <c r="E1130" s="204">
        <v>100</v>
      </c>
      <c r="F1130" s="204">
        <v>100</v>
      </c>
      <c r="G1130" s="204">
        <v>100</v>
      </c>
      <c r="H1130" s="204">
        <v>100</v>
      </c>
      <c r="I1130" s="204">
        <v>100</v>
      </c>
      <c r="J1130" s="204">
        <v>100</v>
      </c>
      <c r="K1130" s="204">
        <v>75</v>
      </c>
      <c r="L1130" s="204">
        <v>100</v>
      </c>
      <c r="M1130" s="204">
        <v>66.7</v>
      </c>
      <c r="N1130" s="204">
        <v>100</v>
      </c>
      <c r="O1130" s="204">
        <v>68.8</v>
      </c>
      <c r="P1130" s="204">
        <v>100</v>
      </c>
      <c r="Q1130" s="44" t="s">
        <v>45</v>
      </c>
      <c r="R1130" s="205">
        <v>80</v>
      </c>
      <c r="S1130" s="205">
        <v>108</v>
      </c>
      <c r="T1130" s="217" t="s">
        <v>35</v>
      </c>
      <c r="U1130">
        <v>2.25</v>
      </c>
      <c r="V1130">
        <v>97</v>
      </c>
    </row>
    <row r="1131" spans="1:22" ht="13.5" customHeight="1">
      <c r="A1131" s="7" t="s">
        <v>42</v>
      </c>
      <c r="B1131" s="204">
        <v>29.3</v>
      </c>
      <c r="C1131" s="204">
        <v>38.799999999999997</v>
      </c>
      <c r="D1131" s="204">
        <v>30.8</v>
      </c>
      <c r="E1131" s="204">
        <v>0</v>
      </c>
      <c r="F1131" s="204">
        <v>0</v>
      </c>
      <c r="G1131" s="204">
        <v>0</v>
      </c>
      <c r="H1131" s="204">
        <v>0</v>
      </c>
      <c r="I1131" s="204">
        <v>40</v>
      </c>
      <c r="J1131" s="204">
        <v>0</v>
      </c>
      <c r="K1131" s="204">
        <v>0</v>
      </c>
      <c r="L1131" s="204">
        <v>0</v>
      </c>
      <c r="M1131" s="204">
        <v>0</v>
      </c>
      <c r="N1131" s="204">
        <v>0</v>
      </c>
      <c r="O1131" s="204">
        <v>50</v>
      </c>
      <c r="P1131" s="204">
        <v>33.299999999999997</v>
      </c>
      <c r="Q1131" s="44" t="s">
        <v>45</v>
      </c>
      <c r="R1131" s="205">
        <v>80</v>
      </c>
      <c r="S1131" s="205">
        <v>80</v>
      </c>
      <c r="T1131" s="217" t="s">
        <v>46</v>
      </c>
      <c r="U1131">
        <v>2.25</v>
      </c>
      <c r="V1131">
        <v>105</v>
      </c>
    </row>
    <row r="1132" spans="1:22" ht="13.5" customHeight="1">
      <c r="A1132" s="7" t="s">
        <v>53</v>
      </c>
      <c r="B1132" s="204">
        <v>0</v>
      </c>
      <c r="C1132" s="204">
        <v>36.9</v>
      </c>
      <c r="D1132" s="204">
        <v>36.700000000000003</v>
      </c>
      <c r="E1132" s="204">
        <v>0</v>
      </c>
      <c r="F1132" s="204">
        <v>0</v>
      </c>
      <c r="G1132" s="204">
        <v>0</v>
      </c>
      <c r="H1132" s="204">
        <v>0</v>
      </c>
      <c r="I1132" s="204">
        <v>0</v>
      </c>
      <c r="J1132" s="204">
        <v>0</v>
      </c>
      <c r="K1132" s="204">
        <v>0</v>
      </c>
      <c r="L1132" s="204">
        <v>0</v>
      </c>
      <c r="M1132" s="204">
        <v>0</v>
      </c>
      <c r="N1132" s="204">
        <v>0</v>
      </c>
      <c r="O1132" s="204">
        <v>33.299999999999997</v>
      </c>
      <c r="P1132" s="204">
        <v>50</v>
      </c>
      <c r="Q1132" s="44" t="s">
        <v>26</v>
      </c>
      <c r="R1132" s="205">
        <v>103</v>
      </c>
      <c r="S1132" s="205">
        <v>94</v>
      </c>
      <c r="T1132" s="217" t="s">
        <v>27</v>
      </c>
      <c r="U1132">
        <v>2.25</v>
      </c>
      <c r="V1132">
        <v>78</v>
      </c>
    </row>
    <row r="1133" spans="1:22" ht="13.5" customHeight="1">
      <c r="A1133" s="7" t="s">
        <v>41</v>
      </c>
      <c r="B1133" s="204">
        <v>45.2</v>
      </c>
      <c r="C1133" s="204">
        <v>50.8</v>
      </c>
      <c r="D1133" s="204">
        <v>66.7</v>
      </c>
      <c r="E1133" s="204">
        <v>100</v>
      </c>
      <c r="F1133" s="204">
        <v>100</v>
      </c>
      <c r="G1133" s="204">
        <v>100</v>
      </c>
      <c r="H1133" s="204">
        <v>100</v>
      </c>
      <c r="I1133" s="204">
        <v>62.5</v>
      </c>
      <c r="J1133" s="204">
        <v>100</v>
      </c>
      <c r="K1133" s="204">
        <v>100</v>
      </c>
      <c r="L1133" s="204">
        <v>100</v>
      </c>
      <c r="M1133" s="204">
        <v>100</v>
      </c>
      <c r="N1133" s="204">
        <v>100</v>
      </c>
      <c r="O1133" s="204">
        <v>100</v>
      </c>
      <c r="P1133" s="204">
        <v>100</v>
      </c>
      <c r="Q1133" s="44" t="s">
        <v>26</v>
      </c>
      <c r="R1133" s="205">
        <v>103</v>
      </c>
      <c r="S1133" s="205">
        <v>98</v>
      </c>
      <c r="T1133" s="217" t="s">
        <v>35</v>
      </c>
      <c r="U1133">
        <v>2.5</v>
      </c>
      <c r="V1133">
        <v>82</v>
      </c>
    </row>
    <row r="1134" spans="1:22" ht="13.5" customHeight="1">
      <c r="A1134" s="7" t="s">
        <v>36</v>
      </c>
      <c r="B1134" s="204">
        <v>0</v>
      </c>
      <c r="C1134" s="204">
        <v>55.6</v>
      </c>
      <c r="D1134" s="204">
        <v>42.9</v>
      </c>
      <c r="E1134" s="204">
        <v>40</v>
      </c>
      <c r="F1134" s="204">
        <v>25</v>
      </c>
      <c r="G1134" s="204">
        <v>25</v>
      </c>
      <c r="H1134" s="204">
        <v>0</v>
      </c>
      <c r="I1134" s="204">
        <v>0</v>
      </c>
      <c r="J1134" s="204">
        <v>0</v>
      </c>
      <c r="K1134" s="204">
        <v>25</v>
      </c>
      <c r="L1134" s="204">
        <v>0</v>
      </c>
      <c r="M1134" s="204">
        <v>25</v>
      </c>
      <c r="N1134" s="204">
        <v>0</v>
      </c>
      <c r="O1134" s="204">
        <v>0</v>
      </c>
      <c r="P1134" s="204">
        <v>0</v>
      </c>
      <c r="Q1134" s="44" t="s">
        <v>26</v>
      </c>
      <c r="R1134" s="205">
        <v>103</v>
      </c>
      <c r="S1134" s="205">
        <v>104</v>
      </c>
      <c r="T1134" s="217" t="s">
        <v>65</v>
      </c>
      <c r="U1134">
        <v>2.25</v>
      </c>
      <c r="V1134">
        <v>83</v>
      </c>
    </row>
    <row r="1135" spans="1:22" ht="13.5" customHeight="1">
      <c r="A1135" s="7" t="s">
        <v>60</v>
      </c>
      <c r="B1135" s="204">
        <v>34.6</v>
      </c>
      <c r="C1135" s="204">
        <v>38.1</v>
      </c>
      <c r="D1135" s="204">
        <v>57.1</v>
      </c>
      <c r="E1135" s="204">
        <v>0</v>
      </c>
      <c r="F1135" s="204">
        <v>0</v>
      </c>
      <c r="G1135" s="204">
        <v>0</v>
      </c>
      <c r="H1135" s="204">
        <v>0</v>
      </c>
      <c r="I1135" s="204">
        <v>40</v>
      </c>
      <c r="J1135" s="204">
        <v>50</v>
      </c>
      <c r="K1135" s="204">
        <v>66.7</v>
      </c>
      <c r="L1135" s="204">
        <v>0</v>
      </c>
      <c r="M1135" s="204">
        <v>33.299999999999997</v>
      </c>
      <c r="N1135" s="204">
        <v>0</v>
      </c>
      <c r="O1135" s="204">
        <v>25</v>
      </c>
      <c r="P1135" s="204">
        <v>0</v>
      </c>
      <c r="Q1135" s="44" t="s">
        <v>26</v>
      </c>
      <c r="R1135" s="205">
        <v>103</v>
      </c>
      <c r="S1135" s="205">
        <v>94</v>
      </c>
      <c r="T1135" s="217" t="s">
        <v>24</v>
      </c>
      <c r="U1135">
        <v>2.25</v>
      </c>
      <c r="V1135">
        <v>87</v>
      </c>
    </row>
    <row r="1136" spans="1:22" ht="13.5" customHeight="1">
      <c r="A1136" s="7" t="s">
        <v>47</v>
      </c>
      <c r="B1136" s="204">
        <v>67.7</v>
      </c>
      <c r="C1136" s="204">
        <v>36.9</v>
      </c>
      <c r="D1136" s="204">
        <v>53.8</v>
      </c>
      <c r="E1136" s="204">
        <v>40</v>
      </c>
      <c r="F1136" s="204">
        <v>50</v>
      </c>
      <c r="G1136" s="204">
        <v>25</v>
      </c>
      <c r="H1136" s="204">
        <v>33.299999999999997</v>
      </c>
      <c r="I1136" s="204">
        <v>33.299999999999997</v>
      </c>
      <c r="J1136" s="204">
        <v>50</v>
      </c>
      <c r="K1136" s="204">
        <v>33.299999999999997</v>
      </c>
      <c r="L1136" s="204">
        <v>33.299999999999997</v>
      </c>
      <c r="M1136" s="204">
        <v>66.7</v>
      </c>
      <c r="N1136" s="204">
        <v>0</v>
      </c>
      <c r="O1136" s="204">
        <v>40</v>
      </c>
      <c r="P1136" s="204">
        <v>25</v>
      </c>
      <c r="Q1136" s="44" t="s">
        <v>26</v>
      </c>
      <c r="R1136" s="205">
        <v>103</v>
      </c>
      <c r="S1136" s="205">
        <v>92</v>
      </c>
      <c r="T1136" s="217" t="s">
        <v>27</v>
      </c>
      <c r="U1136">
        <v>1.75</v>
      </c>
      <c r="V1136">
        <v>64</v>
      </c>
    </row>
    <row r="1137" spans="1:22" ht="27" customHeight="1">
      <c r="A1137" s="7" t="s">
        <v>22</v>
      </c>
      <c r="B1137" s="204">
        <v>45.7</v>
      </c>
      <c r="C1137" s="204">
        <v>57.9</v>
      </c>
      <c r="D1137" s="204">
        <v>75</v>
      </c>
      <c r="E1137" s="204">
        <v>57.1</v>
      </c>
      <c r="F1137" s="204">
        <v>25</v>
      </c>
      <c r="G1137" s="204">
        <v>57.1</v>
      </c>
      <c r="H1137" s="204">
        <v>25</v>
      </c>
      <c r="I1137" s="204">
        <v>75</v>
      </c>
      <c r="J1137" s="204">
        <v>100</v>
      </c>
      <c r="K1137" s="204">
        <v>50</v>
      </c>
      <c r="L1137" s="204">
        <v>50</v>
      </c>
      <c r="M1137" s="204">
        <v>50</v>
      </c>
      <c r="N1137" s="204">
        <v>50</v>
      </c>
      <c r="O1137" s="204">
        <v>33.299999999999997</v>
      </c>
      <c r="P1137" s="204">
        <v>100</v>
      </c>
      <c r="Q1137" s="44" t="s">
        <v>26</v>
      </c>
      <c r="R1137" s="205">
        <v>79</v>
      </c>
      <c r="S1137" s="205">
        <v>88</v>
      </c>
      <c r="T1137" s="217" t="s">
        <v>27</v>
      </c>
      <c r="U1137">
        <v>2.5</v>
      </c>
      <c r="V1137">
        <v>83</v>
      </c>
    </row>
    <row r="1138" spans="1:22" ht="13.5" customHeight="1">
      <c r="A1138" s="7" t="s">
        <v>36</v>
      </c>
      <c r="B1138" s="204">
        <v>63.6</v>
      </c>
      <c r="C1138" s="204">
        <v>59.6</v>
      </c>
      <c r="D1138" s="204">
        <v>40</v>
      </c>
      <c r="E1138" s="204">
        <v>50</v>
      </c>
      <c r="F1138" s="204">
        <v>25</v>
      </c>
      <c r="G1138" s="204">
        <v>66.7</v>
      </c>
      <c r="H1138" s="204">
        <v>33.299999999999997</v>
      </c>
      <c r="I1138" s="204">
        <v>37.5</v>
      </c>
      <c r="J1138" s="204">
        <v>20</v>
      </c>
      <c r="K1138" s="204">
        <v>50</v>
      </c>
      <c r="L1138" s="204">
        <v>33.299999999999997</v>
      </c>
      <c r="M1138" s="204">
        <v>50</v>
      </c>
      <c r="N1138" s="204">
        <v>33.299999999999997</v>
      </c>
      <c r="O1138" s="204">
        <v>0</v>
      </c>
      <c r="P1138" s="204">
        <v>0</v>
      </c>
      <c r="Q1138" s="44" t="s">
        <v>26</v>
      </c>
      <c r="R1138" s="205">
        <v>82</v>
      </c>
      <c r="S1138" s="205">
        <v>86</v>
      </c>
      <c r="T1138" s="217" t="s">
        <v>28</v>
      </c>
      <c r="U1138">
        <v>2.25</v>
      </c>
      <c r="V1138">
        <v>77</v>
      </c>
    </row>
    <row r="1139" spans="1:22" ht="13.5" customHeight="1">
      <c r="A1139" s="7" t="s">
        <v>43</v>
      </c>
      <c r="B1139" s="204">
        <v>52.6</v>
      </c>
      <c r="C1139" s="204">
        <v>86.4</v>
      </c>
      <c r="D1139" s="204">
        <v>100</v>
      </c>
      <c r="E1139" s="204">
        <v>100</v>
      </c>
      <c r="F1139" s="204">
        <v>100</v>
      </c>
      <c r="G1139" s="204">
        <v>100</v>
      </c>
      <c r="H1139" s="204">
        <v>100</v>
      </c>
      <c r="I1139" s="204">
        <v>75</v>
      </c>
      <c r="J1139" s="204">
        <v>100</v>
      </c>
      <c r="K1139" s="204">
        <v>50</v>
      </c>
      <c r="L1139" s="204">
        <v>50</v>
      </c>
      <c r="M1139" s="204">
        <v>50</v>
      </c>
      <c r="N1139" s="204">
        <v>50</v>
      </c>
      <c r="O1139" s="204">
        <v>50</v>
      </c>
      <c r="P1139" s="204">
        <v>50</v>
      </c>
      <c r="Q1139" s="44" t="s">
        <v>30</v>
      </c>
      <c r="R1139" s="205">
        <v>89</v>
      </c>
      <c r="S1139" s="205">
        <v>100</v>
      </c>
      <c r="T1139" s="217" t="s">
        <v>35</v>
      </c>
      <c r="U1139">
        <v>3.25</v>
      </c>
      <c r="V1139">
        <v>108</v>
      </c>
    </row>
    <row r="1140" spans="1:22" ht="13.5" customHeight="1">
      <c r="A1140" s="7" t="s">
        <v>31</v>
      </c>
      <c r="B1140" s="204">
        <v>60</v>
      </c>
      <c r="C1140" s="204">
        <v>49</v>
      </c>
      <c r="D1140" s="204">
        <v>75</v>
      </c>
      <c r="E1140" s="204">
        <v>37.5</v>
      </c>
      <c r="F1140" s="204">
        <v>33.299999999999997</v>
      </c>
      <c r="G1140" s="204">
        <v>37.5</v>
      </c>
      <c r="H1140" s="204">
        <v>33.299999999999997</v>
      </c>
      <c r="I1140" s="204">
        <v>66.7</v>
      </c>
      <c r="J1140" s="204">
        <v>33.299999999999997</v>
      </c>
      <c r="K1140" s="204">
        <v>100</v>
      </c>
      <c r="L1140" s="204">
        <v>100</v>
      </c>
      <c r="M1140" s="204">
        <v>100</v>
      </c>
      <c r="N1140" s="204">
        <v>100</v>
      </c>
      <c r="O1140" s="204">
        <v>66.7</v>
      </c>
      <c r="P1140" s="204">
        <v>100</v>
      </c>
      <c r="Q1140" s="44" t="s">
        <v>26</v>
      </c>
      <c r="R1140" s="205">
        <v>103</v>
      </c>
      <c r="S1140" s="205">
        <v>95</v>
      </c>
      <c r="T1140" s="217" t="s">
        <v>35</v>
      </c>
      <c r="U1140">
        <v>2.25</v>
      </c>
      <c r="V1140">
        <v>75</v>
      </c>
    </row>
    <row r="1141" spans="1:22" ht="13.5" customHeight="1">
      <c r="A1141" s="7" t="s">
        <v>42</v>
      </c>
      <c r="B1141" s="204">
        <v>54.8</v>
      </c>
      <c r="C1141" s="204">
        <v>73.3</v>
      </c>
      <c r="D1141" s="204">
        <v>50</v>
      </c>
      <c r="E1141" s="204">
        <v>66.7</v>
      </c>
      <c r="F1141" s="204">
        <v>50</v>
      </c>
      <c r="G1141" s="204">
        <v>50</v>
      </c>
      <c r="H1141" s="204">
        <v>50</v>
      </c>
      <c r="I1141" s="204">
        <v>50</v>
      </c>
      <c r="J1141" s="204">
        <v>66.7</v>
      </c>
      <c r="K1141" s="204">
        <v>0</v>
      </c>
      <c r="L1141" s="204">
        <v>0</v>
      </c>
      <c r="M1141" s="204">
        <v>0</v>
      </c>
      <c r="N1141" s="204">
        <v>0</v>
      </c>
      <c r="O1141" s="204">
        <v>0</v>
      </c>
      <c r="P1141" s="204">
        <v>0</v>
      </c>
      <c r="Q1141" s="44" t="s">
        <v>23</v>
      </c>
      <c r="R1141" s="205">
        <v>97</v>
      </c>
      <c r="S1141" s="205">
        <v>90</v>
      </c>
      <c r="T1141" s="217" t="s">
        <v>28</v>
      </c>
      <c r="U1141">
        <v>2.75</v>
      </c>
      <c r="V1141">
        <v>86</v>
      </c>
    </row>
    <row r="1142" spans="1:22" ht="13.5" customHeight="1">
      <c r="A1142" s="7" t="s">
        <v>44</v>
      </c>
      <c r="B1142" s="204">
        <v>63.6</v>
      </c>
      <c r="C1142" s="204">
        <v>59.6</v>
      </c>
      <c r="D1142" s="204">
        <v>40</v>
      </c>
      <c r="E1142" s="204">
        <v>50</v>
      </c>
      <c r="F1142" s="204">
        <v>100</v>
      </c>
      <c r="G1142" s="204">
        <v>50</v>
      </c>
      <c r="H1142" s="204">
        <v>100</v>
      </c>
      <c r="I1142" s="204">
        <v>100</v>
      </c>
      <c r="J1142" s="204">
        <v>100</v>
      </c>
      <c r="K1142" s="204">
        <v>100</v>
      </c>
      <c r="L1142" s="204">
        <v>100</v>
      </c>
      <c r="M1142" s="204">
        <v>100</v>
      </c>
      <c r="N1142" s="204">
        <v>100</v>
      </c>
      <c r="O1142" s="204">
        <v>100</v>
      </c>
      <c r="P1142" s="204">
        <v>100</v>
      </c>
      <c r="Q1142" s="44" t="s">
        <v>23</v>
      </c>
      <c r="R1142" s="205">
        <v>97</v>
      </c>
      <c r="S1142" s="205">
        <v>80</v>
      </c>
      <c r="T1142" s="217" t="s">
        <v>40</v>
      </c>
      <c r="U1142">
        <v>2.75</v>
      </c>
      <c r="V1142">
        <v>90</v>
      </c>
    </row>
    <row r="1143" spans="1:22" ht="13.5" customHeight="1">
      <c r="A1143" s="7" t="s">
        <v>60</v>
      </c>
      <c r="B1143" s="204">
        <v>46.2</v>
      </c>
      <c r="C1143" s="204">
        <v>49</v>
      </c>
      <c r="D1143" s="204">
        <v>34.799999999999997</v>
      </c>
      <c r="E1143" s="204">
        <v>0</v>
      </c>
      <c r="F1143" s="204">
        <v>0</v>
      </c>
      <c r="G1143" s="204">
        <v>50</v>
      </c>
      <c r="H1143" s="204">
        <v>50</v>
      </c>
      <c r="I1143" s="204">
        <v>50</v>
      </c>
      <c r="J1143" s="204">
        <v>50</v>
      </c>
      <c r="K1143" s="204">
        <v>50</v>
      </c>
      <c r="L1143" s="204">
        <v>50</v>
      </c>
      <c r="M1143" s="204">
        <v>50</v>
      </c>
      <c r="N1143" s="204">
        <v>50</v>
      </c>
      <c r="O1143" s="204">
        <v>40</v>
      </c>
      <c r="P1143" s="204">
        <v>40</v>
      </c>
      <c r="Q1143" s="44" t="s">
        <v>23</v>
      </c>
      <c r="R1143" s="205">
        <v>93</v>
      </c>
      <c r="S1143" s="205">
        <v>100</v>
      </c>
      <c r="T1143" s="217" t="s">
        <v>35</v>
      </c>
      <c r="U1143">
        <v>2.5</v>
      </c>
      <c r="V1143">
        <v>84</v>
      </c>
    </row>
    <row r="1144" spans="1:22" ht="13.5" customHeight="1">
      <c r="A1144" s="7" t="s">
        <v>42</v>
      </c>
      <c r="B1144" s="204">
        <v>54.8</v>
      </c>
      <c r="C1144" s="204">
        <v>59.6</v>
      </c>
      <c r="D1144" s="204">
        <v>80</v>
      </c>
      <c r="E1144" s="204">
        <v>75</v>
      </c>
      <c r="F1144" s="204">
        <v>50</v>
      </c>
      <c r="G1144" s="204">
        <v>66.7</v>
      </c>
      <c r="H1144" s="204">
        <v>0</v>
      </c>
      <c r="I1144" s="204">
        <v>80</v>
      </c>
      <c r="J1144" s="204">
        <v>80</v>
      </c>
      <c r="K1144" s="204">
        <v>0</v>
      </c>
      <c r="L1144" s="204">
        <v>0</v>
      </c>
      <c r="M1144" s="204">
        <v>0</v>
      </c>
      <c r="N1144" s="204">
        <v>0</v>
      </c>
      <c r="O1144" s="204">
        <v>0</v>
      </c>
      <c r="P1144" s="204">
        <v>0</v>
      </c>
      <c r="Q1144" s="44" t="s">
        <v>26</v>
      </c>
      <c r="R1144" s="205">
        <v>97</v>
      </c>
      <c r="S1144" s="205">
        <v>82</v>
      </c>
      <c r="T1144" s="217" t="s">
        <v>39</v>
      </c>
      <c r="U1144">
        <v>2.25</v>
      </c>
      <c r="V1144">
        <v>98</v>
      </c>
    </row>
    <row r="1145" spans="1:22">
      <c r="A1145" s="7" t="s">
        <v>36</v>
      </c>
      <c r="B1145" s="204">
        <v>28.2</v>
      </c>
      <c r="C1145" s="204">
        <v>36.9</v>
      </c>
      <c r="D1145" s="204">
        <v>22.2</v>
      </c>
      <c r="E1145" s="204">
        <v>50</v>
      </c>
      <c r="F1145" s="204">
        <v>50</v>
      </c>
      <c r="G1145" s="204">
        <v>0</v>
      </c>
      <c r="H1145" s="204">
        <v>0</v>
      </c>
      <c r="I1145" s="204">
        <v>0</v>
      </c>
      <c r="J1145" s="204">
        <v>0</v>
      </c>
      <c r="K1145" s="204">
        <v>33.299999999999997</v>
      </c>
      <c r="L1145" s="204">
        <v>0</v>
      </c>
      <c r="M1145" s="204">
        <v>33.299999999999997</v>
      </c>
      <c r="N1145" s="204">
        <v>0</v>
      </c>
      <c r="O1145" s="204">
        <v>50</v>
      </c>
      <c r="P1145" s="204">
        <v>0</v>
      </c>
      <c r="Q1145" s="44" t="s">
        <v>26</v>
      </c>
      <c r="R1145" s="205">
        <v>100</v>
      </c>
      <c r="S1145" s="205">
        <v>80</v>
      </c>
      <c r="T1145" s="217" t="s">
        <v>46</v>
      </c>
      <c r="U1145">
        <v>2.25</v>
      </c>
      <c r="V1145">
        <v>108</v>
      </c>
    </row>
    <row r="1146" spans="1:22" ht="13.5" customHeight="1">
      <c r="A1146" s="7" t="s">
        <v>57</v>
      </c>
      <c r="B1146" s="204">
        <v>100</v>
      </c>
      <c r="C1146" s="204">
        <v>60.6</v>
      </c>
      <c r="D1146" s="204">
        <v>50</v>
      </c>
      <c r="E1146" s="204">
        <v>100</v>
      </c>
      <c r="F1146" s="204">
        <v>100</v>
      </c>
      <c r="G1146" s="204">
        <v>100</v>
      </c>
      <c r="H1146" s="204">
        <v>100</v>
      </c>
      <c r="I1146" s="204">
        <v>100</v>
      </c>
      <c r="J1146" s="204">
        <v>100</v>
      </c>
      <c r="K1146" s="204">
        <v>100</v>
      </c>
      <c r="L1146" s="204">
        <v>100</v>
      </c>
      <c r="M1146" s="204">
        <v>100</v>
      </c>
      <c r="N1146" s="204">
        <v>100</v>
      </c>
      <c r="O1146" s="204">
        <v>100</v>
      </c>
      <c r="P1146" s="204">
        <v>100</v>
      </c>
      <c r="Q1146" s="44" t="s">
        <v>23</v>
      </c>
      <c r="R1146" s="205">
        <v>83</v>
      </c>
      <c r="S1146" s="205">
        <v>78</v>
      </c>
      <c r="T1146" s="217" t="s">
        <v>46</v>
      </c>
      <c r="U1146">
        <v>2.75</v>
      </c>
      <c r="V1146">
        <v>88</v>
      </c>
    </row>
    <row r="1147" spans="1:22" ht="13.5" customHeight="1">
      <c r="A1147" s="7" t="s">
        <v>42</v>
      </c>
      <c r="B1147" s="204">
        <v>80</v>
      </c>
      <c r="C1147" s="204">
        <v>38.799999999999997</v>
      </c>
      <c r="D1147" s="204">
        <v>60</v>
      </c>
      <c r="E1147" s="204">
        <v>40</v>
      </c>
      <c r="F1147" s="204">
        <v>25</v>
      </c>
      <c r="G1147" s="204">
        <v>33.299999999999997</v>
      </c>
      <c r="H1147" s="204">
        <v>20</v>
      </c>
      <c r="I1147" s="204">
        <v>37.5</v>
      </c>
      <c r="J1147" s="204">
        <v>50</v>
      </c>
      <c r="K1147" s="204">
        <v>66.7</v>
      </c>
      <c r="L1147" s="204">
        <v>50</v>
      </c>
      <c r="M1147" s="204">
        <v>75</v>
      </c>
      <c r="N1147" s="204">
        <v>0</v>
      </c>
      <c r="O1147" s="204">
        <v>66.7</v>
      </c>
      <c r="P1147" s="204">
        <v>50</v>
      </c>
      <c r="Q1147" s="44" t="s">
        <v>26</v>
      </c>
      <c r="R1147" s="205">
        <v>102</v>
      </c>
      <c r="S1147" s="205">
        <v>106</v>
      </c>
      <c r="T1147" s="217" t="s">
        <v>32</v>
      </c>
      <c r="U1147">
        <v>1.75</v>
      </c>
      <c r="V1147">
        <v>67</v>
      </c>
    </row>
    <row r="1148" spans="1:22" ht="13.5" customHeight="1">
      <c r="A1148" s="7" t="s">
        <v>36</v>
      </c>
      <c r="B1148" s="204">
        <v>37.5</v>
      </c>
      <c r="C1148" s="204">
        <v>22.2</v>
      </c>
      <c r="D1148" s="204">
        <v>25</v>
      </c>
      <c r="E1148" s="204">
        <v>25</v>
      </c>
      <c r="F1148" s="204">
        <v>50</v>
      </c>
      <c r="G1148" s="204">
        <v>25</v>
      </c>
      <c r="H1148" s="204">
        <v>50</v>
      </c>
      <c r="I1148" s="204">
        <v>40</v>
      </c>
      <c r="J1148" s="204">
        <v>50</v>
      </c>
      <c r="K1148" s="204">
        <v>0</v>
      </c>
      <c r="L1148" s="204">
        <v>0</v>
      </c>
      <c r="M1148" s="204">
        <v>0</v>
      </c>
      <c r="N1148" s="204">
        <v>0</v>
      </c>
      <c r="O1148" s="204">
        <v>66.7</v>
      </c>
      <c r="P1148" s="204">
        <v>50</v>
      </c>
      <c r="Q1148" s="44" t="s">
        <v>26</v>
      </c>
      <c r="R1148" s="205">
        <v>80</v>
      </c>
      <c r="S1148" s="205">
        <v>96</v>
      </c>
      <c r="T1148" s="217" t="s">
        <v>65</v>
      </c>
      <c r="U1148">
        <v>2.25</v>
      </c>
      <c r="V1148">
        <v>78</v>
      </c>
    </row>
    <row r="1149" spans="1:22" ht="13.5" customHeight="1">
      <c r="A1149" s="7" t="s">
        <v>42</v>
      </c>
      <c r="B1149" s="204">
        <v>16.7</v>
      </c>
      <c r="C1149" s="204">
        <v>36.9</v>
      </c>
      <c r="D1149" s="204">
        <v>40</v>
      </c>
      <c r="E1149" s="204">
        <v>37.5</v>
      </c>
      <c r="F1149" s="204">
        <v>33.299999999999997</v>
      </c>
      <c r="G1149" s="204">
        <v>50</v>
      </c>
      <c r="H1149" s="204">
        <v>40</v>
      </c>
      <c r="I1149" s="204">
        <v>66.7</v>
      </c>
      <c r="J1149" s="204">
        <v>50</v>
      </c>
      <c r="K1149" s="204">
        <v>0</v>
      </c>
      <c r="L1149" s="204">
        <v>0</v>
      </c>
      <c r="M1149" s="204">
        <v>0</v>
      </c>
      <c r="N1149" s="204">
        <v>0</v>
      </c>
      <c r="O1149" s="204">
        <v>0</v>
      </c>
      <c r="P1149" s="204">
        <v>0</v>
      </c>
      <c r="Q1149" s="44" t="s">
        <v>45</v>
      </c>
      <c r="R1149" s="205">
        <v>80</v>
      </c>
      <c r="S1149" s="205">
        <v>102</v>
      </c>
      <c r="T1149" s="217" t="s">
        <v>65</v>
      </c>
      <c r="U1149">
        <v>2.25</v>
      </c>
      <c r="V1149">
        <v>104</v>
      </c>
    </row>
    <row r="1150" spans="1:22" ht="13.5" customHeight="1">
      <c r="A1150" s="7" t="s">
        <v>36</v>
      </c>
      <c r="B1150" s="204">
        <v>72.7</v>
      </c>
      <c r="C1150" s="204">
        <v>49.4</v>
      </c>
      <c r="D1150" s="204">
        <v>75</v>
      </c>
      <c r="E1150" s="204">
        <v>25</v>
      </c>
      <c r="F1150" s="204">
        <v>33.299999999999997</v>
      </c>
      <c r="G1150" s="204">
        <v>33.299999999999997</v>
      </c>
      <c r="H1150" s="204">
        <v>33.299999999999997</v>
      </c>
      <c r="I1150" s="204">
        <v>61.5</v>
      </c>
      <c r="J1150" s="204">
        <v>57.1</v>
      </c>
      <c r="K1150" s="204">
        <v>33.299999999999997</v>
      </c>
      <c r="L1150" s="204">
        <v>33.299999999999997</v>
      </c>
      <c r="M1150" s="204">
        <v>33.299999999999997</v>
      </c>
      <c r="N1150" s="204">
        <v>33.299999999999997</v>
      </c>
      <c r="O1150" s="204">
        <v>40</v>
      </c>
      <c r="P1150" s="204">
        <v>25</v>
      </c>
      <c r="Q1150" s="44" t="s">
        <v>45</v>
      </c>
      <c r="R1150" s="205">
        <v>88</v>
      </c>
      <c r="S1150" s="205">
        <v>96</v>
      </c>
      <c r="T1150" s="217" t="s">
        <v>32</v>
      </c>
      <c r="U1150">
        <v>1.75</v>
      </c>
      <c r="V1150">
        <v>62</v>
      </c>
    </row>
    <row r="1151" spans="1:22" ht="13.5" customHeight="1">
      <c r="A1151" s="7" t="s">
        <v>33</v>
      </c>
      <c r="B1151" s="204">
        <v>61.5</v>
      </c>
      <c r="C1151" s="204">
        <v>54.7</v>
      </c>
      <c r="D1151" s="204">
        <v>60</v>
      </c>
      <c r="E1151" s="204">
        <v>100</v>
      </c>
      <c r="F1151" s="204">
        <v>100</v>
      </c>
      <c r="G1151" s="204">
        <v>100</v>
      </c>
      <c r="H1151" s="204">
        <v>100</v>
      </c>
      <c r="I1151" s="204">
        <v>62.5</v>
      </c>
      <c r="J1151" s="204">
        <v>66.7</v>
      </c>
      <c r="K1151" s="204">
        <v>100</v>
      </c>
      <c r="L1151" s="204">
        <v>100</v>
      </c>
      <c r="M1151" s="204">
        <v>100</v>
      </c>
      <c r="N1151" s="204">
        <v>100</v>
      </c>
      <c r="O1151" s="204">
        <v>100</v>
      </c>
      <c r="P1151" s="204">
        <v>100</v>
      </c>
      <c r="Q1151" s="44" t="s">
        <v>23</v>
      </c>
      <c r="R1151" s="205">
        <v>80</v>
      </c>
      <c r="S1151" s="205">
        <v>82</v>
      </c>
      <c r="T1151" s="217" t="s">
        <v>39</v>
      </c>
      <c r="U1151">
        <v>2.75</v>
      </c>
      <c r="V1151">
        <v>89</v>
      </c>
    </row>
    <row r="1152" spans="1:22" ht="13.5" customHeight="1">
      <c r="A1152" s="7" t="s">
        <v>33</v>
      </c>
      <c r="B1152" s="204">
        <v>50</v>
      </c>
      <c r="C1152" s="204">
        <v>38.799999999999997</v>
      </c>
      <c r="D1152" s="204">
        <v>60</v>
      </c>
      <c r="E1152" s="204">
        <v>25</v>
      </c>
      <c r="F1152" s="204">
        <v>50</v>
      </c>
      <c r="G1152" s="204">
        <v>33.299999999999997</v>
      </c>
      <c r="H1152" s="204">
        <v>50</v>
      </c>
      <c r="I1152" s="204">
        <v>40</v>
      </c>
      <c r="J1152" s="204">
        <v>50</v>
      </c>
      <c r="K1152" s="204">
        <v>50</v>
      </c>
      <c r="L1152" s="204">
        <v>50</v>
      </c>
      <c r="M1152" s="204">
        <v>33.299999999999997</v>
      </c>
      <c r="N1152" s="204">
        <v>50</v>
      </c>
      <c r="O1152" s="204">
        <v>50</v>
      </c>
      <c r="P1152" s="204">
        <v>100</v>
      </c>
      <c r="Q1152" s="44" t="s">
        <v>45</v>
      </c>
      <c r="R1152" s="205">
        <v>82</v>
      </c>
      <c r="S1152" s="205">
        <v>80</v>
      </c>
      <c r="T1152" s="217" t="s">
        <v>51</v>
      </c>
      <c r="U1152">
        <v>2.25</v>
      </c>
      <c r="V1152">
        <v>110</v>
      </c>
    </row>
    <row r="1153" spans="1:22" ht="13.5" customHeight="1">
      <c r="A1153" s="7" t="s">
        <v>33</v>
      </c>
      <c r="B1153" s="204">
        <v>71.400000000000006</v>
      </c>
      <c r="C1153" s="204">
        <v>38.799999999999997</v>
      </c>
      <c r="D1153" s="204">
        <v>37.5</v>
      </c>
      <c r="E1153" s="204">
        <v>50</v>
      </c>
      <c r="F1153" s="204">
        <v>66.7</v>
      </c>
      <c r="G1153" s="204">
        <v>50</v>
      </c>
      <c r="H1153" s="204">
        <v>66.7</v>
      </c>
      <c r="I1153" s="204">
        <v>40</v>
      </c>
      <c r="J1153" s="204">
        <v>100</v>
      </c>
      <c r="K1153" s="204">
        <v>33.299999999999997</v>
      </c>
      <c r="L1153" s="204">
        <v>100</v>
      </c>
      <c r="M1153" s="204">
        <v>50</v>
      </c>
      <c r="N1153" s="204">
        <v>100</v>
      </c>
      <c r="O1153" s="204">
        <v>100</v>
      </c>
      <c r="P1153" s="204">
        <v>100</v>
      </c>
      <c r="Q1153" s="44" t="s">
        <v>45</v>
      </c>
      <c r="R1153" s="205">
        <v>85</v>
      </c>
      <c r="S1153" s="205">
        <v>78</v>
      </c>
      <c r="T1153" s="217" t="s">
        <v>39</v>
      </c>
      <c r="U1153">
        <v>2.25</v>
      </c>
      <c r="V1153">
        <v>100</v>
      </c>
    </row>
    <row r="1154" spans="1:22" ht="13.5" customHeight="1">
      <c r="A1154" s="7" t="s">
        <v>22</v>
      </c>
      <c r="B1154" s="204">
        <v>66.7</v>
      </c>
      <c r="C1154" s="204">
        <v>60.6</v>
      </c>
      <c r="D1154" s="204">
        <v>50</v>
      </c>
      <c r="E1154" s="204">
        <v>85.7</v>
      </c>
      <c r="F1154" s="204">
        <v>66.7</v>
      </c>
      <c r="G1154" s="204">
        <v>85.7</v>
      </c>
      <c r="H1154" s="204">
        <v>100</v>
      </c>
      <c r="I1154" s="204">
        <v>80</v>
      </c>
      <c r="J1154" s="204">
        <v>80</v>
      </c>
      <c r="K1154" s="204">
        <v>100</v>
      </c>
      <c r="L1154" s="204">
        <v>100</v>
      </c>
      <c r="M1154" s="204">
        <v>100</v>
      </c>
      <c r="N1154" s="204">
        <v>100</v>
      </c>
      <c r="O1154" s="204">
        <v>100</v>
      </c>
      <c r="P1154" s="204">
        <v>100</v>
      </c>
      <c r="Q1154" s="44" t="s">
        <v>23</v>
      </c>
      <c r="R1154" s="205">
        <v>88</v>
      </c>
      <c r="S1154" s="205">
        <v>76</v>
      </c>
      <c r="T1154" s="217" t="s">
        <v>46</v>
      </c>
      <c r="U1154">
        <v>2.5</v>
      </c>
      <c r="V1154">
        <v>76</v>
      </c>
    </row>
    <row r="1155" spans="1:22" ht="13.5" customHeight="1">
      <c r="A1155" s="7" t="s">
        <v>31</v>
      </c>
      <c r="B1155" s="204">
        <v>50</v>
      </c>
      <c r="C1155" s="204">
        <v>22.2</v>
      </c>
      <c r="D1155" s="204">
        <v>25</v>
      </c>
      <c r="E1155" s="204">
        <v>100</v>
      </c>
      <c r="F1155" s="204">
        <v>100</v>
      </c>
      <c r="G1155" s="204">
        <v>100</v>
      </c>
      <c r="H1155" s="204">
        <v>100</v>
      </c>
      <c r="I1155" s="204">
        <v>100</v>
      </c>
      <c r="J1155" s="204">
        <v>100</v>
      </c>
      <c r="K1155" s="204">
        <v>100</v>
      </c>
      <c r="L1155" s="204">
        <v>100</v>
      </c>
      <c r="M1155" s="204">
        <v>60</v>
      </c>
      <c r="N1155" s="204">
        <v>100</v>
      </c>
      <c r="O1155" s="204">
        <v>66.7</v>
      </c>
      <c r="P1155" s="204">
        <v>50</v>
      </c>
      <c r="Q1155" s="44" t="s">
        <v>45</v>
      </c>
      <c r="R1155" s="205">
        <v>86</v>
      </c>
      <c r="S1155" s="205">
        <v>76</v>
      </c>
      <c r="T1155" s="217" t="s">
        <v>46</v>
      </c>
      <c r="U1155">
        <v>1.75</v>
      </c>
      <c r="V1155">
        <v>67</v>
      </c>
    </row>
    <row r="1156" spans="1:22" ht="13.5" customHeight="1">
      <c r="A1156" s="7" t="s">
        <v>33</v>
      </c>
      <c r="B1156" s="204">
        <v>33.299999999999997</v>
      </c>
      <c r="C1156" s="204">
        <v>36.9</v>
      </c>
      <c r="D1156" s="204">
        <v>60</v>
      </c>
      <c r="E1156" s="204">
        <v>83.3</v>
      </c>
      <c r="F1156" s="204">
        <v>80</v>
      </c>
      <c r="G1156" s="204">
        <v>71.400000000000006</v>
      </c>
      <c r="H1156" s="204">
        <v>66.7</v>
      </c>
      <c r="I1156" s="204">
        <v>62.5</v>
      </c>
      <c r="J1156" s="204">
        <v>80</v>
      </c>
      <c r="K1156" s="204">
        <v>100</v>
      </c>
      <c r="L1156" s="204">
        <v>100</v>
      </c>
      <c r="M1156" s="204">
        <v>100</v>
      </c>
      <c r="N1156" s="204">
        <v>100</v>
      </c>
      <c r="O1156" s="204">
        <v>100</v>
      </c>
      <c r="P1156" s="204">
        <v>100</v>
      </c>
      <c r="Q1156" s="44" t="s">
        <v>45</v>
      </c>
      <c r="R1156" s="205">
        <v>86</v>
      </c>
      <c r="S1156" s="205">
        <v>81</v>
      </c>
      <c r="T1156" s="217" t="s">
        <v>46</v>
      </c>
      <c r="U1156">
        <v>2.25</v>
      </c>
      <c r="V1156">
        <v>97</v>
      </c>
    </row>
    <row r="1157" spans="1:22" ht="13.5" customHeight="1">
      <c r="A1157" s="7" t="s">
        <v>25</v>
      </c>
      <c r="B1157" s="204">
        <v>72.7</v>
      </c>
      <c r="C1157" s="204">
        <v>74.400000000000006</v>
      </c>
      <c r="D1157" s="204">
        <v>90</v>
      </c>
      <c r="E1157" s="204">
        <v>42.9</v>
      </c>
      <c r="F1157" s="204">
        <v>0</v>
      </c>
      <c r="G1157" s="204">
        <v>42.9</v>
      </c>
      <c r="H1157" s="204">
        <v>0</v>
      </c>
      <c r="I1157" s="204">
        <v>50</v>
      </c>
      <c r="J1157" s="204">
        <v>50</v>
      </c>
      <c r="K1157" s="204">
        <v>33.299999999999997</v>
      </c>
      <c r="L1157" s="204">
        <v>0</v>
      </c>
      <c r="M1157" s="204">
        <v>0</v>
      </c>
      <c r="N1157" s="204">
        <v>0</v>
      </c>
      <c r="O1157" s="204">
        <v>66.7</v>
      </c>
      <c r="P1157" s="204">
        <v>0</v>
      </c>
      <c r="Q1157" s="44" t="s">
        <v>23</v>
      </c>
      <c r="R1157" s="205">
        <v>82</v>
      </c>
      <c r="S1157" s="205">
        <v>100</v>
      </c>
      <c r="T1157" s="217" t="s">
        <v>27</v>
      </c>
      <c r="U1157">
        <v>3.25</v>
      </c>
      <c r="V1157">
        <v>98</v>
      </c>
    </row>
    <row r="1158" spans="1:22" ht="13.5" customHeight="1">
      <c r="A1158" s="7" t="s">
        <v>42</v>
      </c>
      <c r="B1158" s="204">
        <v>37.5</v>
      </c>
      <c r="C1158" s="204">
        <v>39.1</v>
      </c>
      <c r="D1158" s="204">
        <v>0</v>
      </c>
      <c r="E1158" s="204">
        <v>0</v>
      </c>
      <c r="F1158" s="204">
        <v>0</v>
      </c>
      <c r="G1158" s="204">
        <v>0</v>
      </c>
      <c r="H1158" s="204">
        <v>0</v>
      </c>
      <c r="I1158" s="204">
        <v>0</v>
      </c>
      <c r="J1158" s="204">
        <v>0</v>
      </c>
      <c r="K1158" s="204">
        <v>0</v>
      </c>
      <c r="L1158" s="204">
        <v>0</v>
      </c>
      <c r="M1158" s="204">
        <v>0</v>
      </c>
      <c r="N1158" s="204">
        <v>0</v>
      </c>
      <c r="O1158" s="204">
        <v>0</v>
      </c>
      <c r="P1158" s="204">
        <v>0</v>
      </c>
      <c r="Q1158" s="44" t="s">
        <v>45</v>
      </c>
      <c r="R1158" s="205">
        <v>88</v>
      </c>
      <c r="S1158" s="205">
        <v>76</v>
      </c>
      <c r="T1158" s="217" t="s">
        <v>39</v>
      </c>
      <c r="U1158">
        <v>1.75</v>
      </c>
      <c r="V1158">
        <v>70</v>
      </c>
    </row>
    <row r="1159" spans="1:22" ht="13.5" customHeight="1">
      <c r="A1159" s="7" t="s">
        <v>29</v>
      </c>
      <c r="B1159" s="204">
        <v>100</v>
      </c>
      <c r="C1159" s="204">
        <v>84.6</v>
      </c>
      <c r="D1159" s="204">
        <v>83.3</v>
      </c>
      <c r="E1159" s="204">
        <v>100</v>
      </c>
      <c r="F1159" s="204">
        <v>100</v>
      </c>
      <c r="G1159" s="204">
        <v>100</v>
      </c>
      <c r="H1159" s="204">
        <v>100</v>
      </c>
      <c r="I1159" s="204">
        <v>100</v>
      </c>
      <c r="J1159" s="204">
        <v>100</v>
      </c>
      <c r="K1159" s="204">
        <v>100</v>
      </c>
      <c r="L1159" s="204">
        <v>100</v>
      </c>
      <c r="M1159" s="204">
        <v>100</v>
      </c>
      <c r="N1159" s="204">
        <v>100</v>
      </c>
      <c r="O1159" s="204">
        <v>100</v>
      </c>
      <c r="P1159" s="204">
        <v>100</v>
      </c>
      <c r="Q1159" s="44"/>
      <c r="R1159" s="205"/>
      <c r="S1159" s="205"/>
      <c r="T1159" s="10"/>
    </row>
    <row r="1160" spans="1:22" ht="13.5" customHeight="1">
      <c r="A1160" s="7" t="s">
        <v>79</v>
      </c>
      <c r="B1160" s="204">
        <v>50</v>
      </c>
      <c r="C1160" s="204">
        <v>50.8</v>
      </c>
      <c r="D1160" s="204">
        <v>62.5</v>
      </c>
      <c r="E1160" s="204">
        <v>100</v>
      </c>
      <c r="F1160" s="204">
        <v>100</v>
      </c>
      <c r="G1160" s="204">
        <v>100</v>
      </c>
      <c r="H1160" s="204">
        <v>100</v>
      </c>
      <c r="I1160" s="204">
        <v>60</v>
      </c>
      <c r="J1160" s="204">
        <v>60</v>
      </c>
      <c r="K1160" s="204">
        <v>100</v>
      </c>
      <c r="L1160" s="204">
        <v>100</v>
      </c>
      <c r="M1160" s="204">
        <v>100</v>
      </c>
      <c r="N1160" s="204">
        <v>100</v>
      </c>
      <c r="O1160" s="204">
        <v>100</v>
      </c>
      <c r="P1160" s="204">
        <v>100</v>
      </c>
      <c r="Q1160" s="44"/>
      <c r="R1160" s="205"/>
      <c r="S1160" s="205"/>
      <c r="T1160" s="10"/>
    </row>
    <row r="1161" spans="1:22" ht="13.5" customHeight="1">
      <c r="A1161" s="7" t="s">
        <v>57</v>
      </c>
      <c r="B1161" s="204">
        <v>68.400000000000006</v>
      </c>
      <c r="C1161" s="204">
        <v>84.6</v>
      </c>
      <c r="D1161" s="204">
        <v>83.3</v>
      </c>
      <c r="E1161" s="204">
        <v>100</v>
      </c>
      <c r="F1161" s="204">
        <v>100</v>
      </c>
      <c r="G1161" s="204">
        <v>100</v>
      </c>
      <c r="H1161" s="204">
        <v>100</v>
      </c>
      <c r="I1161" s="204">
        <v>100</v>
      </c>
      <c r="J1161" s="204">
        <v>100</v>
      </c>
      <c r="K1161" s="204">
        <v>100</v>
      </c>
      <c r="L1161" s="204">
        <v>100</v>
      </c>
      <c r="M1161" s="204">
        <v>100</v>
      </c>
      <c r="N1161" s="204">
        <v>100</v>
      </c>
      <c r="O1161" s="204">
        <v>50</v>
      </c>
      <c r="P1161" s="204">
        <v>50</v>
      </c>
      <c r="Q1161" s="44"/>
      <c r="R1161" s="205"/>
      <c r="S1161" s="205"/>
      <c r="T1161" s="10"/>
    </row>
    <row r="1162" spans="1:22">
      <c r="A1162" s="7" t="s">
        <v>31</v>
      </c>
      <c r="B1162" s="204">
        <v>42.9</v>
      </c>
      <c r="C1162" s="204">
        <v>38.1</v>
      </c>
      <c r="D1162" s="204">
        <v>35.700000000000003</v>
      </c>
      <c r="E1162" s="204">
        <v>100</v>
      </c>
      <c r="F1162" s="204">
        <v>100</v>
      </c>
      <c r="G1162" s="204">
        <v>100</v>
      </c>
      <c r="H1162" s="204">
        <v>100</v>
      </c>
      <c r="I1162" s="204">
        <v>25</v>
      </c>
      <c r="J1162" s="204">
        <v>100</v>
      </c>
      <c r="K1162" s="204">
        <v>100</v>
      </c>
      <c r="L1162" s="204">
        <v>100</v>
      </c>
      <c r="M1162" s="204">
        <v>100</v>
      </c>
      <c r="N1162" s="204">
        <v>100</v>
      </c>
      <c r="O1162" s="204">
        <v>33.299999999999997</v>
      </c>
      <c r="P1162" s="204">
        <v>33.299999999999997</v>
      </c>
      <c r="Q1162" s="44"/>
      <c r="R1162" s="205"/>
      <c r="S1162" s="205"/>
      <c r="T1162" s="10"/>
    </row>
    <row r="1163" spans="1:22">
      <c r="A1163" s="7" t="s">
        <v>77</v>
      </c>
      <c r="B1163" s="204">
        <v>50</v>
      </c>
      <c r="C1163" s="204">
        <v>73.3</v>
      </c>
      <c r="D1163" s="204">
        <v>66.7</v>
      </c>
      <c r="E1163" s="204">
        <v>100</v>
      </c>
      <c r="F1163" s="204">
        <v>100</v>
      </c>
      <c r="G1163" s="204">
        <v>100</v>
      </c>
      <c r="H1163" s="204">
        <v>100</v>
      </c>
      <c r="I1163" s="204">
        <v>83.3</v>
      </c>
      <c r="J1163" s="204">
        <v>83.3</v>
      </c>
      <c r="K1163" s="204">
        <v>100</v>
      </c>
      <c r="L1163" s="204">
        <v>100</v>
      </c>
      <c r="M1163" s="204">
        <v>100</v>
      </c>
      <c r="N1163" s="204">
        <v>100</v>
      </c>
      <c r="O1163" s="204">
        <v>100</v>
      </c>
      <c r="P1163" s="204">
        <v>100</v>
      </c>
      <c r="Q1163" s="44"/>
      <c r="R1163" s="205"/>
      <c r="S1163" s="205"/>
      <c r="T1163" s="10"/>
    </row>
    <row r="1164" spans="1:22">
      <c r="A1164" s="7" t="s">
        <v>53</v>
      </c>
      <c r="B1164" s="204">
        <v>50</v>
      </c>
      <c r="C1164" s="204">
        <v>55.6</v>
      </c>
      <c r="D1164" s="204">
        <v>50</v>
      </c>
      <c r="E1164" s="204">
        <v>0</v>
      </c>
      <c r="F1164" s="204">
        <v>0</v>
      </c>
      <c r="G1164" s="204">
        <v>33.299999999999997</v>
      </c>
      <c r="H1164" s="204">
        <v>33.299999999999997</v>
      </c>
      <c r="I1164" s="204">
        <v>66.7</v>
      </c>
      <c r="J1164" s="204">
        <v>66.7</v>
      </c>
      <c r="K1164" s="204">
        <v>0</v>
      </c>
      <c r="L1164" s="204">
        <v>0</v>
      </c>
      <c r="M1164" s="204">
        <v>0</v>
      </c>
      <c r="N1164" s="204">
        <v>0</v>
      </c>
      <c r="O1164" s="204">
        <v>66.7</v>
      </c>
      <c r="P1164" s="204">
        <v>66.7</v>
      </c>
      <c r="Q1164" s="44"/>
      <c r="R1164" s="205"/>
      <c r="S1164" s="205"/>
      <c r="T1164" s="10"/>
    </row>
    <row r="1165" spans="1:22">
      <c r="A1165" s="7" t="s">
        <v>42</v>
      </c>
      <c r="B1165" s="204">
        <v>63.6</v>
      </c>
      <c r="C1165" s="204">
        <v>38.799999999999997</v>
      </c>
      <c r="D1165" s="204">
        <v>44.4</v>
      </c>
      <c r="E1165" s="204">
        <v>0</v>
      </c>
      <c r="F1165" s="204">
        <v>0</v>
      </c>
      <c r="G1165" s="204">
        <v>0</v>
      </c>
      <c r="H1165" s="204">
        <v>0</v>
      </c>
      <c r="I1165" s="204">
        <v>0</v>
      </c>
      <c r="J1165" s="204">
        <v>0</v>
      </c>
      <c r="K1165" s="204">
        <v>0</v>
      </c>
      <c r="L1165" s="204">
        <v>0</v>
      </c>
      <c r="M1165" s="204">
        <v>0</v>
      </c>
      <c r="N1165" s="204">
        <v>0</v>
      </c>
      <c r="O1165" s="204">
        <v>50</v>
      </c>
      <c r="P1165" s="204">
        <v>50</v>
      </c>
      <c r="Q1165" s="44"/>
      <c r="R1165" s="205"/>
      <c r="S1165" s="205"/>
      <c r="T1165" s="10"/>
    </row>
    <row r="1166" spans="1:22">
      <c r="A1166" s="7" t="s">
        <v>55</v>
      </c>
      <c r="B1166" s="204">
        <v>55.6</v>
      </c>
      <c r="C1166" s="204">
        <v>76.2</v>
      </c>
      <c r="D1166" s="204">
        <v>100</v>
      </c>
      <c r="E1166" s="204">
        <v>100</v>
      </c>
      <c r="F1166" s="204">
        <v>100</v>
      </c>
      <c r="G1166" s="204">
        <v>100</v>
      </c>
      <c r="H1166" s="204">
        <v>100</v>
      </c>
      <c r="I1166" s="204">
        <v>100</v>
      </c>
      <c r="J1166" s="204">
        <v>100</v>
      </c>
      <c r="K1166" s="204">
        <v>100</v>
      </c>
      <c r="L1166" s="204">
        <v>100</v>
      </c>
      <c r="M1166" s="204">
        <v>100</v>
      </c>
      <c r="N1166" s="204">
        <v>100</v>
      </c>
      <c r="O1166" s="204">
        <v>88.9</v>
      </c>
      <c r="P1166" s="204">
        <v>100</v>
      </c>
      <c r="Q1166" s="44"/>
      <c r="R1166" s="205"/>
      <c r="S1166" s="205"/>
      <c r="T1166" s="10"/>
    </row>
    <row r="1167" spans="1:22">
      <c r="A1167" s="7" t="s">
        <v>33</v>
      </c>
      <c r="B1167" s="204">
        <v>100</v>
      </c>
      <c r="C1167" s="204">
        <v>68</v>
      </c>
      <c r="D1167" s="204">
        <v>80</v>
      </c>
      <c r="E1167" s="204">
        <v>100</v>
      </c>
      <c r="F1167" s="204">
        <v>100</v>
      </c>
      <c r="G1167" s="204">
        <v>100</v>
      </c>
      <c r="H1167" s="204">
        <v>100</v>
      </c>
      <c r="I1167" s="204">
        <v>100</v>
      </c>
      <c r="J1167" s="204">
        <v>100</v>
      </c>
      <c r="K1167" s="204">
        <v>100</v>
      </c>
      <c r="L1167" s="204">
        <v>100</v>
      </c>
      <c r="M1167" s="204">
        <v>100</v>
      </c>
      <c r="N1167" s="204">
        <v>100</v>
      </c>
      <c r="O1167" s="204">
        <v>100</v>
      </c>
      <c r="P1167" s="204">
        <v>100</v>
      </c>
      <c r="Q1167" s="44"/>
      <c r="R1167" s="205"/>
      <c r="S1167" s="205"/>
      <c r="T1167" s="10"/>
    </row>
    <row r="1168" spans="1:22">
      <c r="A1168" s="7" t="s">
        <v>22</v>
      </c>
      <c r="B1168" s="204">
        <v>76.900000000000006</v>
      </c>
      <c r="C1168" s="204">
        <v>80</v>
      </c>
      <c r="D1168" s="204">
        <v>66.7</v>
      </c>
      <c r="E1168" s="204">
        <v>50</v>
      </c>
      <c r="F1168" s="204">
        <v>50</v>
      </c>
      <c r="G1168" s="204">
        <v>75</v>
      </c>
      <c r="H1168" s="204">
        <v>75</v>
      </c>
      <c r="I1168" s="204">
        <v>60</v>
      </c>
      <c r="J1168" s="204">
        <v>60</v>
      </c>
      <c r="K1168" s="204">
        <v>100</v>
      </c>
      <c r="L1168" s="204">
        <v>100</v>
      </c>
      <c r="M1168" s="204">
        <v>100</v>
      </c>
      <c r="N1168" s="204">
        <v>100</v>
      </c>
      <c r="O1168" s="204">
        <v>100</v>
      </c>
      <c r="P1168" s="204">
        <v>100</v>
      </c>
      <c r="Q1168" s="44"/>
      <c r="R1168" s="205"/>
      <c r="S1168" s="205"/>
      <c r="T1168" s="10"/>
    </row>
    <row r="1169" spans="1:20">
      <c r="A1169" s="7" t="s">
        <v>36</v>
      </c>
      <c r="B1169" s="204">
        <v>62.5</v>
      </c>
      <c r="C1169" s="204">
        <v>50.8</v>
      </c>
      <c r="D1169" s="204">
        <v>40</v>
      </c>
      <c r="E1169" s="204">
        <v>50</v>
      </c>
      <c r="F1169" s="204">
        <v>50</v>
      </c>
      <c r="G1169" s="204">
        <v>50</v>
      </c>
      <c r="H1169" s="204">
        <v>50</v>
      </c>
      <c r="I1169" s="204">
        <v>0</v>
      </c>
      <c r="J1169" s="204">
        <v>0</v>
      </c>
      <c r="K1169" s="204">
        <v>50</v>
      </c>
      <c r="L1169" s="204">
        <v>50</v>
      </c>
      <c r="M1169" s="204">
        <v>50</v>
      </c>
      <c r="N1169" s="204">
        <v>50</v>
      </c>
      <c r="O1169" s="204">
        <v>33.299999999999997</v>
      </c>
      <c r="P1169" s="204">
        <v>33.299999999999997</v>
      </c>
      <c r="Q1169" s="44"/>
      <c r="R1169" s="205"/>
      <c r="S1169" s="205"/>
      <c r="T1169" s="10"/>
    </row>
    <row r="1170" spans="1:20">
      <c r="A1170" s="7" t="s">
        <v>31</v>
      </c>
      <c r="B1170" s="204">
        <v>47.1</v>
      </c>
      <c r="C1170" s="204">
        <v>68</v>
      </c>
      <c r="D1170" s="204">
        <v>50</v>
      </c>
      <c r="E1170" s="204">
        <v>100</v>
      </c>
      <c r="F1170" s="204">
        <v>100</v>
      </c>
      <c r="G1170" s="204">
        <v>50</v>
      </c>
      <c r="H1170" s="204">
        <v>50</v>
      </c>
      <c r="I1170" s="204">
        <v>52.9</v>
      </c>
      <c r="J1170" s="204">
        <v>53.8</v>
      </c>
      <c r="K1170" s="204">
        <v>100</v>
      </c>
      <c r="L1170" s="204">
        <v>100</v>
      </c>
      <c r="M1170" s="204">
        <v>100</v>
      </c>
      <c r="N1170" s="204">
        <v>100</v>
      </c>
      <c r="O1170" s="204">
        <v>100</v>
      </c>
      <c r="P1170" s="204">
        <v>100</v>
      </c>
      <c r="Q1170" s="44"/>
      <c r="R1170" s="205"/>
      <c r="S1170" s="205"/>
      <c r="T1170" s="10"/>
    </row>
    <row r="1171" spans="1:20">
      <c r="A1171" s="7" t="s">
        <v>33</v>
      </c>
      <c r="B1171" s="204">
        <v>55.6</v>
      </c>
      <c r="C1171" s="204">
        <v>59.6</v>
      </c>
      <c r="D1171" s="204">
        <v>72.7</v>
      </c>
      <c r="E1171" s="204">
        <v>100</v>
      </c>
      <c r="F1171" s="204">
        <v>100</v>
      </c>
      <c r="G1171" s="204">
        <v>100</v>
      </c>
      <c r="H1171" s="204">
        <v>100</v>
      </c>
      <c r="I1171" s="204">
        <v>66.7</v>
      </c>
      <c r="J1171" s="204">
        <v>66.7</v>
      </c>
      <c r="K1171" s="204">
        <v>100</v>
      </c>
      <c r="L1171" s="204">
        <v>100</v>
      </c>
      <c r="M1171" s="204">
        <v>100</v>
      </c>
      <c r="N1171" s="204">
        <v>100</v>
      </c>
      <c r="O1171" s="204">
        <v>100</v>
      </c>
      <c r="P1171" s="204">
        <v>100</v>
      </c>
      <c r="Q1171" s="44"/>
      <c r="R1171" s="205"/>
      <c r="S1171" s="205"/>
      <c r="T1171" s="10"/>
    </row>
    <row r="1172" spans="1:20">
      <c r="A1172" s="7" t="s">
        <v>31</v>
      </c>
      <c r="B1172" s="204">
        <v>60</v>
      </c>
      <c r="C1172" s="204">
        <v>55.6</v>
      </c>
      <c r="D1172" s="204">
        <v>66.7</v>
      </c>
      <c r="E1172" s="204">
        <v>50</v>
      </c>
      <c r="F1172" s="204">
        <v>50</v>
      </c>
      <c r="G1172" s="204">
        <v>75</v>
      </c>
      <c r="H1172" s="204">
        <v>75</v>
      </c>
      <c r="I1172" s="204">
        <v>83.3</v>
      </c>
      <c r="J1172" s="204">
        <v>83.3</v>
      </c>
      <c r="K1172" s="204">
        <v>100</v>
      </c>
      <c r="L1172" s="204">
        <v>100</v>
      </c>
      <c r="M1172" s="204">
        <v>100</v>
      </c>
      <c r="N1172" s="204">
        <v>100</v>
      </c>
      <c r="O1172" s="204">
        <v>66.7</v>
      </c>
      <c r="P1172" s="204">
        <v>66.7</v>
      </c>
      <c r="Q1172" s="44"/>
      <c r="R1172" s="205"/>
      <c r="S1172" s="205"/>
      <c r="T1172" s="10"/>
    </row>
    <row r="1173" spans="1:20">
      <c r="A1173" s="7" t="s">
        <v>36</v>
      </c>
      <c r="B1173" s="204">
        <v>76.900000000000006</v>
      </c>
      <c r="C1173" s="204">
        <v>86.4</v>
      </c>
      <c r="D1173" s="204">
        <v>75</v>
      </c>
      <c r="E1173" s="204">
        <v>33.299999999999997</v>
      </c>
      <c r="F1173" s="204">
        <v>33.299999999999997</v>
      </c>
      <c r="G1173" s="204">
        <v>0</v>
      </c>
      <c r="H1173" s="204">
        <v>0</v>
      </c>
      <c r="I1173" s="204">
        <v>20</v>
      </c>
      <c r="J1173" s="204">
        <v>20</v>
      </c>
      <c r="K1173" s="204">
        <v>0</v>
      </c>
      <c r="L1173" s="204">
        <v>0</v>
      </c>
      <c r="M1173" s="204">
        <v>0</v>
      </c>
      <c r="N1173" s="204">
        <v>0</v>
      </c>
      <c r="O1173" s="204">
        <v>0</v>
      </c>
      <c r="P1173" s="204">
        <v>0</v>
      </c>
      <c r="Q1173" s="44"/>
      <c r="R1173" s="205"/>
      <c r="S1173" s="205"/>
      <c r="T1173" s="10"/>
    </row>
    <row r="1174" spans="1:20">
      <c r="A1174" s="7" t="s">
        <v>22</v>
      </c>
      <c r="B1174" s="204">
        <v>62.5</v>
      </c>
      <c r="C1174" s="204">
        <v>55.6</v>
      </c>
      <c r="D1174" s="204">
        <v>85.7</v>
      </c>
      <c r="E1174" s="204">
        <v>100</v>
      </c>
      <c r="F1174" s="204">
        <v>100</v>
      </c>
      <c r="G1174" s="204">
        <v>100</v>
      </c>
      <c r="H1174" s="204">
        <v>100</v>
      </c>
      <c r="I1174" s="204">
        <v>100</v>
      </c>
      <c r="J1174" s="204">
        <v>100</v>
      </c>
      <c r="K1174" s="204">
        <v>66.7</v>
      </c>
      <c r="L1174" s="204">
        <v>66.7</v>
      </c>
      <c r="M1174" s="204">
        <v>66.7</v>
      </c>
      <c r="N1174" s="204">
        <v>66.7</v>
      </c>
      <c r="O1174" s="204">
        <v>50</v>
      </c>
      <c r="P1174" s="204">
        <v>50</v>
      </c>
      <c r="Q1174" s="44"/>
      <c r="R1174" s="205"/>
      <c r="S1174" s="205"/>
      <c r="T1174" s="10"/>
    </row>
    <row r="1175" spans="1:20">
      <c r="A1175" s="7" t="s">
        <v>36</v>
      </c>
      <c r="B1175" s="204">
        <v>58</v>
      </c>
      <c r="C1175" s="204">
        <v>87.5</v>
      </c>
      <c r="D1175" s="204">
        <v>75</v>
      </c>
      <c r="E1175" s="204">
        <v>0</v>
      </c>
      <c r="F1175" s="204">
        <v>0</v>
      </c>
      <c r="G1175" s="204">
        <v>50</v>
      </c>
      <c r="H1175" s="204">
        <v>0</v>
      </c>
      <c r="I1175" s="204">
        <v>60</v>
      </c>
      <c r="J1175" s="204">
        <v>0</v>
      </c>
      <c r="K1175" s="204">
        <v>50</v>
      </c>
      <c r="L1175" s="204">
        <v>50</v>
      </c>
      <c r="M1175" s="204">
        <v>50</v>
      </c>
      <c r="N1175" s="204">
        <v>50</v>
      </c>
      <c r="O1175" s="204">
        <v>66.7</v>
      </c>
      <c r="P1175" s="204">
        <v>66.7</v>
      </c>
      <c r="Q1175" s="44"/>
      <c r="R1175" s="205"/>
      <c r="S1175" s="205"/>
      <c r="T1175" s="10"/>
    </row>
    <row r="1176" spans="1:20">
      <c r="A1176" s="7" t="s">
        <v>33</v>
      </c>
      <c r="B1176" s="204">
        <v>76.900000000000006</v>
      </c>
      <c r="C1176" s="204">
        <v>59.6</v>
      </c>
      <c r="D1176" s="204">
        <v>60</v>
      </c>
      <c r="E1176" s="204">
        <v>100</v>
      </c>
      <c r="F1176" s="204">
        <v>100</v>
      </c>
      <c r="G1176" s="204">
        <v>85.7</v>
      </c>
      <c r="H1176" s="204">
        <v>83.3</v>
      </c>
      <c r="I1176" s="204">
        <v>100</v>
      </c>
      <c r="J1176" s="204">
        <v>100</v>
      </c>
      <c r="K1176" s="204">
        <v>66.7</v>
      </c>
      <c r="L1176" s="204">
        <v>50</v>
      </c>
      <c r="M1176" s="204">
        <v>100</v>
      </c>
      <c r="N1176" s="204">
        <v>100</v>
      </c>
      <c r="O1176" s="204">
        <v>100</v>
      </c>
      <c r="P1176" s="204">
        <v>100</v>
      </c>
      <c r="Q1176" s="44"/>
      <c r="R1176" s="205"/>
      <c r="S1176" s="205"/>
      <c r="T1176" s="10"/>
    </row>
    <row r="1177" spans="1:20">
      <c r="A1177" s="7" t="s">
        <v>42</v>
      </c>
      <c r="B1177" s="204">
        <v>47.1</v>
      </c>
      <c r="C1177" s="204">
        <v>68</v>
      </c>
      <c r="D1177" s="204">
        <v>50</v>
      </c>
      <c r="E1177" s="204">
        <v>60</v>
      </c>
      <c r="F1177" s="204">
        <v>33.299999999999997</v>
      </c>
      <c r="G1177" s="204">
        <v>60</v>
      </c>
      <c r="H1177" s="204">
        <v>33.299999999999997</v>
      </c>
      <c r="I1177" s="204">
        <v>66.7</v>
      </c>
      <c r="J1177" s="204">
        <v>64.7</v>
      </c>
      <c r="K1177" s="204">
        <v>0</v>
      </c>
      <c r="L1177" s="204">
        <v>0</v>
      </c>
      <c r="M1177" s="204">
        <v>0</v>
      </c>
      <c r="N1177" s="204">
        <v>0</v>
      </c>
      <c r="O1177" s="204">
        <v>25</v>
      </c>
      <c r="P1177" s="204">
        <v>25</v>
      </c>
      <c r="Q1177" s="44"/>
      <c r="R1177" s="205"/>
      <c r="S1177" s="205"/>
      <c r="T1177" s="10"/>
    </row>
    <row r="1178" spans="1:20">
      <c r="A1178" s="7" t="s">
        <v>42</v>
      </c>
      <c r="B1178" s="204">
        <v>55.6</v>
      </c>
      <c r="C1178" s="204">
        <v>22.2</v>
      </c>
      <c r="D1178" s="204">
        <v>0</v>
      </c>
      <c r="E1178" s="204">
        <v>0</v>
      </c>
      <c r="F1178" s="204">
        <v>0</v>
      </c>
      <c r="G1178" s="204">
        <v>0</v>
      </c>
      <c r="H1178" s="204">
        <v>0</v>
      </c>
      <c r="I1178" s="204">
        <v>0</v>
      </c>
      <c r="J1178" s="204">
        <v>0</v>
      </c>
      <c r="K1178" s="204">
        <v>0</v>
      </c>
      <c r="L1178" s="204">
        <v>0</v>
      </c>
      <c r="M1178" s="204">
        <v>0</v>
      </c>
      <c r="N1178" s="204">
        <v>0</v>
      </c>
      <c r="O1178" s="204">
        <v>0</v>
      </c>
      <c r="P1178" s="204">
        <v>0</v>
      </c>
      <c r="Q1178" s="44"/>
      <c r="R1178" s="205"/>
      <c r="S1178" s="205"/>
      <c r="T1178" s="10"/>
    </row>
    <row r="1179" spans="1:20">
      <c r="A1179" s="7" t="s">
        <v>43</v>
      </c>
      <c r="B1179" s="204">
        <v>45.2</v>
      </c>
      <c r="C1179" s="204">
        <v>39.1</v>
      </c>
      <c r="D1179" s="204">
        <v>57.1</v>
      </c>
      <c r="E1179" s="204">
        <v>50</v>
      </c>
      <c r="F1179" s="204">
        <v>50</v>
      </c>
      <c r="G1179" s="204">
        <v>50</v>
      </c>
      <c r="H1179" s="204">
        <v>50</v>
      </c>
      <c r="I1179" s="204">
        <v>62.5</v>
      </c>
      <c r="J1179" s="204">
        <v>50</v>
      </c>
      <c r="K1179" s="204">
        <v>100</v>
      </c>
      <c r="L1179" s="204">
        <v>100</v>
      </c>
      <c r="M1179" s="204">
        <v>100</v>
      </c>
      <c r="N1179" s="204">
        <v>100</v>
      </c>
      <c r="O1179" s="204">
        <v>60</v>
      </c>
      <c r="P1179" s="204">
        <v>50</v>
      </c>
      <c r="Q1179" s="44"/>
      <c r="R1179" s="205"/>
      <c r="S1179" s="205"/>
      <c r="T1179" s="10"/>
    </row>
    <row r="1180" spans="1:20">
      <c r="A1180" s="7" t="s">
        <v>29</v>
      </c>
      <c r="B1180" s="204">
        <v>60</v>
      </c>
      <c r="C1180" s="204">
        <v>39.1</v>
      </c>
      <c r="D1180" s="204">
        <v>50</v>
      </c>
      <c r="E1180" s="204">
        <v>100</v>
      </c>
      <c r="F1180" s="204">
        <v>100</v>
      </c>
      <c r="G1180" s="204">
        <v>100</v>
      </c>
      <c r="H1180" s="204">
        <v>100</v>
      </c>
      <c r="I1180" s="204">
        <v>66.7</v>
      </c>
      <c r="J1180" s="204">
        <v>66.7</v>
      </c>
      <c r="K1180" s="204">
        <v>100</v>
      </c>
      <c r="L1180" s="204">
        <v>100</v>
      </c>
      <c r="M1180" s="204">
        <v>100</v>
      </c>
      <c r="N1180" s="204">
        <v>100</v>
      </c>
      <c r="O1180" s="204">
        <v>100</v>
      </c>
      <c r="P1180" s="204">
        <v>100</v>
      </c>
      <c r="Q1180" s="44"/>
      <c r="R1180" s="205"/>
      <c r="S1180" s="205"/>
      <c r="T1180" s="10"/>
    </row>
    <row r="1181" spans="1:20">
      <c r="A1181" s="7" t="s">
        <v>22</v>
      </c>
      <c r="B1181" s="204">
        <v>76.900000000000006</v>
      </c>
      <c r="C1181" s="204">
        <v>86.4</v>
      </c>
      <c r="D1181" s="204">
        <v>75</v>
      </c>
      <c r="E1181" s="204">
        <v>33.299999999999997</v>
      </c>
      <c r="F1181" s="204">
        <v>33.299999999999997</v>
      </c>
      <c r="G1181" s="204">
        <v>50</v>
      </c>
      <c r="H1181" s="204">
        <v>50</v>
      </c>
      <c r="I1181" s="204">
        <v>20</v>
      </c>
      <c r="J1181" s="204">
        <v>20</v>
      </c>
      <c r="K1181" s="204">
        <v>100</v>
      </c>
      <c r="L1181" s="204">
        <v>100</v>
      </c>
      <c r="M1181" s="204">
        <v>100</v>
      </c>
      <c r="N1181" s="204">
        <v>100</v>
      </c>
      <c r="O1181" s="204">
        <v>80</v>
      </c>
      <c r="P1181" s="204">
        <v>80</v>
      </c>
      <c r="Q1181" s="44"/>
      <c r="R1181" s="205"/>
      <c r="S1181" s="205"/>
      <c r="T1181" s="10"/>
    </row>
    <row r="1182" spans="1:20">
      <c r="A1182" s="7" t="s">
        <v>33</v>
      </c>
      <c r="B1182" s="204">
        <v>58</v>
      </c>
      <c r="C1182" s="204">
        <v>39.1</v>
      </c>
      <c r="D1182" s="204">
        <v>57.1</v>
      </c>
      <c r="E1182" s="204">
        <v>50</v>
      </c>
      <c r="F1182" s="204">
        <v>50</v>
      </c>
      <c r="G1182" s="204">
        <v>50</v>
      </c>
      <c r="H1182" s="204">
        <v>50</v>
      </c>
      <c r="I1182" s="204">
        <v>50</v>
      </c>
      <c r="J1182" s="204">
        <v>50</v>
      </c>
      <c r="K1182" s="204">
        <v>100</v>
      </c>
      <c r="L1182" s="204">
        <v>100</v>
      </c>
      <c r="M1182" s="204">
        <v>100</v>
      </c>
      <c r="N1182" s="204">
        <v>100</v>
      </c>
      <c r="O1182" s="204">
        <v>100</v>
      </c>
      <c r="P1182" s="204">
        <v>100</v>
      </c>
      <c r="Q1182" s="44"/>
      <c r="R1182" s="205"/>
      <c r="S1182" s="205"/>
      <c r="T1182" s="10"/>
    </row>
    <row r="1183" spans="1:20">
      <c r="A1183" s="7" t="s">
        <v>36</v>
      </c>
      <c r="B1183" s="204">
        <v>46.2</v>
      </c>
      <c r="C1183" s="204">
        <v>57.9</v>
      </c>
      <c r="D1183" s="204">
        <v>42.9</v>
      </c>
      <c r="E1183" s="204">
        <v>50</v>
      </c>
      <c r="F1183" s="204">
        <v>50</v>
      </c>
      <c r="G1183" s="204">
        <v>50</v>
      </c>
      <c r="H1183" s="204">
        <v>50</v>
      </c>
      <c r="I1183" s="204">
        <v>62.5</v>
      </c>
      <c r="J1183" s="204">
        <v>50</v>
      </c>
      <c r="K1183" s="204">
        <v>0</v>
      </c>
      <c r="L1183" s="204">
        <v>0</v>
      </c>
      <c r="M1183" s="204">
        <v>0</v>
      </c>
      <c r="N1183" s="204">
        <v>0</v>
      </c>
      <c r="O1183" s="204">
        <v>50</v>
      </c>
      <c r="P1183" s="204">
        <v>50</v>
      </c>
      <c r="Q1183" s="44"/>
      <c r="R1183" s="205"/>
      <c r="S1183" s="205"/>
      <c r="T1183" s="10"/>
    </row>
    <row r="1184" spans="1:20">
      <c r="A1184" s="7" t="s">
        <v>22</v>
      </c>
      <c r="B1184" s="204">
        <v>57.7</v>
      </c>
      <c r="C1184" s="204">
        <v>59.6</v>
      </c>
      <c r="D1184" s="204">
        <v>60</v>
      </c>
      <c r="E1184" s="204">
        <v>85.7</v>
      </c>
      <c r="F1184" s="204">
        <v>100</v>
      </c>
      <c r="G1184" s="204">
        <v>100</v>
      </c>
      <c r="H1184" s="204">
        <v>100</v>
      </c>
      <c r="I1184" s="204">
        <v>66.7</v>
      </c>
      <c r="J1184" s="204">
        <v>64.7</v>
      </c>
      <c r="K1184" s="204">
        <v>100</v>
      </c>
      <c r="L1184" s="204">
        <v>100</v>
      </c>
      <c r="M1184" s="204">
        <v>100</v>
      </c>
      <c r="N1184" s="204">
        <v>100</v>
      </c>
      <c r="O1184" s="204">
        <v>100</v>
      </c>
      <c r="P1184" s="204">
        <v>100</v>
      </c>
      <c r="Q1184" s="44"/>
      <c r="R1184" s="205"/>
      <c r="S1184" s="205"/>
      <c r="T1184" s="10"/>
    </row>
    <row r="1185" spans="1:20">
      <c r="A1185" s="7" t="s">
        <v>36</v>
      </c>
      <c r="B1185" s="204">
        <v>33.299999999999997</v>
      </c>
      <c r="C1185" s="204">
        <v>60.6</v>
      </c>
      <c r="D1185" s="204">
        <v>66.7</v>
      </c>
      <c r="E1185" s="204">
        <v>33.299999999999997</v>
      </c>
      <c r="F1185" s="204">
        <v>33.299999999999997</v>
      </c>
      <c r="G1185" s="204">
        <v>33.299999999999997</v>
      </c>
      <c r="H1185" s="204">
        <v>33.299999999999997</v>
      </c>
      <c r="I1185" s="204">
        <v>20</v>
      </c>
      <c r="J1185" s="204">
        <v>20</v>
      </c>
      <c r="K1185" s="204">
        <v>0</v>
      </c>
      <c r="L1185" s="204">
        <v>0</v>
      </c>
      <c r="M1185" s="204">
        <v>33.299999999999997</v>
      </c>
      <c r="N1185" s="204">
        <v>33.299999999999997</v>
      </c>
      <c r="O1185" s="204">
        <v>40</v>
      </c>
      <c r="P1185" s="204">
        <v>40</v>
      </c>
      <c r="Q1185" s="44"/>
      <c r="R1185" s="205"/>
      <c r="S1185" s="205"/>
      <c r="T1185" s="10"/>
    </row>
    <row r="1186" spans="1:20">
      <c r="A1186" s="7" t="s">
        <v>25</v>
      </c>
      <c r="B1186" s="204">
        <v>47.1</v>
      </c>
      <c r="C1186" s="204">
        <v>68</v>
      </c>
      <c r="D1186" s="204">
        <v>50</v>
      </c>
      <c r="E1186" s="204">
        <v>0</v>
      </c>
      <c r="F1186" s="204">
        <v>0</v>
      </c>
      <c r="G1186" s="204">
        <v>20</v>
      </c>
      <c r="H1186" s="204">
        <v>25</v>
      </c>
      <c r="I1186" s="204">
        <v>52.9</v>
      </c>
      <c r="J1186" s="204">
        <v>53.8</v>
      </c>
      <c r="K1186" s="204">
        <v>0</v>
      </c>
      <c r="L1186" s="204">
        <v>0</v>
      </c>
      <c r="M1186" s="204">
        <v>40</v>
      </c>
      <c r="N1186" s="204">
        <v>50</v>
      </c>
      <c r="O1186" s="204">
        <v>25</v>
      </c>
      <c r="P1186" s="204">
        <v>25</v>
      </c>
      <c r="Q1186" s="44"/>
      <c r="R1186" s="205"/>
      <c r="S1186" s="205"/>
      <c r="T1186" s="10"/>
    </row>
    <row r="1187" spans="1:20">
      <c r="A1187" s="7" t="s">
        <v>33</v>
      </c>
      <c r="B1187" s="204">
        <v>68.400000000000006</v>
      </c>
      <c r="C1187" s="204">
        <v>80</v>
      </c>
      <c r="D1187" s="204">
        <v>66.7</v>
      </c>
      <c r="E1187" s="204">
        <v>100</v>
      </c>
      <c r="F1187" s="204">
        <v>100</v>
      </c>
      <c r="G1187" s="204">
        <v>83.3</v>
      </c>
      <c r="H1187" s="204">
        <v>80</v>
      </c>
      <c r="I1187" s="204">
        <v>100</v>
      </c>
      <c r="J1187" s="204">
        <v>100</v>
      </c>
      <c r="K1187" s="204">
        <v>100</v>
      </c>
      <c r="L1187" s="204">
        <v>100</v>
      </c>
      <c r="M1187" s="204">
        <v>50</v>
      </c>
      <c r="N1187" s="204">
        <v>50</v>
      </c>
      <c r="O1187" s="204">
        <v>40</v>
      </c>
      <c r="P1187" s="204">
        <v>40</v>
      </c>
      <c r="Q1187" s="44"/>
      <c r="R1187" s="205"/>
      <c r="S1187" s="205"/>
      <c r="T1187" s="10"/>
    </row>
    <row r="1188" spans="1:20">
      <c r="A1188" s="7" t="s">
        <v>31</v>
      </c>
      <c r="B1188" s="204">
        <v>57.7</v>
      </c>
      <c r="C1188" s="204">
        <v>63.6</v>
      </c>
      <c r="D1188" s="204">
        <v>50</v>
      </c>
      <c r="E1188" s="204">
        <v>85.7</v>
      </c>
      <c r="F1188" s="204">
        <v>100</v>
      </c>
      <c r="G1188" s="204">
        <v>66.7</v>
      </c>
      <c r="H1188" s="204">
        <v>85.7</v>
      </c>
      <c r="I1188" s="204">
        <v>66.7</v>
      </c>
      <c r="J1188" s="204">
        <v>64.7</v>
      </c>
      <c r="K1188" s="204">
        <v>100</v>
      </c>
      <c r="L1188" s="204">
        <v>100</v>
      </c>
      <c r="M1188" s="204">
        <v>100</v>
      </c>
      <c r="N1188" s="204">
        <v>100</v>
      </c>
      <c r="O1188" s="204">
        <v>88.9</v>
      </c>
      <c r="P1188" s="204">
        <v>100</v>
      </c>
      <c r="Q1188" s="44"/>
      <c r="R1188" s="205"/>
      <c r="S1188" s="205"/>
      <c r="T1188" s="10"/>
    </row>
    <row r="1189" spans="1:20">
      <c r="A1189" s="7" t="s">
        <v>33</v>
      </c>
      <c r="B1189" s="204">
        <v>46.2</v>
      </c>
      <c r="C1189" s="204">
        <v>36.9</v>
      </c>
      <c r="D1189" s="204">
        <v>42.9</v>
      </c>
      <c r="E1189" s="204">
        <v>33.299999999999997</v>
      </c>
      <c r="F1189" s="204">
        <v>100</v>
      </c>
      <c r="G1189" s="204">
        <v>33.299999999999997</v>
      </c>
      <c r="H1189" s="204">
        <v>100</v>
      </c>
      <c r="I1189" s="204">
        <v>40</v>
      </c>
      <c r="J1189" s="204">
        <v>60</v>
      </c>
      <c r="K1189" s="204">
        <v>50</v>
      </c>
      <c r="L1189" s="204">
        <v>100</v>
      </c>
      <c r="M1189" s="204">
        <v>33.299999999999997</v>
      </c>
      <c r="N1189" s="204">
        <v>100</v>
      </c>
      <c r="O1189" s="204">
        <v>28.6</v>
      </c>
      <c r="P1189" s="204">
        <v>66.7</v>
      </c>
      <c r="Q1189" s="44"/>
      <c r="R1189" s="205"/>
      <c r="S1189" s="205"/>
      <c r="T1189" s="10"/>
    </row>
    <row r="1190" spans="1:20">
      <c r="B1190" s="204"/>
      <c r="C1190" s="204"/>
      <c r="D1190" s="204"/>
      <c r="E1190" s="204"/>
      <c r="F1190" s="204"/>
      <c r="G1190" s="204"/>
      <c r="H1190" s="204"/>
      <c r="I1190" s="204"/>
      <c r="J1190" s="204"/>
      <c r="K1190" s="204"/>
      <c r="L1190" s="204"/>
      <c r="M1190" s="204"/>
      <c r="N1190" s="204"/>
      <c r="O1190" s="204"/>
      <c r="P1190" s="204"/>
      <c r="Q1190" s="44"/>
      <c r="R1190" s="205"/>
      <c r="S1190" s="205"/>
      <c r="T1190" s="10"/>
    </row>
    <row r="1191" spans="1:20">
      <c r="B1191" s="204"/>
      <c r="C1191" s="204"/>
      <c r="D1191" s="204"/>
      <c r="E1191" s="204"/>
      <c r="F1191" s="204"/>
      <c r="G1191" s="204"/>
      <c r="H1191" s="204"/>
      <c r="I1191" s="204"/>
      <c r="J1191" s="204"/>
      <c r="K1191" s="204"/>
      <c r="L1191" s="204"/>
      <c r="M1191" s="204"/>
      <c r="N1191" s="204"/>
      <c r="O1191" s="204"/>
      <c r="P1191" s="204"/>
      <c r="Q1191" s="44"/>
      <c r="R1191" s="205"/>
      <c r="S1191" s="205"/>
      <c r="T1191" s="10"/>
    </row>
    <row r="1192" spans="1:20">
      <c r="B1192" s="204"/>
      <c r="C1192" s="204"/>
      <c r="D1192" s="204"/>
      <c r="E1192" s="204"/>
      <c r="F1192" s="204"/>
      <c r="G1192" s="204"/>
      <c r="H1192" s="204"/>
      <c r="I1192" s="204"/>
      <c r="J1192" s="204"/>
      <c r="K1192" s="204"/>
      <c r="L1192" s="204"/>
      <c r="M1192" s="204"/>
      <c r="N1192" s="204"/>
      <c r="O1192" s="204"/>
      <c r="P1192" s="204"/>
      <c r="Q1192" s="44"/>
      <c r="R1192" s="205"/>
      <c r="S1192" s="205"/>
      <c r="T1192" s="10"/>
    </row>
    <row r="1193" spans="1:20">
      <c r="B1193" s="204"/>
      <c r="C1193" s="204"/>
      <c r="D1193" s="204"/>
      <c r="E1193" s="204"/>
      <c r="F1193" s="204"/>
      <c r="G1193" s="204"/>
      <c r="H1193" s="204"/>
      <c r="I1193" s="204"/>
      <c r="J1193" s="204"/>
      <c r="K1193" s="204"/>
      <c r="L1193" s="204"/>
      <c r="M1193" s="204"/>
      <c r="N1193" s="204"/>
      <c r="O1193" s="204"/>
      <c r="P1193" s="204"/>
      <c r="Q1193" s="44"/>
      <c r="R1193" s="205"/>
      <c r="S1193" s="205"/>
      <c r="T1193" s="10"/>
    </row>
    <row r="1194" spans="1:20">
      <c r="B1194" s="204"/>
      <c r="C1194" s="204"/>
      <c r="D1194" s="204"/>
      <c r="E1194" s="204"/>
      <c r="F1194" s="204"/>
      <c r="G1194" s="204"/>
      <c r="H1194" s="204"/>
      <c r="I1194" s="204"/>
      <c r="J1194" s="204"/>
      <c r="K1194" s="204"/>
      <c r="L1194" s="204"/>
      <c r="M1194" s="204"/>
      <c r="N1194" s="204"/>
      <c r="O1194" s="204"/>
      <c r="P1194" s="204"/>
      <c r="T1194" s="217"/>
    </row>
    <row r="1195" spans="1:20">
      <c r="B1195" s="204"/>
      <c r="C1195" s="204"/>
      <c r="D1195" s="204"/>
      <c r="E1195" s="204"/>
      <c r="F1195" s="204"/>
      <c r="G1195" s="204"/>
      <c r="H1195" s="204"/>
      <c r="I1195" s="204"/>
      <c r="J1195" s="204"/>
      <c r="K1195" s="204"/>
      <c r="L1195" s="204"/>
      <c r="M1195" s="204"/>
      <c r="N1195" s="204"/>
      <c r="O1195" s="204"/>
      <c r="P1195" s="204"/>
      <c r="Q1195" s="213"/>
      <c r="R1195" s="214"/>
      <c r="S1195" s="214"/>
      <c r="T1195" s="217"/>
    </row>
    <row r="1196" spans="1:20">
      <c r="B1196" s="204"/>
      <c r="C1196" s="204"/>
      <c r="D1196" s="204"/>
      <c r="E1196" s="204"/>
      <c r="F1196" s="204"/>
      <c r="G1196" s="204"/>
      <c r="H1196" s="204"/>
      <c r="I1196" s="204"/>
      <c r="J1196" s="204"/>
      <c r="K1196" s="204"/>
      <c r="L1196" s="204"/>
      <c r="M1196" s="204"/>
      <c r="N1196" s="204"/>
      <c r="O1196" s="204"/>
      <c r="P1196" s="204"/>
      <c r="Q1196" s="213"/>
      <c r="R1196" s="214"/>
      <c r="S1196" s="214"/>
      <c r="T1196" s="217"/>
    </row>
    <row r="1197" spans="1:20">
      <c r="B1197" s="204"/>
      <c r="C1197" s="204"/>
      <c r="D1197" s="204"/>
      <c r="E1197" s="204"/>
      <c r="F1197" s="204"/>
      <c r="G1197" s="204"/>
      <c r="H1197" s="204"/>
      <c r="I1197" s="204"/>
      <c r="J1197" s="204"/>
      <c r="K1197" s="204"/>
      <c r="L1197" s="204"/>
      <c r="M1197" s="204"/>
      <c r="N1197" s="204"/>
      <c r="O1197" s="204"/>
      <c r="P1197" s="204"/>
      <c r="Q1197" s="213"/>
      <c r="R1197" s="214"/>
      <c r="S1197" s="214"/>
      <c r="T1197" s="217"/>
    </row>
    <row r="1198" spans="1:20">
      <c r="B1198" s="204"/>
      <c r="C1198" s="204"/>
      <c r="D1198" s="204"/>
      <c r="E1198" s="204"/>
      <c r="F1198" s="204"/>
      <c r="G1198" s="204"/>
      <c r="H1198" s="204"/>
      <c r="I1198" s="204"/>
      <c r="J1198" s="204"/>
      <c r="K1198" s="204"/>
      <c r="L1198" s="204"/>
      <c r="M1198" s="204"/>
      <c r="N1198" s="204"/>
      <c r="O1198" s="204"/>
      <c r="P1198" s="204"/>
      <c r="Q1198" s="213"/>
      <c r="R1198" s="214"/>
      <c r="S1198" s="214"/>
      <c r="T1198" s="217"/>
    </row>
    <row r="1199" spans="1:20">
      <c r="B1199" s="204"/>
      <c r="C1199" s="204"/>
      <c r="D1199" s="204"/>
      <c r="E1199" s="204"/>
      <c r="F1199" s="204"/>
      <c r="G1199" s="204"/>
      <c r="H1199" s="204"/>
      <c r="I1199" s="204"/>
      <c r="J1199" s="204"/>
      <c r="K1199" s="204"/>
      <c r="L1199" s="204"/>
      <c r="M1199" s="204"/>
      <c r="N1199" s="204"/>
      <c r="O1199" s="204"/>
      <c r="P1199" s="204"/>
      <c r="T1199" s="217"/>
    </row>
    <row r="1200" spans="1:20">
      <c r="B1200" s="204"/>
      <c r="C1200" s="204"/>
      <c r="D1200" s="204"/>
      <c r="E1200" s="204"/>
      <c r="F1200" s="204"/>
      <c r="G1200" s="204"/>
      <c r="H1200" s="204"/>
      <c r="I1200" s="204"/>
      <c r="J1200" s="204"/>
      <c r="K1200" s="204"/>
      <c r="L1200" s="204"/>
      <c r="M1200" s="204"/>
      <c r="N1200" s="204"/>
      <c r="O1200" s="204"/>
      <c r="P1200" s="204"/>
      <c r="T1200" s="217"/>
    </row>
    <row r="1201" spans="1:20">
      <c r="B1201" s="204"/>
      <c r="C1201" s="204"/>
      <c r="D1201" s="204"/>
      <c r="E1201" s="204"/>
      <c r="F1201" s="204"/>
      <c r="G1201" s="204"/>
      <c r="H1201" s="204"/>
      <c r="I1201" s="204"/>
      <c r="J1201" s="204"/>
      <c r="K1201" s="204"/>
      <c r="L1201" s="204"/>
      <c r="M1201" s="204"/>
      <c r="N1201" s="204"/>
      <c r="O1201" s="204"/>
      <c r="P1201" s="204"/>
      <c r="T1201" s="217"/>
    </row>
    <row r="1202" spans="1:20">
      <c r="B1202" s="204"/>
      <c r="C1202" s="204"/>
      <c r="D1202" s="204"/>
      <c r="E1202" s="204"/>
      <c r="F1202" s="204"/>
      <c r="G1202" s="204"/>
      <c r="H1202" s="204"/>
      <c r="I1202" s="204"/>
      <c r="J1202" s="204"/>
      <c r="K1202" s="204"/>
      <c r="L1202" s="204"/>
      <c r="M1202" s="204"/>
      <c r="N1202" s="204"/>
      <c r="O1202" s="204"/>
      <c r="P1202" s="204"/>
      <c r="T1202" s="217"/>
    </row>
    <row r="1203" spans="1:20">
      <c r="A1203" s="6"/>
      <c r="B1203" s="204"/>
      <c r="C1203" s="204"/>
      <c r="D1203" s="204"/>
      <c r="E1203" s="204"/>
      <c r="F1203" s="204"/>
      <c r="G1203" s="204"/>
      <c r="H1203" s="204"/>
      <c r="I1203" s="204"/>
      <c r="J1203" s="204"/>
      <c r="K1203" s="204"/>
      <c r="L1203" s="204"/>
      <c r="M1203" s="204"/>
      <c r="N1203" s="204"/>
      <c r="O1203" s="204"/>
      <c r="P1203" s="204"/>
      <c r="T1203" s="217"/>
    </row>
    <row r="1204" spans="1:20">
      <c r="B1204" s="204"/>
      <c r="C1204" s="204"/>
      <c r="D1204" s="204"/>
      <c r="E1204" s="204"/>
      <c r="F1204" s="204"/>
      <c r="G1204" s="204"/>
      <c r="H1204" s="204"/>
      <c r="I1204" s="204"/>
      <c r="J1204" s="204"/>
      <c r="K1204" s="204"/>
      <c r="L1204" s="204"/>
      <c r="M1204" s="204"/>
      <c r="N1204" s="204"/>
      <c r="O1204" s="204"/>
      <c r="P1204" s="204"/>
      <c r="T1204" s="217"/>
    </row>
    <row r="1205" spans="1:20">
      <c r="B1205" s="204"/>
      <c r="C1205" s="204"/>
      <c r="D1205" s="204"/>
      <c r="E1205" s="204"/>
      <c r="F1205" s="204"/>
      <c r="G1205" s="204"/>
      <c r="H1205" s="204"/>
      <c r="I1205" s="204"/>
      <c r="J1205" s="204"/>
      <c r="K1205" s="204"/>
      <c r="L1205" s="204"/>
      <c r="M1205" s="204"/>
      <c r="N1205" s="204"/>
      <c r="O1205" s="204"/>
      <c r="P1205" s="204"/>
      <c r="T1205" s="217"/>
    </row>
    <row r="1206" spans="1:20">
      <c r="B1206" s="204"/>
      <c r="C1206" s="204"/>
      <c r="D1206" s="204"/>
      <c r="E1206" s="204"/>
      <c r="F1206" s="204"/>
      <c r="G1206" s="204"/>
      <c r="H1206" s="204"/>
      <c r="I1206" s="204"/>
      <c r="J1206" s="204"/>
      <c r="K1206" s="204"/>
      <c r="L1206" s="204"/>
      <c r="M1206" s="204"/>
      <c r="N1206" s="204"/>
      <c r="O1206" s="204"/>
      <c r="P1206" s="204"/>
      <c r="T1206" s="217"/>
    </row>
    <row r="1207" spans="1:20">
      <c r="B1207" s="204"/>
      <c r="C1207" s="204"/>
      <c r="D1207" s="204"/>
      <c r="E1207" s="204"/>
      <c r="F1207" s="204"/>
      <c r="G1207" s="204"/>
      <c r="H1207" s="204"/>
      <c r="I1207" s="204"/>
      <c r="J1207" s="204"/>
      <c r="K1207" s="204"/>
      <c r="L1207" s="204"/>
      <c r="M1207" s="204"/>
      <c r="N1207" s="204"/>
      <c r="O1207" s="204"/>
      <c r="P1207" s="204"/>
      <c r="T1207" s="217"/>
    </row>
    <row r="1208" spans="1:20">
      <c r="B1208" s="204"/>
      <c r="C1208" s="204"/>
      <c r="D1208" s="204"/>
      <c r="E1208" s="204"/>
      <c r="F1208" s="204"/>
      <c r="G1208" s="204"/>
      <c r="H1208" s="204"/>
      <c r="I1208" s="204"/>
      <c r="J1208" s="204"/>
      <c r="K1208" s="204"/>
      <c r="L1208" s="204"/>
      <c r="M1208" s="204"/>
      <c r="N1208" s="204"/>
      <c r="O1208" s="204"/>
      <c r="P1208" s="204"/>
      <c r="T1208" s="217"/>
    </row>
    <row r="1209" spans="1:20">
      <c r="B1209" s="204"/>
      <c r="C1209" s="204"/>
      <c r="D1209" s="204"/>
      <c r="E1209" s="204"/>
      <c r="F1209" s="204"/>
      <c r="G1209" s="204"/>
      <c r="H1209" s="204"/>
      <c r="I1209" s="204"/>
      <c r="J1209" s="204"/>
      <c r="K1209" s="204"/>
      <c r="L1209" s="204"/>
      <c r="M1209" s="204"/>
      <c r="N1209" s="204"/>
      <c r="O1209" s="204"/>
      <c r="P1209" s="204"/>
      <c r="Q1209" s="192"/>
      <c r="R1209" s="215"/>
      <c r="S1209" s="215"/>
      <c r="T1209" s="217"/>
    </row>
    <row r="1210" spans="1:20">
      <c r="B1210" s="204"/>
      <c r="C1210" s="204"/>
      <c r="D1210" s="204"/>
      <c r="E1210" s="204"/>
      <c r="F1210" s="204"/>
      <c r="G1210" s="204"/>
      <c r="H1210" s="204"/>
      <c r="I1210" s="204"/>
      <c r="J1210" s="204"/>
      <c r="K1210" s="204"/>
      <c r="L1210" s="204"/>
      <c r="M1210" s="204"/>
      <c r="N1210" s="204"/>
      <c r="O1210" s="204"/>
      <c r="P1210" s="204"/>
      <c r="Q1210" s="192"/>
      <c r="R1210" s="215"/>
      <c r="S1210" s="215"/>
      <c r="T1210" s="217"/>
    </row>
    <row r="1211" spans="1:20">
      <c r="B1211" s="204"/>
      <c r="C1211" s="204"/>
      <c r="D1211" s="204"/>
      <c r="E1211" s="204"/>
      <c r="F1211" s="204"/>
      <c r="G1211" s="204"/>
      <c r="H1211" s="204"/>
      <c r="I1211" s="204"/>
      <c r="J1211" s="204"/>
      <c r="K1211" s="204"/>
      <c r="L1211" s="204"/>
      <c r="M1211" s="204"/>
      <c r="N1211" s="204"/>
      <c r="O1211" s="204"/>
      <c r="P1211" s="204"/>
      <c r="Q1211" s="194"/>
      <c r="R1211" s="216"/>
      <c r="S1211" s="216"/>
      <c r="T1211" s="217"/>
    </row>
    <row r="1212" spans="1:20">
      <c r="B1212" s="204"/>
      <c r="C1212" s="204"/>
      <c r="D1212" s="204"/>
      <c r="E1212" s="204"/>
      <c r="F1212" s="204"/>
      <c r="G1212" s="204"/>
      <c r="H1212" s="204"/>
      <c r="I1212" s="204"/>
      <c r="J1212" s="204"/>
      <c r="K1212" s="204"/>
      <c r="L1212" s="204"/>
      <c r="M1212" s="204"/>
      <c r="N1212" s="204"/>
      <c r="O1212" s="204"/>
      <c r="P1212" s="204"/>
      <c r="Q1212" s="194"/>
      <c r="R1212" s="216"/>
      <c r="S1212" s="216"/>
      <c r="T1212" s="217"/>
    </row>
    <row r="1213" spans="1:20">
      <c r="B1213" s="204"/>
      <c r="C1213" s="204"/>
      <c r="D1213" s="204"/>
      <c r="E1213" s="204"/>
      <c r="F1213" s="204"/>
      <c r="G1213" s="204"/>
      <c r="H1213" s="204"/>
      <c r="I1213" s="204"/>
      <c r="J1213" s="204"/>
      <c r="K1213" s="204"/>
      <c r="L1213" s="204"/>
      <c r="M1213" s="204"/>
      <c r="N1213" s="204"/>
      <c r="O1213" s="204"/>
      <c r="P1213" s="204"/>
      <c r="Q1213" s="194"/>
      <c r="R1213" s="216"/>
      <c r="S1213" s="216"/>
      <c r="T1213" s="217"/>
    </row>
    <row r="1214" spans="1:20">
      <c r="B1214" s="204"/>
      <c r="C1214" s="204"/>
      <c r="D1214" s="204"/>
      <c r="E1214" s="204"/>
      <c r="F1214" s="204"/>
      <c r="G1214" s="204"/>
      <c r="H1214" s="204"/>
      <c r="I1214" s="204"/>
      <c r="J1214" s="204"/>
      <c r="K1214" s="204"/>
      <c r="L1214" s="204"/>
      <c r="M1214" s="204"/>
      <c r="N1214" s="204"/>
      <c r="O1214" s="204"/>
      <c r="P1214" s="204"/>
      <c r="T1214" s="217"/>
    </row>
    <row r="1215" spans="1:20">
      <c r="B1215" s="204"/>
      <c r="C1215" s="204"/>
      <c r="D1215" s="204"/>
      <c r="E1215" s="204"/>
      <c r="F1215" s="204"/>
      <c r="G1215" s="204"/>
      <c r="H1215" s="204"/>
      <c r="I1215" s="204"/>
      <c r="J1215" s="204"/>
      <c r="K1215" s="204"/>
      <c r="L1215" s="204"/>
      <c r="M1215" s="204"/>
      <c r="N1215" s="204"/>
      <c r="O1215" s="204"/>
      <c r="P1215" s="204"/>
      <c r="T1215" s="217"/>
    </row>
    <row r="1216" spans="1:20">
      <c r="B1216" s="204"/>
      <c r="C1216" s="204"/>
      <c r="D1216" s="204"/>
      <c r="E1216" s="204"/>
      <c r="F1216" s="204"/>
      <c r="G1216" s="204"/>
      <c r="H1216" s="204"/>
      <c r="I1216" s="204"/>
      <c r="J1216" s="204"/>
      <c r="K1216" s="204"/>
      <c r="L1216" s="204"/>
      <c r="M1216" s="204"/>
      <c r="N1216" s="204"/>
      <c r="O1216" s="204"/>
      <c r="P1216" s="204"/>
      <c r="Q1216" s="194"/>
      <c r="R1216" s="216"/>
      <c r="S1216" s="216"/>
      <c r="T1216" s="217"/>
    </row>
    <row r="1217" spans="2:20">
      <c r="B1217" s="204"/>
      <c r="C1217" s="204"/>
      <c r="D1217" s="204"/>
      <c r="E1217" s="204"/>
      <c r="F1217" s="204"/>
      <c r="G1217" s="204"/>
      <c r="H1217" s="204"/>
      <c r="I1217" s="204"/>
      <c r="J1217" s="204"/>
      <c r="K1217" s="204"/>
      <c r="L1217" s="204"/>
      <c r="M1217" s="204"/>
      <c r="N1217" s="204"/>
      <c r="O1217" s="204"/>
      <c r="P1217" s="204"/>
      <c r="T1217" s="217"/>
    </row>
    <row r="1218" spans="2:20">
      <c r="B1218" s="204"/>
      <c r="C1218" s="204"/>
      <c r="D1218" s="204"/>
      <c r="E1218" s="204"/>
      <c r="F1218" s="204"/>
      <c r="G1218" s="204"/>
      <c r="H1218" s="204"/>
      <c r="I1218" s="204"/>
      <c r="J1218" s="204"/>
      <c r="K1218" s="204"/>
      <c r="L1218" s="204"/>
      <c r="M1218" s="204"/>
      <c r="N1218" s="204"/>
      <c r="O1218" s="204"/>
      <c r="P1218" s="204"/>
      <c r="T1218" s="217"/>
    </row>
    <row r="1219" spans="2:20">
      <c r="B1219" s="204"/>
      <c r="C1219" s="204"/>
      <c r="D1219" s="204"/>
      <c r="E1219" s="204"/>
      <c r="F1219" s="204"/>
      <c r="G1219" s="204"/>
      <c r="H1219" s="204"/>
      <c r="I1219" s="204"/>
      <c r="J1219" s="204"/>
      <c r="K1219" s="204"/>
      <c r="L1219" s="204"/>
      <c r="M1219" s="204"/>
      <c r="N1219" s="204"/>
      <c r="O1219" s="204"/>
      <c r="P1219" s="204"/>
      <c r="T1219" s="217"/>
    </row>
    <row r="1220" spans="2:20">
      <c r="B1220" s="204"/>
      <c r="C1220" s="204"/>
      <c r="D1220" s="204"/>
      <c r="E1220" s="204"/>
      <c r="F1220" s="204"/>
      <c r="G1220" s="204"/>
      <c r="H1220" s="204"/>
      <c r="I1220" s="204"/>
      <c r="J1220" s="204"/>
      <c r="K1220" s="204"/>
      <c r="L1220" s="204"/>
      <c r="M1220" s="204"/>
      <c r="N1220" s="204"/>
      <c r="O1220" s="204"/>
      <c r="P1220" s="204"/>
      <c r="T1220" s="217"/>
    </row>
    <row r="1221" spans="2:20">
      <c r="B1221" s="204"/>
      <c r="C1221" s="204"/>
      <c r="D1221" s="204"/>
      <c r="E1221" s="204"/>
      <c r="F1221" s="204"/>
      <c r="G1221" s="204"/>
      <c r="H1221" s="204"/>
      <c r="I1221" s="204"/>
      <c r="J1221" s="204"/>
      <c r="K1221" s="204"/>
      <c r="L1221" s="204"/>
      <c r="M1221" s="204"/>
      <c r="N1221" s="204"/>
      <c r="O1221" s="204"/>
      <c r="P1221" s="204"/>
      <c r="T1221" s="217"/>
    </row>
    <row r="1222" spans="2:20">
      <c r="B1222" s="204"/>
      <c r="C1222" s="204"/>
      <c r="D1222" s="204"/>
      <c r="E1222" s="204"/>
      <c r="F1222" s="204"/>
      <c r="G1222" s="204"/>
      <c r="H1222" s="204"/>
      <c r="I1222" s="204"/>
      <c r="J1222" s="204"/>
      <c r="K1222" s="204"/>
      <c r="L1222" s="204"/>
      <c r="M1222" s="204"/>
      <c r="N1222" s="204"/>
      <c r="O1222" s="204"/>
      <c r="P1222" s="204"/>
      <c r="T1222" s="217"/>
    </row>
    <row r="1223" spans="2:20">
      <c r="B1223" s="204"/>
      <c r="C1223" s="204"/>
      <c r="D1223" s="204"/>
      <c r="E1223" s="204"/>
      <c r="F1223" s="204"/>
      <c r="G1223" s="204"/>
      <c r="H1223" s="204"/>
      <c r="I1223" s="204"/>
      <c r="J1223" s="204"/>
      <c r="K1223" s="204"/>
      <c r="L1223" s="204"/>
      <c r="M1223" s="204"/>
      <c r="N1223" s="204"/>
      <c r="O1223" s="204"/>
      <c r="P1223" s="204"/>
      <c r="T1223" s="217"/>
    </row>
    <row r="1224" spans="2:20">
      <c r="B1224" s="204"/>
      <c r="C1224" s="204"/>
      <c r="D1224" s="204"/>
      <c r="E1224" s="204"/>
      <c r="F1224" s="204"/>
      <c r="G1224" s="204"/>
      <c r="H1224" s="204"/>
      <c r="I1224" s="204"/>
      <c r="J1224" s="204"/>
      <c r="K1224" s="204"/>
      <c r="L1224" s="204"/>
      <c r="M1224" s="204"/>
      <c r="N1224" s="204"/>
      <c r="O1224" s="204"/>
      <c r="P1224" s="204"/>
      <c r="T1224" s="217"/>
    </row>
    <row r="1225" spans="2:20">
      <c r="B1225" s="204"/>
      <c r="C1225" s="204"/>
      <c r="D1225" s="204"/>
      <c r="E1225" s="204"/>
      <c r="F1225" s="204"/>
      <c r="G1225" s="204"/>
      <c r="H1225" s="204"/>
      <c r="I1225" s="204"/>
      <c r="J1225" s="204"/>
      <c r="K1225" s="204"/>
      <c r="L1225" s="204"/>
      <c r="M1225" s="204"/>
      <c r="N1225" s="204"/>
      <c r="O1225" s="204"/>
      <c r="P1225" s="204"/>
      <c r="T1225" s="217"/>
    </row>
    <row r="1226" spans="2:20">
      <c r="B1226" s="204"/>
      <c r="C1226" s="204"/>
      <c r="D1226" s="204"/>
      <c r="E1226" s="204"/>
      <c r="F1226" s="204"/>
      <c r="G1226" s="204"/>
      <c r="H1226" s="204"/>
      <c r="I1226" s="204"/>
      <c r="J1226" s="204"/>
      <c r="K1226" s="204"/>
      <c r="L1226" s="204"/>
      <c r="M1226" s="204"/>
      <c r="N1226" s="204"/>
      <c r="O1226" s="204"/>
      <c r="P1226" s="204"/>
      <c r="T1226" s="217"/>
    </row>
    <row r="1227" spans="2:20">
      <c r="B1227" s="204"/>
      <c r="C1227" s="204"/>
      <c r="D1227" s="204"/>
      <c r="E1227" s="204"/>
      <c r="F1227" s="204"/>
      <c r="G1227" s="204"/>
      <c r="H1227" s="204"/>
      <c r="I1227" s="204"/>
      <c r="J1227" s="204"/>
      <c r="K1227" s="204"/>
      <c r="L1227" s="204"/>
      <c r="M1227" s="204"/>
      <c r="N1227" s="204"/>
      <c r="O1227" s="204"/>
      <c r="P1227" s="204"/>
      <c r="T1227" s="217"/>
    </row>
    <row r="1228" spans="2:20">
      <c r="B1228" s="204"/>
      <c r="C1228" s="204"/>
      <c r="D1228" s="204"/>
      <c r="E1228" s="204"/>
      <c r="F1228" s="204"/>
      <c r="G1228" s="204"/>
      <c r="H1228" s="204"/>
      <c r="I1228" s="204"/>
      <c r="J1228" s="204"/>
      <c r="K1228" s="204"/>
      <c r="L1228" s="204"/>
      <c r="M1228" s="204"/>
      <c r="N1228" s="204"/>
      <c r="O1228" s="204"/>
      <c r="P1228" s="204"/>
      <c r="T1228" s="217"/>
    </row>
    <row r="1229" spans="2:20">
      <c r="B1229" s="204"/>
      <c r="C1229" s="204"/>
      <c r="D1229" s="204"/>
      <c r="E1229" s="204"/>
      <c r="F1229" s="204"/>
      <c r="G1229" s="204"/>
      <c r="H1229" s="204"/>
      <c r="I1229" s="204"/>
      <c r="J1229" s="204"/>
      <c r="K1229" s="204"/>
      <c r="L1229" s="204"/>
      <c r="M1229" s="204"/>
      <c r="N1229" s="204"/>
      <c r="O1229" s="204"/>
      <c r="P1229" s="204"/>
      <c r="T1229" s="217"/>
    </row>
    <row r="1230" spans="2:20">
      <c r="B1230" s="204"/>
      <c r="C1230" s="204"/>
      <c r="D1230" s="204"/>
      <c r="E1230" s="204"/>
      <c r="F1230" s="204"/>
      <c r="G1230" s="204"/>
      <c r="H1230" s="204"/>
      <c r="I1230" s="204"/>
      <c r="J1230" s="204"/>
      <c r="K1230" s="204"/>
      <c r="L1230" s="204"/>
      <c r="M1230" s="204"/>
      <c r="N1230" s="204"/>
      <c r="O1230" s="204"/>
      <c r="P1230" s="204"/>
      <c r="T1230" s="217"/>
    </row>
    <row r="1231" spans="2:20">
      <c r="B1231" s="204"/>
      <c r="C1231" s="204"/>
      <c r="D1231" s="204"/>
      <c r="E1231" s="204"/>
      <c r="F1231" s="204"/>
      <c r="G1231" s="204"/>
      <c r="H1231" s="204"/>
      <c r="I1231" s="204"/>
      <c r="J1231" s="204"/>
      <c r="K1231" s="204"/>
      <c r="L1231" s="204"/>
      <c r="M1231" s="204"/>
      <c r="N1231" s="204"/>
      <c r="O1231" s="204"/>
      <c r="P1231" s="204"/>
      <c r="T1231" s="217"/>
    </row>
    <row r="1232" spans="2:20">
      <c r="B1232" s="204"/>
      <c r="C1232" s="204"/>
      <c r="D1232" s="204"/>
      <c r="E1232" s="204"/>
      <c r="F1232" s="204"/>
      <c r="G1232" s="204"/>
      <c r="H1232" s="204"/>
      <c r="I1232" s="204"/>
      <c r="J1232" s="204"/>
      <c r="K1232" s="204"/>
      <c r="L1232" s="204"/>
      <c r="M1232" s="204"/>
      <c r="N1232" s="204"/>
      <c r="O1232" s="204"/>
      <c r="P1232" s="204"/>
      <c r="T1232" s="217"/>
    </row>
    <row r="1233" spans="2:20">
      <c r="B1233" s="204"/>
      <c r="C1233" s="204"/>
      <c r="D1233" s="204"/>
      <c r="E1233" s="204"/>
      <c r="F1233" s="204"/>
      <c r="G1233" s="204"/>
      <c r="H1233" s="204"/>
      <c r="I1233" s="204"/>
      <c r="J1233" s="204"/>
      <c r="K1233" s="204"/>
      <c r="L1233" s="204"/>
      <c r="M1233" s="204"/>
      <c r="N1233" s="204"/>
      <c r="O1233" s="204"/>
      <c r="P1233" s="204"/>
      <c r="T1233" s="217"/>
    </row>
    <row r="1234" spans="2:20">
      <c r="B1234" s="204"/>
      <c r="C1234" s="204"/>
      <c r="D1234" s="204"/>
      <c r="E1234" s="204"/>
      <c r="F1234" s="204"/>
      <c r="G1234" s="204"/>
      <c r="H1234" s="204"/>
      <c r="I1234" s="204"/>
      <c r="J1234" s="204"/>
      <c r="K1234" s="204"/>
      <c r="L1234" s="204"/>
      <c r="M1234" s="204"/>
      <c r="N1234" s="204"/>
      <c r="O1234" s="204"/>
      <c r="P1234" s="204"/>
      <c r="T1234" s="217"/>
    </row>
    <row r="1235" spans="2:20">
      <c r="B1235" s="204"/>
      <c r="C1235" s="204"/>
      <c r="D1235" s="204"/>
      <c r="E1235" s="204"/>
      <c r="F1235" s="204"/>
      <c r="G1235" s="204"/>
      <c r="H1235" s="204"/>
      <c r="I1235" s="204"/>
      <c r="J1235" s="204"/>
      <c r="K1235" s="204"/>
      <c r="L1235" s="204"/>
      <c r="M1235" s="204"/>
      <c r="N1235" s="204"/>
      <c r="O1235" s="204"/>
      <c r="P1235" s="204"/>
      <c r="T1235" s="217"/>
    </row>
    <row r="1236" spans="2:20">
      <c r="B1236" s="204"/>
      <c r="C1236" s="204"/>
      <c r="D1236" s="204"/>
      <c r="E1236" s="204"/>
      <c r="F1236" s="204"/>
      <c r="G1236" s="204"/>
      <c r="H1236" s="204"/>
      <c r="I1236" s="204"/>
      <c r="J1236" s="204"/>
      <c r="K1236" s="204"/>
      <c r="L1236" s="204"/>
      <c r="M1236" s="204"/>
      <c r="N1236" s="204"/>
      <c r="O1236" s="204"/>
      <c r="P1236" s="204"/>
      <c r="T1236" s="217"/>
    </row>
    <row r="1237" spans="2:20">
      <c r="B1237" s="204"/>
      <c r="C1237" s="204"/>
      <c r="D1237" s="204"/>
      <c r="E1237" s="204"/>
      <c r="F1237" s="204"/>
      <c r="G1237" s="204"/>
      <c r="H1237" s="204"/>
      <c r="I1237" s="204"/>
      <c r="J1237" s="204"/>
      <c r="K1237" s="204"/>
      <c r="L1237" s="204"/>
      <c r="M1237" s="204"/>
      <c r="N1237" s="204"/>
      <c r="O1237" s="204"/>
      <c r="P1237" s="204"/>
      <c r="T1237" s="217"/>
    </row>
    <row r="1238" spans="2:20">
      <c r="B1238" s="204"/>
      <c r="C1238" s="204"/>
      <c r="D1238" s="204"/>
      <c r="E1238" s="204"/>
      <c r="F1238" s="204"/>
      <c r="G1238" s="204"/>
      <c r="H1238" s="204"/>
      <c r="I1238" s="204"/>
      <c r="J1238" s="204"/>
      <c r="K1238" s="204"/>
      <c r="L1238" s="204"/>
      <c r="M1238" s="204"/>
      <c r="N1238" s="204"/>
      <c r="O1238" s="204"/>
      <c r="P1238" s="204"/>
      <c r="T1238" s="217"/>
    </row>
    <row r="1239" spans="2:20">
      <c r="B1239" s="204"/>
      <c r="C1239" s="204"/>
      <c r="D1239" s="204"/>
      <c r="E1239" s="204"/>
      <c r="F1239" s="204"/>
      <c r="G1239" s="204"/>
      <c r="H1239" s="204"/>
      <c r="I1239" s="204"/>
      <c r="J1239" s="204"/>
      <c r="K1239" s="204"/>
      <c r="L1239" s="204"/>
      <c r="M1239" s="204"/>
      <c r="N1239" s="204"/>
      <c r="O1239" s="204"/>
      <c r="P1239" s="204"/>
      <c r="T1239" s="217"/>
    </row>
    <row r="1240" spans="2:20">
      <c r="B1240" s="204"/>
      <c r="C1240" s="204"/>
      <c r="D1240" s="204"/>
      <c r="E1240" s="204"/>
      <c r="F1240" s="204"/>
      <c r="G1240" s="204"/>
      <c r="H1240" s="204"/>
      <c r="I1240" s="204"/>
      <c r="J1240" s="204"/>
      <c r="K1240" s="204"/>
      <c r="L1240" s="204"/>
      <c r="M1240" s="204"/>
      <c r="N1240" s="204"/>
      <c r="O1240" s="204"/>
      <c r="P1240" s="204"/>
      <c r="T1240" s="217"/>
    </row>
    <row r="1241" spans="2:20">
      <c r="B1241" s="204"/>
      <c r="C1241" s="204"/>
      <c r="D1241" s="204"/>
      <c r="E1241" s="204"/>
      <c r="F1241" s="204"/>
      <c r="G1241" s="204"/>
      <c r="H1241" s="204"/>
      <c r="I1241" s="204"/>
      <c r="J1241" s="204"/>
      <c r="K1241" s="204"/>
      <c r="L1241" s="204"/>
      <c r="M1241" s="204"/>
      <c r="N1241" s="204"/>
      <c r="O1241" s="204"/>
      <c r="P1241" s="204"/>
      <c r="T1241" s="217"/>
    </row>
    <row r="1242" spans="2:20">
      <c r="B1242" s="204"/>
      <c r="C1242" s="204"/>
      <c r="D1242" s="204"/>
      <c r="E1242" s="204"/>
      <c r="F1242" s="204"/>
      <c r="G1242" s="204"/>
      <c r="H1242" s="204"/>
      <c r="I1242" s="204"/>
      <c r="J1242" s="204"/>
      <c r="K1242" s="204"/>
      <c r="L1242" s="204"/>
      <c r="M1242" s="204"/>
      <c r="N1242" s="204"/>
      <c r="O1242" s="204"/>
      <c r="P1242" s="204"/>
      <c r="T1242" s="217"/>
    </row>
    <row r="1243" spans="2:20">
      <c r="B1243" s="204"/>
      <c r="C1243" s="204"/>
      <c r="D1243" s="204"/>
      <c r="E1243" s="204"/>
      <c r="F1243" s="204"/>
      <c r="G1243" s="204"/>
      <c r="H1243" s="204"/>
      <c r="I1243" s="204"/>
      <c r="J1243" s="204"/>
      <c r="K1243" s="204"/>
      <c r="L1243" s="204"/>
      <c r="M1243" s="204"/>
      <c r="N1243" s="204"/>
      <c r="O1243" s="204"/>
      <c r="P1243" s="204"/>
      <c r="T1243" s="217"/>
    </row>
    <row r="1244" spans="2:20">
      <c r="B1244" s="204"/>
      <c r="C1244" s="204"/>
      <c r="D1244" s="204"/>
      <c r="E1244" s="204"/>
      <c r="F1244" s="204"/>
      <c r="G1244" s="204"/>
      <c r="H1244" s="204"/>
      <c r="I1244" s="204"/>
      <c r="J1244" s="204"/>
      <c r="K1244" s="204"/>
      <c r="L1244" s="204"/>
      <c r="M1244" s="204"/>
      <c r="N1244" s="204"/>
      <c r="O1244" s="204"/>
      <c r="P1244" s="204"/>
      <c r="T1244" s="217"/>
    </row>
    <row r="1245" spans="2:20">
      <c r="B1245" s="204"/>
      <c r="C1245" s="204"/>
      <c r="D1245" s="204"/>
      <c r="E1245" s="204"/>
      <c r="F1245" s="204"/>
      <c r="G1245" s="204"/>
      <c r="H1245" s="204"/>
      <c r="I1245" s="204"/>
      <c r="J1245" s="204"/>
      <c r="K1245" s="204"/>
      <c r="L1245" s="204"/>
      <c r="M1245" s="204"/>
      <c r="N1245" s="204"/>
      <c r="O1245" s="204"/>
      <c r="P1245" s="204"/>
      <c r="T1245" s="217"/>
    </row>
    <row r="1246" spans="2:20">
      <c r="B1246" s="204"/>
      <c r="C1246" s="204"/>
      <c r="D1246" s="204"/>
      <c r="E1246" s="204"/>
      <c r="F1246" s="204"/>
      <c r="G1246" s="204"/>
      <c r="H1246" s="204"/>
      <c r="I1246" s="204"/>
      <c r="J1246" s="204"/>
      <c r="K1246" s="204"/>
      <c r="L1246" s="204"/>
      <c r="M1246" s="204"/>
      <c r="N1246" s="204"/>
      <c r="O1246" s="204"/>
      <c r="P1246" s="204"/>
      <c r="T1246" s="217"/>
    </row>
    <row r="1247" spans="2:20">
      <c r="B1247" s="204"/>
      <c r="C1247" s="204"/>
      <c r="D1247" s="204"/>
      <c r="E1247" s="204"/>
      <c r="F1247" s="204"/>
      <c r="G1247" s="204"/>
      <c r="H1247" s="204"/>
      <c r="I1247" s="204"/>
      <c r="J1247" s="204"/>
      <c r="K1247" s="204"/>
      <c r="L1247" s="204"/>
      <c r="M1247" s="204"/>
      <c r="N1247" s="204"/>
      <c r="O1247" s="204"/>
      <c r="P1247" s="204"/>
      <c r="T1247" s="217"/>
    </row>
    <row r="1248" spans="2:20">
      <c r="B1248" s="204"/>
      <c r="C1248" s="204"/>
      <c r="D1248" s="204"/>
      <c r="E1248" s="204"/>
      <c r="F1248" s="204"/>
      <c r="G1248" s="204"/>
      <c r="H1248" s="204"/>
      <c r="I1248" s="204"/>
      <c r="J1248" s="204"/>
      <c r="K1248" s="204"/>
      <c r="L1248" s="204"/>
      <c r="M1248" s="204"/>
      <c r="N1248" s="204"/>
      <c r="O1248" s="204"/>
      <c r="P1248" s="204"/>
      <c r="T1248" s="217"/>
    </row>
    <row r="1249" spans="2:20">
      <c r="B1249" s="204"/>
      <c r="C1249" s="204"/>
      <c r="D1249" s="204"/>
      <c r="E1249" s="204"/>
      <c r="F1249" s="204"/>
      <c r="G1249" s="204"/>
      <c r="H1249" s="204"/>
      <c r="I1249" s="204"/>
      <c r="J1249" s="204"/>
      <c r="K1249" s="204"/>
      <c r="L1249" s="204"/>
      <c r="M1249" s="204"/>
      <c r="N1249" s="204"/>
      <c r="O1249" s="204"/>
      <c r="P1249" s="204"/>
      <c r="T1249" s="217"/>
    </row>
    <row r="1250" spans="2:20">
      <c r="B1250" s="204"/>
      <c r="C1250" s="204"/>
      <c r="D1250" s="204"/>
      <c r="E1250" s="204"/>
      <c r="F1250" s="204"/>
      <c r="G1250" s="204"/>
      <c r="H1250" s="204"/>
      <c r="I1250" s="204"/>
      <c r="J1250" s="204"/>
      <c r="K1250" s="204"/>
      <c r="L1250" s="204"/>
      <c r="M1250" s="204"/>
      <c r="N1250" s="204"/>
      <c r="O1250" s="204"/>
      <c r="P1250" s="204"/>
      <c r="T1250" s="217"/>
    </row>
    <row r="1251" spans="2:20">
      <c r="B1251" s="204"/>
      <c r="C1251" s="204"/>
      <c r="D1251" s="204"/>
      <c r="E1251" s="204"/>
      <c r="F1251" s="204"/>
      <c r="G1251" s="204"/>
      <c r="H1251" s="204"/>
      <c r="I1251" s="204"/>
      <c r="J1251" s="204"/>
      <c r="K1251" s="204"/>
      <c r="L1251" s="204"/>
      <c r="M1251" s="204"/>
      <c r="N1251" s="204"/>
      <c r="O1251" s="204"/>
      <c r="P1251" s="204"/>
      <c r="T1251" s="217"/>
    </row>
    <row r="1252" spans="2:20">
      <c r="B1252" s="204"/>
      <c r="C1252" s="204"/>
      <c r="D1252" s="204"/>
      <c r="E1252" s="204"/>
      <c r="F1252" s="204"/>
      <c r="G1252" s="204"/>
      <c r="H1252" s="204"/>
      <c r="I1252" s="204"/>
      <c r="J1252" s="204"/>
      <c r="K1252" s="204"/>
      <c r="L1252" s="204"/>
      <c r="M1252" s="204"/>
      <c r="N1252" s="204"/>
      <c r="O1252" s="204"/>
      <c r="P1252" s="204"/>
      <c r="T1252" s="217"/>
    </row>
    <row r="1253" spans="2:20">
      <c r="B1253" s="204"/>
      <c r="C1253" s="204"/>
      <c r="D1253" s="204"/>
      <c r="E1253" s="204"/>
      <c r="F1253" s="204"/>
      <c r="G1253" s="204"/>
      <c r="H1253" s="204"/>
      <c r="I1253" s="204"/>
      <c r="J1253" s="204"/>
      <c r="K1253" s="204"/>
      <c r="L1253" s="204"/>
      <c r="M1253" s="204"/>
      <c r="N1253" s="204"/>
      <c r="O1253" s="204"/>
      <c r="P1253" s="204"/>
      <c r="T1253" s="217"/>
    </row>
    <row r="1254" spans="2:20">
      <c r="B1254" s="204"/>
      <c r="C1254" s="204"/>
      <c r="D1254" s="204"/>
      <c r="E1254" s="204"/>
      <c r="F1254" s="204"/>
      <c r="G1254" s="204"/>
      <c r="H1254" s="204"/>
      <c r="I1254" s="204"/>
      <c r="J1254" s="204"/>
      <c r="K1254" s="204"/>
      <c r="L1254" s="204"/>
      <c r="M1254" s="204"/>
      <c r="N1254" s="204"/>
      <c r="O1254" s="204"/>
      <c r="P1254" s="204"/>
      <c r="T1254" s="217"/>
    </row>
    <row r="1255" spans="2:20">
      <c r="B1255" s="204"/>
      <c r="C1255" s="204"/>
      <c r="D1255" s="204"/>
      <c r="E1255" s="204"/>
      <c r="F1255" s="204"/>
      <c r="G1255" s="204"/>
      <c r="H1255" s="204"/>
      <c r="I1255" s="204"/>
      <c r="J1255" s="204"/>
      <c r="K1255" s="204"/>
      <c r="L1255" s="204"/>
      <c r="M1255" s="204"/>
      <c r="N1255" s="204"/>
      <c r="O1255" s="204"/>
      <c r="P1255" s="204"/>
      <c r="T1255" s="217"/>
    </row>
    <row r="1256" spans="2:20">
      <c r="B1256" s="204"/>
      <c r="C1256" s="204"/>
      <c r="D1256" s="204"/>
      <c r="E1256" s="204"/>
      <c r="F1256" s="204"/>
      <c r="G1256" s="204"/>
      <c r="H1256" s="204"/>
      <c r="I1256" s="204"/>
      <c r="J1256" s="204"/>
      <c r="K1256" s="204"/>
      <c r="L1256" s="204"/>
      <c r="M1256" s="204"/>
      <c r="N1256" s="204"/>
      <c r="O1256" s="204"/>
      <c r="P1256" s="204"/>
      <c r="T1256" s="217"/>
    </row>
    <row r="1257" spans="2:20">
      <c r="B1257" s="204"/>
      <c r="C1257" s="204"/>
      <c r="D1257" s="204"/>
      <c r="E1257" s="204"/>
      <c r="F1257" s="204"/>
      <c r="G1257" s="204"/>
      <c r="H1257" s="204"/>
      <c r="I1257" s="204"/>
      <c r="J1257" s="204"/>
      <c r="K1257" s="204"/>
      <c r="L1257" s="204"/>
      <c r="M1257" s="204"/>
      <c r="N1257" s="204"/>
      <c r="O1257" s="204"/>
      <c r="P1257" s="204"/>
      <c r="T1257" s="217"/>
    </row>
    <row r="1258" spans="2:20">
      <c r="B1258" s="204"/>
      <c r="C1258" s="204"/>
      <c r="D1258" s="204"/>
      <c r="E1258" s="204"/>
      <c r="F1258" s="204"/>
      <c r="G1258" s="204"/>
      <c r="H1258" s="204"/>
      <c r="I1258" s="204"/>
      <c r="J1258" s="204"/>
      <c r="K1258" s="204"/>
      <c r="L1258" s="204"/>
      <c r="M1258" s="204"/>
      <c r="N1258" s="204"/>
      <c r="O1258" s="204"/>
      <c r="P1258" s="204"/>
      <c r="T1258" s="217"/>
    </row>
    <row r="1259" spans="2:20">
      <c r="B1259" s="204"/>
      <c r="C1259" s="204"/>
      <c r="D1259" s="204"/>
      <c r="E1259" s="204"/>
      <c r="F1259" s="204"/>
      <c r="G1259" s="204"/>
      <c r="H1259" s="204"/>
      <c r="I1259" s="204"/>
      <c r="J1259" s="204"/>
      <c r="K1259" s="204"/>
      <c r="L1259" s="204"/>
      <c r="M1259" s="204"/>
      <c r="N1259" s="204"/>
      <c r="O1259" s="204"/>
      <c r="P1259" s="204"/>
      <c r="T1259" s="217"/>
    </row>
    <row r="1260" spans="2:20">
      <c r="B1260" s="204"/>
      <c r="C1260" s="204"/>
      <c r="D1260" s="204"/>
      <c r="E1260" s="204"/>
      <c r="F1260" s="204"/>
      <c r="G1260" s="204"/>
      <c r="H1260" s="204"/>
      <c r="I1260" s="204"/>
      <c r="J1260" s="204"/>
      <c r="K1260" s="204"/>
      <c r="L1260" s="204"/>
      <c r="M1260" s="204"/>
      <c r="N1260" s="204"/>
      <c r="O1260" s="204"/>
      <c r="P1260" s="204"/>
      <c r="T1260" s="217"/>
    </row>
    <row r="1261" spans="2:20">
      <c r="B1261" s="204"/>
      <c r="C1261" s="204"/>
      <c r="D1261" s="204"/>
      <c r="E1261" s="204"/>
      <c r="F1261" s="204"/>
      <c r="G1261" s="204"/>
      <c r="H1261" s="204"/>
      <c r="I1261" s="204"/>
      <c r="J1261" s="204"/>
      <c r="K1261" s="204"/>
      <c r="L1261" s="204"/>
      <c r="M1261" s="204"/>
      <c r="N1261" s="204"/>
      <c r="O1261" s="204"/>
      <c r="P1261" s="204"/>
      <c r="T1261" s="217"/>
    </row>
    <row r="1262" spans="2:20">
      <c r="B1262" s="204"/>
      <c r="C1262" s="204"/>
      <c r="D1262" s="204"/>
      <c r="E1262" s="204"/>
      <c r="F1262" s="204"/>
      <c r="G1262" s="204"/>
      <c r="H1262" s="204"/>
      <c r="I1262" s="204"/>
      <c r="J1262" s="204"/>
      <c r="K1262" s="204"/>
      <c r="L1262" s="204"/>
      <c r="M1262" s="204"/>
      <c r="N1262" s="204"/>
      <c r="O1262" s="204"/>
      <c r="P1262" s="204"/>
      <c r="T1262" s="217"/>
    </row>
    <row r="1263" spans="2:20">
      <c r="B1263" s="204"/>
      <c r="C1263" s="204"/>
      <c r="D1263" s="204"/>
      <c r="E1263" s="204"/>
      <c r="F1263" s="204"/>
      <c r="G1263" s="204"/>
      <c r="H1263" s="204"/>
      <c r="I1263" s="204"/>
      <c r="J1263" s="204"/>
      <c r="K1263" s="204"/>
      <c r="L1263" s="204"/>
      <c r="M1263" s="204"/>
      <c r="N1263" s="204"/>
      <c r="O1263" s="204"/>
      <c r="P1263" s="204"/>
      <c r="T1263" s="217"/>
    </row>
    <row r="1264" spans="2:20">
      <c r="B1264" s="204"/>
      <c r="C1264" s="204"/>
      <c r="D1264" s="204"/>
      <c r="E1264" s="204"/>
      <c r="F1264" s="204"/>
      <c r="G1264" s="204"/>
      <c r="H1264" s="204"/>
      <c r="I1264" s="204"/>
      <c r="J1264" s="204"/>
      <c r="K1264" s="204"/>
      <c r="L1264" s="204"/>
      <c r="M1264" s="204"/>
      <c r="N1264" s="204"/>
      <c r="O1264" s="204"/>
      <c r="P1264" s="204"/>
      <c r="T1264" s="217"/>
    </row>
    <row r="1265" spans="2:20">
      <c r="B1265" s="204"/>
      <c r="C1265" s="204"/>
      <c r="D1265" s="204"/>
      <c r="E1265" s="204"/>
      <c r="F1265" s="204"/>
      <c r="G1265" s="204"/>
      <c r="H1265" s="204"/>
      <c r="I1265" s="204"/>
      <c r="J1265" s="204"/>
      <c r="K1265" s="204"/>
      <c r="L1265" s="204"/>
      <c r="M1265" s="204"/>
      <c r="N1265" s="204"/>
      <c r="O1265" s="204"/>
      <c r="P1265" s="204"/>
      <c r="T1265" s="217"/>
    </row>
    <row r="1266" spans="2:20">
      <c r="B1266" s="204"/>
      <c r="C1266" s="204"/>
      <c r="D1266" s="204"/>
      <c r="E1266" s="204"/>
      <c r="F1266" s="204"/>
      <c r="G1266" s="204"/>
      <c r="H1266" s="204"/>
      <c r="I1266" s="204"/>
      <c r="J1266" s="204"/>
      <c r="K1266" s="204"/>
      <c r="L1266" s="204"/>
      <c r="M1266" s="204"/>
      <c r="N1266" s="204"/>
      <c r="O1266" s="204"/>
      <c r="P1266" s="204"/>
      <c r="T1266" s="217"/>
    </row>
    <row r="1267" spans="2:20">
      <c r="B1267" s="204"/>
      <c r="C1267" s="204"/>
      <c r="D1267" s="204"/>
      <c r="E1267" s="204"/>
      <c r="F1267" s="204"/>
      <c r="G1267" s="204"/>
      <c r="H1267" s="204"/>
      <c r="I1267" s="204"/>
      <c r="J1267" s="204"/>
      <c r="K1267" s="204"/>
      <c r="L1267" s="204"/>
      <c r="M1267" s="204"/>
      <c r="N1267" s="204"/>
      <c r="O1267" s="204"/>
      <c r="P1267" s="204"/>
      <c r="T1267" s="217"/>
    </row>
    <row r="1268" spans="2:20">
      <c r="B1268" s="204"/>
      <c r="C1268" s="204"/>
      <c r="D1268" s="204"/>
      <c r="E1268" s="204"/>
      <c r="F1268" s="204"/>
      <c r="G1268" s="204"/>
      <c r="H1268" s="204"/>
      <c r="I1268" s="204"/>
      <c r="J1268" s="204"/>
      <c r="K1268" s="204"/>
      <c r="L1268" s="204"/>
      <c r="M1268" s="204"/>
      <c r="N1268" s="204"/>
      <c r="O1268" s="204"/>
      <c r="P1268" s="204"/>
      <c r="T1268" s="217"/>
    </row>
    <row r="1269" spans="2:20">
      <c r="B1269" s="204"/>
      <c r="C1269" s="204"/>
      <c r="D1269" s="204"/>
      <c r="E1269" s="204"/>
      <c r="F1269" s="204"/>
      <c r="G1269" s="204"/>
      <c r="H1269" s="204"/>
      <c r="I1269" s="204"/>
      <c r="J1269" s="204"/>
      <c r="K1269" s="204"/>
      <c r="L1269" s="204"/>
      <c r="M1269" s="204"/>
      <c r="N1269" s="204"/>
      <c r="O1269" s="204"/>
      <c r="P1269" s="204"/>
      <c r="T1269" s="217"/>
    </row>
    <row r="1270" spans="2:20">
      <c r="B1270" s="204"/>
      <c r="C1270" s="204"/>
      <c r="D1270" s="204"/>
      <c r="E1270" s="204"/>
      <c r="F1270" s="204"/>
      <c r="G1270" s="204"/>
      <c r="H1270" s="204"/>
      <c r="I1270" s="204"/>
      <c r="J1270" s="204"/>
      <c r="K1270" s="204"/>
      <c r="L1270" s="204"/>
      <c r="M1270" s="204"/>
      <c r="N1270" s="204"/>
      <c r="O1270" s="204"/>
      <c r="P1270" s="204"/>
      <c r="T1270" s="217"/>
    </row>
    <row r="1271" spans="2:20">
      <c r="B1271" s="204"/>
      <c r="C1271" s="204"/>
      <c r="D1271" s="204"/>
      <c r="E1271" s="204"/>
      <c r="F1271" s="204"/>
      <c r="G1271" s="204"/>
      <c r="H1271" s="204"/>
      <c r="I1271" s="204"/>
      <c r="J1271" s="204"/>
      <c r="K1271" s="204"/>
      <c r="L1271" s="204"/>
      <c r="M1271" s="204"/>
      <c r="N1271" s="204"/>
      <c r="O1271" s="204"/>
      <c r="P1271" s="204"/>
      <c r="T1271" s="217"/>
    </row>
    <row r="1272" spans="2:20">
      <c r="B1272" s="204"/>
      <c r="C1272" s="204"/>
      <c r="D1272" s="204"/>
      <c r="E1272" s="204"/>
      <c r="F1272" s="204"/>
      <c r="G1272" s="204"/>
      <c r="H1272" s="204"/>
      <c r="I1272" s="204"/>
      <c r="J1272" s="204"/>
      <c r="K1272" s="204"/>
      <c r="L1272" s="204"/>
      <c r="M1272" s="204"/>
      <c r="N1272" s="204"/>
      <c r="O1272" s="204"/>
      <c r="P1272" s="204"/>
      <c r="T1272" s="217"/>
    </row>
    <row r="1273" spans="2:20">
      <c r="B1273" s="204"/>
      <c r="C1273" s="204"/>
      <c r="D1273" s="204"/>
      <c r="E1273" s="204"/>
      <c r="F1273" s="204"/>
      <c r="G1273" s="204"/>
      <c r="H1273" s="204"/>
      <c r="I1273" s="204"/>
      <c r="J1273" s="204"/>
      <c r="K1273" s="204"/>
      <c r="L1273" s="204"/>
      <c r="M1273" s="204"/>
      <c r="N1273" s="204"/>
      <c r="O1273" s="204"/>
      <c r="P1273" s="204"/>
      <c r="T1273" s="217"/>
    </row>
    <row r="1274" spans="2:20">
      <c r="B1274" s="204"/>
      <c r="C1274" s="204"/>
      <c r="D1274" s="204"/>
      <c r="E1274" s="204"/>
      <c r="F1274" s="204"/>
      <c r="G1274" s="204"/>
      <c r="H1274" s="204"/>
      <c r="I1274" s="204"/>
      <c r="J1274" s="204"/>
      <c r="K1274" s="204"/>
      <c r="L1274" s="204"/>
      <c r="M1274" s="204"/>
      <c r="N1274" s="204"/>
      <c r="O1274" s="204"/>
      <c r="P1274" s="204"/>
      <c r="T1274" s="217"/>
    </row>
    <row r="1275" spans="2:20">
      <c r="B1275" s="204"/>
      <c r="C1275" s="204"/>
      <c r="D1275" s="204"/>
      <c r="E1275" s="204"/>
      <c r="F1275" s="204"/>
      <c r="G1275" s="204"/>
      <c r="H1275" s="204"/>
      <c r="I1275" s="204"/>
      <c r="J1275" s="204"/>
      <c r="K1275" s="204"/>
      <c r="L1275" s="204"/>
      <c r="M1275" s="204"/>
      <c r="N1275" s="204"/>
      <c r="O1275" s="204"/>
      <c r="P1275" s="204"/>
      <c r="T1275" s="217"/>
    </row>
    <row r="1276" spans="2:20">
      <c r="B1276" s="204"/>
      <c r="C1276" s="204"/>
      <c r="D1276" s="204"/>
      <c r="E1276" s="204"/>
      <c r="F1276" s="204"/>
      <c r="G1276" s="204"/>
      <c r="H1276" s="204"/>
      <c r="I1276" s="204"/>
      <c r="J1276" s="204"/>
      <c r="K1276" s="204"/>
      <c r="L1276" s="204"/>
      <c r="M1276" s="204"/>
      <c r="N1276" s="204"/>
      <c r="O1276" s="204"/>
      <c r="P1276" s="204"/>
      <c r="T1276" s="217"/>
    </row>
    <row r="1277" spans="2:20">
      <c r="B1277" s="204"/>
      <c r="C1277" s="204"/>
      <c r="D1277" s="204"/>
      <c r="E1277" s="204"/>
      <c r="F1277" s="204"/>
      <c r="G1277" s="204"/>
      <c r="H1277" s="204"/>
      <c r="I1277" s="204"/>
      <c r="J1277" s="204"/>
      <c r="K1277" s="204"/>
      <c r="L1277" s="204"/>
      <c r="M1277" s="204"/>
      <c r="N1277" s="204"/>
      <c r="O1277" s="204"/>
      <c r="P1277" s="204"/>
      <c r="T1277" s="217"/>
    </row>
    <row r="1278" spans="2:20">
      <c r="B1278" s="204"/>
      <c r="C1278" s="204"/>
      <c r="D1278" s="204"/>
      <c r="E1278" s="204"/>
      <c r="F1278" s="204"/>
      <c r="G1278" s="204"/>
      <c r="H1278" s="204"/>
      <c r="I1278" s="204"/>
      <c r="J1278" s="204"/>
      <c r="K1278" s="204"/>
      <c r="L1278" s="204"/>
      <c r="M1278" s="204"/>
      <c r="N1278" s="204"/>
      <c r="O1278" s="204"/>
      <c r="P1278" s="204"/>
      <c r="T1278" s="217"/>
    </row>
    <row r="1279" spans="2:20">
      <c r="B1279" s="204"/>
      <c r="C1279" s="204"/>
      <c r="D1279" s="204"/>
      <c r="E1279" s="204"/>
      <c r="F1279" s="204"/>
      <c r="G1279" s="204"/>
      <c r="H1279" s="204"/>
      <c r="I1279" s="204"/>
      <c r="J1279" s="204"/>
      <c r="K1279" s="204"/>
      <c r="L1279" s="204"/>
      <c r="M1279" s="204"/>
      <c r="N1279" s="204"/>
      <c r="O1279" s="204"/>
      <c r="P1279" s="204"/>
      <c r="T1279" s="217"/>
    </row>
    <row r="1280" spans="2:20">
      <c r="B1280" s="204"/>
      <c r="C1280" s="204"/>
      <c r="D1280" s="204"/>
      <c r="E1280" s="204"/>
      <c r="F1280" s="204"/>
      <c r="G1280" s="204"/>
      <c r="H1280" s="204"/>
      <c r="I1280" s="204"/>
      <c r="J1280" s="204"/>
      <c r="K1280" s="204"/>
      <c r="L1280" s="204"/>
      <c r="M1280" s="204"/>
      <c r="N1280" s="204"/>
      <c r="O1280" s="204"/>
      <c r="P1280" s="204"/>
      <c r="T1280" s="217"/>
    </row>
    <row r="1281" spans="2:20">
      <c r="B1281" s="204"/>
      <c r="C1281" s="204"/>
      <c r="D1281" s="204"/>
      <c r="E1281" s="204"/>
      <c r="F1281" s="204"/>
      <c r="G1281" s="204"/>
      <c r="H1281" s="204"/>
      <c r="I1281" s="204"/>
      <c r="J1281" s="204"/>
      <c r="K1281" s="204"/>
      <c r="L1281" s="204"/>
      <c r="M1281" s="204"/>
      <c r="N1281" s="204"/>
      <c r="O1281" s="204"/>
      <c r="P1281" s="204"/>
      <c r="T1281" s="217"/>
    </row>
    <row r="1282" spans="2:20">
      <c r="B1282" s="204"/>
      <c r="C1282" s="204"/>
      <c r="D1282" s="204"/>
      <c r="E1282" s="204"/>
      <c r="F1282" s="204"/>
      <c r="G1282" s="204"/>
      <c r="H1282" s="204"/>
      <c r="I1282" s="204"/>
      <c r="J1282" s="204"/>
      <c r="K1282" s="204"/>
      <c r="L1282" s="204"/>
      <c r="M1282" s="204"/>
      <c r="N1282" s="204"/>
      <c r="O1282" s="204"/>
      <c r="P1282" s="204"/>
      <c r="T1282" s="217"/>
    </row>
    <row r="1283" spans="2:20">
      <c r="B1283" s="204"/>
      <c r="C1283" s="204"/>
      <c r="D1283" s="204"/>
      <c r="E1283" s="204"/>
      <c r="F1283" s="204"/>
      <c r="G1283" s="204"/>
      <c r="H1283" s="204"/>
      <c r="I1283" s="204"/>
      <c r="J1283" s="204"/>
      <c r="K1283" s="204"/>
      <c r="L1283" s="204"/>
      <c r="M1283" s="204"/>
      <c r="N1283" s="204"/>
      <c r="O1283" s="204"/>
      <c r="P1283" s="204"/>
      <c r="T1283" s="217"/>
    </row>
    <row r="1284" spans="2:20">
      <c r="B1284" s="204"/>
      <c r="C1284" s="204"/>
      <c r="D1284" s="204"/>
      <c r="E1284" s="204"/>
      <c r="F1284" s="204"/>
      <c r="G1284" s="204"/>
      <c r="H1284" s="204"/>
      <c r="I1284" s="204"/>
      <c r="J1284" s="204"/>
      <c r="K1284" s="204"/>
      <c r="L1284" s="204"/>
      <c r="M1284" s="204"/>
      <c r="N1284" s="204"/>
      <c r="O1284" s="204"/>
      <c r="P1284" s="204"/>
      <c r="T1284" s="217"/>
    </row>
    <row r="1285" spans="2:20">
      <c r="B1285" s="204"/>
      <c r="C1285" s="204"/>
      <c r="D1285" s="204"/>
      <c r="E1285" s="204"/>
      <c r="F1285" s="204"/>
      <c r="G1285" s="204"/>
      <c r="H1285" s="204"/>
      <c r="I1285" s="204"/>
      <c r="J1285" s="204"/>
      <c r="K1285" s="204"/>
      <c r="L1285" s="204"/>
      <c r="M1285" s="204"/>
      <c r="N1285" s="204"/>
      <c r="O1285" s="204"/>
      <c r="P1285" s="204"/>
      <c r="T1285" s="217"/>
    </row>
    <row r="1286" spans="2:20">
      <c r="B1286" s="204"/>
      <c r="C1286" s="204"/>
      <c r="D1286" s="204"/>
      <c r="E1286" s="204"/>
      <c r="F1286" s="204"/>
      <c r="G1286" s="204"/>
      <c r="H1286" s="204"/>
      <c r="I1286" s="204"/>
      <c r="J1286" s="204"/>
      <c r="K1286" s="204"/>
      <c r="L1286" s="204"/>
      <c r="M1286" s="204"/>
      <c r="N1286" s="204"/>
      <c r="O1286" s="204"/>
      <c r="P1286" s="204"/>
      <c r="T1286" s="217"/>
    </row>
    <row r="1287" spans="2:20">
      <c r="B1287" s="204"/>
      <c r="C1287" s="204"/>
      <c r="D1287" s="204"/>
      <c r="E1287" s="204"/>
      <c r="F1287" s="204"/>
      <c r="G1287" s="204"/>
      <c r="H1287" s="204"/>
      <c r="I1287" s="204"/>
      <c r="J1287" s="204"/>
      <c r="K1287" s="204"/>
      <c r="L1287" s="204"/>
      <c r="M1287" s="204"/>
      <c r="N1287" s="204"/>
      <c r="O1287" s="204"/>
      <c r="P1287" s="204"/>
      <c r="T1287" s="217"/>
    </row>
    <row r="1288" spans="2:20">
      <c r="B1288" s="204"/>
      <c r="C1288" s="204"/>
      <c r="D1288" s="204"/>
      <c r="E1288" s="204"/>
      <c r="F1288" s="204"/>
      <c r="G1288" s="204"/>
      <c r="H1288" s="204"/>
      <c r="I1288" s="204"/>
      <c r="J1288" s="204"/>
      <c r="K1288" s="204"/>
      <c r="L1288" s="204"/>
      <c r="M1288" s="204"/>
      <c r="N1288" s="204"/>
      <c r="O1288" s="204"/>
      <c r="P1288" s="204"/>
      <c r="T1288" s="217"/>
    </row>
    <row r="1289" spans="2:20">
      <c r="B1289" s="204"/>
      <c r="C1289" s="204"/>
      <c r="D1289" s="204"/>
      <c r="E1289" s="204"/>
      <c r="F1289" s="204"/>
      <c r="G1289" s="204"/>
      <c r="H1289" s="204"/>
      <c r="I1289" s="204"/>
      <c r="J1289" s="204"/>
      <c r="K1289" s="204"/>
      <c r="L1289" s="204"/>
      <c r="M1289" s="204"/>
      <c r="N1289" s="204"/>
      <c r="O1289" s="204"/>
      <c r="P1289" s="204"/>
      <c r="T1289" s="217"/>
    </row>
    <row r="1290" spans="2:20">
      <c r="B1290" s="204"/>
      <c r="C1290" s="204"/>
      <c r="D1290" s="204"/>
      <c r="E1290" s="204"/>
      <c r="F1290" s="204"/>
      <c r="G1290" s="204"/>
      <c r="H1290" s="204"/>
      <c r="I1290" s="204"/>
      <c r="J1290" s="204"/>
      <c r="K1290" s="204"/>
      <c r="L1290" s="204"/>
      <c r="M1290" s="204"/>
      <c r="N1290" s="204"/>
      <c r="O1290" s="204"/>
      <c r="P1290" s="204"/>
      <c r="T1290" s="217"/>
    </row>
    <row r="1291" spans="2:20">
      <c r="B1291" s="204"/>
      <c r="C1291" s="204"/>
      <c r="D1291" s="204"/>
      <c r="E1291" s="204"/>
      <c r="F1291" s="204"/>
      <c r="G1291" s="204"/>
      <c r="H1291" s="204"/>
      <c r="I1291" s="204"/>
      <c r="J1291" s="204"/>
      <c r="K1291" s="204"/>
      <c r="L1291" s="204"/>
      <c r="M1291" s="204"/>
      <c r="N1291" s="204"/>
      <c r="O1291" s="204"/>
      <c r="P1291" s="204"/>
      <c r="T1291" s="217"/>
    </row>
    <row r="1292" spans="2:20">
      <c r="B1292" s="204"/>
      <c r="C1292" s="204"/>
      <c r="D1292" s="204"/>
      <c r="E1292" s="204"/>
      <c r="F1292" s="204"/>
      <c r="G1292" s="204"/>
      <c r="H1292" s="204"/>
      <c r="I1292" s="204"/>
      <c r="J1292" s="204"/>
      <c r="K1292" s="204"/>
      <c r="L1292" s="204"/>
      <c r="M1292" s="204"/>
      <c r="N1292" s="204"/>
      <c r="O1292" s="204"/>
      <c r="P1292" s="204"/>
      <c r="T1292" s="217"/>
    </row>
    <row r="1293" spans="2:20">
      <c r="B1293" s="204"/>
      <c r="C1293" s="204"/>
      <c r="D1293" s="204"/>
      <c r="E1293" s="204"/>
      <c r="F1293" s="204"/>
      <c r="G1293" s="204"/>
      <c r="H1293" s="204"/>
      <c r="I1293" s="204"/>
      <c r="J1293" s="204"/>
      <c r="K1293" s="204"/>
      <c r="L1293" s="204"/>
      <c r="M1293" s="204"/>
      <c r="N1293" s="204"/>
      <c r="O1293" s="204"/>
      <c r="P1293" s="204"/>
      <c r="T1293" s="217"/>
    </row>
    <row r="1294" spans="2:20">
      <c r="B1294" s="204"/>
      <c r="C1294" s="204"/>
      <c r="D1294" s="204"/>
      <c r="E1294" s="204"/>
      <c r="F1294" s="204"/>
      <c r="G1294" s="204"/>
      <c r="H1294" s="204"/>
      <c r="I1294" s="204"/>
      <c r="J1294" s="204"/>
      <c r="K1294" s="204"/>
      <c r="L1294" s="204"/>
      <c r="M1294" s="204"/>
      <c r="N1294" s="204"/>
      <c r="O1294" s="204"/>
      <c r="P1294" s="204"/>
      <c r="T1294" s="217"/>
    </row>
    <row r="1295" spans="2:20">
      <c r="B1295" s="204"/>
      <c r="C1295" s="204"/>
      <c r="D1295" s="204"/>
      <c r="E1295" s="204"/>
      <c r="F1295" s="204"/>
      <c r="G1295" s="204"/>
      <c r="H1295" s="204"/>
      <c r="I1295" s="204"/>
      <c r="J1295" s="204"/>
      <c r="K1295" s="204"/>
      <c r="L1295" s="204"/>
      <c r="M1295" s="204"/>
      <c r="N1295" s="204"/>
      <c r="O1295" s="204"/>
      <c r="P1295" s="204"/>
      <c r="T1295" s="217"/>
    </row>
    <row r="1296" spans="2:20">
      <c r="B1296" s="204"/>
      <c r="C1296" s="204"/>
      <c r="D1296" s="204"/>
      <c r="E1296" s="204"/>
      <c r="F1296" s="204"/>
      <c r="G1296" s="204"/>
      <c r="H1296" s="204"/>
      <c r="I1296" s="204"/>
      <c r="J1296" s="204"/>
      <c r="K1296" s="204"/>
      <c r="L1296" s="204"/>
      <c r="M1296" s="204"/>
      <c r="N1296" s="204"/>
      <c r="O1296" s="204"/>
      <c r="P1296" s="204"/>
      <c r="T1296" s="217"/>
    </row>
    <row r="1297" spans="2:20">
      <c r="B1297" s="204"/>
      <c r="C1297" s="204"/>
      <c r="D1297" s="204"/>
      <c r="E1297" s="204"/>
      <c r="F1297" s="204"/>
      <c r="G1297" s="204"/>
      <c r="H1297" s="204"/>
      <c r="I1297" s="204"/>
      <c r="J1297" s="204"/>
      <c r="K1297" s="204"/>
      <c r="L1297" s="204"/>
      <c r="M1297" s="204"/>
      <c r="N1297" s="204"/>
      <c r="O1297" s="204"/>
      <c r="P1297" s="204"/>
      <c r="T1297" s="217"/>
    </row>
    <row r="1298" spans="2:20">
      <c r="B1298" s="204"/>
      <c r="C1298" s="204"/>
      <c r="D1298" s="204"/>
      <c r="E1298" s="204"/>
      <c r="F1298" s="204"/>
      <c r="G1298" s="204"/>
      <c r="H1298" s="204"/>
      <c r="I1298" s="204"/>
      <c r="J1298" s="204"/>
      <c r="K1298" s="204"/>
      <c r="L1298" s="204"/>
      <c r="M1298" s="204"/>
      <c r="N1298" s="204"/>
      <c r="O1298" s="204"/>
      <c r="P1298" s="204"/>
      <c r="T1298" s="217"/>
    </row>
    <row r="1299" spans="2:20">
      <c r="B1299" s="204"/>
      <c r="C1299" s="204"/>
      <c r="D1299" s="204"/>
      <c r="E1299" s="204"/>
      <c r="F1299" s="204"/>
      <c r="G1299" s="204"/>
      <c r="H1299" s="204"/>
      <c r="I1299" s="204"/>
      <c r="J1299" s="204"/>
      <c r="K1299" s="204"/>
      <c r="L1299" s="204"/>
      <c r="M1299" s="204"/>
      <c r="N1299" s="204"/>
      <c r="O1299" s="204"/>
      <c r="P1299" s="204"/>
      <c r="T1299" s="217"/>
    </row>
    <row r="1300" spans="2:20">
      <c r="B1300" s="204"/>
      <c r="C1300" s="204"/>
      <c r="D1300" s="204"/>
      <c r="E1300" s="204"/>
      <c r="F1300" s="204"/>
      <c r="G1300" s="204"/>
      <c r="H1300" s="204"/>
      <c r="I1300" s="204"/>
      <c r="J1300" s="204"/>
      <c r="K1300" s="204"/>
      <c r="L1300" s="204"/>
      <c r="M1300" s="204"/>
      <c r="N1300" s="204"/>
      <c r="O1300" s="204"/>
      <c r="P1300" s="204"/>
      <c r="T1300" s="217"/>
    </row>
    <row r="1301" spans="2:20">
      <c r="B1301" s="204"/>
      <c r="C1301" s="204"/>
      <c r="D1301" s="204"/>
      <c r="E1301" s="204"/>
      <c r="F1301" s="204"/>
      <c r="G1301" s="204"/>
      <c r="H1301" s="204"/>
      <c r="I1301" s="204"/>
      <c r="J1301" s="204"/>
      <c r="K1301" s="204"/>
      <c r="L1301" s="204"/>
      <c r="M1301" s="204"/>
      <c r="N1301" s="204"/>
      <c r="O1301" s="204"/>
      <c r="P1301" s="204"/>
      <c r="T1301" s="217"/>
    </row>
    <row r="1302" spans="2:20">
      <c r="B1302" s="204"/>
      <c r="C1302" s="204"/>
      <c r="D1302" s="204"/>
      <c r="E1302" s="204"/>
      <c r="F1302" s="204"/>
      <c r="G1302" s="204"/>
      <c r="H1302" s="204"/>
      <c r="I1302" s="204"/>
      <c r="J1302" s="204"/>
      <c r="K1302" s="204"/>
      <c r="L1302" s="204"/>
      <c r="M1302" s="204"/>
      <c r="N1302" s="204"/>
      <c r="O1302" s="204"/>
      <c r="P1302" s="204"/>
      <c r="T1302" s="217"/>
    </row>
    <row r="1303" spans="2:20">
      <c r="B1303" s="204"/>
      <c r="C1303" s="204"/>
      <c r="D1303" s="204"/>
      <c r="E1303" s="204"/>
      <c r="F1303" s="204"/>
      <c r="G1303" s="204"/>
      <c r="H1303" s="204"/>
      <c r="I1303" s="204"/>
      <c r="J1303" s="204"/>
      <c r="K1303" s="204"/>
      <c r="L1303" s="204"/>
      <c r="M1303" s="204"/>
      <c r="N1303" s="204"/>
      <c r="O1303" s="204"/>
      <c r="P1303" s="204"/>
      <c r="T1303" s="217"/>
    </row>
    <row r="1304" spans="2:20">
      <c r="B1304" s="204"/>
      <c r="C1304" s="204"/>
      <c r="D1304" s="204"/>
      <c r="E1304" s="204"/>
      <c r="F1304" s="204"/>
      <c r="G1304" s="204"/>
      <c r="H1304" s="204"/>
      <c r="I1304" s="204"/>
      <c r="J1304" s="204"/>
      <c r="K1304" s="204"/>
      <c r="L1304" s="204"/>
      <c r="M1304" s="204"/>
      <c r="N1304" s="204"/>
      <c r="O1304" s="204"/>
      <c r="P1304" s="204"/>
      <c r="T1304" s="217"/>
    </row>
    <row r="1305" spans="2:20">
      <c r="B1305" s="204"/>
      <c r="C1305" s="204"/>
      <c r="D1305" s="204"/>
      <c r="E1305" s="204"/>
      <c r="F1305" s="204"/>
      <c r="G1305" s="204"/>
      <c r="H1305" s="204"/>
      <c r="I1305" s="204"/>
      <c r="J1305" s="204"/>
      <c r="K1305" s="204"/>
      <c r="L1305" s="204"/>
      <c r="M1305" s="204"/>
      <c r="N1305" s="204"/>
      <c r="O1305" s="204"/>
      <c r="P1305" s="204"/>
      <c r="T1305" s="217"/>
    </row>
    <row r="1306" spans="2:20">
      <c r="B1306" s="204"/>
      <c r="C1306" s="204"/>
      <c r="D1306" s="204"/>
      <c r="E1306" s="204"/>
      <c r="F1306" s="204"/>
      <c r="G1306" s="204"/>
      <c r="H1306" s="204"/>
      <c r="I1306" s="204"/>
      <c r="J1306" s="204"/>
      <c r="K1306" s="204"/>
      <c r="L1306" s="204"/>
      <c r="M1306" s="204"/>
      <c r="N1306" s="204"/>
      <c r="O1306" s="204"/>
      <c r="P1306" s="204"/>
      <c r="T1306" s="217"/>
    </row>
    <row r="1307" spans="2:20">
      <c r="B1307" s="204"/>
      <c r="C1307" s="204"/>
      <c r="D1307" s="204"/>
      <c r="E1307" s="204"/>
      <c r="F1307" s="204"/>
      <c r="G1307" s="204"/>
      <c r="H1307" s="204"/>
      <c r="I1307" s="204"/>
      <c r="J1307" s="204"/>
      <c r="K1307" s="204"/>
      <c r="L1307" s="204"/>
      <c r="M1307" s="204"/>
      <c r="N1307" s="204"/>
      <c r="O1307" s="204"/>
      <c r="P1307" s="204"/>
      <c r="T1307" s="217"/>
    </row>
    <row r="1308" spans="2:20">
      <c r="B1308" s="204"/>
      <c r="C1308" s="204"/>
      <c r="D1308" s="204"/>
      <c r="E1308" s="204"/>
      <c r="F1308" s="204"/>
      <c r="G1308" s="204"/>
      <c r="H1308" s="204"/>
      <c r="I1308" s="204"/>
      <c r="J1308" s="204"/>
      <c r="K1308" s="204"/>
      <c r="L1308" s="204"/>
      <c r="M1308" s="204"/>
      <c r="N1308" s="204"/>
      <c r="O1308" s="204"/>
      <c r="P1308" s="204"/>
      <c r="T1308" s="217"/>
    </row>
    <row r="1309" spans="2:20">
      <c r="B1309" s="204"/>
      <c r="C1309" s="204"/>
      <c r="D1309" s="204"/>
      <c r="E1309" s="204"/>
      <c r="F1309" s="204"/>
      <c r="G1309" s="204"/>
      <c r="H1309" s="204"/>
      <c r="I1309" s="204"/>
      <c r="J1309" s="204"/>
      <c r="K1309" s="204"/>
      <c r="L1309" s="204"/>
      <c r="M1309" s="204"/>
      <c r="N1309" s="204"/>
      <c r="O1309" s="204"/>
      <c r="P1309" s="204"/>
      <c r="T1309" s="217"/>
    </row>
    <row r="1310" spans="2:20">
      <c r="B1310" s="204"/>
      <c r="C1310" s="204"/>
      <c r="D1310" s="204"/>
      <c r="E1310" s="204"/>
      <c r="F1310" s="204"/>
      <c r="G1310" s="204"/>
      <c r="H1310" s="204"/>
      <c r="I1310" s="204"/>
      <c r="J1310" s="204"/>
      <c r="K1310" s="204"/>
      <c r="L1310" s="204"/>
      <c r="M1310" s="204"/>
      <c r="N1310" s="204"/>
      <c r="O1310" s="204"/>
      <c r="P1310" s="204"/>
      <c r="T1310" s="217"/>
    </row>
    <row r="1311" spans="2:20">
      <c r="B1311" s="204"/>
      <c r="C1311" s="204"/>
      <c r="D1311" s="204"/>
      <c r="E1311" s="204"/>
      <c r="F1311" s="204"/>
      <c r="G1311" s="204"/>
      <c r="H1311" s="204"/>
      <c r="I1311" s="204"/>
      <c r="J1311" s="204"/>
      <c r="K1311" s="204"/>
      <c r="L1311" s="204"/>
      <c r="M1311" s="204"/>
      <c r="N1311" s="204"/>
      <c r="O1311" s="204"/>
      <c r="P1311" s="204"/>
      <c r="T1311" s="217"/>
    </row>
    <row r="1312" spans="2:20">
      <c r="B1312" s="204"/>
      <c r="C1312" s="204"/>
      <c r="D1312" s="204"/>
      <c r="E1312" s="204"/>
      <c r="F1312" s="204"/>
      <c r="G1312" s="204"/>
      <c r="H1312" s="204"/>
      <c r="I1312" s="204"/>
      <c r="J1312" s="204"/>
      <c r="K1312" s="204"/>
      <c r="L1312" s="204"/>
      <c r="M1312" s="204"/>
      <c r="N1312" s="204"/>
      <c r="O1312" s="204"/>
      <c r="P1312" s="204"/>
      <c r="T1312" s="217"/>
    </row>
    <row r="1313" spans="2:20">
      <c r="B1313" s="204"/>
      <c r="C1313" s="204"/>
      <c r="D1313" s="204"/>
      <c r="E1313" s="204"/>
      <c r="F1313" s="204"/>
      <c r="G1313" s="204"/>
      <c r="H1313" s="204"/>
      <c r="I1313" s="204"/>
      <c r="J1313" s="204"/>
      <c r="K1313" s="204"/>
      <c r="L1313" s="204"/>
      <c r="M1313" s="204"/>
      <c r="N1313" s="204"/>
      <c r="O1313" s="204"/>
      <c r="P1313" s="204"/>
      <c r="T1313" s="217"/>
    </row>
    <row r="1314" spans="2:20">
      <c r="B1314" s="204"/>
      <c r="C1314" s="204"/>
      <c r="D1314" s="204"/>
      <c r="E1314" s="204"/>
      <c r="F1314" s="204"/>
      <c r="G1314" s="204"/>
      <c r="H1314" s="204"/>
      <c r="I1314" s="204"/>
      <c r="J1314" s="204"/>
      <c r="K1314" s="204"/>
      <c r="L1314" s="204"/>
      <c r="M1314" s="204"/>
      <c r="N1314" s="204"/>
      <c r="O1314" s="204"/>
      <c r="P1314" s="204"/>
      <c r="T1314" s="217"/>
    </row>
    <row r="1315" spans="2:20">
      <c r="B1315" s="204"/>
      <c r="C1315" s="204"/>
      <c r="D1315" s="204"/>
      <c r="E1315" s="204"/>
      <c r="F1315" s="204"/>
      <c r="G1315" s="204"/>
      <c r="H1315" s="204"/>
      <c r="I1315" s="204"/>
      <c r="J1315" s="204"/>
      <c r="K1315" s="204"/>
      <c r="L1315" s="204"/>
      <c r="M1315" s="204"/>
      <c r="N1315" s="204"/>
      <c r="O1315" s="204"/>
      <c r="P1315" s="204"/>
      <c r="T1315" s="217"/>
    </row>
    <row r="1316" spans="2:20">
      <c r="B1316" s="204"/>
      <c r="C1316" s="204"/>
      <c r="D1316" s="204"/>
      <c r="E1316" s="204"/>
      <c r="F1316" s="204"/>
      <c r="G1316" s="204"/>
      <c r="H1316" s="204"/>
      <c r="I1316" s="204"/>
      <c r="J1316" s="204"/>
      <c r="K1316" s="204"/>
      <c r="L1316" s="204"/>
      <c r="M1316" s="204"/>
      <c r="N1316" s="204"/>
      <c r="O1316" s="204"/>
      <c r="P1316" s="204"/>
      <c r="T1316" s="217"/>
    </row>
    <row r="1317" spans="2:20">
      <c r="B1317" s="204"/>
      <c r="C1317" s="204"/>
      <c r="D1317" s="204"/>
      <c r="E1317" s="204"/>
      <c r="F1317" s="204"/>
      <c r="G1317" s="204"/>
      <c r="H1317" s="204"/>
      <c r="I1317" s="204"/>
      <c r="J1317" s="204"/>
      <c r="K1317" s="204"/>
      <c r="L1317" s="204"/>
      <c r="M1317" s="204"/>
      <c r="N1317" s="204"/>
      <c r="O1317" s="204"/>
      <c r="P1317" s="204"/>
      <c r="T1317" s="217"/>
    </row>
    <row r="1318" spans="2:20">
      <c r="B1318" s="204"/>
      <c r="C1318" s="204"/>
      <c r="D1318" s="204"/>
      <c r="E1318" s="204"/>
      <c r="F1318" s="204"/>
      <c r="G1318" s="204"/>
      <c r="H1318" s="204"/>
      <c r="I1318" s="204"/>
      <c r="J1318" s="204"/>
      <c r="K1318" s="204"/>
      <c r="L1318" s="204"/>
      <c r="M1318" s="204"/>
      <c r="N1318" s="204"/>
      <c r="O1318" s="204"/>
      <c r="P1318" s="204"/>
      <c r="T1318" s="217"/>
    </row>
    <row r="1319" spans="2:20">
      <c r="B1319" s="204"/>
      <c r="C1319" s="204"/>
      <c r="D1319" s="204"/>
      <c r="E1319" s="204"/>
      <c r="F1319" s="204"/>
      <c r="G1319" s="204"/>
      <c r="H1319" s="204"/>
      <c r="I1319" s="204"/>
      <c r="J1319" s="204"/>
      <c r="K1319" s="204"/>
      <c r="L1319" s="204"/>
      <c r="M1319" s="204"/>
      <c r="N1319" s="204"/>
      <c r="O1319" s="204"/>
      <c r="P1319" s="204"/>
      <c r="T1319" s="217"/>
    </row>
    <row r="1320" spans="2:20">
      <c r="B1320" s="204"/>
      <c r="C1320" s="204"/>
      <c r="D1320" s="204"/>
      <c r="E1320" s="204"/>
      <c r="F1320" s="204"/>
      <c r="G1320" s="204"/>
      <c r="H1320" s="204"/>
      <c r="I1320" s="204"/>
      <c r="J1320" s="204"/>
      <c r="K1320" s="204"/>
      <c r="L1320" s="204"/>
      <c r="M1320" s="204"/>
      <c r="N1320" s="204"/>
      <c r="O1320" s="204"/>
      <c r="P1320" s="204"/>
      <c r="T1320" s="217"/>
    </row>
    <row r="1321" spans="2:20">
      <c r="B1321" s="204"/>
      <c r="C1321" s="204"/>
      <c r="D1321" s="204"/>
      <c r="E1321" s="204"/>
      <c r="F1321" s="204"/>
      <c r="G1321" s="204"/>
      <c r="H1321" s="204"/>
      <c r="I1321" s="204"/>
      <c r="J1321" s="204"/>
      <c r="K1321" s="204"/>
      <c r="L1321" s="204"/>
      <c r="M1321" s="204"/>
      <c r="N1321" s="204"/>
      <c r="O1321" s="204"/>
      <c r="P1321" s="204"/>
      <c r="T1321" s="217"/>
    </row>
    <row r="1322" spans="2:20">
      <c r="B1322" s="204"/>
      <c r="C1322" s="204"/>
      <c r="D1322" s="204"/>
      <c r="E1322" s="204"/>
      <c r="F1322" s="204"/>
      <c r="G1322" s="204"/>
      <c r="H1322" s="204"/>
      <c r="I1322" s="204"/>
      <c r="J1322" s="204"/>
      <c r="K1322" s="204"/>
      <c r="L1322" s="204"/>
      <c r="M1322" s="204"/>
      <c r="N1322" s="204"/>
      <c r="O1322" s="204"/>
      <c r="P1322" s="204"/>
      <c r="T1322" s="217"/>
    </row>
    <row r="1323" spans="2:20">
      <c r="B1323" s="204"/>
      <c r="C1323" s="204"/>
      <c r="D1323" s="204"/>
      <c r="E1323" s="204"/>
      <c r="F1323" s="204"/>
      <c r="G1323" s="204"/>
      <c r="H1323" s="204"/>
      <c r="I1323" s="204"/>
      <c r="J1323" s="204"/>
      <c r="K1323" s="204"/>
      <c r="L1323" s="204"/>
      <c r="M1323" s="204"/>
      <c r="N1323" s="204"/>
      <c r="O1323" s="204"/>
      <c r="P1323" s="204"/>
      <c r="T1323" s="217"/>
    </row>
    <row r="1324" spans="2:20">
      <c r="B1324" s="204"/>
      <c r="C1324" s="204"/>
      <c r="D1324" s="204"/>
      <c r="E1324" s="204"/>
      <c r="F1324" s="204"/>
      <c r="G1324" s="204"/>
      <c r="H1324" s="204"/>
      <c r="I1324" s="204"/>
      <c r="J1324" s="204"/>
      <c r="K1324" s="204"/>
      <c r="L1324" s="204"/>
      <c r="M1324" s="204"/>
      <c r="N1324" s="204"/>
      <c r="O1324" s="204"/>
      <c r="P1324" s="204"/>
      <c r="T1324" s="217"/>
    </row>
    <row r="1325" spans="2:20">
      <c r="B1325" s="204"/>
      <c r="C1325" s="204"/>
      <c r="D1325" s="204"/>
      <c r="E1325" s="204"/>
      <c r="F1325" s="204"/>
      <c r="G1325" s="204"/>
      <c r="H1325" s="204"/>
      <c r="I1325" s="204"/>
      <c r="J1325" s="204"/>
      <c r="K1325" s="204"/>
      <c r="L1325" s="204"/>
      <c r="M1325" s="204"/>
      <c r="N1325" s="204"/>
      <c r="O1325" s="204"/>
      <c r="P1325" s="204"/>
      <c r="T1325" s="217"/>
    </row>
    <row r="1326" spans="2:20">
      <c r="B1326" s="204"/>
      <c r="C1326" s="204"/>
      <c r="D1326" s="204"/>
      <c r="E1326" s="204"/>
      <c r="F1326" s="204"/>
      <c r="G1326" s="204"/>
      <c r="H1326" s="204"/>
      <c r="I1326" s="204"/>
      <c r="J1326" s="204"/>
      <c r="K1326" s="204"/>
      <c r="L1326" s="204"/>
      <c r="M1326" s="204"/>
      <c r="N1326" s="204"/>
      <c r="O1326" s="204"/>
      <c r="P1326" s="204"/>
      <c r="T1326" s="217"/>
    </row>
    <row r="1327" spans="2:20">
      <c r="B1327" s="204"/>
      <c r="C1327" s="204"/>
      <c r="D1327" s="204"/>
      <c r="E1327" s="204"/>
      <c r="F1327" s="204"/>
      <c r="G1327" s="204"/>
      <c r="H1327" s="204"/>
      <c r="I1327" s="204"/>
      <c r="J1327" s="204"/>
      <c r="K1327" s="204"/>
      <c r="L1327" s="204"/>
      <c r="M1327" s="204"/>
      <c r="N1327" s="204"/>
      <c r="O1327" s="204"/>
      <c r="P1327" s="204"/>
      <c r="T1327" s="217"/>
    </row>
    <row r="1328" spans="2:20">
      <c r="B1328" s="204"/>
      <c r="C1328" s="204"/>
      <c r="D1328" s="204"/>
      <c r="E1328" s="204"/>
      <c r="F1328" s="204"/>
      <c r="G1328" s="204"/>
      <c r="H1328" s="204"/>
      <c r="I1328" s="204"/>
      <c r="J1328" s="204"/>
      <c r="K1328" s="204"/>
      <c r="L1328" s="204"/>
      <c r="M1328" s="204"/>
      <c r="N1328" s="204"/>
      <c r="O1328" s="204"/>
      <c r="P1328" s="204"/>
      <c r="T1328" s="217"/>
    </row>
    <row r="1329" spans="2:20">
      <c r="B1329" s="204"/>
      <c r="C1329" s="204"/>
      <c r="D1329" s="204"/>
      <c r="E1329" s="204"/>
      <c r="F1329" s="204"/>
      <c r="G1329" s="204"/>
      <c r="H1329" s="204"/>
      <c r="I1329" s="204"/>
      <c r="J1329" s="204"/>
      <c r="K1329" s="204"/>
      <c r="L1329" s="204"/>
      <c r="M1329" s="204"/>
      <c r="N1329" s="204"/>
      <c r="O1329" s="204"/>
      <c r="P1329" s="204"/>
      <c r="T1329" s="217"/>
    </row>
    <row r="1330" spans="2:20">
      <c r="B1330" s="204"/>
      <c r="C1330" s="204"/>
      <c r="D1330" s="204"/>
      <c r="E1330" s="204"/>
      <c r="F1330" s="204"/>
      <c r="G1330" s="204"/>
      <c r="H1330" s="204"/>
      <c r="I1330" s="204"/>
      <c r="J1330" s="204"/>
      <c r="K1330" s="204"/>
      <c r="L1330" s="204"/>
      <c r="M1330" s="204"/>
      <c r="N1330" s="204"/>
      <c r="O1330" s="204"/>
      <c r="P1330" s="204"/>
      <c r="T1330" s="217"/>
    </row>
    <row r="1331" spans="2:20">
      <c r="B1331" s="204"/>
      <c r="C1331" s="204"/>
      <c r="D1331" s="204"/>
      <c r="E1331" s="204"/>
      <c r="F1331" s="204"/>
      <c r="G1331" s="204"/>
      <c r="H1331" s="204"/>
      <c r="I1331" s="204"/>
      <c r="J1331" s="204"/>
      <c r="K1331" s="204"/>
      <c r="L1331" s="204"/>
      <c r="M1331" s="204"/>
      <c r="N1331" s="204"/>
      <c r="O1331" s="204"/>
      <c r="P1331" s="204"/>
      <c r="T1331" s="217"/>
    </row>
    <row r="1332" spans="2:20">
      <c r="B1332" s="204"/>
      <c r="C1332" s="204"/>
      <c r="D1332" s="204"/>
      <c r="E1332" s="204"/>
      <c r="F1332" s="204"/>
      <c r="G1332" s="204"/>
      <c r="H1332" s="204"/>
      <c r="I1332" s="204"/>
      <c r="J1332" s="204"/>
      <c r="K1332" s="204"/>
      <c r="L1332" s="204"/>
      <c r="M1332" s="204"/>
      <c r="N1332" s="204"/>
      <c r="O1332" s="204"/>
      <c r="P1332" s="204"/>
      <c r="T1332" s="217"/>
    </row>
    <row r="1333" spans="2:20">
      <c r="B1333" s="204"/>
      <c r="C1333" s="204"/>
      <c r="D1333" s="204"/>
      <c r="E1333" s="204"/>
      <c r="F1333" s="204"/>
      <c r="G1333" s="204"/>
      <c r="H1333" s="204"/>
      <c r="I1333" s="204"/>
      <c r="J1333" s="204"/>
      <c r="K1333" s="204"/>
      <c r="L1333" s="204"/>
      <c r="M1333" s="204"/>
      <c r="N1333" s="204"/>
      <c r="O1333" s="204"/>
      <c r="P1333" s="204"/>
      <c r="T1333" s="217"/>
    </row>
    <row r="1334" spans="2:20">
      <c r="B1334" s="204"/>
      <c r="C1334" s="204"/>
      <c r="D1334" s="204"/>
      <c r="E1334" s="204"/>
      <c r="F1334" s="204"/>
      <c r="G1334" s="204"/>
      <c r="H1334" s="204"/>
      <c r="I1334" s="204"/>
      <c r="J1334" s="204"/>
      <c r="K1334" s="204"/>
      <c r="L1334" s="204"/>
      <c r="M1334" s="204"/>
      <c r="N1334" s="204"/>
      <c r="O1334" s="204"/>
      <c r="P1334" s="204"/>
      <c r="T1334" s="217"/>
    </row>
    <row r="1335" spans="2:20">
      <c r="B1335" s="204"/>
      <c r="C1335" s="204"/>
      <c r="D1335" s="204"/>
      <c r="E1335" s="204"/>
      <c r="F1335" s="204"/>
      <c r="G1335" s="204"/>
      <c r="H1335" s="204"/>
      <c r="I1335" s="204"/>
      <c r="J1335" s="204"/>
      <c r="K1335" s="204"/>
      <c r="L1335" s="204"/>
      <c r="M1335" s="204"/>
      <c r="N1335" s="204"/>
      <c r="O1335" s="204"/>
      <c r="P1335" s="204"/>
      <c r="T1335" s="217"/>
    </row>
    <row r="1336" spans="2:20">
      <c r="B1336" s="204"/>
      <c r="C1336" s="204"/>
      <c r="D1336" s="204"/>
      <c r="E1336" s="204"/>
      <c r="F1336" s="204"/>
      <c r="G1336" s="204"/>
      <c r="H1336" s="204"/>
      <c r="I1336" s="204"/>
      <c r="J1336" s="204"/>
      <c r="K1336" s="204"/>
      <c r="L1336" s="204"/>
      <c r="M1336" s="204"/>
      <c r="N1336" s="204"/>
      <c r="O1336" s="204"/>
      <c r="P1336" s="204"/>
      <c r="T1336" s="217"/>
    </row>
    <row r="1337" spans="2:20">
      <c r="B1337" s="204"/>
      <c r="C1337" s="204"/>
      <c r="D1337" s="204"/>
      <c r="E1337" s="204"/>
      <c r="F1337" s="204"/>
      <c r="G1337" s="204"/>
      <c r="H1337" s="204"/>
      <c r="I1337" s="204"/>
      <c r="J1337" s="204"/>
      <c r="K1337" s="204"/>
      <c r="L1337" s="204"/>
      <c r="M1337" s="204"/>
      <c r="N1337" s="204"/>
      <c r="O1337" s="204"/>
      <c r="P1337" s="204"/>
      <c r="T1337" s="217"/>
    </row>
    <row r="1338" spans="2:20">
      <c r="B1338" s="204"/>
      <c r="C1338" s="204"/>
      <c r="D1338" s="204"/>
      <c r="E1338" s="204"/>
      <c r="F1338" s="204"/>
      <c r="G1338" s="204"/>
      <c r="H1338" s="204"/>
      <c r="I1338" s="204"/>
      <c r="J1338" s="204"/>
      <c r="K1338" s="204"/>
      <c r="L1338" s="204"/>
      <c r="M1338" s="204"/>
      <c r="N1338" s="204"/>
      <c r="O1338" s="204"/>
      <c r="P1338" s="204"/>
      <c r="T1338" s="217"/>
    </row>
    <row r="1339" spans="2:20">
      <c r="B1339" s="204"/>
      <c r="C1339" s="204"/>
      <c r="D1339" s="204"/>
      <c r="E1339" s="204"/>
      <c r="F1339" s="204"/>
      <c r="G1339" s="204"/>
      <c r="H1339" s="204"/>
      <c r="I1339" s="204"/>
      <c r="J1339" s="204"/>
      <c r="K1339" s="204"/>
      <c r="L1339" s="204"/>
      <c r="M1339" s="204"/>
      <c r="N1339" s="204"/>
      <c r="O1339" s="204"/>
      <c r="P1339" s="204"/>
      <c r="T1339" s="217"/>
    </row>
    <row r="1340" spans="2:20">
      <c r="B1340" s="204"/>
      <c r="C1340" s="204"/>
      <c r="D1340" s="204"/>
      <c r="E1340" s="204"/>
      <c r="F1340" s="204"/>
      <c r="G1340" s="204"/>
      <c r="H1340" s="204"/>
      <c r="I1340" s="204"/>
      <c r="J1340" s="204"/>
      <c r="K1340" s="204"/>
      <c r="L1340" s="204"/>
      <c r="M1340" s="204"/>
      <c r="N1340" s="204"/>
      <c r="O1340" s="204"/>
      <c r="P1340" s="204"/>
      <c r="T1340" s="217"/>
    </row>
    <row r="1341" spans="2:20">
      <c r="B1341" s="204"/>
      <c r="C1341" s="204"/>
      <c r="D1341" s="204"/>
      <c r="E1341" s="204"/>
      <c r="F1341" s="204"/>
      <c r="G1341" s="204"/>
      <c r="H1341" s="204"/>
      <c r="I1341" s="204"/>
      <c r="J1341" s="204"/>
      <c r="K1341" s="204"/>
      <c r="L1341" s="204"/>
      <c r="M1341" s="204"/>
      <c r="N1341" s="204"/>
      <c r="O1341" s="204"/>
      <c r="P1341" s="204"/>
      <c r="T1341" s="217"/>
    </row>
    <row r="1342" spans="2:20">
      <c r="B1342" s="204"/>
      <c r="C1342" s="204"/>
      <c r="D1342" s="204"/>
      <c r="E1342" s="204"/>
      <c r="F1342" s="204"/>
      <c r="G1342" s="204"/>
      <c r="H1342" s="204"/>
      <c r="I1342" s="204"/>
      <c r="J1342" s="204"/>
      <c r="K1342" s="204"/>
      <c r="L1342" s="204"/>
      <c r="M1342" s="204"/>
      <c r="N1342" s="204"/>
      <c r="O1342" s="204"/>
      <c r="P1342" s="204"/>
      <c r="T1342" s="217"/>
    </row>
    <row r="1343" spans="2:20">
      <c r="B1343" s="204"/>
      <c r="C1343" s="204"/>
      <c r="D1343" s="204"/>
      <c r="E1343" s="204"/>
      <c r="F1343" s="204"/>
      <c r="G1343" s="204"/>
      <c r="H1343" s="204"/>
      <c r="I1343" s="204"/>
      <c r="J1343" s="204"/>
      <c r="K1343" s="204"/>
      <c r="L1343" s="204"/>
      <c r="M1343" s="204"/>
      <c r="N1343" s="204"/>
      <c r="O1343" s="204"/>
      <c r="P1343" s="204"/>
      <c r="T1343" s="217"/>
    </row>
    <row r="1344" spans="2:20">
      <c r="B1344" s="204"/>
      <c r="C1344" s="204"/>
      <c r="D1344" s="204"/>
      <c r="E1344" s="204"/>
      <c r="F1344" s="204"/>
      <c r="G1344" s="204"/>
      <c r="H1344" s="204"/>
      <c r="I1344" s="204"/>
      <c r="J1344" s="204"/>
      <c r="K1344" s="204"/>
      <c r="L1344" s="204"/>
      <c r="M1344" s="204"/>
      <c r="N1344" s="204"/>
      <c r="O1344" s="204"/>
      <c r="P1344" s="204"/>
      <c r="T1344" s="217"/>
    </row>
    <row r="1345" spans="2:20">
      <c r="B1345" s="204"/>
      <c r="C1345" s="204"/>
      <c r="D1345" s="204"/>
      <c r="E1345" s="204"/>
      <c r="F1345" s="204"/>
      <c r="G1345" s="204"/>
      <c r="H1345" s="204"/>
      <c r="I1345" s="204"/>
      <c r="J1345" s="204"/>
      <c r="K1345" s="204"/>
      <c r="L1345" s="204"/>
      <c r="M1345" s="204"/>
      <c r="N1345" s="204"/>
      <c r="O1345" s="204"/>
      <c r="P1345" s="204"/>
      <c r="T1345" s="217"/>
    </row>
    <row r="1346" spans="2:20">
      <c r="B1346" s="204"/>
      <c r="C1346" s="204"/>
      <c r="D1346" s="204"/>
      <c r="E1346" s="204"/>
      <c r="F1346" s="204"/>
      <c r="G1346" s="204"/>
      <c r="H1346" s="204"/>
      <c r="I1346" s="204"/>
      <c r="J1346" s="204"/>
      <c r="K1346" s="204"/>
      <c r="L1346" s="204"/>
      <c r="M1346" s="204"/>
      <c r="N1346" s="204"/>
      <c r="O1346" s="204"/>
      <c r="P1346" s="204"/>
      <c r="T1346" s="217"/>
    </row>
    <row r="1347" spans="2:20">
      <c r="B1347" s="204"/>
      <c r="C1347" s="204"/>
      <c r="D1347" s="204"/>
      <c r="E1347" s="204"/>
      <c r="F1347" s="204"/>
      <c r="G1347" s="204"/>
      <c r="H1347" s="204"/>
      <c r="I1347" s="204"/>
      <c r="J1347" s="204"/>
      <c r="K1347" s="204"/>
      <c r="L1347" s="204"/>
      <c r="M1347" s="204"/>
      <c r="N1347" s="204"/>
      <c r="O1347" s="204"/>
      <c r="P1347" s="204"/>
      <c r="T1347" s="217"/>
    </row>
    <row r="1348" spans="2:20">
      <c r="B1348" s="204"/>
      <c r="C1348" s="204"/>
      <c r="D1348" s="204"/>
      <c r="E1348" s="204"/>
      <c r="F1348" s="204"/>
      <c r="G1348" s="204"/>
      <c r="H1348" s="204"/>
      <c r="I1348" s="204"/>
      <c r="J1348" s="204"/>
      <c r="K1348" s="204"/>
      <c r="L1348" s="204"/>
      <c r="M1348" s="204"/>
      <c r="N1348" s="204"/>
      <c r="O1348" s="204"/>
      <c r="P1348" s="204"/>
      <c r="T1348" s="217"/>
    </row>
    <row r="1349" spans="2:20">
      <c r="B1349" s="204"/>
      <c r="C1349" s="204"/>
      <c r="D1349" s="204"/>
      <c r="E1349" s="204"/>
      <c r="F1349" s="204"/>
      <c r="G1349" s="204"/>
      <c r="H1349" s="204"/>
      <c r="I1349" s="204"/>
      <c r="J1349" s="204"/>
      <c r="K1349" s="204"/>
      <c r="L1349" s="204"/>
      <c r="M1349" s="204"/>
      <c r="N1349" s="204"/>
      <c r="O1349" s="204"/>
      <c r="P1349" s="204"/>
      <c r="T1349" s="217"/>
    </row>
    <row r="1350" spans="2:20">
      <c r="B1350" s="204"/>
      <c r="C1350" s="204"/>
      <c r="D1350" s="204"/>
      <c r="E1350" s="204"/>
      <c r="F1350" s="204"/>
      <c r="G1350" s="204"/>
      <c r="H1350" s="204"/>
      <c r="I1350" s="204"/>
      <c r="J1350" s="204"/>
      <c r="K1350" s="204"/>
      <c r="L1350" s="204"/>
      <c r="M1350" s="204"/>
      <c r="N1350" s="204"/>
      <c r="O1350" s="204"/>
      <c r="P1350" s="204"/>
      <c r="T1350" s="217"/>
    </row>
    <row r="1351" spans="2:20">
      <c r="B1351" s="204"/>
      <c r="C1351" s="204"/>
      <c r="D1351" s="204"/>
      <c r="E1351" s="204"/>
      <c r="F1351" s="204"/>
      <c r="G1351" s="204"/>
      <c r="H1351" s="204"/>
      <c r="I1351" s="204"/>
      <c r="J1351" s="204"/>
      <c r="K1351" s="204"/>
      <c r="L1351" s="204"/>
      <c r="M1351" s="204"/>
      <c r="N1351" s="204"/>
      <c r="O1351" s="204"/>
      <c r="P1351" s="204"/>
      <c r="T1351" s="217"/>
    </row>
    <row r="1352" spans="2:20">
      <c r="B1352" s="204"/>
      <c r="C1352" s="204"/>
      <c r="D1352" s="204"/>
      <c r="E1352" s="204"/>
      <c r="F1352" s="204"/>
      <c r="G1352" s="204"/>
      <c r="H1352" s="204"/>
      <c r="I1352" s="204"/>
      <c r="J1352" s="204"/>
      <c r="K1352" s="204"/>
      <c r="L1352" s="204"/>
      <c r="M1352" s="204"/>
      <c r="N1352" s="204"/>
      <c r="O1352" s="204"/>
      <c r="P1352" s="204"/>
      <c r="T1352" s="217"/>
    </row>
    <row r="1353" spans="2:20">
      <c r="B1353" s="204"/>
      <c r="C1353" s="204"/>
      <c r="D1353" s="204"/>
      <c r="E1353" s="204"/>
      <c r="F1353" s="204"/>
      <c r="G1353" s="204"/>
      <c r="H1353" s="204"/>
      <c r="I1353" s="204"/>
      <c r="J1353" s="204"/>
      <c r="K1353" s="204"/>
      <c r="L1353" s="204"/>
      <c r="M1353" s="204"/>
      <c r="N1353" s="204"/>
      <c r="O1353" s="204"/>
      <c r="P1353" s="204"/>
      <c r="T1353" s="217"/>
    </row>
    <row r="1354" spans="2:20">
      <c r="B1354" s="204"/>
      <c r="C1354" s="204"/>
      <c r="D1354" s="204"/>
      <c r="E1354" s="204"/>
      <c r="F1354" s="204"/>
      <c r="G1354" s="204"/>
      <c r="H1354" s="204"/>
      <c r="I1354" s="204"/>
      <c r="J1354" s="204"/>
      <c r="K1354" s="204"/>
      <c r="L1354" s="204"/>
      <c r="M1354" s="204"/>
      <c r="N1354" s="204"/>
      <c r="O1354" s="204"/>
      <c r="P1354" s="204"/>
      <c r="T1354" s="217"/>
    </row>
    <row r="1355" spans="2:20">
      <c r="B1355" s="204"/>
      <c r="C1355" s="204"/>
      <c r="D1355" s="204"/>
      <c r="E1355" s="204"/>
      <c r="F1355" s="204"/>
      <c r="G1355" s="204"/>
      <c r="H1355" s="204"/>
      <c r="I1355" s="204"/>
      <c r="J1355" s="204"/>
      <c r="K1355" s="204"/>
      <c r="L1355" s="204"/>
      <c r="M1355" s="204"/>
      <c r="N1355" s="204"/>
      <c r="O1355" s="204"/>
      <c r="P1355" s="204"/>
      <c r="T1355" s="217"/>
    </row>
    <row r="1356" spans="2:20">
      <c r="B1356" s="204"/>
      <c r="C1356" s="204"/>
      <c r="D1356" s="204"/>
      <c r="E1356" s="204"/>
      <c r="F1356" s="204"/>
      <c r="G1356" s="204"/>
      <c r="H1356" s="204"/>
      <c r="I1356" s="204"/>
      <c r="J1356" s="204"/>
      <c r="K1356" s="204"/>
      <c r="L1356" s="204"/>
      <c r="M1356" s="204"/>
      <c r="N1356" s="204"/>
      <c r="O1356" s="204"/>
      <c r="P1356" s="204"/>
      <c r="T1356" s="217"/>
    </row>
    <row r="1357" spans="2:20">
      <c r="B1357" s="204"/>
      <c r="C1357" s="204"/>
      <c r="D1357" s="204"/>
      <c r="E1357" s="204"/>
      <c r="F1357" s="204"/>
      <c r="G1357" s="204"/>
      <c r="H1357" s="204"/>
      <c r="I1357" s="204"/>
      <c r="J1357" s="204"/>
      <c r="K1357" s="204"/>
      <c r="L1357" s="204"/>
      <c r="M1357" s="204"/>
      <c r="N1357" s="204"/>
      <c r="O1357" s="204"/>
      <c r="P1357" s="204"/>
      <c r="T1357" s="217"/>
    </row>
    <row r="1358" spans="2:20">
      <c r="B1358" s="204"/>
      <c r="C1358" s="204"/>
      <c r="D1358" s="204"/>
      <c r="E1358" s="204"/>
      <c r="F1358" s="204"/>
      <c r="G1358" s="204"/>
      <c r="H1358" s="204"/>
      <c r="I1358" s="204"/>
      <c r="J1358" s="204"/>
      <c r="K1358" s="204"/>
      <c r="L1358" s="204"/>
      <c r="M1358" s="204"/>
      <c r="N1358" s="204"/>
      <c r="O1358" s="204"/>
      <c r="P1358" s="204"/>
      <c r="T1358" s="217"/>
    </row>
    <row r="1359" spans="2:20">
      <c r="B1359" s="204"/>
      <c r="C1359" s="204"/>
      <c r="D1359" s="204"/>
      <c r="E1359" s="204"/>
      <c r="F1359" s="204"/>
      <c r="G1359" s="204"/>
      <c r="H1359" s="204"/>
      <c r="I1359" s="204"/>
      <c r="J1359" s="204"/>
      <c r="K1359" s="204"/>
      <c r="L1359" s="204"/>
      <c r="M1359" s="204"/>
      <c r="N1359" s="204"/>
      <c r="O1359" s="204"/>
      <c r="P1359" s="204"/>
      <c r="T1359" s="217"/>
    </row>
    <row r="1360" spans="2:20">
      <c r="B1360" s="204"/>
      <c r="C1360" s="204"/>
      <c r="D1360" s="204"/>
      <c r="E1360" s="204"/>
      <c r="F1360" s="204"/>
      <c r="G1360" s="204"/>
      <c r="H1360" s="204"/>
      <c r="I1360" s="204"/>
      <c r="J1360" s="204"/>
      <c r="K1360" s="204"/>
      <c r="L1360" s="204"/>
      <c r="M1360" s="204"/>
      <c r="N1360" s="204"/>
      <c r="O1360" s="204"/>
      <c r="P1360" s="204"/>
      <c r="T1360" s="217"/>
    </row>
    <row r="1361" spans="2:20">
      <c r="B1361" s="204"/>
      <c r="C1361" s="204"/>
      <c r="D1361" s="204"/>
      <c r="E1361" s="204"/>
      <c r="F1361" s="204"/>
      <c r="G1361" s="204"/>
      <c r="H1361" s="204"/>
      <c r="I1361" s="204"/>
      <c r="J1361" s="204"/>
      <c r="K1361" s="204"/>
      <c r="L1361" s="204"/>
      <c r="M1361" s="204"/>
      <c r="N1361" s="204"/>
      <c r="O1361" s="204"/>
      <c r="P1361" s="204"/>
      <c r="T1361" s="217"/>
    </row>
    <row r="1362" spans="2:20">
      <c r="B1362" s="204"/>
      <c r="C1362" s="204"/>
      <c r="D1362" s="204"/>
      <c r="E1362" s="204"/>
      <c r="F1362" s="204"/>
      <c r="G1362" s="204"/>
      <c r="H1362" s="204"/>
      <c r="I1362" s="204"/>
      <c r="J1362" s="204"/>
      <c r="K1362" s="204"/>
      <c r="L1362" s="204"/>
      <c r="M1362" s="204"/>
      <c r="N1362" s="204"/>
      <c r="O1362" s="204"/>
      <c r="P1362" s="204"/>
      <c r="T1362" s="217"/>
    </row>
    <row r="1363" spans="2:20">
      <c r="B1363" s="204"/>
      <c r="C1363" s="204"/>
      <c r="D1363" s="204"/>
      <c r="E1363" s="204"/>
      <c r="F1363" s="204"/>
      <c r="G1363" s="204"/>
      <c r="H1363" s="204"/>
      <c r="I1363" s="204"/>
      <c r="J1363" s="204"/>
      <c r="K1363" s="204"/>
      <c r="L1363" s="204"/>
      <c r="M1363" s="204"/>
      <c r="N1363" s="204"/>
      <c r="O1363" s="204"/>
      <c r="P1363" s="204"/>
      <c r="T1363" s="217"/>
    </row>
    <row r="1364" spans="2:20">
      <c r="B1364" s="204"/>
      <c r="C1364" s="204"/>
      <c r="D1364" s="204"/>
      <c r="E1364" s="204"/>
      <c r="F1364" s="204"/>
      <c r="G1364" s="204"/>
      <c r="H1364" s="204"/>
      <c r="I1364" s="204"/>
      <c r="J1364" s="204"/>
      <c r="K1364" s="204"/>
      <c r="L1364" s="204"/>
      <c r="M1364" s="204"/>
      <c r="N1364" s="204"/>
      <c r="O1364" s="204"/>
      <c r="P1364" s="204"/>
      <c r="T1364" s="217"/>
    </row>
    <row r="1365" spans="2:20">
      <c r="B1365" s="204"/>
      <c r="C1365" s="204"/>
      <c r="D1365" s="204"/>
      <c r="E1365" s="204"/>
      <c r="F1365" s="204"/>
      <c r="G1365" s="204"/>
      <c r="H1365" s="204"/>
      <c r="I1365" s="204"/>
      <c r="J1365" s="204"/>
      <c r="K1365" s="204"/>
      <c r="L1365" s="204"/>
      <c r="M1365" s="204"/>
      <c r="N1365" s="204"/>
      <c r="O1365" s="204"/>
      <c r="P1365" s="204"/>
      <c r="T1365" s="217"/>
    </row>
    <row r="1366" spans="2:20">
      <c r="B1366" s="204"/>
      <c r="C1366" s="204"/>
      <c r="D1366" s="204"/>
      <c r="E1366" s="204"/>
      <c r="F1366" s="204"/>
      <c r="G1366" s="204"/>
      <c r="H1366" s="204"/>
      <c r="I1366" s="204"/>
      <c r="J1366" s="204"/>
      <c r="K1366" s="204"/>
      <c r="L1366" s="204"/>
      <c r="M1366" s="204"/>
      <c r="N1366" s="204"/>
      <c r="O1366" s="204"/>
      <c r="P1366" s="204"/>
      <c r="T1366" s="217"/>
    </row>
    <row r="1367" spans="2:20">
      <c r="B1367" s="204"/>
      <c r="C1367" s="204"/>
      <c r="D1367" s="204"/>
      <c r="E1367" s="204"/>
      <c r="F1367" s="204"/>
      <c r="G1367" s="204"/>
      <c r="H1367" s="204"/>
      <c r="I1367" s="204"/>
      <c r="J1367" s="204"/>
      <c r="K1367" s="204"/>
      <c r="L1367" s="204"/>
      <c r="M1367" s="204"/>
      <c r="N1367" s="204"/>
      <c r="O1367" s="204"/>
      <c r="P1367" s="204"/>
      <c r="T1367" s="217"/>
    </row>
    <row r="1368" spans="2:20">
      <c r="B1368" s="204"/>
      <c r="C1368" s="204"/>
      <c r="D1368" s="204"/>
      <c r="E1368" s="204"/>
      <c r="F1368" s="204"/>
      <c r="G1368" s="204"/>
      <c r="H1368" s="204"/>
      <c r="I1368" s="204"/>
      <c r="J1368" s="204"/>
      <c r="K1368" s="204"/>
      <c r="L1368" s="204"/>
      <c r="M1368" s="204"/>
      <c r="N1368" s="204"/>
      <c r="O1368" s="204"/>
      <c r="P1368" s="204"/>
      <c r="T1368" s="217"/>
    </row>
    <row r="1369" spans="2:20">
      <c r="B1369" s="204"/>
      <c r="C1369" s="204"/>
      <c r="D1369" s="204"/>
      <c r="E1369" s="204"/>
      <c r="F1369" s="204"/>
      <c r="G1369" s="204"/>
      <c r="H1369" s="204"/>
      <c r="I1369" s="204"/>
      <c r="J1369" s="204"/>
      <c r="K1369" s="204"/>
      <c r="L1369" s="204"/>
      <c r="M1369" s="204"/>
      <c r="N1369" s="204"/>
      <c r="O1369" s="204"/>
      <c r="P1369" s="204"/>
      <c r="T1369" s="217"/>
    </row>
    <row r="1370" spans="2:20">
      <c r="B1370" s="204"/>
      <c r="C1370" s="204"/>
      <c r="D1370" s="204"/>
      <c r="E1370" s="204"/>
      <c r="F1370" s="204"/>
      <c r="G1370" s="204"/>
      <c r="H1370" s="204"/>
      <c r="I1370" s="204"/>
      <c r="J1370" s="204"/>
      <c r="K1370" s="204"/>
      <c r="L1370" s="204"/>
      <c r="M1370" s="204"/>
      <c r="N1370" s="204"/>
      <c r="O1370" s="204"/>
      <c r="P1370" s="204"/>
      <c r="T1370" s="217"/>
    </row>
    <row r="1371" spans="2:20">
      <c r="B1371" s="204"/>
      <c r="C1371" s="204"/>
      <c r="D1371" s="204"/>
      <c r="E1371" s="204"/>
      <c r="F1371" s="204"/>
      <c r="G1371" s="204"/>
      <c r="H1371" s="204"/>
      <c r="I1371" s="204"/>
      <c r="J1371" s="204"/>
      <c r="K1371" s="204"/>
      <c r="L1371" s="204"/>
      <c r="M1371" s="204"/>
      <c r="N1371" s="204"/>
      <c r="O1371" s="204"/>
      <c r="P1371" s="204"/>
      <c r="T1371" s="217"/>
    </row>
    <row r="1372" spans="2:20">
      <c r="B1372" s="204"/>
      <c r="C1372" s="204"/>
      <c r="D1372" s="204"/>
      <c r="E1372" s="204"/>
      <c r="F1372" s="204"/>
      <c r="G1372" s="204"/>
      <c r="H1372" s="204"/>
      <c r="I1372" s="204"/>
      <c r="J1372" s="204"/>
      <c r="K1372" s="204"/>
      <c r="L1372" s="204"/>
      <c r="M1372" s="204"/>
      <c r="N1372" s="204"/>
      <c r="O1372" s="204"/>
      <c r="P1372" s="204"/>
      <c r="T1372" s="217"/>
    </row>
    <row r="1373" spans="2:20">
      <c r="B1373" s="204"/>
      <c r="C1373" s="204"/>
      <c r="D1373" s="204"/>
      <c r="E1373" s="204"/>
      <c r="F1373" s="204"/>
      <c r="G1373" s="204"/>
      <c r="H1373" s="204"/>
      <c r="I1373" s="204"/>
      <c r="J1373" s="204"/>
      <c r="K1373" s="204"/>
      <c r="L1373" s="204"/>
      <c r="M1373" s="204"/>
      <c r="N1373" s="204"/>
      <c r="O1373" s="204"/>
      <c r="P1373" s="204"/>
      <c r="T1373" s="217"/>
    </row>
    <row r="1374" spans="2:20">
      <c r="B1374" s="204"/>
      <c r="C1374" s="204"/>
      <c r="D1374" s="204"/>
      <c r="E1374" s="204"/>
      <c r="F1374" s="204"/>
      <c r="G1374" s="204"/>
      <c r="H1374" s="204"/>
      <c r="I1374" s="204"/>
      <c r="J1374" s="204"/>
      <c r="K1374" s="204"/>
      <c r="L1374" s="204"/>
      <c r="M1374" s="204"/>
      <c r="N1374" s="204"/>
      <c r="O1374" s="204"/>
      <c r="P1374" s="204"/>
      <c r="T1374" s="217"/>
    </row>
    <row r="1375" spans="2:20">
      <c r="B1375" s="204"/>
      <c r="C1375" s="204"/>
      <c r="D1375" s="204"/>
      <c r="E1375" s="204"/>
      <c r="F1375" s="204"/>
      <c r="G1375" s="204"/>
      <c r="H1375" s="204"/>
      <c r="I1375" s="204"/>
      <c r="J1375" s="204"/>
      <c r="K1375" s="204"/>
      <c r="L1375" s="204"/>
      <c r="M1375" s="204"/>
      <c r="N1375" s="204"/>
      <c r="O1375" s="204"/>
      <c r="P1375" s="204"/>
      <c r="T1375" s="217"/>
    </row>
    <row r="1376" spans="2:20">
      <c r="B1376" s="204"/>
      <c r="C1376" s="204"/>
      <c r="D1376" s="204"/>
      <c r="E1376" s="204"/>
      <c r="F1376" s="204"/>
      <c r="G1376" s="204"/>
      <c r="H1376" s="204"/>
      <c r="I1376" s="204"/>
      <c r="J1376" s="204"/>
      <c r="K1376" s="204"/>
      <c r="L1376" s="204"/>
      <c r="M1376" s="204"/>
      <c r="N1376" s="204"/>
      <c r="O1376" s="204"/>
      <c r="P1376" s="204"/>
      <c r="T1376" s="217"/>
    </row>
    <row r="1377" spans="2:20">
      <c r="B1377" s="204"/>
      <c r="C1377" s="204"/>
      <c r="D1377" s="204"/>
      <c r="E1377" s="204"/>
      <c r="F1377" s="204"/>
      <c r="G1377" s="204"/>
      <c r="H1377" s="204"/>
      <c r="I1377" s="204"/>
      <c r="J1377" s="204"/>
      <c r="K1377" s="204"/>
      <c r="L1377" s="204"/>
      <c r="M1377" s="204"/>
      <c r="N1377" s="204"/>
      <c r="O1377" s="204"/>
      <c r="P1377" s="204"/>
      <c r="T1377" s="217"/>
    </row>
    <row r="1378" spans="2:20">
      <c r="B1378" s="204"/>
      <c r="C1378" s="204"/>
      <c r="D1378" s="204"/>
      <c r="E1378" s="204"/>
      <c r="F1378" s="204"/>
      <c r="G1378" s="204"/>
      <c r="H1378" s="204"/>
      <c r="I1378" s="204"/>
      <c r="J1378" s="204"/>
      <c r="K1378" s="204"/>
      <c r="L1378" s="204"/>
      <c r="M1378" s="204"/>
      <c r="N1378" s="204"/>
      <c r="O1378" s="204"/>
      <c r="P1378" s="204"/>
      <c r="T1378" s="217"/>
    </row>
    <row r="1379" spans="2:20">
      <c r="B1379" s="204"/>
      <c r="C1379" s="204"/>
      <c r="D1379" s="204"/>
      <c r="E1379" s="204"/>
      <c r="F1379" s="204"/>
      <c r="G1379" s="204"/>
      <c r="H1379" s="204"/>
      <c r="I1379" s="204"/>
      <c r="J1379" s="204"/>
      <c r="K1379" s="204"/>
      <c r="L1379" s="204"/>
      <c r="M1379" s="204"/>
      <c r="N1379" s="204"/>
      <c r="O1379" s="204"/>
      <c r="P1379" s="204"/>
      <c r="T1379" s="217"/>
    </row>
    <row r="1380" spans="2:20">
      <c r="B1380" s="204"/>
      <c r="C1380" s="204"/>
      <c r="D1380" s="204"/>
      <c r="E1380" s="204"/>
      <c r="F1380" s="204"/>
      <c r="G1380" s="204"/>
      <c r="H1380" s="204"/>
      <c r="I1380" s="204"/>
      <c r="J1380" s="204"/>
      <c r="K1380" s="204"/>
      <c r="L1380" s="204"/>
      <c r="M1380" s="204"/>
      <c r="N1380" s="204"/>
      <c r="O1380" s="204"/>
      <c r="P1380" s="204"/>
      <c r="T1380" s="217"/>
    </row>
    <row r="1381" spans="2:20">
      <c r="B1381" s="204"/>
      <c r="C1381" s="204"/>
      <c r="D1381" s="204"/>
      <c r="E1381" s="204"/>
      <c r="F1381" s="204"/>
      <c r="G1381" s="204"/>
      <c r="H1381" s="204"/>
      <c r="I1381" s="204"/>
      <c r="J1381" s="204"/>
      <c r="K1381" s="204"/>
      <c r="L1381" s="204"/>
      <c r="M1381" s="204"/>
      <c r="N1381" s="204"/>
      <c r="O1381" s="204"/>
      <c r="P1381" s="204"/>
      <c r="T1381" s="217"/>
    </row>
    <row r="1382" spans="2:20">
      <c r="B1382" s="204"/>
      <c r="C1382" s="204"/>
      <c r="D1382" s="204"/>
      <c r="E1382" s="204"/>
      <c r="F1382" s="204"/>
      <c r="G1382" s="204"/>
      <c r="H1382" s="204"/>
      <c r="I1382" s="204"/>
      <c r="J1382" s="204"/>
      <c r="K1382" s="204"/>
      <c r="L1382" s="204"/>
      <c r="M1382" s="204"/>
      <c r="N1382" s="204"/>
      <c r="O1382" s="204"/>
      <c r="P1382" s="204"/>
      <c r="T1382" s="217"/>
    </row>
    <row r="1383" spans="2:20">
      <c r="B1383" s="204"/>
      <c r="C1383" s="204"/>
      <c r="D1383" s="204"/>
      <c r="E1383" s="204"/>
      <c r="F1383" s="204"/>
      <c r="G1383" s="204"/>
      <c r="H1383" s="204"/>
      <c r="I1383" s="204"/>
      <c r="J1383" s="204"/>
      <c r="K1383" s="204"/>
      <c r="L1383" s="204"/>
      <c r="M1383" s="204"/>
      <c r="N1383" s="204"/>
      <c r="O1383" s="204"/>
      <c r="P1383" s="204"/>
      <c r="T1383" s="217"/>
    </row>
    <row r="1384" spans="2:20">
      <c r="B1384" s="204"/>
      <c r="C1384" s="204"/>
      <c r="D1384" s="204"/>
      <c r="E1384" s="204"/>
      <c r="F1384" s="204"/>
      <c r="G1384" s="204"/>
      <c r="H1384" s="204"/>
      <c r="I1384" s="204"/>
      <c r="J1384" s="204"/>
      <c r="K1384" s="204"/>
      <c r="L1384" s="204"/>
      <c r="M1384" s="204"/>
      <c r="N1384" s="204"/>
      <c r="O1384" s="204"/>
      <c r="P1384" s="204"/>
      <c r="T1384" s="217"/>
    </row>
    <row r="1385" spans="2:20">
      <c r="B1385" s="204"/>
      <c r="C1385" s="204"/>
      <c r="D1385" s="204"/>
      <c r="E1385" s="204"/>
      <c r="F1385" s="204"/>
      <c r="G1385" s="204"/>
      <c r="H1385" s="204"/>
      <c r="I1385" s="204"/>
      <c r="J1385" s="204"/>
      <c r="K1385" s="204"/>
      <c r="L1385" s="204"/>
      <c r="M1385" s="204"/>
      <c r="N1385" s="204"/>
      <c r="O1385" s="204"/>
      <c r="P1385" s="204"/>
      <c r="T1385" s="217"/>
    </row>
    <row r="1386" spans="2:20">
      <c r="B1386" s="204"/>
      <c r="C1386" s="204"/>
      <c r="D1386" s="204"/>
      <c r="E1386" s="204"/>
      <c r="F1386" s="204"/>
      <c r="G1386" s="204"/>
      <c r="H1386" s="204"/>
      <c r="I1386" s="204"/>
      <c r="J1386" s="204"/>
      <c r="K1386" s="204"/>
      <c r="L1386" s="204"/>
      <c r="M1386" s="204"/>
      <c r="N1386" s="204"/>
      <c r="O1386" s="204"/>
      <c r="P1386" s="204"/>
      <c r="T1386" s="217"/>
    </row>
    <row r="1387" spans="2:20">
      <c r="B1387" s="204"/>
      <c r="C1387" s="204"/>
      <c r="D1387" s="204"/>
      <c r="E1387" s="204"/>
      <c r="F1387" s="204"/>
      <c r="G1387" s="204"/>
      <c r="H1387" s="204"/>
      <c r="I1387" s="204"/>
      <c r="J1387" s="204"/>
      <c r="K1387" s="204"/>
      <c r="L1387" s="204"/>
      <c r="M1387" s="204"/>
      <c r="N1387" s="204"/>
      <c r="O1387" s="204"/>
      <c r="P1387" s="204"/>
      <c r="T1387" s="217"/>
    </row>
    <row r="1388" spans="2:20">
      <c r="B1388" s="204"/>
      <c r="C1388" s="204"/>
      <c r="D1388" s="204"/>
      <c r="E1388" s="204"/>
      <c r="F1388" s="204"/>
      <c r="G1388" s="204"/>
      <c r="H1388" s="204"/>
      <c r="I1388" s="204"/>
      <c r="J1388" s="204"/>
      <c r="K1388" s="204"/>
      <c r="L1388" s="204"/>
      <c r="M1388" s="204"/>
      <c r="N1388" s="204"/>
      <c r="O1388" s="204"/>
      <c r="P1388" s="204"/>
      <c r="T1388" s="217"/>
    </row>
    <row r="1389" spans="2:20">
      <c r="B1389" s="204"/>
      <c r="C1389" s="204"/>
      <c r="D1389" s="204"/>
      <c r="E1389" s="204"/>
      <c r="F1389" s="204"/>
      <c r="G1389" s="204"/>
      <c r="H1389" s="204"/>
      <c r="I1389" s="204"/>
      <c r="J1389" s="204"/>
      <c r="K1389" s="204"/>
      <c r="L1389" s="204"/>
      <c r="M1389" s="204"/>
      <c r="N1389" s="204"/>
      <c r="O1389" s="204"/>
      <c r="P1389" s="204"/>
      <c r="T1389" s="217"/>
    </row>
    <row r="1390" spans="2:20">
      <c r="B1390" s="204"/>
      <c r="C1390" s="204"/>
      <c r="D1390" s="204"/>
      <c r="E1390" s="204"/>
      <c r="F1390" s="204"/>
      <c r="G1390" s="204"/>
      <c r="H1390" s="204"/>
      <c r="I1390" s="204"/>
      <c r="J1390" s="204"/>
      <c r="K1390" s="204"/>
      <c r="L1390" s="204"/>
      <c r="M1390" s="204"/>
      <c r="N1390" s="204"/>
      <c r="O1390" s="204"/>
      <c r="P1390" s="204"/>
      <c r="T1390" s="217"/>
    </row>
    <row r="1391" spans="2:20">
      <c r="B1391" s="204"/>
      <c r="C1391" s="204"/>
      <c r="D1391" s="204"/>
      <c r="E1391" s="204"/>
      <c r="F1391" s="204"/>
      <c r="G1391" s="204"/>
      <c r="H1391" s="204"/>
      <c r="I1391" s="204"/>
      <c r="J1391" s="204"/>
      <c r="K1391" s="204"/>
      <c r="L1391" s="204"/>
      <c r="M1391" s="204"/>
      <c r="N1391" s="204"/>
      <c r="O1391" s="204"/>
      <c r="P1391" s="204"/>
      <c r="T1391" s="217"/>
    </row>
    <row r="1392" spans="2:20">
      <c r="B1392" s="204"/>
      <c r="C1392" s="204"/>
      <c r="D1392" s="204"/>
      <c r="E1392" s="204"/>
      <c r="F1392" s="204"/>
      <c r="G1392" s="204"/>
      <c r="H1392" s="204"/>
      <c r="I1392" s="204"/>
      <c r="J1392" s="204"/>
      <c r="K1392" s="204"/>
      <c r="L1392" s="204"/>
      <c r="M1392" s="204"/>
      <c r="N1392" s="204"/>
      <c r="O1392" s="204"/>
      <c r="P1392" s="204"/>
      <c r="T1392" s="217"/>
    </row>
    <row r="1393" spans="2:20">
      <c r="B1393" s="204"/>
      <c r="C1393" s="204"/>
      <c r="D1393" s="204"/>
      <c r="E1393" s="204"/>
      <c r="F1393" s="204"/>
      <c r="G1393" s="204"/>
      <c r="H1393" s="204"/>
      <c r="I1393" s="204"/>
      <c r="J1393" s="204"/>
      <c r="K1393" s="204"/>
      <c r="L1393" s="204"/>
      <c r="M1393" s="204"/>
      <c r="N1393" s="204"/>
      <c r="O1393" s="204"/>
      <c r="P1393" s="204"/>
      <c r="T1393" s="217"/>
    </row>
    <row r="1394" spans="2:20">
      <c r="B1394" s="204"/>
      <c r="C1394" s="204"/>
      <c r="D1394" s="204"/>
      <c r="E1394" s="204"/>
      <c r="F1394" s="204"/>
      <c r="G1394" s="204"/>
      <c r="H1394" s="204"/>
      <c r="I1394" s="204"/>
      <c r="J1394" s="204"/>
      <c r="K1394" s="204"/>
      <c r="L1394" s="204"/>
      <c r="M1394" s="204"/>
      <c r="N1394" s="204"/>
      <c r="O1394" s="204"/>
      <c r="P1394" s="204"/>
      <c r="T1394" s="217"/>
    </row>
    <row r="1395" spans="2:20">
      <c r="B1395" s="204"/>
      <c r="C1395" s="204"/>
      <c r="D1395" s="204"/>
      <c r="E1395" s="204"/>
      <c r="F1395" s="204"/>
      <c r="G1395" s="204"/>
      <c r="H1395" s="204"/>
      <c r="I1395" s="204"/>
      <c r="J1395" s="204"/>
      <c r="K1395" s="204"/>
      <c r="L1395" s="204"/>
      <c r="M1395" s="204"/>
      <c r="N1395" s="204"/>
      <c r="O1395" s="204"/>
      <c r="P1395" s="204"/>
      <c r="T1395" s="217"/>
    </row>
    <row r="1396" spans="2:20">
      <c r="B1396" s="204"/>
      <c r="C1396" s="204"/>
      <c r="D1396" s="204"/>
      <c r="E1396" s="204"/>
      <c r="F1396" s="204"/>
      <c r="G1396" s="204"/>
      <c r="H1396" s="204"/>
      <c r="I1396" s="204"/>
      <c r="J1396" s="204"/>
      <c r="K1396" s="204"/>
      <c r="L1396" s="204"/>
      <c r="M1396" s="204"/>
      <c r="N1396" s="204"/>
      <c r="O1396" s="204"/>
      <c r="P1396" s="204"/>
      <c r="T1396" s="217"/>
    </row>
    <row r="1397" spans="2:20">
      <c r="B1397" s="204"/>
      <c r="C1397" s="204"/>
      <c r="D1397" s="204"/>
      <c r="E1397" s="204"/>
      <c r="F1397" s="204"/>
      <c r="G1397" s="204"/>
      <c r="H1397" s="204"/>
      <c r="I1397" s="204"/>
      <c r="J1397" s="204"/>
      <c r="K1397" s="204"/>
      <c r="L1397" s="204"/>
      <c r="M1397" s="204"/>
      <c r="N1397" s="204"/>
      <c r="O1397" s="204"/>
      <c r="P1397" s="204"/>
      <c r="T1397" s="217"/>
    </row>
    <row r="1398" spans="2:20">
      <c r="B1398" s="204"/>
      <c r="C1398" s="204"/>
      <c r="D1398" s="204"/>
      <c r="E1398" s="204"/>
      <c r="F1398" s="204"/>
      <c r="G1398" s="204"/>
      <c r="H1398" s="204"/>
      <c r="I1398" s="204"/>
      <c r="J1398" s="204"/>
      <c r="K1398" s="204"/>
      <c r="L1398" s="204"/>
      <c r="M1398" s="204"/>
      <c r="N1398" s="204"/>
      <c r="O1398" s="204"/>
      <c r="P1398" s="204"/>
      <c r="T1398" s="217"/>
    </row>
    <row r="1399" spans="2:20">
      <c r="B1399" s="204"/>
      <c r="C1399" s="204"/>
      <c r="D1399" s="204"/>
      <c r="E1399" s="204"/>
      <c r="F1399" s="204"/>
      <c r="G1399" s="204"/>
      <c r="H1399" s="204"/>
      <c r="I1399" s="204"/>
      <c r="J1399" s="204"/>
      <c r="K1399" s="204"/>
      <c r="L1399" s="204"/>
      <c r="M1399" s="204"/>
      <c r="N1399" s="204"/>
      <c r="O1399" s="204"/>
      <c r="P1399" s="204"/>
      <c r="T1399" s="217"/>
    </row>
    <row r="1400" spans="2:20">
      <c r="B1400" s="204"/>
      <c r="C1400" s="204"/>
      <c r="D1400" s="204"/>
      <c r="E1400" s="204"/>
      <c r="F1400" s="204"/>
      <c r="G1400" s="204"/>
      <c r="H1400" s="204"/>
      <c r="I1400" s="204"/>
      <c r="J1400" s="204"/>
      <c r="K1400" s="204"/>
      <c r="L1400" s="204"/>
      <c r="M1400" s="204"/>
      <c r="N1400" s="204"/>
      <c r="O1400" s="204"/>
      <c r="P1400" s="204"/>
      <c r="T1400" s="217"/>
    </row>
    <row r="1401" spans="2:20">
      <c r="B1401" s="204"/>
      <c r="C1401" s="204"/>
      <c r="D1401" s="204"/>
      <c r="E1401" s="204"/>
      <c r="F1401" s="204"/>
      <c r="G1401" s="204"/>
      <c r="H1401" s="204"/>
      <c r="I1401" s="204"/>
      <c r="J1401" s="204"/>
      <c r="K1401" s="204"/>
      <c r="L1401" s="204"/>
      <c r="M1401" s="204"/>
      <c r="N1401" s="204"/>
      <c r="O1401" s="204"/>
      <c r="P1401" s="204"/>
      <c r="T1401" s="217"/>
    </row>
    <row r="1402" spans="2:20">
      <c r="B1402" s="204"/>
      <c r="C1402" s="204"/>
      <c r="D1402" s="204"/>
      <c r="E1402" s="204"/>
      <c r="F1402" s="204"/>
      <c r="G1402" s="204"/>
      <c r="H1402" s="204"/>
      <c r="I1402" s="204"/>
      <c r="J1402" s="204"/>
      <c r="K1402" s="204"/>
      <c r="L1402" s="204"/>
      <c r="M1402" s="204"/>
      <c r="N1402" s="204"/>
      <c r="O1402" s="204"/>
      <c r="P1402" s="204"/>
      <c r="T1402" s="217"/>
    </row>
    <row r="1403" spans="2:20">
      <c r="B1403" s="204"/>
      <c r="C1403" s="204"/>
      <c r="D1403" s="204"/>
      <c r="E1403" s="204"/>
      <c r="F1403" s="204"/>
      <c r="G1403" s="204"/>
      <c r="H1403" s="204"/>
      <c r="I1403" s="204"/>
      <c r="J1403" s="204"/>
      <c r="K1403" s="204"/>
      <c r="L1403" s="204"/>
      <c r="M1403" s="204"/>
      <c r="N1403" s="204"/>
      <c r="O1403" s="204"/>
      <c r="P1403" s="204"/>
      <c r="T1403" s="217"/>
    </row>
    <row r="1404" spans="2:20">
      <c r="B1404" s="204"/>
      <c r="C1404" s="204"/>
      <c r="D1404" s="204"/>
      <c r="E1404" s="204"/>
      <c r="F1404" s="204"/>
      <c r="G1404" s="204"/>
      <c r="H1404" s="204"/>
      <c r="I1404" s="204"/>
      <c r="J1404" s="204"/>
      <c r="K1404" s="204"/>
      <c r="L1404" s="204"/>
      <c r="M1404" s="204"/>
      <c r="N1404" s="204"/>
      <c r="O1404" s="204"/>
      <c r="P1404" s="204"/>
      <c r="T1404" s="217"/>
    </row>
    <row r="1405" spans="2:20">
      <c r="B1405" s="204"/>
      <c r="C1405" s="204"/>
      <c r="D1405" s="204"/>
      <c r="E1405" s="204"/>
      <c r="F1405" s="204"/>
      <c r="G1405" s="204"/>
      <c r="H1405" s="204"/>
      <c r="I1405" s="204"/>
      <c r="J1405" s="204"/>
      <c r="K1405" s="204"/>
      <c r="L1405" s="204"/>
      <c r="M1405" s="204"/>
      <c r="N1405" s="204"/>
      <c r="O1405" s="204"/>
      <c r="P1405" s="204"/>
      <c r="T1405" s="217"/>
    </row>
    <row r="1406" spans="2:20">
      <c r="B1406" s="204"/>
      <c r="C1406" s="204"/>
      <c r="D1406" s="204"/>
      <c r="E1406" s="204"/>
      <c r="F1406" s="204"/>
      <c r="G1406" s="204"/>
      <c r="H1406" s="204"/>
      <c r="I1406" s="204"/>
      <c r="J1406" s="204"/>
      <c r="K1406" s="204"/>
      <c r="L1406" s="204"/>
      <c r="M1406" s="204"/>
      <c r="N1406" s="204"/>
      <c r="O1406" s="204"/>
      <c r="P1406" s="204"/>
      <c r="T1406" s="217"/>
    </row>
    <row r="1407" spans="2:20">
      <c r="B1407" s="204"/>
      <c r="C1407" s="204"/>
      <c r="D1407" s="204"/>
      <c r="E1407" s="204"/>
      <c r="F1407" s="204"/>
      <c r="G1407" s="204"/>
      <c r="H1407" s="204"/>
      <c r="I1407" s="204"/>
      <c r="J1407" s="204"/>
      <c r="K1407" s="204"/>
      <c r="L1407" s="204"/>
      <c r="M1407" s="204"/>
      <c r="N1407" s="204"/>
      <c r="O1407" s="204"/>
      <c r="P1407" s="204"/>
      <c r="T1407" s="217"/>
    </row>
    <row r="1408" spans="2:20">
      <c r="B1408" s="204"/>
      <c r="C1408" s="204"/>
      <c r="D1408" s="204"/>
      <c r="E1408" s="204"/>
      <c r="F1408" s="204"/>
      <c r="G1408" s="204"/>
      <c r="H1408" s="204"/>
      <c r="I1408" s="204"/>
      <c r="J1408" s="204"/>
      <c r="K1408" s="204"/>
      <c r="L1408" s="204"/>
      <c r="M1408" s="204"/>
      <c r="N1408" s="204"/>
      <c r="O1408" s="204"/>
      <c r="P1408" s="204"/>
      <c r="T1408" s="217"/>
    </row>
    <row r="1409" spans="2:20">
      <c r="B1409" s="204"/>
      <c r="C1409" s="204"/>
      <c r="D1409" s="204"/>
      <c r="E1409" s="204"/>
      <c r="F1409" s="204"/>
      <c r="G1409" s="204"/>
      <c r="H1409" s="204"/>
      <c r="I1409" s="204"/>
      <c r="J1409" s="204"/>
      <c r="K1409" s="204"/>
      <c r="L1409" s="204"/>
      <c r="M1409" s="204"/>
      <c r="N1409" s="204"/>
      <c r="O1409" s="204"/>
      <c r="P1409" s="204"/>
      <c r="T1409" s="217"/>
    </row>
    <row r="1410" spans="2:20">
      <c r="B1410" s="204"/>
      <c r="C1410" s="204"/>
      <c r="D1410" s="204"/>
      <c r="E1410" s="204"/>
      <c r="F1410" s="204"/>
      <c r="G1410" s="204"/>
      <c r="H1410" s="204"/>
      <c r="I1410" s="204"/>
      <c r="J1410" s="204"/>
      <c r="K1410" s="204"/>
      <c r="L1410" s="204"/>
      <c r="M1410" s="204"/>
      <c r="N1410" s="204"/>
      <c r="O1410" s="204"/>
      <c r="P1410" s="204"/>
      <c r="T1410" s="217"/>
    </row>
    <row r="1411" spans="2:20">
      <c r="B1411" s="204"/>
      <c r="C1411" s="204"/>
      <c r="D1411" s="204"/>
      <c r="E1411" s="204"/>
      <c r="F1411" s="204"/>
      <c r="G1411" s="204"/>
      <c r="H1411" s="204"/>
      <c r="I1411" s="204"/>
      <c r="J1411" s="204"/>
      <c r="K1411" s="204"/>
      <c r="L1411" s="204"/>
      <c r="M1411" s="204"/>
      <c r="N1411" s="204"/>
      <c r="O1411" s="204"/>
      <c r="P1411" s="204"/>
      <c r="T1411" s="217"/>
    </row>
    <row r="1412" spans="2:20">
      <c r="B1412" s="204"/>
      <c r="C1412" s="204"/>
      <c r="D1412" s="204"/>
      <c r="E1412" s="204"/>
      <c r="F1412" s="204"/>
      <c r="G1412" s="204"/>
      <c r="H1412" s="204"/>
      <c r="I1412" s="204"/>
      <c r="J1412" s="204"/>
      <c r="K1412" s="204"/>
      <c r="L1412" s="204"/>
      <c r="M1412" s="204"/>
      <c r="N1412" s="204"/>
      <c r="O1412" s="204"/>
      <c r="P1412" s="204"/>
      <c r="T1412" s="217"/>
    </row>
    <row r="1413" spans="2:20">
      <c r="B1413" s="204"/>
      <c r="C1413" s="204"/>
      <c r="D1413" s="204"/>
      <c r="E1413" s="204"/>
      <c r="F1413" s="204"/>
      <c r="G1413" s="204"/>
      <c r="H1413" s="204"/>
      <c r="I1413" s="204"/>
      <c r="J1413" s="204"/>
      <c r="K1413" s="204"/>
      <c r="L1413" s="204"/>
      <c r="M1413" s="204"/>
      <c r="N1413" s="204"/>
      <c r="O1413" s="204"/>
      <c r="P1413" s="204"/>
      <c r="T1413" s="217"/>
    </row>
    <row r="1414" spans="2:20">
      <c r="B1414" s="204"/>
      <c r="C1414" s="204"/>
      <c r="D1414" s="204"/>
      <c r="E1414" s="204"/>
      <c r="F1414" s="204"/>
      <c r="G1414" s="204"/>
      <c r="H1414" s="204"/>
      <c r="I1414" s="204"/>
      <c r="J1414" s="204"/>
      <c r="K1414" s="204"/>
      <c r="L1414" s="204"/>
      <c r="M1414" s="204"/>
      <c r="N1414" s="204"/>
      <c r="O1414" s="204"/>
      <c r="P1414" s="204"/>
      <c r="T1414" s="217"/>
    </row>
    <row r="1415" spans="2:20">
      <c r="B1415" s="204"/>
      <c r="C1415" s="204"/>
      <c r="D1415" s="204"/>
      <c r="E1415" s="204"/>
      <c r="F1415" s="204"/>
      <c r="G1415" s="204"/>
      <c r="H1415" s="204"/>
      <c r="I1415" s="204"/>
      <c r="J1415" s="204"/>
      <c r="K1415" s="204"/>
      <c r="L1415" s="204"/>
      <c r="M1415" s="204"/>
      <c r="N1415" s="204"/>
      <c r="O1415" s="204"/>
      <c r="P1415" s="204"/>
      <c r="T1415" s="217"/>
    </row>
    <row r="1416" spans="2:20">
      <c r="B1416" s="204"/>
      <c r="C1416" s="204"/>
      <c r="D1416" s="204"/>
      <c r="E1416" s="204"/>
      <c r="F1416" s="204"/>
      <c r="G1416" s="204"/>
      <c r="H1416" s="204"/>
      <c r="I1416" s="204"/>
      <c r="J1416" s="204"/>
      <c r="K1416" s="204"/>
      <c r="L1416" s="204"/>
      <c r="M1416" s="204"/>
      <c r="N1416" s="204"/>
      <c r="O1416" s="204"/>
      <c r="P1416" s="204"/>
      <c r="T1416" s="217"/>
    </row>
    <row r="1417" spans="2:20">
      <c r="B1417" s="204"/>
      <c r="C1417" s="204"/>
      <c r="D1417" s="204"/>
      <c r="E1417" s="204"/>
      <c r="F1417" s="204"/>
      <c r="G1417" s="204"/>
      <c r="H1417" s="204"/>
      <c r="I1417" s="204"/>
      <c r="J1417" s="204"/>
      <c r="K1417" s="204"/>
      <c r="L1417" s="204"/>
      <c r="M1417" s="204"/>
      <c r="N1417" s="204"/>
      <c r="O1417" s="204"/>
      <c r="P1417" s="204"/>
      <c r="T1417" s="217"/>
    </row>
    <row r="1418" spans="2:20">
      <c r="B1418" s="204"/>
      <c r="C1418" s="204"/>
      <c r="D1418" s="204"/>
      <c r="E1418" s="204"/>
      <c r="F1418" s="204"/>
      <c r="G1418" s="204"/>
      <c r="H1418" s="204"/>
      <c r="I1418" s="204"/>
      <c r="J1418" s="204"/>
      <c r="K1418" s="204"/>
      <c r="L1418" s="204"/>
      <c r="M1418" s="204"/>
      <c r="N1418" s="204"/>
      <c r="O1418" s="204"/>
      <c r="P1418" s="204"/>
      <c r="T1418" s="217"/>
    </row>
    <row r="1419" spans="2:20">
      <c r="B1419" s="204"/>
      <c r="C1419" s="204"/>
      <c r="D1419" s="204"/>
      <c r="E1419" s="204"/>
      <c r="F1419" s="204"/>
      <c r="G1419" s="204"/>
      <c r="H1419" s="204"/>
      <c r="I1419" s="204"/>
      <c r="J1419" s="204"/>
      <c r="K1419" s="204"/>
      <c r="L1419" s="204"/>
      <c r="M1419" s="204"/>
      <c r="N1419" s="204"/>
      <c r="O1419" s="204"/>
      <c r="P1419" s="204"/>
      <c r="T1419" s="217"/>
    </row>
    <row r="1420" spans="2:20">
      <c r="B1420" s="204"/>
      <c r="C1420" s="204"/>
      <c r="D1420" s="204"/>
      <c r="E1420" s="204"/>
      <c r="F1420" s="204"/>
      <c r="G1420" s="204"/>
      <c r="H1420" s="204"/>
      <c r="I1420" s="204"/>
      <c r="J1420" s="204"/>
      <c r="K1420" s="204"/>
      <c r="L1420" s="204"/>
      <c r="M1420" s="204"/>
      <c r="N1420" s="204"/>
      <c r="O1420" s="204"/>
      <c r="P1420" s="204"/>
      <c r="T1420" s="217"/>
    </row>
    <row r="1421" spans="2:20">
      <c r="B1421" s="204"/>
      <c r="C1421" s="204"/>
      <c r="D1421" s="204"/>
      <c r="E1421" s="204"/>
      <c r="F1421" s="204"/>
      <c r="G1421" s="204"/>
      <c r="H1421" s="204"/>
      <c r="I1421" s="204"/>
      <c r="J1421" s="204"/>
      <c r="K1421" s="204"/>
      <c r="L1421" s="204"/>
      <c r="M1421" s="204"/>
      <c r="N1421" s="204"/>
      <c r="O1421" s="204"/>
      <c r="P1421" s="204"/>
      <c r="T1421" s="217"/>
    </row>
    <row r="1422" spans="2:20">
      <c r="B1422" s="204"/>
      <c r="C1422" s="204"/>
      <c r="D1422" s="204"/>
      <c r="E1422" s="204"/>
      <c r="F1422" s="204"/>
      <c r="G1422" s="204"/>
      <c r="H1422" s="204"/>
      <c r="I1422" s="204"/>
      <c r="J1422" s="204"/>
      <c r="K1422" s="204"/>
      <c r="L1422" s="204"/>
      <c r="M1422" s="204"/>
      <c r="N1422" s="204"/>
      <c r="O1422" s="204"/>
      <c r="P1422" s="204"/>
      <c r="T1422" s="217"/>
    </row>
    <row r="1423" spans="2:20">
      <c r="B1423" s="204"/>
      <c r="C1423" s="204"/>
      <c r="D1423" s="204"/>
      <c r="E1423" s="204"/>
      <c r="F1423" s="204"/>
      <c r="G1423" s="204"/>
      <c r="H1423" s="204"/>
      <c r="I1423" s="204"/>
      <c r="J1423" s="204"/>
      <c r="K1423" s="204"/>
      <c r="L1423" s="204"/>
      <c r="M1423" s="204"/>
      <c r="N1423" s="204"/>
      <c r="O1423" s="204"/>
      <c r="P1423" s="204"/>
      <c r="T1423" s="217"/>
    </row>
    <row r="1424" spans="2:20">
      <c r="B1424" s="204"/>
      <c r="C1424" s="204"/>
      <c r="D1424" s="204"/>
      <c r="E1424" s="204"/>
      <c r="F1424" s="204"/>
      <c r="G1424" s="204"/>
      <c r="H1424" s="204"/>
      <c r="I1424" s="204"/>
      <c r="J1424" s="204"/>
      <c r="K1424" s="204"/>
      <c r="L1424" s="204"/>
      <c r="M1424" s="204"/>
      <c r="N1424" s="204"/>
      <c r="O1424" s="204"/>
      <c r="P1424" s="204"/>
      <c r="T1424" s="217"/>
    </row>
    <row r="1425" spans="2:20">
      <c r="B1425" s="204"/>
      <c r="C1425" s="204"/>
      <c r="D1425" s="204"/>
      <c r="E1425" s="204"/>
      <c r="F1425" s="204"/>
      <c r="G1425" s="204"/>
      <c r="H1425" s="204"/>
      <c r="I1425" s="204"/>
      <c r="J1425" s="204"/>
      <c r="K1425" s="204"/>
      <c r="L1425" s="204"/>
      <c r="M1425" s="204"/>
      <c r="N1425" s="204"/>
      <c r="O1425" s="204"/>
      <c r="P1425" s="204"/>
      <c r="T1425" s="217"/>
    </row>
    <row r="1426" spans="2:20">
      <c r="B1426" s="204"/>
      <c r="C1426" s="204"/>
      <c r="D1426" s="204"/>
      <c r="E1426" s="204"/>
      <c r="F1426" s="204"/>
      <c r="G1426" s="204"/>
      <c r="H1426" s="204"/>
      <c r="I1426" s="204"/>
      <c r="J1426" s="204"/>
      <c r="K1426" s="204"/>
      <c r="L1426" s="204"/>
      <c r="M1426" s="204"/>
      <c r="N1426" s="204"/>
      <c r="O1426" s="204"/>
      <c r="P1426" s="204"/>
      <c r="T1426" s="217"/>
    </row>
    <row r="1427" spans="2:20">
      <c r="B1427" s="204"/>
      <c r="C1427" s="204"/>
      <c r="D1427" s="204"/>
      <c r="E1427" s="204"/>
      <c r="F1427" s="204"/>
      <c r="G1427" s="204"/>
      <c r="H1427" s="204"/>
      <c r="I1427" s="204"/>
      <c r="J1427" s="204"/>
      <c r="K1427" s="204"/>
      <c r="L1427" s="204"/>
      <c r="M1427" s="204"/>
      <c r="N1427" s="204"/>
      <c r="O1427" s="204"/>
      <c r="P1427" s="204"/>
      <c r="T1427" s="217"/>
    </row>
    <row r="1428" spans="2:20">
      <c r="B1428" s="204"/>
      <c r="C1428" s="204"/>
      <c r="D1428" s="204"/>
      <c r="E1428" s="204"/>
      <c r="F1428" s="204"/>
      <c r="G1428" s="204"/>
      <c r="H1428" s="204"/>
      <c r="I1428" s="204"/>
      <c r="J1428" s="204"/>
      <c r="K1428" s="204"/>
      <c r="L1428" s="204"/>
      <c r="M1428" s="204"/>
      <c r="N1428" s="204"/>
      <c r="O1428" s="204"/>
      <c r="P1428" s="204"/>
      <c r="T1428" s="217"/>
    </row>
    <row r="1429" spans="2:20">
      <c r="B1429" s="204"/>
      <c r="C1429" s="204"/>
      <c r="D1429" s="204"/>
      <c r="E1429" s="204"/>
      <c r="F1429" s="204"/>
      <c r="G1429" s="204"/>
      <c r="H1429" s="204"/>
      <c r="I1429" s="204"/>
      <c r="J1429" s="204"/>
      <c r="K1429" s="204"/>
      <c r="L1429" s="204"/>
      <c r="M1429" s="204"/>
      <c r="N1429" s="204"/>
      <c r="O1429" s="204"/>
      <c r="P1429" s="204"/>
      <c r="T1429" s="217"/>
    </row>
    <row r="1430" spans="2:20">
      <c r="B1430" s="204"/>
      <c r="C1430" s="204"/>
      <c r="D1430" s="204"/>
      <c r="E1430" s="204"/>
      <c r="F1430" s="204"/>
      <c r="G1430" s="204"/>
      <c r="H1430" s="204"/>
      <c r="I1430" s="204"/>
      <c r="J1430" s="204"/>
      <c r="K1430" s="204"/>
      <c r="L1430" s="204"/>
      <c r="M1430" s="204"/>
      <c r="N1430" s="204"/>
      <c r="O1430" s="204"/>
      <c r="P1430" s="204"/>
      <c r="T1430" s="217"/>
    </row>
    <row r="1431" spans="2:20">
      <c r="B1431" s="204"/>
      <c r="C1431" s="204"/>
      <c r="D1431" s="204"/>
      <c r="E1431" s="204"/>
      <c r="F1431" s="204"/>
      <c r="G1431" s="204"/>
      <c r="H1431" s="204"/>
      <c r="I1431" s="204"/>
      <c r="J1431" s="204"/>
      <c r="K1431" s="204"/>
      <c r="L1431" s="204"/>
      <c r="M1431" s="204"/>
      <c r="N1431" s="204"/>
      <c r="O1431" s="204"/>
      <c r="P1431" s="204"/>
      <c r="T1431" s="217"/>
    </row>
    <row r="1432" spans="2:20">
      <c r="B1432" s="204"/>
      <c r="C1432" s="204"/>
      <c r="D1432" s="204"/>
      <c r="E1432" s="204"/>
      <c r="F1432" s="204"/>
      <c r="G1432" s="204"/>
      <c r="H1432" s="204"/>
      <c r="I1432" s="204"/>
      <c r="J1432" s="204"/>
      <c r="K1432" s="204"/>
      <c r="L1432" s="204"/>
      <c r="M1432" s="204"/>
      <c r="N1432" s="204"/>
      <c r="O1432" s="204"/>
      <c r="P1432" s="204"/>
      <c r="T1432" s="217"/>
    </row>
    <row r="1433" spans="2:20">
      <c r="B1433" s="204"/>
      <c r="C1433" s="204"/>
      <c r="D1433" s="204"/>
      <c r="E1433" s="204"/>
      <c r="F1433" s="204"/>
      <c r="G1433" s="204"/>
      <c r="H1433" s="204"/>
      <c r="I1433" s="204"/>
      <c r="J1433" s="204"/>
      <c r="K1433" s="204"/>
      <c r="L1433" s="204"/>
      <c r="M1433" s="204"/>
      <c r="N1433" s="204"/>
      <c r="O1433" s="204"/>
      <c r="P1433" s="204"/>
      <c r="T1433" s="217"/>
    </row>
    <row r="1434" spans="2:20">
      <c r="B1434" s="204"/>
      <c r="C1434" s="204"/>
      <c r="D1434" s="204"/>
      <c r="E1434" s="204"/>
      <c r="F1434" s="204"/>
      <c r="G1434" s="204"/>
      <c r="H1434" s="204"/>
      <c r="I1434" s="204"/>
      <c r="J1434" s="204"/>
      <c r="K1434" s="204"/>
      <c r="L1434" s="204"/>
      <c r="M1434" s="204"/>
      <c r="N1434" s="204"/>
      <c r="O1434" s="204"/>
      <c r="P1434" s="204"/>
      <c r="T1434" s="217"/>
    </row>
    <row r="1435" spans="2:20">
      <c r="B1435" s="204"/>
      <c r="C1435" s="204"/>
      <c r="D1435" s="204"/>
      <c r="E1435" s="204"/>
      <c r="F1435" s="204"/>
      <c r="G1435" s="204"/>
      <c r="H1435" s="204"/>
      <c r="I1435" s="204"/>
      <c r="J1435" s="204"/>
      <c r="K1435" s="204"/>
      <c r="L1435" s="204"/>
      <c r="M1435" s="204"/>
      <c r="N1435" s="204"/>
      <c r="O1435" s="204"/>
      <c r="P1435" s="204"/>
      <c r="T1435" s="217"/>
    </row>
    <row r="1436" spans="2:20">
      <c r="B1436" s="204"/>
      <c r="C1436" s="204"/>
      <c r="D1436" s="204"/>
      <c r="E1436" s="204"/>
      <c r="F1436" s="204"/>
      <c r="G1436" s="204"/>
      <c r="H1436" s="204"/>
      <c r="I1436" s="204"/>
      <c r="J1436" s="204"/>
      <c r="K1436" s="204"/>
      <c r="L1436" s="204"/>
      <c r="M1436" s="204"/>
      <c r="N1436" s="204"/>
      <c r="O1436" s="204"/>
      <c r="P1436" s="204"/>
      <c r="T1436" s="217"/>
    </row>
    <row r="1437" spans="2:20">
      <c r="B1437" s="204"/>
      <c r="C1437" s="204"/>
      <c r="D1437" s="204"/>
      <c r="E1437" s="204"/>
      <c r="F1437" s="204"/>
      <c r="G1437" s="204"/>
      <c r="H1437" s="204"/>
      <c r="I1437" s="204"/>
      <c r="J1437" s="204"/>
      <c r="K1437" s="204"/>
      <c r="L1437" s="204"/>
      <c r="M1437" s="204"/>
      <c r="N1437" s="204"/>
      <c r="O1437" s="204"/>
      <c r="P1437" s="204"/>
      <c r="T1437" s="217"/>
    </row>
    <row r="1438" spans="2:20">
      <c r="B1438" s="204"/>
      <c r="C1438" s="204"/>
      <c r="D1438" s="204"/>
      <c r="E1438" s="204"/>
      <c r="F1438" s="204"/>
      <c r="G1438" s="204"/>
      <c r="H1438" s="204"/>
      <c r="I1438" s="204"/>
      <c r="J1438" s="204"/>
      <c r="K1438" s="204"/>
      <c r="L1438" s="204"/>
      <c r="M1438" s="204"/>
      <c r="N1438" s="204"/>
      <c r="O1438" s="204"/>
      <c r="P1438" s="204"/>
      <c r="T1438" s="217"/>
    </row>
    <row r="1439" spans="2:20">
      <c r="B1439" s="204"/>
      <c r="C1439" s="204"/>
      <c r="D1439" s="204"/>
      <c r="E1439" s="204"/>
      <c r="F1439" s="204"/>
      <c r="G1439" s="204"/>
      <c r="H1439" s="204"/>
      <c r="I1439" s="204"/>
      <c r="J1439" s="204"/>
      <c r="K1439" s="204"/>
      <c r="L1439" s="204"/>
      <c r="M1439" s="204"/>
      <c r="N1439" s="204"/>
      <c r="O1439" s="204"/>
      <c r="P1439" s="204"/>
      <c r="T1439" s="217"/>
    </row>
    <row r="1440" spans="2:20">
      <c r="B1440" s="204"/>
      <c r="C1440" s="204"/>
      <c r="D1440" s="204"/>
      <c r="E1440" s="204"/>
      <c r="F1440" s="204"/>
      <c r="G1440" s="204"/>
      <c r="H1440" s="204"/>
      <c r="I1440" s="204"/>
      <c r="J1440" s="204"/>
      <c r="K1440" s="204"/>
      <c r="L1440" s="204"/>
      <c r="M1440" s="204"/>
      <c r="N1440" s="204"/>
      <c r="O1440" s="204"/>
      <c r="P1440" s="204"/>
      <c r="T1440" s="217"/>
    </row>
    <row r="1441" spans="2:20">
      <c r="B1441" s="204"/>
      <c r="C1441" s="204"/>
      <c r="D1441" s="204"/>
      <c r="E1441" s="204"/>
      <c r="F1441" s="204"/>
      <c r="G1441" s="204"/>
      <c r="H1441" s="204"/>
      <c r="I1441" s="204"/>
      <c r="J1441" s="204"/>
      <c r="K1441" s="204"/>
      <c r="L1441" s="204"/>
      <c r="M1441" s="204"/>
      <c r="N1441" s="204"/>
      <c r="O1441" s="204"/>
      <c r="P1441" s="204"/>
      <c r="T1441" s="217"/>
    </row>
    <row r="1442" spans="2:20">
      <c r="B1442" s="204"/>
      <c r="C1442" s="204"/>
      <c r="D1442" s="204"/>
      <c r="E1442" s="204"/>
      <c r="F1442" s="204"/>
      <c r="G1442" s="204"/>
      <c r="H1442" s="204"/>
      <c r="I1442" s="204"/>
      <c r="J1442" s="204"/>
      <c r="K1442" s="204"/>
      <c r="L1442" s="204"/>
      <c r="M1442" s="204"/>
      <c r="N1442" s="204"/>
      <c r="O1442" s="204"/>
      <c r="P1442" s="204"/>
      <c r="T1442" s="217"/>
    </row>
    <row r="1443" spans="2:20">
      <c r="B1443" s="204"/>
      <c r="C1443" s="204"/>
      <c r="D1443" s="204"/>
      <c r="E1443" s="204"/>
      <c r="F1443" s="204"/>
      <c r="G1443" s="204"/>
      <c r="H1443" s="204"/>
      <c r="I1443" s="204"/>
      <c r="J1443" s="204"/>
      <c r="K1443" s="204"/>
      <c r="L1443" s="204"/>
      <c r="M1443" s="204"/>
      <c r="N1443" s="204"/>
      <c r="O1443" s="204"/>
      <c r="P1443" s="204"/>
      <c r="T1443" s="217"/>
    </row>
    <row r="1444" spans="2:20">
      <c r="B1444" s="204"/>
      <c r="C1444" s="204"/>
      <c r="D1444" s="204"/>
      <c r="E1444" s="204"/>
      <c r="F1444" s="204"/>
      <c r="G1444" s="204"/>
      <c r="H1444" s="204"/>
      <c r="I1444" s="204"/>
      <c r="J1444" s="204"/>
      <c r="K1444" s="204"/>
      <c r="L1444" s="204"/>
      <c r="M1444" s="204"/>
      <c r="N1444" s="204"/>
      <c r="O1444" s="204"/>
      <c r="P1444" s="204"/>
      <c r="T1444" s="217"/>
    </row>
    <row r="1445" spans="2:20">
      <c r="B1445" s="204"/>
      <c r="C1445" s="204"/>
      <c r="D1445" s="204"/>
      <c r="E1445" s="204"/>
      <c r="F1445" s="204"/>
      <c r="G1445" s="204"/>
      <c r="H1445" s="204"/>
      <c r="I1445" s="204"/>
      <c r="J1445" s="204"/>
      <c r="K1445" s="204"/>
      <c r="L1445" s="204"/>
      <c r="M1445" s="204"/>
      <c r="N1445" s="204"/>
      <c r="O1445" s="204"/>
      <c r="P1445" s="204"/>
      <c r="T1445" s="217"/>
    </row>
    <row r="1446" spans="2:20">
      <c r="B1446" s="204"/>
      <c r="C1446" s="204"/>
      <c r="D1446" s="204"/>
      <c r="E1446" s="204"/>
      <c r="F1446" s="204"/>
      <c r="G1446" s="204"/>
      <c r="H1446" s="204"/>
      <c r="I1446" s="204"/>
      <c r="J1446" s="204"/>
      <c r="K1446" s="204"/>
      <c r="L1446" s="204"/>
      <c r="M1446" s="204"/>
      <c r="N1446" s="204"/>
      <c r="O1446" s="204"/>
      <c r="P1446" s="204"/>
      <c r="T1446" s="217"/>
    </row>
    <row r="1447" spans="2:20">
      <c r="B1447" s="204"/>
      <c r="C1447" s="204"/>
      <c r="D1447" s="204"/>
      <c r="E1447" s="204"/>
      <c r="F1447" s="204"/>
      <c r="G1447" s="204"/>
      <c r="H1447" s="204"/>
      <c r="I1447" s="204"/>
      <c r="J1447" s="204"/>
      <c r="K1447" s="204"/>
      <c r="L1447" s="204"/>
      <c r="M1447" s="204"/>
      <c r="N1447" s="204"/>
      <c r="O1447" s="204"/>
      <c r="P1447" s="204"/>
      <c r="T1447" s="217"/>
    </row>
    <row r="1448" spans="2:20">
      <c r="B1448" s="204"/>
      <c r="C1448" s="204"/>
      <c r="D1448" s="204"/>
      <c r="E1448" s="204"/>
      <c r="F1448" s="204"/>
      <c r="G1448" s="204"/>
      <c r="H1448" s="204"/>
      <c r="I1448" s="204"/>
      <c r="J1448" s="204"/>
      <c r="K1448" s="204"/>
      <c r="L1448" s="204"/>
      <c r="M1448" s="204"/>
      <c r="N1448" s="204"/>
      <c r="O1448" s="204"/>
      <c r="P1448" s="204"/>
      <c r="T1448" s="217"/>
    </row>
    <row r="1449" spans="2:20">
      <c r="B1449" s="204"/>
      <c r="C1449" s="204"/>
      <c r="D1449" s="204"/>
      <c r="E1449" s="204"/>
      <c r="F1449" s="204"/>
      <c r="G1449" s="204"/>
      <c r="H1449" s="204"/>
      <c r="I1449" s="204"/>
      <c r="J1449" s="204"/>
      <c r="K1449" s="204"/>
      <c r="L1449" s="204"/>
      <c r="M1449" s="204"/>
      <c r="N1449" s="204"/>
      <c r="O1449" s="204"/>
      <c r="P1449" s="204"/>
      <c r="T1449" s="217"/>
    </row>
    <row r="1450" spans="2:20">
      <c r="B1450" s="204"/>
      <c r="C1450" s="204"/>
      <c r="D1450" s="204"/>
      <c r="E1450" s="204"/>
      <c r="F1450" s="204"/>
      <c r="G1450" s="204"/>
      <c r="H1450" s="204"/>
      <c r="I1450" s="204"/>
      <c r="J1450" s="204"/>
      <c r="K1450" s="204"/>
      <c r="L1450" s="204"/>
      <c r="M1450" s="204"/>
      <c r="N1450" s="204"/>
      <c r="O1450" s="204"/>
      <c r="P1450" s="204"/>
      <c r="T1450" s="217"/>
    </row>
    <row r="1451" spans="2:20">
      <c r="B1451" s="204"/>
      <c r="C1451" s="204"/>
      <c r="D1451" s="204"/>
      <c r="E1451" s="204"/>
      <c r="F1451" s="204"/>
      <c r="G1451" s="204"/>
      <c r="H1451" s="204"/>
      <c r="I1451" s="204"/>
      <c r="J1451" s="204"/>
      <c r="K1451" s="204"/>
      <c r="L1451" s="204"/>
      <c r="M1451" s="204"/>
      <c r="N1451" s="204"/>
      <c r="O1451" s="204"/>
      <c r="P1451" s="204"/>
      <c r="T1451" s="217"/>
    </row>
    <row r="1452" spans="2:20">
      <c r="B1452" s="204"/>
      <c r="C1452" s="204"/>
      <c r="D1452" s="204"/>
      <c r="E1452" s="204"/>
      <c r="F1452" s="204"/>
      <c r="G1452" s="204"/>
      <c r="H1452" s="204"/>
      <c r="I1452" s="204"/>
      <c r="J1452" s="204"/>
      <c r="K1452" s="204"/>
      <c r="L1452" s="204"/>
      <c r="M1452" s="204"/>
      <c r="N1452" s="204"/>
      <c r="O1452" s="204"/>
      <c r="P1452" s="204"/>
      <c r="T1452" s="217"/>
    </row>
    <row r="1453" spans="2:20">
      <c r="B1453" s="204"/>
      <c r="C1453" s="204"/>
      <c r="D1453" s="204"/>
      <c r="E1453" s="204"/>
      <c r="F1453" s="204"/>
      <c r="G1453" s="204"/>
      <c r="H1453" s="204"/>
      <c r="I1453" s="204"/>
      <c r="J1453" s="204"/>
      <c r="K1453" s="204"/>
      <c r="L1453" s="204"/>
      <c r="M1453" s="204"/>
      <c r="N1453" s="204"/>
      <c r="O1453" s="204"/>
      <c r="P1453" s="204"/>
      <c r="T1453" s="217"/>
    </row>
    <row r="1454" spans="2:20">
      <c r="B1454" s="204"/>
      <c r="C1454" s="204"/>
      <c r="D1454" s="204"/>
      <c r="E1454" s="204"/>
      <c r="F1454" s="204"/>
      <c r="G1454" s="204"/>
      <c r="H1454" s="204"/>
      <c r="I1454" s="204"/>
      <c r="J1454" s="204"/>
      <c r="K1454" s="204"/>
      <c r="L1454" s="204"/>
      <c r="M1454" s="204"/>
      <c r="N1454" s="204"/>
      <c r="O1454" s="204"/>
      <c r="P1454" s="204"/>
      <c r="T1454" s="217"/>
    </row>
    <row r="1455" spans="2:20">
      <c r="B1455" s="204"/>
      <c r="C1455" s="204"/>
      <c r="D1455" s="204"/>
      <c r="E1455" s="204"/>
      <c r="F1455" s="204"/>
      <c r="G1455" s="204"/>
      <c r="H1455" s="204"/>
      <c r="I1455" s="204"/>
      <c r="J1455" s="204"/>
      <c r="K1455" s="204"/>
      <c r="L1455" s="204"/>
      <c r="M1455" s="204"/>
      <c r="N1455" s="204"/>
      <c r="O1455" s="204"/>
      <c r="P1455" s="204"/>
      <c r="T1455" s="217"/>
    </row>
    <row r="1456" spans="2:20">
      <c r="B1456" s="204"/>
      <c r="C1456" s="204"/>
      <c r="D1456" s="204"/>
      <c r="E1456" s="204"/>
      <c r="F1456" s="204"/>
      <c r="G1456" s="204"/>
      <c r="H1456" s="204"/>
      <c r="I1456" s="204"/>
      <c r="J1456" s="204"/>
      <c r="K1456" s="204"/>
      <c r="L1456" s="204"/>
      <c r="M1456" s="204"/>
      <c r="N1456" s="204"/>
      <c r="O1456" s="204"/>
      <c r="P1456" s="204"/>
      <c r="T1456" s="217"/>
    </row>
    <row r="1457" spans="2:20">
      <c r="B1457" s="204"/>
      <c r="C1457" s="204"/>
      <c r="D1457" s="204"/>
      <c r="E1457" s="204"/>
      <c r="F1457" s="204"/>
      <c r="G1457" s="204"/>
      <c r="H1457" s="204"/>
      <c r="I1457" s="204"/>
      <c r="J1457" s="204"/>
      <c r="K1457" s="204"/>
      <c r="L1457" s="204"/>
      <c r="M1457" s="204"/>
      <c r="N1457" s="204"/>
      <c r="O1457" s="204"/>
      <c r="P1457" s="204"/>
      <c r="T1457" s="217"/>
    </row>
    <row r="1458" spans="2:20">
      <c r="B1458" s="204"/>
      <c r="C1458" s="204"/>
      <c r="D1458" s="204"/>
      <c r="E1458" s="204"/>
      <c r="F1458" s="204"/>
      <c r="G1458" s="204"/>
      <c r="H1458" s="204"/>
      <c r="I1458" s="204"/>
      <c r="J1458" s="204"/>
      <c r="K1458" s="204"/>
      <c r="L1458" s="204"/>
      <c r="M1458" s="204"/>
      <c r="N1458" s="204"/>
      <c r="O1458" s="204"/>
      <c r="P1458" s="204"/>
      <c r="T1458" s="217"/>
    </row>
    <row r="1459" spans="2:20">
      <c r="B1459" s="204"/>
      <c r="C1459" s="204"/>
      <c r="D1459" s="204"/>
      <c r="E1459" s="204"/>
      <c r="F1459" s="204"/>
      <c r="G1459" s="204"/>
      <c r="H1459" s="204"/>
      <c r="I1459" s="204"/>
      <c r="J1459" s="204"/>
      <c r="K1459" s="204"/>
      <c r="L1459" s="204"/>
      <c r="M1459" s="204"/>
      <c r="N1459" s="204"/>
      <c r="O1459" s="204"/>
      <c r="P1459" s="204"/>
      <c r="T1459" s="217"/>
    </row>
    <row r="1460" spans="2:20">
      <c r="B1460" s="204"/>
      <c r="C1460" s="204"/>
      <c r="D1460" s="204"/>
      <c r="E1460" s="204"/>
      <c r="F1460" s="204"/>
      <c r="G1460" s="204"/>
      <c r="H1460" s="204"/>
      <c r="I1460" s="204"/>
      <c r="J1460" s="204"/>
      <c r="K1460" s="204"/>
      <c r="L1460" s="204"/>
      <c r="M1460" s="204"/>
      <c r="N1460" s="204"/>
      <c r="O1460" s="204"/>
      <c r="P1460" s="204"/>
      <c r="T1460" s="217"/>
    </row>
    <row r="1461" spans="2:20">
      <c r="B1461" s="204"/>
      <c r="C1461" s="204"/>
      <c r="D1461" s="204"/>
      <c r="E1461" s="204"/>
      <c r="F1461" s="204"/>
      <c r="G1461" s="204"/>
      <c r="H1461" s="204"/>
      <c r="I1461" s="204"/>
      <c r="J1461" s="204"/>
      <c r="K1461" s="204"/>
      <c r="L1461" s="204"/>
      <c r="M1461" s="204"/>
      <c r="N1461" s="204"/>
      <c r="O1461" s="204"/>
      <c r="P1461" s="204"/>
      <c r="T1461" s="217"/>
    </row>
    <row r="1462" spans="2:20">
      <c r="B1462" s="204"/>
      <c r="C1462" s="204"/>
      <c r="D1462" s="204"/>
      <c r="E1462" s="204"/>
      <c r="F1462" s="204"/>
      <c r="G1462" s="204"/>
      <c r="H1462" s="204"/>
      <c r="I1462" s="204"/>
      <c r="J1462" s="204"/>
      <c r="K1462" s="204"/>
      <c r="L1462" s="204"/>
      <c r="M1462" s="204"/>
      <c r="N1462" s="204"/>
      <c r="O1462" s="204"/>
      <c r="P1462" s="204"/>
      <c r="T1462" s="217"/>
    </row>
    <row r="1463" spans="2:20">
      <c r="B1463" s="204"/>
      <c r="C1463" s="204"/>
      <c r="D1463" s="204"/>
      <c r="E1463" s="204"/>
      <c r="F1463" s="204"/>
      <c r="G1463" s="204"/>
      <c r="H1463" s="204"/>
      <c r="I1463" s="204"/>
      <c r="J1463" s="204"/>
      <c r="K1463" s="204"/>
      <c r="L1463" s="204"/>
      <c r="M1463" s="204"/>
      <c r="N1463" s="204"/>
      <c r="O1463" s="204"/>
      <c r="P1463" s="204"/>
      <c r="T1463" s="217"/>
    </row>
    <row r="1464" spans="2:20">
      <c r="B1464" s="204"/>
      <c r="C1464" s="204"/>
      <c r="D1464" s="204"/>
      <c r="E1464" s="204"/>
      <c r="F1464" s="204"/>
      <c r="G1464" s="204"/>
      <c r="H1464" s="204"/>
      <c r="I1464" s="204"/>
      <c r="J1464" s="204"/>
      <c r="K1464" s="204"/>
      <c r="L1464" s="204"/>
      <c r="M1464" s="204"/>
      <c r="N1464" s="204"/>
      <c r="O1464" s="204"/>
      <c r="P1464" s="204"/>
      <c r="T1464" s="217"/>
    </row>
    <row r="1465" spans="2:20">
      <c r="B1465" s="204"/>
      <c r="C1465" s="204"/>
      <c r="D1465" s="204"/>
      <c r="E1465" s="204"/>
      <c r="F1465" s="204"/>
      <c r="G1465" s="204"/>
      <c r="H1465" s="204"/>
      <c r="I1465" s="204"/>
      <c r="J1465" s="204"/>
      <c r="K1465" s="204"/>
      <c r="L1465" s="204"/>
      <c r="M1465" s="204"/>
      <c r="N1465" s="204"/>
      <c r="O1465" s="204"/>
      <c r="P1465" s="204"/>
      <c r="T1465" s="217"/>
    </row>
    <row r="1466" spans="2:20">
      <c r="B1466" s="204"/>
      <c r="C1466" s="204"/>
      <c r="D1466" s="204"/>
      <c r="E1466" s="204"/>
      <c r="F1466" s="204"/>
      <c r="G1466" s="204"/>
      <c r="H1466" s="204"/>
      <c r="I1466" s="204"/>
      <c r="J1466" s="204"/>
      <c r="K1466" s="204"/>
      <c r="L1466" s="204"/>
      <c r="M1466" s="204"/>
      <c r="N1466" s="204"/>
      <c r="O1466" s="204"/>
      <c r="P1466" s="204"/>
      <c r="T1466" s="217"/>
    </row>
    <row r="1467" spans="2:20">
      <c r="B1467" s="204"/>
      <c r="C1467" s="204"/>
      <c r="D1467" s="204"/>
      <c r="E1467" s="204"/>
      <c r="F1467" s="204"/>
      <c r="G1467" s="204"/>
      <c r="H1467" s="204"/>
      <c r="I1467" s="204"/>
      <c r="J1467" s="204"/>
      <c r="K1467" s="204"/>
      <c r="L1467" s="204"/>
      <c r="M1467" s="204"/>
      <c r="N1467" s="204"/>
      <c r="O1467" s="204"/>
      <c r="P1467" s="204"/>
      <c r="T1467" s="217"/>
    </row>
    <row r="1468" spans="2:20">
      <c r="B1468" s="204"/>
      <c r="C1468" s="204"/>
      <c r="D1468" s="204"/>
      <c r="E1468" s="204"/>
      <c r="F1468" s="204"/>
      <c r="G1468" s="204"/>
      <c r="H1468" s="204"/>
      <c r="I1468" s="204"/>
      <c r="J1468" s="204"/>
      <c r="K1468" s="204"/>
      <c r="L1468" s="204"/>
      <c r="M1468" s="204"/>
      <c r="N1468" s="204"/>
      <c r="O1468" s="204"/>
      <c r="P1468" s="204"/>
      <c r="T1468" s="217"/>
    </row>
    <row r="1469" spans="2:20">
      <c r="B1469" s="204"/>
      <c r="C1469" s="204"/>
      <c r="D1469" s="204"/>
      <c r="E1469" s="204"/>
      <c r="F1469" s="204"/>
      <c r="G1469" s="204"/>
      <c r="H1469" s="204"/>
      <c r="I1469" s="204"/>
      <c r="J1469" s="204"/>
      <c r="K1469" s="204"/>
      <c r="L1469" s="204"/>
      <c r="M1469" s="204"/>
      <c r="N1469" s="204"/>
      <c r="O1469" s="204"/>
      <c r="P1469" s="204"/>
      <c r="T1469" s="217"/>
    </row>
    <row r="1470" spans="2:20">
      <c r="B1470" s="204"/>
      <c r="C1470" s="204"/>
      <c r="D1470" s="204"/>
      <c r="E1470" s="204"/>
      <c r="F1470" s="204"/>
      <c r="G1470" s="204"/>
      <c r="H1470" s="204"/>
      <c r="I1470" s="204"/>
      <c r="J1470" s="204"/>
      <c r="K1470" s="204"/>
      <c r="L1470" s="204"/>
      <c r="M1470" s="204"/>
      <c r="N1470" s="204"/>
      <c r="O1470" s="204"/>
      <c r="P1470" s="204"/>
      <c r="T1470" s="217"/>
    </row>
    <row r="1471" spans="2:20">
      <c r="B1471" s="204"/>
      <c r="C1471" s="204"/>
      <c r="D1471" s="204"/>
      <c r="E1471" s="204"/>
      <c r="F1471" s="204"/>
      <c r="G1471" s="204"/>
      <c r="H1471" s="204"/>
      <c r="I1471" s="204"/>
      <c r="J1471" s="204"/>
      <c r="K1471" s="204"/>
      <c r="L1471" s="204"/>
      <c r="M1471" s="204"/>
      <c r="N1471" s="204"/>
      <c r="O1471" s="204"/>
      <c r="P1471" s="204"/>
      <c r="T1471" s="217"/>
    </row>
    <row r="1472" spans="2:20">
      <c r="B1472" s="204"/>
      <c r="C1472" s="204"/>
      <c r="D1472" s="204"/>
      <c r="E1472" s="204"/>
      <c r="F1472" s="204"/>
      <c r="G1472" s="204"/>
      <c r="H1472" s="204"/>
      <c r="I1472" s="204"/>
      <c r="J1472" s="204"/>
      <c r="K1472" s="204"/>
      <c r="L1472" s="204"/>
      <c r="M1472" s="204"/>
      <c r="N1472" s="204"/>
      <c r="O1472" s="204"/>
      <c r="P1472" s="204"/>
      <c r="T1472" s="217"/>
    </row>
    <row r="1473" spans="2:20">
      <c r="B1473" s="204"/>
      <c r="C1473" s="204"/>
      <c r="D1473" s="204"/>
      <c r="E1473" s="204"/>
      <c r="F1473" s="204"/>
      <c r="G1473" s="204"/>
      <c r="H1473" s="204"/>
      <c r="I1473" s="204"/>
      <c r="J1473" s="204"/>
      <c r="K1473" s="204"/>
      <c r="L1473" s="204"/>
      <c r="M1473" s="204"/>
      <c r="N1473" s="204"/>
      <c r="O1473" s="204"/>
      <c r="P1473" s="204"/>
      <c r="T1473" s="217"/>
    </row>
    <row r="1474" spans="2:20">
      <c r="B1474" s="204"/>
      <c r="C1474" s="204"/>
      <c r="D1474" s="204"/>
      <c r="E1474" s="204"/>
      <c r="F1474" s="204"/>
      <c r="G1474" s="204"/>
      <c r="H1474" s="204"/>
      <c r="I1474" s="204"/>
      <c r="J1474" s="204"/>
      <c r="K1474" s="204"/>
      <c r="L1474" s="204"/>
      <c r="M1474" s="204"/>
      <c r="N1474" s="204"/>
      <c r="O1474" s="204"/>
      <c r="P1474" s="204"/>
      <c r="T1474" s="217"/>
    </row>
    <row r="1475" spans="2:20">
      <c r="B1475" s="204"/>
      <c r="C1475" s="204"/>
      <c r="D1475" s="204"/>
      <c r="E1475" s="204"/>
      <c r="F1475" s="204"/>
      <c r="G1475" s="204"/>
      <c r="H1475" s="204"/>
      <c r="I1475" s="204"/>
      <c r="J1475" s="204"/>
      <c r="K1475" s="204"/>
      <c r="L1475" s="204"/>
      <c r="M1475" s="204"/>
      <c r="N1475" s="204"/>
      <c r="O1475" s="204"/>
      <c r="P1475" s="204"/>
      <c r="T1475" s="217"/>
    </row>
    <row r="1476" spans="2:20">
      <c r="B1476" s="204"/>
      <c r="C1476" s="204"/>
      <c r="D1476" s="204"/>
      <c r="E1476" s="204"/>
      <c r="F1476" s="204"/>
      <c r="G1476" s="204"/>
      <c r="H1476" s="204"/>
      <c r="I1476" s="204"/>
      <c r="J1476" s="204"/>
      <c r="K1476" s="204"/>
      <c r="L1476" s="204"/>
      <c r="M1476" s="204"/>
      <c r="N1476" s="204"/>
      <c r="O1476" s="204"/>
      <c r="P1476" s="204"/>
      <c r="T1476" s="217"/>
    </row>
    <row r="1477" spans="2:20">
      <c r="B1477" s="204"/>
      <c r="C1477" s="204"/>
      <c r="D1477" s="204"/>
      <c r="E1477" s="204"/>
      <c r="F1477" s="204"/>
      <c r="G1477" s="204"/>
      <c r="H1477" s="204"/>
      <c r="I1477" s="204"/>
      <c r="J1477" s="204"/>
      <c r="K1477" s="204"/>
      <c r="L1477" s="204"/>
      <c r="M1477" s="204"/>
      <c r="N1477" s="204"/>
      <c r="O1477" s="204"/>
      <c r="P1477" s="204"/>
      <c r="T1477" s="217"/>
    </row>
    <row r="1478" spans="2:20">
      <c r="B1478" s="204"/>
      <c r="C1478" s="204"/>
      <c r="D1478" s="204"/>
      <c r="E1478" s="204"/>
      <c r="F1478" s="204"/>
      <c r="G1478" s="204"/>
      <c r="H1478" s="204"/>
      <c r="I1478" s="204"/>
      <c r="J1478" s="204"/>
      <c r="K1478" s="204"/>
      <c r="L1478" s="204"/>
      <c r="M1478" s="204"/>
      <c r="N1478" s="204"/>
      <c r="O1478" s="204"/>
      <c r="P1478" s="204"/>
      <c r="T1478" s="217"/>
    </row>
    <row r="1479" spans="2:20">
      <c r="B1479" s="204"/>
      <c r="C1479" s="204"/>
      <c r="D1479" s="204"/>
      <c r="E1479" s="204"/>
      <c r="F1479" s="204"/>
      <c r="G1479" s="204"/>
      <c r="H1479" s="204"/>
      <c r="I1479" s="204"/>
      <c r="J1479" s="204"/>
      <c r="K1479" s="204"/>
      <c r="L1479" s="204"/>
      <c r="M1479" s="204"/>
      <c r="N1479" s="204"/>
      <c r="O1479" s="204"/>
      <c r="P1479" s="204"/>
      <c r="T1479" s="217"/>
    </row>
    <row r="1480" spans="2:20">
      <c r="B1480" s="204"/>
      <c r="C1480" s="204"/>
      <c r="D1480" s="204"/>
      <c r="E1480" s="204"/>
      <c r="F1480" s="204"/>
      <c r="G1480" s="204"/>
      <c r="H1480" s="204"/>
      <c r="I1480" s="204"/>
      <c r="J1480" s="204"/>
      <c r="K1480" s="204"/>
      <c r="L1480" s="204"/>
      <c r="M1480" s="204"/>
      <c r="N1480" s="204"/>
      <c r="O1480" s="204"/>
      <c r="P1480" s="204"/>
      <c r="T1480" s="217"/>
    </row>
    <row r="1481" spans="2:20">
      <c r="B1481" s="204"/>
      <c r="C1481" s="204"/>
      <c r="D1481" s="204"/>
      <c r="E1481" s="204"/>
      <c r="F1481" s="204"/>
      <c r="G1481" s="204"/>
      <c r="H1481" s="204"/>
      <c r="I1481" s="204"/>
      <c r="J1481" s="204"/>
      <c r="K1481" s="204"/>
      <c r="L1481" s="204"/>
      <c r="M1481" s="204"/>
      <c r="N1481" s="204"/>
      <c r="O1481" s="204"/>
      <c r="P1481" s="204"/>
      <c r="T1481" s="217"/>
    </row>
    <row r="1482" spans="2:20">
      <c r="B1482" s="204"/>
      <c r="C1482" s="204"/>
      <c r="D1482" s="204"/>
      <c r="E1482" s="204"/>
      <c r="F1482" s="204"/>
      <c r="G1482" s="204"/>
      <c r="H1482" s="204"/>
      <c r="I1482" s="204"/>
      <c r="J1482" s="204"/>
      <c r="K1482" s="204"/>
      <c r="L1482" s="204"/>
      <c r="M1482" s="204"/>
      <c r="N1482" s="204"/>
      <c r="O1482" s="204"/>
      <c r="P1482" s="204"/>
      <c r="T1482" s="217"/>
    </row>
    <row r="1483" spans="2:20">
      <c r="B1483" s="204"/>
      <c r="C1483" s="204"/>
      <c r="D1483" s="204"/>
      <c r="E1483" s="204"/>
      <c r="F1483" s="204"/>
      <c r="G1483" s="204"/>
      <c r="H1483" s="204"/>
      <c r="I1483" s="204"/>
      <c r="J1483" s="204"/>
      <c r="K1483" s="204"/>
      <c r="L1483" s="204"/>
      <c r="M1483" s="204"/>
      <c r="N1483" s="204"/>
      <c r="O1483" s="204"/>
      <c r="P1483" s="204"/>
      <c r="T1483" s="217"/>
    </row>
    <row r="1484" spans="2:20">
      <c r="B1484" s="204"/>
      <c r="C1484" s="204"/>
      <c r="D1484" s="204"/>
      <c r="E1484" s="204"/>
      <c r="F1484" s="204"/>
      <c r="G1484" s="204"/>
      <c r="H1484" s="204"/>
      <c r="I1484" s="204"/>
      <c r="J1484" s="204"/>
      <c r="K1484" s="204"/>
      <c r="L1484" s="204"/>
      <c r="M1484" s="204"/>
      <c r="N1484" s="204"/>
      <c r="O1484" s="204"/>
      <c r="P1484" s="204"/>
      <c r="T1484" s="217"/>
    </row>
    <row r="1485" spans="2:20">
      <c r="B1485" s="204"/>
      <c r="C1485" s="204"/>
      <c r="D1485" s="204"/>
      <c r="E1485" s="204"/>
      <c r="F1485" s="204"/>
      <c r="G1485" s="204"/>
      <c r="H1485" s="204"/>
      <c r="I1485" s="204"/>
      <c r="J1485" s="204"/>
      <c r="K1485" s="204"/>
      <c r="L1485" s="204"/>
      <c r="M1485" s="204"/>
      <c r="N1485" s="204"/>
      <c r="O1485" s="204"/>
      <c r="P1485" s="204"/>
      <c r="T1485" s="217"/>
    </row>
    <row r="1486" spans="2:20">
      <c r="B1486" s="204"/>
      <c r="C1486" s="204"/>
      <c r="D1486" s="204"/>
      <c r="E1486" s="204"/>
      <c r="F1486" s="204"/>
      <c r="G1486" s="204"/>
      <c r="H1486" s="204"/>
      <c r="I1486" s="204"/>
      <c r="J1486" s="204"/>
      <c r="K1486" s="204"/>
      <c r="L1486" s="204"/>
      <c r="M1486" s="204"/>
      <c r="N1486" s="204"/>
      <c r="O1486" s="204"/>
      <c r="P1486" s="204"/>
      <c r="T1486" s="217"/>
    </row>
    <row r="1487" spans="2:20">
      <c r="B1487" s="204"/>
      <c r="C1487" s="204"/>
      <c r="D1487" s="204"/>
      <c r="E1487" s="204"/>
      <c r="F1487" s="204"/>
      <c r="G1487" s="204"/>
      <c r="H1487" s="204"/>
      <c r="I1487" s="204"/>
      <c r="J1487" s="204"/>
      <c r="K1487" s="204"/>
      <c r="L1487" s="204"/>
      <c r="M1487" s="204"/>
      <c r="N1487" s="204"/>
      <c r="O1487" s="204"/>
      <c r="P1487" s="204"/>
      <c r="T1487" s="217"/>
    </row>
    <row r="1488" spans="2:20">
      <c r="B1488" s="204"/>
      <c r="C1488" s="204"/>
      <c r="D1488" s="204"/>
      <c r="E1488" s="204"/>
      <c r="F1488" s="204"/>
      <c r="G1488" s="204"/>
      <c r="H1488" s="204"/>
      <c r="I1488" s="204"/>
      <c r="J1488" s="204"/>
      <c r="K1488" s="204"/>
      <c r="L1488" s="204"/>
      <c r="M1488" s="204"/>
      <c r="N1488" s="204"/>
      <c r="O1488" s="204"/>
      <c r="P1488" s="204"/>
      <c r="T1488" s="217"/>
    </row>
    <row r="1489" spans="2:20">
      <c r="B1489" s="204"/>
      <c r="C1489" s="204"/>
      <c r="D1489" s="204"/>
      <c r="E1489" s="204"/>
      <c r="F1489" s="204"/>
      <c r="G1489" s="204"/>
      <c r="H1489" s="204"/>
      <c r="I1489" s="204"/>
      <c r="J1489" s="204"/>
      <c r="K1489" s="204"/>
      <c r="L1489" s="204"/>
      <c r="M1489" s="204"/>
      <c r="N1489" s="204"/>
      <c r="O1489" s="204"/>
      <c r="P1489" s="204"/>
      <c r="T1489" s="217"/>
    </row>
    <row r="1490" spans="2:20">
      <c r="B1490" s="204"/>
      <c r="C1490" s="204"/>
      <c r="D1490" s="204"/>
      <c r="E1490" s="204"/>
      <c r="F1490" s="204"/>
      <c r="G1490" s="204"/>
      <c r="H1490" s="204"/>
      <c r="I1490" s="204"/>
      <c r="J1490" s="204"/>
      <c r="K1490" s="204"/>
      <c r="L1490" s="204"/>
      <c r="M1490" s="204"/>
      <c r="N1490" s="204"/>
      <c r="O1490" s="204"/>
      <c r="P1490" s="204"/>
      <c r="T1490" s="217"/>
    </row>
    <row r="1491" spans="2:20">
      <c r="B1491" s="204"/>
      <c r="C1491" s="204"/>
      <c r="D1491" s="204"/>
      <c r="E1491" s="204"/>
      <c r="F1491" s="204"/>
      <c r="G1491" s="204"/>
      <c r="H1491" s="204"/>
      <c r="I1491" s="204"/>
      <c r="J1491" s="204"/>
      <c r="K1491" s="204"/>
      <c r="L1491" s="204"/>
      <c r="M1491" s="204"/>
      <c r="N1491" s="204"/>
      <c r="O1491" s="204"/>
      <c r="P1491" s="204"/>
      <c r="T1491" s="217"/>
    </row>
    <row r="1492" spans="2:20">
      <c r="B1492" s="204"/>
      <c r="C1492" s="204"/>
      <c r="D1492" s="204"/>
      <c r="E1492" s="204"/>
      <c r="F1492" s="204"/>
      <c r="G1492" s="204"/>
      <c r="H1492" s="204"/>
      <c r="I1492" s="204"/>
      <c r="J1492" s="204"/>
      <c r="K1492" s="204"/>
      <c r="L1492" s="204"/>
      <c r="M1492" s="204"/>
      <c r="N1492" s="204"/>
      <c r="O1492" s="204"/>
      <c r="P1492" s="204"/>
      <c r="T1492" s="217"/>
    </row>
    <row r="1493" spans="2:20">
      <c r="B1493" s="204"/>
      <c r="C1493" s="204"/>
      <c r="D1493" s="204"/>
      <c r="E1493" s="204"/>
      <c r="F1493" s="204"/>
      <c r="G1493" s="204"/>
      <c r="H1493" s="204"/>
      <c r="I1493" s="204"/>
      <c r="J1493" s="204"/>
      <c r="K1493" s="204"/>
      <c r="L1493" s="204"/>
      <c r="M1493" s="204"/>
      <c r="N1493" s="204"/>
      <c r="O1493" s="204"/>
      <c r="P1493" s="204"/>
      <c r="T1493" s="217"/>
    </row>
    <row r="1494" spans="2:20">
      <c r="B1494" s="204"/>
      <c r="C1494" s="204"/>
      <c r="D1494" s="204"/>
      <c r="E1494" s="204"/>
      <c r="F1494" s="204"/>
      <c r="G1494" s="204"/>
      <c r="H1494" s="204"/>
      <c r="I1494" s="204"/>
      <c r="J1494" s="204"/>
      <c r="K1494" s="204"/>
      <c r="L1494" s="204"/>
      <c r="M1494" s="204"/>
      <c r="N1494" s="204"/>
      <c r="O1494" s="204"/>
      <c r="P1494" s="204"/>
      <c r="T1494" s="217"/>
    </row>
    <row r="1495" spans="2:20">
      <c r="B1495" s="204"/>
      <c r="C1495" s="204"/>
      <c r="D1495" s="204"/>
      <c r="E1495" s="204"/>
      <c r="F1495" s="204"/>
      <c r="G1495" s="204"/>
      <c r="H1495" s="204"/>
      <c r="I1495" s="204"/>
      <c r="J1495" s="204"/>
      <c r="K1495" s="204"/>
      <c r="L1495" s="204"/>
      <c r="M1495" s="204"/>
      <c r="N1495" s="204"/>
      <c r="O1495" s="204"/>
      <c r="P1495" s="204"/>
      <c r="T1495" s="217"/>
    </row>
    <row r="1496" spans="2:20">
      <c r="B1496" s="204"/>
      <c r="C1496" s="204"/>
      <c r="D1496" s="204"/>
      <c r="E1496" s="204"/>
      <c r="F1496" s="204"/>
      <c r="G1496" s="204"/>
      <c r="H1496" s="204"/>
      <c r="I1496" s="204"/>
      <c r="J1496" s="204"/>
      <c r="K1496" s="204"/>
      <c r="L1496" s="204"/>
      <c r="M1496" s="204"/>
      <c r="N1496" s="204"/>
      <c r="O1496" s="204"/>
      <c r="P1496" s="204"/>
      <c r="T1496" s="217"/>
    </row>
    <row r="1497" spans="2:20">
      <c r="B1497" s="204"/>
      <c r="C1497" s="204"/>
      <c r="D1497" s="204"/>
      <c r="E1497" s="204"/>
      <c r="F1497" s="204"/>
      <c r="G1497" s="204"/>
      <c r="H1497" s="204"/>
      <c r="I1497" s="204"/>
      <c r="J1497" s="204"/>
      <c r="K1497" s="204"/>
      <c r="L1497" s="204"/>
      <c r="M1497" s="204"/>
      <c r="N1497" s="204"/>
      <c r="O1497" s="204"/>
      <c r="P1497" s="204"/>
      <c r="T1497" s="217"/>
    </row>
    <row r="1498" spans="2:20">
      <c r="B1498" s="204"/>
      <c r="C1498" s="204"/>
      <c r="D1498" s="204"/>
      <c r="E1498" s="204"/>
      <c r="F1498" s="204"/>
      <c r="G1498" s="204"/>
      <c r="H1498" s="204"/>
      <c r="I1498" s="204"/>
      <c r="J1498" s="204"/>
      <c r="K1498" s="204"/>
      <c r="L1498" s="204"/>
      <c r="M1498" s="204"/>
      <c r="N1498" s="204"/>
      <c r="O1498" s="204"/>
      <c r="P1498" s="204"/>
      <c r="T1498" s="217"/>
    </row>
    <row r="1499" spans="2:20">
      <c r="B1499" s="204"/>
      <c r="C1499" s="204"/>
      <c r="D1499" s="204"/>
      <c r="E1499" s="204"/>
      <c r="F1499" s="204"/>
      <c r="G1499" s="204"/>
      <c r="H1499" s="204"/>
      <c r="I1499" s="204"/>
      <c r="J1499" s="204"/>
      <c r="K1499" s="204"/>
      <c r="L1499" s="204"/>
      <c r="M1499" s="204"/>
      <c r="N1499" s="204"/>
      <c r="O1499" s="204"/>
      <c r="P1499" s="204"/>
      <c r="T1499" s="217"/>
    </row>
    <row r="1500" spans="2:20">
      <c r="B1500" s="204"/>
      <c r="C1500" s="204"/>
      <c r="D1500" s="204"/>
      <c r="E1500" s="204"/>
      <c r="F1500" s="204"/>
      <c r="G1500" s="204"/>
      <c r="H1500" s="204"/>
      <c r="I1500" s="204"/>
      <c r="J1500" s="204"/>
      <c r="K1500" s="204"/>
      <c r="L1500" s="204"/>
      <c r="M1500" s="204"/>
      <c r="N1500" s="204"/>
      <c r="O1500" s="204"/>
      <c r="P1500" s="204"/>
      <c r="T1500" s="217"/>
    </row>
    <row r="1501" spans="2:20">
      <c r="B1501" s="204"/>
      <c r="C1501" s="204"/>
      <c r="D1501" s="204"/>
      <c r="E1501" s="204"/>
      <c r="F1501" s="204"/>
      <c r="G1501" s="204"/>
      <c r="H1501" s="204"/>
      <c r="I1501" s="204"/>
      <c r="J1501" s="204"/>
      <c r="K1501" s="204"/>
      <c r="L1501" s="204"/>
      <c r="M1501" s="204"/>
      <c r="N1501" s="204"/>
      <c r="O1501" s="204"/>
      <c r="P1501" s="204"/>
      <c r="T1501" s="217"/>
    </row>
    <row r="1502" spans="2:20">
      <c r="B1502" s="204"/>
      <c r="C1502" s="204"/>
      <c r="D1502" s="204"/>
      <c r="E1502" s="204"/>
      <c r="F1502" s="204"/>
      <c r="G1502" s="204"/>
      <c r="H1502" s="204"/>
      <c r="I1502" s="204"/>
      <c r="J1502" s="204"/>
      <c r="K1502" s="204"/>
      <c r="L1502" s="204"/>
      <c r="M1502" s="204"/>
      <c r="N1502" s="204"/>
      <c r="O1502" s="204"/>
      <c r="P1502" s="204"/>
      <c r="T1502" s="217"/>
    </row>
    <row r="1503" spans="2:20">
      <c r="B1503" s="204"/>
      <c r="C1503" s="204"/>
      <c r="D1503" s="204"/>
      <c r="E1503" s="204"/>
      <c r="F1503" s="204"/>
      <c r="G1503" s="204"/>
      <c r="H1503" s="204"/>
      <c r="I1503" s="204"/>
      <c r="J1503" s="204"/>
      <c r="K1503" s="204"/>
      <c r="L1503" s="204"/>
      <c r="M1503" s="204"/>
      <c r="N1503" s="204"/>
      <c r="O1503" s="204"/>
      <c r="P1503" s="204"/>
      <c r="T1503" s="217"/>
    </row>
    <row r="1504" spans="2:20">
      <c r="B1504" s="204"/>
      <c r="C1504" s="204"/>
      <c r="D1504" s="204"/>
      <c r="E1504" s="204"/>
      <c r="F1504" s="204"/>
      <c r="G1504" s="204"/>
      <c r="H1504" s="204"/>
      <c r="I1504" s="204"/>
      <c r="J1504" s="204"/>
      <c r="K1504" s="204"/>
      <c r="L1504" s="204"/>
      <c r="M1504" s="204"/>
      <c r="N1504" s="204"/>
      <c r="O1504" s="204"/>
      <c r="P1504" s="204"/>
      <c r="T1504" s="217"/>
    </row>
    <row r="1505" spans="2:20">
      <c r="B1505" s="204"/>
      <c r="C1505" s="204"/>
      <c r="D1505" s="204"/>
      <c r="E1505" s="204"/>
      <c r="F1505" s="204"/>
      <c r="G1505" s="204"/>
      <c r="H1505" s="204"/>
      <c r="I1505" s="204"/>
      <c r="J1505" s="204"/>
      <c r="K1505" s="204"/>
      <c r="L1505" s="204"/>
      <c r="M1505" s="204"/>
      <c r="N1505" s="204"/>
      <c r="O1505" s="204"/>
      <c r="P1505" s="204"/>
      <c r="T1505" s="217"/>
    </row>
    <row r="1506" spans="2:20">
      <c r="B1506" s="204"/>
      <c r="C1506" s="204"/>
      <c r="D1506" s="204"/>
      <c r="E1506" s="204"/>
      <c r="F1506" s="204"/>
      <c r="G1506" s="204"/>
      <c r="H1506" s="204"/>
      <c r="I1506" s="204"/>
      <c r="J1506" s="204"/>
      <c r="K1506" s="204"/>
      <c r="L1506" s="204"/>
      <c r="M1506" s="204"/>
      <c r="N1506" s="204"/>
      <c r="O1506" s="204"/>
      <c r="P1506" s="204"/>
      <c r="T1506" s="217"/>
    </row>
    <row r="1507" spans="2:20">
      <c r="B1507" s="204"/>
      <c r="C1507" s="204"/>
      <c r="D1507" s="204"/>
      <c r="E1507" s="204"/>
      <c r="F1507" s="204"/>
      <c r="G1507" s="204"/>
      <c r="H1507" s="204"/>
      <c r="I1507" s="204"/>
      <c r="J1507" s="204"/>
      <c r="K1507" s="204"/>
      <c r="L1507" s="204"/>
      <c r="M1507" s="204"/>
      <c r="N1507" s="204"/>
      <c r="O1507" s="204"/>
      <c r="P1507" s="204"/>
      <c r="T1507" s="217"/>
    </row>
    <row r="1508" spans="2:20">
      <c r="B1508" s="204"/>
      <c r="C1508" s="204"/>
      <c r="D1508" s="204"/>
      <c r="E1508" s="204"/>
      <c r="F1508" s="204"/>
      <c r="G1508" s="204"/>
      <c r="H1508" s="204"/>
      <c r="I1508" s="204"/>
      <c r="J1508" s="204"/>
      <c r="K1508" s="204"/>
      <c r="L1508" s="204"/>
      <c r="M1508" s="204"/>
      <c r="N1508" s="204"/>
      <c r="O1508" s="204"/>
      <c r="P1508" s="204"/>
      <c r="T1508" s="217"/>
    </row>
    <row r="1509" spans="2:20">
      <c r="B1509" s="204"/>
      <c r="C1509" s="204"/>
      <c r="D1509" s="204"/>
      <c r="E1509" s="204"/>
      <c r="F1509" s="204"/>
      <c r="G1509" s="204"/>
      <c r="H1509" s="204"/>
      <c r="I1509" s="204"/>
      <c r="J1509" s="204"/>
      <c r="K1509" s="204"/>
      <c r="L1509" s="204"/>
      <c r="M1509" s="204"/>
      <c r="N1509" s="204"/>
      <c r="O1509" s="204"/>
      <c r="P1509" s="204"/>
      <c r="T1509" s="217"/>
    </row>
    <row r="1510" spans="2:20">
      <c r="B1510" s="204"/>
      <c r="C1510" s="204"/>
      <c r="D1510" s="204"/>
      <c r="E1510" s="204"/>
      <c r="F1510" s="204"/>
      <c r="G1510" s="204"/>
      <c r="H1510" s="204"/>
      <c r="I1510" s="204"/>
      <c r="J1510" s="204"/>
      <c r="K1510" s="204"/>
      <c r="L1510" s="204"/>
      <c r="M1510" s="204"/>
      <c r="N1510" s="204"/>
      <c r="O1510" s="204"/>
      <c r="P1510" s="204"/>
      <c r="T1510" s="217"/>
    </row>
    <row r="1511" spans="2:20">
      <c r="B1511" s="204"/>
      <c r="C1511" s="204"/>
      <c r="D1511" s="204"/>
      <c r="E1511" s="204"/>
      <c r="F1511" s="204"/>
      <c r="G1511" s="204"/>
      <c r="H1511" s="204"/>
      <c r="I1511" s="204"/>
      <c r="J1511" s="204"/>
      <c r="K1511" s="204"/>
      <c r="L1511" s="204"/>
      <c r="M1511" s="204"/>
      <c r="N1511" s="204"/>
      <c r="O1511" s="204"/>
      <c r="P1511" s="204"/>
      <c r="T1511" s="217"/>
    </row>
    <row r="1512" spans="2:20">
      <c r="B1512" s="204"/>
      <c r="C1512" s="204"/>
      <c r="D1512" s="204"/>
      <c r="E1512" s="204"/>
      <c r="F1512" s="204"/>
      <c r="G1512" s="204"/>
      <c r="H1512" s="204"/>
      <c r="I1512" s="204"/>
      <c r="J1512" s="204"/>
      <c r="K1512" s="204"/>
      <c r="L1512" s="204"/>
      <c r="M1512" s="204"/>
      <c r="N1512" s="204"/>
      <c r="O1512" s="204"/>
      <c r="P1512" s="204"/>
      <c r="T1512" s="217"/>
    </row>
    <row r="1513" spans="2:20">
      <c r="B1513" s="204"/>
      <c r="C1513" s="204"/>
      <c r="D1513" s="204"/>
      <c r="E1513" s="204"/>
      <c r="F1513" s="204"/>
      <c r="G1513" s="204"/>
      <c r="H1513" s="204"/>
      <c r="I1513" s="204"/>
      <c r="J1513" s="204"/>
      <c r="K1513" s="204"/>
      <c r="L1513" s="204"/>
      <c r="M1513" s="204"/>
      <c r="N1513" s="204"/>
      <c r="O1513" s="204"/>
      <c r="P1513" s="204"/>
      <c r="T1513" s="217"/>
    </row>
    <row r="1514" spans="2:20">
      <c r="B1514" s="204"/>
      <c r="C1514" s="204"/>
      <c r="D1514" s="204"/>
      <c r="E1514" s="204"/>
      <c r="F1514" s="204"/>
      <c r="G1514" s="204"/>
      <c r="H1514" s="204"/>
      <c r="I1514" s="204"/>
      <c r="J1514" s="204"/>
      <c r="K1514" s="204"/>
      <c r="L1514" s="204"/>
      <c r="M1514" s="204"/>
      <c r="N1514" s="204"/>
      <c r="O1514" s="204"/>
      <c r="P1514" s="204"/>
      <c r="T1514" s="217"/>
    </row>
    <row r="1515" spans="2:20">
      <c r="B1515" s="204"/>
      <c r="C1515" s="204"/>
      <c r="D1515" s="204"/>
      <c r="E1515" s="204"/>
      <c r="F1515" s="204"/>
      <c r="G1515" s="204"/>
      <c r="H1515" s="204"/>
      <c r="I1515" s="204"/>
      <c r="J1515" s="204"/>
      <c r="K1515" s="204"/>
      <c r="L1515" s="204"/>
      <c r="M1515" s="204"/>
      <c r="N1515" s="204"/>
      <c r="O1515" s="204"/>
      <c r="P1515" s="204"/>
      <c r="T1515" s="217"/>
    </row>
    <row r="1516" spans="2:20">
      <c r="B1516" s="204"/>
      <c r="C1516" s="204"/>
      <c r="D1516" s="204"/>
      <c r="E1516" s="204"/>
      <c r="F1516" s="204"/>
      <c r="G1516" s="204"/>
      <c r="H1516" s="204"/>
      <c r="I1516" s="204"/>
      <c r="J1516" s="204"/>
      <c r="K1516" s="204"/>
      <c r="L1516" s="204"/>
      <c r="M1516" s="204"/>
      <c r="N1516" s="204"/>
      <c r="O1516" s="204"/>
      <c r="P1516" s="204"/>
      <c r="T1516" s="217"/>
    </row>
    <row r="1517" spans="2:20">
      <c r="B1517" s="204"/>
      <c r="C1517" s="204"/>
      <c r="D1517" s="204"/>
      <c r="E1517" s="204"/>
      <c r="F1517" s="204"/>
      <c r="G1517" s="204"/>
      <c r="H1517" s="204"/>
      <c r="I1517" s="204"/>
      <c r="J1517" s="204"/>
      <c r="K1517" s="204"/>
      <c r="L1517" s="204"/>
      <c r="M1517" s="204"/>
      <c r="N1517" s="204"/>
      <c r="O1517" s="204"/>
      <c r="P1517" s="204"/>
      <c r="T1517" s="217"/>
    </row>
    <row r="1518" spans="2:20">
      <c r="B1518" s="204"/>
      <c r="C1518" s="204"/>
      <c r="D1518" s="204"/>
      <c r="E1518" s="204"/>
      <c r="F1518" s="204"/>
      <c r="G1518" s="204"/>
      <c r="H1518" s="204"/>
      <c r="I1518" s="204"/>
      <c r="J1518" s="204"/>
      <c r="K1518" s="204"/>
      <c r="L1518" s="204"/>
      <c r="M1518" s="204"/>
      <c r="N1518" s="204"/>
      <c r="O1518" s="204"/>
      <c r="P1518" s="204"/>
      <c r="T1518" s="217"/>
    </row>
    <row r="1519" spans="2:20">
      <c r="B1519" s="204"/>
      <c r="C1519" s="204"/>
      <c r="D1519" s="204"/>
      <c r="E1519" s="204"/>
      <c r="F1519" s="204"/>
      <c r="G1519" s="204"/>
      <c r="H1519" s="204"/>
      <c r="I1519" s="204"/>
      <c r="J1519" s="204"/>
      <c r="K1519" s="204"/>
      <c r="L1519" s="204"/>
      <c r="M1519" s="204"/>
      <c r="N1519" s="204"/>
      <c r="O1519" s="204"/>
      <c r="P1519" s="204"/>
      <c r="T1519" s="217"/>
    </row>
    <row r="1520" spans="2:20">
      <c r="B1520" s="204"/>
      <c r="C1520" s="204"/>
      <c r="D1520" s="204"/>
      <c r="E1520" s="204"/>
      <c r="F1520" s="204"/>
      <c r="G1520" s="204"/>
      <c r="H1520" s="204"/>
      <c r="I1520" s="204"/>
      <c r="J1520" s="204"/>
      <c r="K1520" s="204"/>
      <c r="L1520" s="204"/>
      <c r="M1520" s="204"/>
      <c r="N1520" s="204"/>
      <c r="O1520" s="204"/>
      <c r="P1520" s="204"/>
      <c r="T1520" s="217"/>
    </row>
    <row r="1521" spans="2:20">
      <c r="B1521" s="204"/>
      <c r="C1521" s="204"/>
      <c r="D1521" s="204"/>
      <c r="E1521" s="204"/>
      <c r="F1521" s="204"/>
      <c r="G1521" s="204"/>
      <c r="H1521" s="204"/>
      <c r="I1521" s="204"/>
      <c r="J1521" s="204"/>
      <c r="K1521" s="204"/>
      <c r="L1521" s="204"/>
      <c r="M1521" s="204"/>
      <c r="N1521" s="204"/>
      <c r="O1521" s="204"/>
      <c r="P1521" s="204"/>
      <c r="T1521" s="217"/>
    </row>
    <row r="1522" spans="2:20">
      <c r="B1522" s="204"/>
      <c r="C1522" s="204"/>
      <c r="D1522" s="204"/>
      <c r="E1522" s="204"/>
      <c r="F1522" s="204"/>
      <c r="G1522" s="204"/>
      <c r="H1522" s="204"/>
      <c r="I1522" s="204"/>
      <c r="J1522" s="204"/>
      <c r="K1522" s="204"/>
      <c r="L1522" s="204"/>
      <c r="M1522" s="204"/>
      <c r="N1522" s="204"/>
      <c r="O1522" s="204"/>
      <c r="P1522" s="204"/>
      <c r="T1522" s="217"/>
    </row>
    <row r="1523" spans="2:20">
      <c r="B1523" s="204"/>
      <c r="C1523" s="204"/>
      <c r="D1523" s="204"/>
      <c r="E1523" s="204"/>
      <c r="F1523" s="204"/>
      <c r="G1523" s="204"/>
      <c r="H1523" s="204"/>
      <c r="I1523" s="204"/>
      <c r="J1523" s="204"/>
      <c r="K1523" s="204"/>
      <c r="L1523" s="204"/>
      <c r="M1523" s="204"/>
      <c r="N1523" s="204"/>
      <c r="O1523" s="204"/>
      <c r="P1523" s="204"/>
      <c r="T1523" s="217"/>
    </row>
    <row r="1524" spans="2:20">
      <c r="B1524" s="204"/>
      <c r="C1524" s="204"/>
      <c r="D1524" s="204"/>
      <c r="E1524" s="204"/>
      <c r="F1524" s="204"/>
      <c r="G1524" s="204"/>
      <c r="H1524" s="204"/>
      <c r="I1524" s="204"/>
      <c r="J1524" s="204"/>
      <c r="K1524" s="204"/>
      <c r="L1524" s="204"/>
      <c r="M1524" s="204"/>
      <c r="N1524" s="204"/>
      <c r="O1524" s="204"/>
      <c r="P1524" s="204"/>
      <c r="T1524" s="217"/>
    </row>
    <row r="1525" spans="2:20">
      <c r="B1525" s="204"/>
      <c r="C1525" s="204"/>
      <c r="D1525" s="204"/>
      <c r="E1525" s="204"/>
      <c r="F1525" s="204"/>
      <c r="G1525" s="204"/>
      <c r="H1525" s="204"/>
      <c r="I1525" s="204"/>
      <c r="J1525" s="204"/>
      <c r="K1525" s="204"/>
      <c r="L1525" s="204"/>
      <c r="M1525" s="204"/>
      <c r="N1525" s="204"/>
      <c r="O1525" s="204"/>
      <c r="P1525" s="204"/>
      <c r="T1525" s="217"/>
    </row>
    <row r="1526" spans="2:20">
      <c r="B1526" s="204"/>
      <c r="C1526" s="204"/>
      <c r="D1526" s="204"/>
      <c r="E1526" s="204"/>
      <c r="F1526" s="204"/>
      <c r="G1526" s="204"/>
      <c r="H1526" s="204"/>
      <c r="I1526" s="204"/>
      <c r="J1526" s="204"/>
      <c r="K1526" s="204"/>
      <c r="L1526" s="204"/>
      <c r="M1526" s="204"/>
      <c r="N1526" s="204"/>
      <c r="O1526" s="204"/>
      <c r="P1526" s="204"/>
      <c r="T1526" s="217"/>
    </row>
    <row r="1527" spans="2:20">
      <c r="B1527" s="204"/>
      <c r="C1527" s="204"/>
      <c r="D1527" s="204"/>
      <c r="E1527" s="204"/>
      <c r="F1527" s="204"/>
      <c r="G1527" s="204"/>
      <c r="H1527" s="204"/>
      <c r="I1527" s="204"/>
      <c r="J1527" s="204"/>
      <c r="K1527" s="204"/>
      <c r="L1527" s="204"/>
      <c r="M1527" s="204"/>
      <c r="N1527" s="204"/>
      <c r="O1527" s="204"/>
      <c r="P1527" s="204"/>
      <c r="T1527" s="217"/>
    </row>
    <row r="1528" spans="2:20">
      <c r="B1528" s="204"/>
      <c r="C1528" s="204"/>
      <c r="D1528" s="204"/>
      <c r="E1528" s="204"/>
      <c r="F1528" s="204"/>
      <c r="G1528" s="204"/>
      <c r="H1528" s="204"/>
      <c r="I1528" s="204"/>
      <c r="J1528" s="204"/>
      <c r="K1528" s="204"/>
      <c r="L1528" s="204"/>
      <c r="M1528" s="204"/>
      <c r="N1528" s="204"/>
      <c r="O1528" s="204"/>
      <c r="P1528" s="204"/>
      <c r="T1528" s="217"/>
    </row>
    <row r="1529" spans="2:20">
      <c r="B1529" s="204"/>
      <c r="C1529" s="204"/>
      <c r="D1529" s="204"/>
      <c r="E1529" s="204"/>
      <c r="F1529" s="204"/>
      <c r="G1529" s="204"/>
      <c r="H1529" s="204"/>
      <c r="I1529" s="204"/>
      <c r="J1529" s="204"/>
      <c r="K1529" s="204"/>
      <c r="L1529" s="204"/>
      <c r="M1529" s="204"/>
      <c r="N1529" s="204"/>
      <c r="O1529" s="204"/>
      <c r="P1529" s="204"/>
      <c r="T1529" s="217"/>
    </row>
    <row r="1530" spans="2:20">
      <c r="B1530" s="204"/>
      <c r="C1530" s="204"/>
      <c r="D1530" s="204"/>
      <c r="E1530" s="204"/>
      <c r="F1530" s="204"/>
      <c r="G1530" s="204"/>
      <c r="H1530" s="204"/>
      <c r="I1530" s="204"/>
      <c r="J1530" s="204"/>
      <c r="K1530" s="204"/>
      <c r="L1530" s="204"/>
      <c r="M1530" s="204"/>
      <c r="N1530" s="204"/>
      <c r="O1530" s="204"/>
      <c r="P1530" s="204"/>
      <c r="T1530" s="217"/>
    </row>
    <row r="1531" spans="2:20">
      <c r="B1531" s="204"/>
      <c r="C1531" s="204"/>
      <c r="D1531" s="204"/>
      <c r="E1531" s="204"/>
      <c r="F1531" s="204"/>
      <c r="G1531" s="204"/>
      <c r="H1531" s="204"/>
      <c r="I1531" s="204"/>
      <c r="J1531" s="204"/>
      <c r="K1531" s="204"/>
      <c r="L1531" s="204"/>
      <c r="M1531" s="204"/>
      <c r="N1531" s="204"/>
      <c r="O1531" s="204"/>
      <c r="P1531" s="204"/>
      <c r="T1531" s="217"/>
    </row>
    <row r="1532" spans="2:20">
      <c r="B1532" s="204"/>
      <c r="C1532" s="204"/>
      <c r="D1532" s="204"/>
      <c r="E1532" s="204"/>
      <c r="F1532" s="204"/>
      <c r="G1532" s="204"/>
      <c r="H1532" s="204"/>
      <c r="I1532" s="204"/>
      <c r="J1532" s="204"/>
      <c r="K1532" s="204"/>
      <c r="L1532" s="204"/>
      <c r="M1532" s="204"/>
      <c r="N1532" s="204"/>
      <c r="O1532" s="204"/>
      <c r="P1532" s="204"/>
      <c r="T1532" s="217"/>
    </row>
    <row r="1533" spans="2:20">
      <c r="B1533" s="204"/>
      <c r="C1533" s="204"/>
      <c r="D1533" s="204"/>
      <c r="E1533" s="204"/>
      <c r="F1533" s="204"/>
      <c r="G1533" s="204"/>
      <c r="H1533" s="204"/>
      <c r="I1533" s="204"/>
      <c r="J1533" s="204"/>
      <c r="K1533" s="204"/>
      <c r="L1533" s="204"/>
      <c r="M1533" s="204"/>
      <c r="N1533" s="204"/>
      <c r="O1533" s="204"/>
      <c r="P1533" s="204"/>
      <c r="T1533" s="217"/>
    </row>
    <row r="1534" spans="2:20">
      <c r="B1534" s="204"/>
      <c r="C1534" s="204"/>
      <c r="D1534" s="204"/>
      <c r="E1534" s="204"/>
      <c r="F1534" s="204"/>
      <c r="G1534" s="204"/>
      <c r="H1534" s="204"/>
      <c r="I1534" s="204"/>
      <c r="J1534" s="204"/>
      <c r="K1534" s="204"/>
      <c r="L1534" s="204"/>
      <c r="M1534" s="204"/>
      <c r="N1534" s="204"/>
      <c r="O1534" s="204"/>
      <c r="P1534" s="204"/>
      <c r="T1534" s="217"/>
    </row>
    <row r="1535" spans="2:20">
      <c r="B1535" s="204"/>
      <c r="C1535" s="204"/>
      <c r="D1535" s="204"/>
      <c r="E1535" s="204"/>
      <c r="F1535" s="204"/>
      <c r="G1535" s="204"/>
      <c r="H1535" s="204"/>
      <c r="I1535" s="204"/>
      <c r="J1535" s="204"/>
      <c r="K1535" s="204"/>
      <c r="L1535" s="204"/>
      <c r="M1535" s="204"/>
      <c r="N1535" s="204"/>
      <c r="O1535" s="204"/>
      <c r="P1535" s="204"/>
      <c r="T1535" s="217"/>
    </row>
    <row r="1536" spans="2:20">
      <c r="B1536" s="204"/>
      <c r="C1536" s="204"/>
      <c r="D1536" s="204"/>
      <c r="E1536" s="204"/>
      <c r="F1536" s="204"/>
      <c r="G1536" s="204"/>
      <c r="H1536" s="204"/>
      <c r="I1536" s="204"/>
      <c r="J1536" s="204"/>
      <c r="K1536" s="204"/>
      <c r="L1536" s="204"/>
      <c r="M1536" s="204"/>
      <c r="N1536" s="204"/>
      <c r="O1536" s="204"/>
      <c r="P1536" s="204"/>
      <c r="T1536" s="217"/>
    </row>
    <row r="1537" spans="2:20">
      <c r="B1537" s="204"/>
      <c r="C1537" s="204"/>
      <c r="D1537" s="204"/>
      <c r="E1537" s="204"/>
      <c r="F1537" s="204"/>
      <c r="G1537" s="204"/>
      <c r="H1537" s="204"/>
      <c r="I1537" s="204"/>
      <c r="J1537" s="204"/>
      <c r="K1537" s="204"/>
      <c r="L1537" s="204"/>
      <c r="M1537" s="204"/>
      <c r="N1537" s="204"/>
      <c r="O1537" s="204"/>
      <c r="P1537" s="204"/>
      <c r="T1537" s="217"/>
    </row>
    <row r="1538" spans="2:20">
      <c r="B1538" s="204"/>
      <c r="C1538" s="204"/>
      <c r="D1538" s="204"/>
      <c r="E1538" s="204"/>
      <c r="F1538" s="204"/>
      <c r="G1538" s="204"/>
      <c r="H1538" s="204"/>
      <c r="I1538" s="204"/>
      <c r="J1538" s="204"/>
      <c r="K1538" s="204"/>
      <c r="L1538" s="204"/>
      <c r="M1538" s="204"/>
      <c r="N1538" s="204"/>
      <c r="O1538" s="204"/>
      <c r="P1538" s="204"/>
      <c r="T1538" s="217"/>
    </row>
    <row r="1539" spans="2:20">
      <c r="B1539" s="204"/>
      <c r="C1539" s="204"/>
      <c r="D1539" s="204"/>
      <c r="E1539" s="204"/>
      <c r="F1539" s="204"/>
      <c r="G1539" s="204"/>
      <c r="H1539" s="204"/>
      <c r="I1539" s="204"/>
      <c r="J1539" s="204"/>
      <c r="K1539" s="204"/>
      <c r="L1539" s="204"/>
      <c r="M1539" s="204"/>
      <c r="N1539" s="204"/>
      <c r="O1539" s="204"/>
      <c r="P1539" s="204"/>
      <c r="T1539" s="217"/>
    </row>
    <row r="1540" spans="2:20">
      <c r="B1540" s="204"/>
      <c r="C1540" s="204"/>
      <c r="D1540" s="204"/>
      <c r="E1540" s="204"/>
      <c r="F1540" s="204"/>
      <c r="G1540" s="204"/>
      <c r="H1540" s="204"/>
      <c r="I1540" s="204"/>
      <c r="J1540" s="204"/>
      <c r="K1540" s="204"/>
      <c r="L1540" s="204"/>
      <c r="M1540" s="204"/>
      <c r="N1540" s="204"/>
      <c r="O1540" s="204"/>
      <c r="P1540" s="204"/>
      <c r="T1540" s="217"/>
    </row>
    <row r="1541" spans="2:20">
      <c r="B1541" s="204"/>
      <c r="C1541" s="204"/>
      <c r="D1541" s="204"/>
      <c r="E1541" s="204"/>
      <c r="F1541" s="204"/>
      <c r="G1541" s="204"/>
      <c r="H1541" s="204"/>
      <c r="I1541" s="204"/>
      <c r="J1541" s="204"/>
      <c r="K1541" s="204"/>
      <c r="L1541" s="204"/>
      <c r="M1541" s="204"/>
      <c r="N1541" s="204"/>
      <c r="O1541" s="204"/>
      <c r="P1541" s="204"/>
      <c r="T1541" s="217"/>
    </row>
    <row r="1542" spans="2:20">
      <c r="B1542" s="204"/>
      <c r="C1542" s="204"/>
      <c r="D1542" s="204"/>
      <c r="E1542" s="204"/>
      <c r="F1542" s="204"/>
      <c r="G1542" s="204"/>
      <c r="H1542" s="204"/>
      <c r="I1542" s="204"/>
      <c r="J1542" s="204"/>
      <c r="K1542" s="204"/>
      <c r="L1542" s="204"/>
      <c r="M1542" s="204"/>
      <c r="N1542" s="204"/>
      <c r="O1542" s="204"/>
      <c r="P1542" s="204"/>
      <c r="T1542" s="217"/>
    </row>
    <row r="1543" spans="2:20">
      <c r="B1543" s="204"/>
      <c r="C1543" s="204"/>
      <c r="D1543" s="204"/>
      <c r="E1543" s="204"/>
      <c r="F1543" s="204"/>
      <c r="G1543" s="204"/>
      <c r="H1543" s="204"/>
      <c r="I1543" s="204"/>
      <c r="J1543" s="204"/>
      <c r="K1543" s="204"/>
      <c r="L1543" s="204"/>
      <c r="M1543" s="204"/>
      <c r="N1543" s="204"/>
      <c r="O1543" s="204"/>
      <c r="P1543" s="204"/>
      <c r="T1543" s="217"/>
    </row>
    <row r="1544" spans="2:20">
      <c r="B1544" s="204"/>
      <c r="C1544" s="204"/>
      <c r="D1544" s="204"/>
      <c r="E1544" s="204"/>
      <c r="F1544" s="204"/>
      <c r="G1544" s="204"/>
      <c r="H1544" s="204"/>
      <c r="I1544" s="204"/>
      <c r="J1544" s="204"/>
      <c r="K1544" s="204"/>
      <c r="L1544" s="204"/>
      <c r="M1544" s="204"/>
      <c r="N1544" s="204"/>
      <c r="O1544" s="204"/>
      <c r="P1544" s="204"/>
      <c r="T1544" s="217"/>
    </row>
    <row r="1545" spans="2:20">
      <c r="B1545" s="204"/>
      <c r="C1545" s="204"/>
      <c r="D1545" s="204"/>
      <c r="E1545" s="204"/>
      <c r="F1545" s="204"/>
      <c r="G1545" s="204"/>
      <c r="H1545" s="204"/>
      <c r="I1545" s="204"/>
      <c r="J1545" s="204"/>
      <c r="K1545" s="204"/>
      <c r="L1545" s="204"/>
      <c r="M1545" s="204"/>
      <c r="N1545" s="204"/>
      <c r="O1545" s="204"/>
      <c r="P1545" s="204"/>
      <c r="T1545" s="217"/>
    </row>
    <row r="1546" spans="2:20">
      <c r="B1546" s="204"/>
      <c r="C1546" s="204"/>
      <c r="D1546" s="204"/>
      <c r="E1546" s="204"/>
      <c r="F1546" s="204"/>
      <c r="G1546" s="204"/>
      <c r="H1546" s="204"/>
      <c r="I1546" s="204"/>
      <c r="J1546" s="204"/>
      <c r="K1546" s="204"/>
      <c r="L1546" s="204"/>
      <c r="M1546" s="204"/>
      <c r="N1546" s="204"/>
      <c r="O1546" s="204"/>
      <c r="P1546" s="204"/>
      <c r="T1546" s="217"/>
    </row>
    <row r="1547" spans="2:20">
      <c r="B1547" s="204"/>
      <c r="C1547" s="204"/>
      <c r="D1547" s="204"/>
      <c r="E1547" s="204"/>
      <c r="F1547" s="204"/>
      <c r="G1547" s="204"/>
      <c r="H1547" s="204"/>
      <c r="I1547" s="204"/>
      <c r="J1547" s="204"/>
      <c r="K1547" s="204"/>
      <c r="L1547" s="204"/>
      <c r="M1547" s="204"/>
      <c r="N1547" s="204"/>
      <c r="O1547" s="204"/>
      <c r="P1547" s="204"/>
      <c r="T1547" s="217"/>
    </row>
    <row r="1548" spans="2:20">
      <c r="B1548" s="204"/>
      <c r="C1548" s="204"/>
      <c r="D1548" s="204"/>
      <c r="E1548" s="204"/>
      <c r="F1548" s="204"/>
      <c r="G1548" s="204"/>
      <c r="H1548" s="204"/>
      <c r="I1548" s="204"/>
      <c r="J1548" s="204"/>
      <c r="K1548" s="204"/>
      <c r="L1548" s="204"/>
      <c r="M1548" s="204"/>
      <c r="N1548" s="204"/>
      <c r="O1548" s="204"/>
      <c r="P1548" s="204"/>
      <c r="T1548" s="217"/>
    </row>
    <row r="1549" spans="2:20">
      <c r="B1549" s="204"/>
      <c r="C1549" s="204"/>
      <c r="D1549" s="204"/>
      <c r="E1549" s="204"/>
      <c r="F1549" s="204"/>
      <c r="G1549" s="204"/>
      <c r="H1549" s="204"/>
      <c r="I1549" s="204"/>
      <c r="J1549" s="204"/>
      <c r="K1549" s="204"/>
      <c r="L1549" s="204"/>
      <c r="M1549" s="204"/>
      <c r="N1549" s="204"/>
      <c r="O1549" s="204"/>
      <c r="P1549" s="204"/>
      <c r="T1549" s="217"/>
    </row>
    <row r="1550" spans="2:20">
      <c r="B1550" s="204"/>
      <c r="C1550" s="204"/>
      <c r="D1550" s="204"/>
      <c r="E1550" s="204"/>
      <c r="F1550" s="204"/>
      <c r="G1550" s="204"/>
      <c r="H1550" s="204"/>
      <c r="I1550" s="204"/>
      <c r="J1550" s="204"/>
      <c r="K1550" s="204"/>
      <c r="L1550" s="204"/>
      <c r="M1550" s="204"/>
      <c r="N1550" s="204"/>
      <c r="O1550" s="204"/>
      <c r="P1550" s="204"/>
      <c r="T1550" s="217"/>
    </row>
    <row r="1551" spans="2:20">
      <c r="B1551" s="204"/>
      <c r="C1551" s="204"/>
      <c r="D1551" s="204"/>
      <c r="E1551" s="204"/>
      <c r="F1551" s="204"/>
      <c r="G1551" s="204"/>
      <c r="H1551" s="204"/>
      <c r="I1551" s="204"/>
      <c r="J1551" s="204"/>
      <c r="K1551" s="204"/>
      <c r="L1551" s="204"/>
      <c r="M1551" s="204"/>
      <c r="N1551" s="204"/>
      <c r="O1551" s="204"/>
      <c r="P1551" s="204"/>
      <c r="T1551" s="217"/>
    </row>
    <row r="1552" spans="2:20">
      <c r="B1552" s="204"/>
      <c r="C1552" s="204"/>
      <c r="D1552" s="204"/>
      <c r="E1552" s="204"/>
      <c r="F1552" s="204"/>
      <c r="G1552" s="204"/>
      <c r="H1552" s="204"/>
      <c r="I1552" s="204"/>
      <c r="J1552" s="204"/>
      <c r="K1552" s="204"/>
      <c r="L1552" s="204"/>
      <c r="M1552" s="204"/>
      <c r="N1552" s="204"/>
      <c r="O1552" s="204"/>
      <c r="P1552" s="204"/>
      <c r="T1552" s="217"/>
    </row>
    <row r="1553" spans="2:20">
      <c r="B1553" s="204"/>
      <c r="C1553" s="204"/>
      <c r="D1553" s="204"/>
      <c r="E1553" s="204"/>
      <c r="F1553" s="204"/>
      <c r="G1553" s="204"/>
      <c r="H1553" s="204"/>
      <c r="I1553" s="204"/>
      <c r="J1553" s="204"/>
      <c r="K1553" s="204"/>
      <c r="L1553" s="204"/>
      <c r="M1553" s="204"/>
      <c r="N1553" s="204"/>
      <c r="O1553" s="204"/>
      <c r="P1553" s="204"/>
      <c r="T1553" s="217"/>
    </row>
    <row r="1554" spans="2:20">
      <c r="B1554" s="204"/>
      <c r="C1554" s="204"/>
      <c r="D1554" s="204"/>
      <c r="E1554" s="204"/>
      <c r="F1554" s="204"/>
      <c r="G1554" s="204"/>
      <c r="H1554" s="204"/>
      <c r="I1554" s="204"/>
      <c r="J1554" s="204"/>
      <c r="K1554" s="204"/>
      <c r="L1554" s="204"/>
      <c r="M1554" s="204"/>
      <c r="N1554" s="204"/>
      <c r="O1554" s="204"/>
      <c r="P1554" s="204"/>
      <c r="T1554" s="217"/>
    </row>
    <row r="1555" spans="2:20">
      <c r="B1555" s="204"/>
      <c r="C1555" s="204"/>
      <c r="D1555" s="204"/>
      <c r="E1555" s="204"/>
      <c r="F1555" s="204"/>
      <c r="G1555" s="204"/>
      <c r="H1555" s="204"/>
      <c r="I1555" s="204"/>
      <c r="J1555" s="204"/>
      <c r="K1555" s="204"/>
      <c r="L1555" s="204"/>
      <c r="M1555" s="204"/>
      <c r="N1555" s="204"/>
      <c r="O1555" s="204"/>
      <c r="P1555" s="204"/>
      <c r="T1555" s="217"/>
    </row>
    <row r="1556" spans="2:20">
      <c r="B1556" s="204"/>
      <c r="C1556" s="204"/>
      <c r="D1556" s="204"/>
      <c r="E1556" s="204"/>
      <c r="F1556" s="204"/>
      <c r="G1556" s="204"/>
      <c r="H1556" s="204"/>
      <c r="I1556" s="204"/>
      <c r="J1556" s="204"/>
      <c r="K1556" s="204"/>
      <c r="L1556" s="204"/>
      <c r="M1556" s="204"/>
      <c r="N1556" s="204"/>
      <c r="O1556" s="204"/>
      <c r="P1556" s="204"/>
      <c r="T1556" s="217"/>
    </row>
    <row r="1557" spans="2:20">
      <c r="B1557" s="204"/>
      <c r="C1557" s="204"/>
      <c r="D1557" s="204"/>
      <c r="E1557" s="204"/>
      <c r="F1557" s="204"/>
      <c r="G1557" s="204"/>
      <c r="H1557" s="204"/>
      <c r="I1557" s="204"/>
      <c r="J1557" s="204"/>
      <c r="K1557" s="204"/>
      <c r="L1557" s="204"/>
      <c r="M1557" s="204"/>
      <c r="N1557" s="204"/>
      <c r="O1557" s="204"/>
      <c r="P1557" s="204"/>
      <c r="T1557" s="217"/>
    </row>
    <row r="1558" spans="2:20">
      <c r="B1558" s="204"/>
      <c r="C1558" s="204"/>
      <c r="D1558" s="204"/>
      <c r="E1558" s="204"/>
      <c r="F1558" s="204"/>
      <c r="G1558" s="204"/>
      <c r="H1558" s="204"/>
      <c r="I1558" s="204"/>
      <c r="J1558" s="204"/>
      <c r="K1558" s="204"/>
      <c r="L1558" s="204"/>
      <c r="M1558" s="204"/>
      <c r="N1558" s="204"/>
      <c r="O1558" s="204"/>
      <c r="P1558" s="204"/>
      <c r="T1558" s="217"/>
    </row>
    <row r="1559" spans="2:20">
      <c r="B1559" s="204"/>
      <c r="C1559" s="204"/>
      <c r="D1559" s="204"/>
      <c r="E1559" s="204"/>
      <c r="F1559" s="204"/>
      <c r="G1559" s="204"/>
      <c r="H1559" s="204"/>
      <c r="I1559" s="204"/>
      <c r="J1559" s="204"/>
      <c r="K1559" s="204"/>
      <c r="L1559" s="204"/>
      <c r="M1559" s="204"/>
      <c r="N1559" s="204"/>
      <c r="O1559" s="204"/>
      <c r="P1559" s="204"/>
      <c r="T1559" s="217"/>
    </row>
    <row r="1560" spans="2:20">
      <c r="B1560" s="204"/>
      <c r="C1560" s="204"/>
      <c r="D1560" s="204"/>
      <c r="E1560" s="204"/>
      <c r="F1560" s="204"/>
      <c r="G1560" s="204"/>
      <c r="H1560" s="204"/>
      <c r="I1560" s="204"/>
      <c r="J1560" s="204"/>
      <c r="K1560" s="204"/>
      <c r="L1560" s="204"/>
      <c r="M1560" s="204"/>
      <c r="N1560" s="204"/>
      <c r="O1560" s="204"/>
      <c r="P1560" s="204"/>
      <c r="T1560" s="217"/>
    </row>
    <row r="1561" spans="2:20">
      <c r="B1561" s="204"/>
      <c r="C1561" s="204"/>
      <c r="D1561" s="204"/>
      <c r="E1561" s="204"/>
      <c r="F1561" s="204"/>
      <c r="G1561" s="204"/>
      <c r="H1561" s="204"/>
      <c r="I1561" s="204"/>
      <c r="J1561" s="204"/>
      <c r="K1561" s="204"/>
      <c r="L1561" s="204"/>
      <c r="M1561" s="204"/>
      <c r="N1561" s="204"/>
      <c r="O1561" s="204"/>
      <c r="P1561" s="204"/>
      <c r="T1561" s="217"/>
    </row>
    <row r="1562" spans="2:20">
      <c r="B1562" s="204"/>
      <c r="C1562" s="204"/>
      <c r="D1562" s="204"/>
      <c r="E1562" s="204"/>
      <c r="F1562" s="204"/>
      <c r="G1562" s="204"/>
      <c r="H1562" s="204"/>
      <c r="I1562" s="204"/>
      <c r="J1562" s="204"/>
      <c r="K1562" s="204"/>
      <c r="L1562" s="204"/>
      <c r="M1562" s="204"/>
      <c r="N1562" s="204"/>
      <c r="O1562" s="204"/>
      <c r="P1562" s="204"/>
      <c r="T1562" s="217"/>
    </row>
    <row r="1563" spans="2:20">
      <c r="B1563" s="204"/>
      <c r="C1563" s="204"/>
      <c r="D1563" s="204"/>
      <c r="E1563" s="204"/>
      <c r="F1563" s="204"/>
      <c r="G1563" s="204"/>
      <c r="H1563" s="204"/>
      <c r="I1563" s="204"/>
      <c r="J1563" s="204"/>
      <c r="K1563" s="204"/>
      <c r="L1563" s="204"/>
      <c r="M1563" s="204"/>
      <c r="N1563" s="204"/>
      <c r="O1563" s="204"/>
      <c r="P1563" s="204"/>
      <c r="T1563" s="217"/>
    </row>
    <row r="1564" spans="2:20">
      <c r="B1564" s="204"/>
      <c r="C1564" s="204"/>
      <c r="D1564" s="204"/>
      <c r="E1564" s="204"/>
      <c r="F1564" s="204"/>
      <c r="G1564" s="204"/>
      <c r="H1564" s="204"/>
      <c r="I1564" s="204"/>
      <c r="J1564" s="204"/>
      <c r="K1564" s="204"/>
      <c r="L1564" s="204"/>
      <c r="M1564" s="204"/>
      <c r="N1564" s="204"/>
      <c r="O1564" s="204"/>
      <c r="P1564" s="204"/>
      <c r="T1564" s="217"/>
    </row>
    <row r="1565" spans="2:20">
      <c r="B1565" s="204"/>
      <c r="C1565" s="204"/>
      <c r="D1565" s="204"/>
      <c r="E1565" s="204"/>
      <c r="F1565" s="204"/>
      <c r="G1565" s="204"/>
      <c r="H1565" s="204"/>
      <c r="I1565" s="204"/>
      <c r="J1565" s="204"/>
      <c r="K1565" s="204"/>
      <c r="L1565" s="204"/>
      <c r="M1565" s="204"/>
      <c r="N1565" s="204"/>
      <c r="O1565" s="204"/>
      <c r="P1565" s="204"/>
      <c r="T1565" s="217"/>
    </row>
    <row r="1566" spans="2:20">
      <c r="B1566" s="204"/>
      <c r="C1566" s="204"/>
      <c r="D1566" s="204"/>
      <c r="E1566" s="204"/>
      <c r="F1566" s="204"/>
      <c r="G1566" s="204"/>
      <c r="H1566" s="204"/>
      <c r="I1566" s="204"/>
      <c r="J1566" s="204"/>
      <c r="K1566" s="204"/>
      <c r="L1566" s="204"/>
      <c r="M1566" s="204"/>
      <c r="N1566" s="204"/>
      <c r="O1566" s="204"/>
      <c r="P1566" s="204"/>
      <c r="T1566" s="217"/>
    </row>
    <row r="1567" spans="2:20">
      <c r="B1567" s="204"/>
      <c r="C1567" s="204"/>
      <c r="D1567" s="204"/>
      <c r="E1567" s="204"/>
      <c r="F1567" s="204"/>
      <c r="G1567" s="204"/>
      <c r="H1567" s="204"/>
      <c r="I1567" s="204"/>
      <c r="J1567" s="204"/>
      <c r="K1567" s="204"/>
      <c r="L1567" s="204"/>
      <c r="M1567" s="204"/>
      <c r="N1567" s="204"/>
      <c r="O1567" s="204"/>
      <c r="P1567" s="204"/>
      <c r="T1567" s="217"/>
    </row>
    <row r="1568" spans="2:20">
      <c r="B1568" s="204"/>
      <c r="C1568" s="204"/>
      <c r="D1568" s="204"/>
      <c r="E1568" s="204"/>
      <c r="F1568" s="204"/>
      <c r="G1568" s="204"/>
      <c r="H1568" s="204"/>
      <c r="I1568" s="204"/>
      <c r="J1568" s="204"/>
      <c r="K1568" s="204"/>
      <c r="L1568" s="204"/>
      <c r="M1568" s="204"/>
      <c r="N1568" s="204"/>
      <c r="O1568" s="204"/>
      <c r="P1568" s="204"/>
      <c r="T1568" s="217"/>
    </row>
    <row r="1569" spans="2:20">
      <c r="B1569" s="204"/>
      <c r="C1569" s="204"/>
      <c r="D1569" s="204"/>
      <c r="E1569" s="204"/>
      <c r="F1569" s="204"/>
      <c r="G1569" s="204"/>
      <c r="H1569" s="204"/>
      <c r="I1569" s="204"/>
      <c r="J1569" s="204"/>
      <c r="K1569" s="204"/>
      <c r="L1569" s="204"/>
      <c r="M1569" s="204"/>
      <c r="N1569" s="204"/>
      <c r="O1569" s="204"/>
      <c r="P1569" s="204"/>
      <c r="T1569" s="217"/>
    </row>
    <row r="1570" spans="2:20">
      <c r="B1570" s="204"/>
      <c r="C1570" s="204"/>
      <c r="D1570" s="204"/>
      <c r="E1570" s="204"/>
      <c r="F1570" s="204"/>
      <c r="G1570" s="204"/>
      <c r="H1570" s="204"/>
      <c r="I1570" s="204"/>
      <c r="J1570" s="204"/>
      <c r="K1570" s="204"/>
      <c r="L1570" s="204"/>
      <c r="M1570" s="204"/>
      <c r="N1570" s="204"/>
      <c r="O1570" s="204"/>
      <c r="P1570" s="204"/>
      <c r="T1570" s="217"/>
    </row>
    <row r="1571" spans="2:20">
      <c r="B1571" s="204"/>
      <c r="C1571" s="204"/>
      <c r="D1571" s="204"/>
      <c r="E1571" s="204"/>
      <c r="F1571" s="204"/>
      <c r="G1571" s="204"/>
      <c r="H1571" s="204"/>
      <c r="I1571" s="204"/>
      <c r="J1571" s="204"/>
      <c r="K1571" s="204"/>
      <c r="L1571" s="204"/>
      <c r="M1571" s="204"/>
      <c r="N1571" s="204"/>
      <c r="O1571" s="204"/>
      <c r="P1571" s="204"/>
      <c r="T1571" s="217"/>
    </row>
    <row r="1572" spans="2:20">
      <c r="B1572" s="204"/>
      <c r="C1572" s="204"/>
      <c r="D1572" s="204"/>
      <c r="E1572" s="204"/>
      <c r="F1572" s="204"/>
      <c r="G1572" s="204"/>
      <c r="H1572" s="204"/>
      <c r="I1572" s="204"/>
      <c r="J1572" s="204"/>
      <c r="K1572" s="204"/>
      <c r="L1572" s="204"/>
      <c r="M1572" s="204"/>
      <c r="N1572" s="204"/>
      <c r="O1572" s="204"/>
      <c r="P1572" s="204"/>
      <c r="T1572" s="217"/>
    </row>
    <row r="1573" spans="2:20">
      <c r="B1573" s="204"/>
      <c r="C1573" s="204"/>
      <c r="D1573" s="204"/>
      <c r="E1573" s="204"/>
      <c r="F1573" s="204"/>
      <c r="G1573" s="204"/>
      <c r="H1573" s="204"/>
      <c r="I1573" s="204"/>
      <c r="J1573" s="204"/>
      <c r="K1573" s="204"/>
      <c r="L1573" s="204"/>
      <c r="M1573" s="204"/>
      <c r="N1573" s="204"/>
      <c r="O1573" s="204"/>
      <c r="P1573" s="204"/>
      <c r="T1573" s="217"/>
    </row>
    <row r="1574" spans="2:20">
      <c r="B1574" s="204"/>
      <c r="C1574" s="204"/>
      <c r="D1574" s="204"/>
      <c r="E1574" s="204"/>
      <c r="F1574" s="204"/>
      <c r="G1574" s="204"/>
      <c r="H1574" s="204"/>
      <c r="I1574" s="204"/>
      <c r="J1574" s="204"/>
      <c r="K1574" s="204"/>
      <c r="L1574" s="204"/>
      <c r="M1574" s="204"/>
      <c r="N1574" s="204"/>
      <c r="O1574" s="204"/>
      <c r="P1574" s="204"/>
      <c r="T1574" s="217"/>
    </row>
    <row r="1575" spans="2:20">
      <c r="B1575" s="204"/>
      <c r="C1575" s="204"/>
      <c r="D1575" s="204"/>
      <c r="E1575" s="204"/>
      <c r="F1575" s="204"/>
      <c r="G1575" s="204"/>
      <c r="H1575" s="204"/>
      <c r="I1575" s="204"/>
      <c r="J1575" s="204"/>
      <c r="K1575" s="204"/>
      <c r="L1575" s="204"/>
      <c r="M1575" s="204"/>
      <c r="N1575" s="204"/>
      <c r="O1575" s="204"/>
      <c r="P1575" s="204"/>
      <c r="T1575" s="217"/>
    </row>
    <row r="1576" spans="2:20">
      <c r="B1576" s="204"/>
      <c r="C1576" s="204"/>
      <c r="D1576" s="204"/>
      <c r="E1576" s="204"/>
      <c r="F1576" s="204"/>
      <c r="G1576" s="204"/>
      <c r="H1576" s="204"/>
      <c r="I1576" s="204"/>
      <c r="J1576" s="204"/>
      <c r="K1576" s="204"/>
      <c r="L1576" s="204"/>
      <c r="M1576" s="204"/>
      <c r="N1576" s="204"/>
      <c r="O1576" s="204"/>
      <c r="P1576" s="204"/>
      <c r="T1576" s="217"/>
    </row>
    <row r="1577" spans="2:20">
      <c r="B1577" s="204"/>
      <c r="C1577" s="204"/>
      <c r="D1577" s="204"/>
      <c r="E1577" s="204"/>
      <c r="F1577" s="204"/>
      <c r="G1577" s="204"/>
      <c r="H1577" s="204"/>
      <c r="I1577" s="204"/>
      <c r="J1577" s="204"/>
      <c r="K1577" s="204"/>
      <c r="L1577" s="204"/>
      <c r="M1577" s="204"/>
      <c r="N1577" s="204"/>
      <c r="O1577" s="204"/>
      <c r="P1577" s="204"/>
      <c r="T1577" s="217"/>
    </row>
    <row r="1578" spans="2:20">
      <c r="B1578" s="204"/>
      <c r="C1578" s="204"/>
      <c r="D1578" s="204"/>
      <c r="E1578" s="204"/>
      <c r="F1578" s="204"/>
      <c r="G1578" s="204"/>
      <c r="H1578" s="204"/>
      <c r="I1578" s="204"/>
      <c r="J1578" s="204"/>
      <c r="K1578" s="204"/>
      <c r="L1578" s="204"/>
      <c r="M1578" s="204"/>
      <c r="N1578" s="204"/>
      <c r="O1578" s="204"/>
      <c r="P1578" s="204"/>
      <c r="T1578" s="217"/>
    </row>
    <row r="1579" spans="2:20">
      <c r="B1579" s="204"/>
      <c r="C1579" s="204"/>
      <c r="D1579" s="204"/>
      <c r="E1579" s="204"/>
      <c r="F1579" s="204"/>
      <c r="G1579" s="204"/>
      <c r="H1579" s="204"/>
      <c r="I1579" s="204"/>
      <c r="J1579" s="204"/>
      <c r="K1579" s="204"/>
      <c r="L1579" s="204"/>
      <c r="M1579" s="204"/>
      <c r="N1579" s="204"/>
      <c r="O1579" s="204"/>
      <c r="P1579" s="204"/>
      <c r="T1579" s="217"/>
    </row>
    <row r="1580" spans="2:20">
      <c r="B1580" s="204"/>
      <c r="C1580" s="204"/>
      <c r="D1580" s="204"/>
      <c r="E1580" s="204"/>
      <c r="F1580" s="204"/>
      <c r="G1580" s="204"/>
      <c r="H1580" s="204"/>
      <c r="I1580" s="204"/>
      <c r="J1580" s="204"/>
      <c r="K1580" s="204"/>
      <c r="L1580" s="204"/>
      <c r="M1580" s="204"/>
      <c r="N1580" s="204"/>
      <c r="O1580" s="204"/>
      <c r="P1580" s="204"/>
      <c r="T1580" s="217"/>
    </row>
    <row r="1581" spans="2:20">
      <c r="B1581" s="204"/>
      <c r="C1581" s="204"/>
      <c r="D1581" s="204"/>
      <c r="E1581" s="204"/>
      <c r="F1581" s="204"/>
      <c r="G1581" s="204"/>
      <c r="H1581" s="204"/>
      <c r="I1581" s="204"/>
      <c r="J1581" s="204"/>
      <c r="K1581" s="204"/>
      <c r="L1581" s="204"/>
      <c r="M1581" s="204"/>
      <c r="N1581" s="204"/>
      <c r="O1581" s="204"/>
      <c r="P1581" s="204"/>
      <c r="T1581" s="217"/>
    </row>
    <row r="1582" spans="2:20">
      <c r="B1582" s="204"/>
      <c r="C1582" s="204"/>
      <c r="D1582" s="204"/>
      <c r="E1582" s="204"/>
      <c r="F1582" s="204"/>
      <c r="G1582" s="204"/>
      <c r="H1582" s="204"/>
      <c r="I1582" s="204"/>
      <c r="J1582" s="204"/>
      <c r="K1582" s="204"/>
      <c r="L1582" s="204"/>
      <c r="M1582" s="204"/>
      <c r="N1582" s="204"/>
      <c r="O1582" s="204"/>
      <c r="P1582" s="204"/>
      <c r="T1582" s="217"/>
    </row>
    <row r="1583" spans="2:20">
      <c r="B1583" s="204"/>
      <c r="C1583" s="204"/>
      <c r="D1583" s="204"/>
      <c r="E1583" s="204"/>
      <c r="F1583" s="204"/>
      <c r="G1583" s="204"/>
      <c r="H1583" s="204"/>
      <c r="I1583" s="204"/>
      <c r="J1583" s="204"/>
      <c r="K1583" s="204"/>
      <c r="L1583" s="204"/>
      <c r="M1583" s="204"/>
      <c r="N1583" s="204"/>
      <c r="O1583" s="204"/>
      <c r="P1583" s="204"/>
      <c r="T1583" s="217"/>
    </row>
    <row r="1584" spans="2:20">
      <c r="B1584" s="204"/>
      <c r="C1584" s="204"/>
      <c r="D1584" s="204"/>
      <c r="E1584" s="204"/>
      <c r="F1584" s="204"/>
      <c r="G1584" s="204"/>
      <c r="H1584" s="204"/>
      <c r="I1584" s="204"/>
      <c r="J1584" s="204"/>
      <c r="K1584" s="204"/>
      <c r="L1584" s="204"/>
      <c r="M1584" s="204"/>
      <c r="N1584" s="204"/>
      <c r="O1584" s="204"/>
      <c r="P1584" s="204"/>
      <c r="T1584" s="217"/>
    </row>
    <row r="1585" spans="2:20">
      <c r="B1585" s="204"/>
      <c r="C1585" s="204"/>
      <c r="D1585" s="204"/>
      <c r="E1585" s="204"/>
      <c r="F1585" s="204"/>
      <c r="G1585" s="204"/>
      <c r="H1585" s="204"/>
      <c r="I1585" s="204"/>
      <c r="J1585" s="204"/>
      <c r="K1585" s="204"/>
      <c r="L1585" s="204"/>
      <c r="M1585" s="204"/>
      <c r="N1585" s="204"/>
      <c r="O1585" s="204"/>
      <c r="P1585" s="204"/>
      <c r="T1585" s="217"/>
    </row>
    <row r="1586" spans="2:20">
      <c r="B1586" s="204"/>
      <c r="C1586" s="204"/>
      <c r="D1586" s="204"/>
      <c r="E1586" s="204"/>
      <c r="F1586" s="204"/>
      <c r="G1586" s="204"/>
      <c r="H1586" s="204"/>
      <c r="I1586" s="204"/>
      <c r="J1586" s="204"/>
      <c r="K1586" s="204"/>
      <c r="L1586" s="204"/>
      <c r="M1586" s="204"/>
      <c r="N1586" s="204"/>
      <c r="O1586" s="204"/>
      <c r="P1586" s="204"/>
      <c r="T1586" s="217"/>
    </row>
    <row r="1587" spans="2:20">
      <c r="B1587" s="204"/>
      <c r="C1587" s="204"/>
      <c r="D1587" s="204"/>
      <c r="E1587" s="204"/>
      <c r="F1587" s="204"/>
      <c r="G1587" s="204"/>
      <c r="H1587" s="204"/>
      <c r="I1587" s="204"/>
      <c r="J1587" s="204"/>
      <c r="K1587" s="204"/>
      <c r="L1587" s="204"/>
      <c r="M1587" s="204"/>
      <c r="N1587" s="204"/>
      <c r="O1587" s="204"/>
      <c r="P1587" s="204"/>
      <c r="T1587" s="217"/>
    </row>
    <row r="1588" spans="2:20">
      <c r="B1588" s="204"/>
      <c r="C1588" s="204"/>
      <c r="D1588" s="204"/>
      <c r="E1588" s="204"/>
      <c r="F1588" s="204"/>
      <c r="G1588" s="204"/>
      <c r="H1588" s="204"/>
      <c r="I1588" s="204"/>
      <c r="J1588" s="204"/>
      <c r="K1588" s="204"/>
      <c r="L1588" s="204"/>
      <c r="M1588" s="204"/>
      <c r="N1588" s="204"/>
      <c r="O1588" s="204"/>
      <c r="P1588" s="204"/>
      <c r="T1588" s="217"/>
    </row>
    <row r="1589" spans="2:20">
      <c r="B1589" s="204"/>
      <c r="C1589" s="204"/>
      <c r="D1589" s="204"/>
      <c r="E1589" s="204"/>
      <c r="F1589" s="204"/>
      <c r="G1589" s="204"/>
      <c r="H1589" s="204"/>
      <c r="I1589" s="204"/>
      <c r="J1589" s="204"/>
      <c r="K1589" s="204"/>
      <c r="L1589" s="204"/>
      <c r="M1589" s="204"/>
      <c r="N1589" s="204"/>
      <c r="O1589" s="204"/>
      <c r="P1589" s="204"/>
      <c r="T1589" s="217"/>
    </row>
    <row r="1590" spans="2:20">
      <c r="B1590" s="204"/>
      <c r="C1590" s="204"/>
      <c r="D1590" s="204"/>
      <c r="E1590" s="204"/>
      <c r="F1590" s="204"/>
      <c r="G1590" s="204"/>
      <c r="H1590" s="204"/>
      <c r="I1590" s="204"/>
      <c r="J1590" s="204"/>
      <c r="K1590" s="204"/>
      <c r="L1590" s="204"/>
      <c r="M1590" s="204"/>
      <c r="N1590" s="204"/>
      <c r="O1590" s="204"/>
      <c r="P1590" s="204"/>
      <c r="T1590" s="217"/>
    </row>
    <row r="1591" spans="2:20">
      <c r="B1591" s="204"/>
      <c r="C1591" s="204"/>
      <c r="D1591" s="204"/>
      <c r="E1591" s="204"/>
      <c r="F1591" s="204"/>
      <c r="G1591" s="204"/>
      <c r="H1591" s="204"/>
      <c r="I1591" s="204"/>
      <c r="J1591" s="204"/>
      <c r="K1591" s="204"/>
      <c r="L1591" s="204"/>
      <c r="M1591" s="204"/>
      <c r="N1591" s="204"/>
      <c r="O1591" s="204"/>
      <c r="P1591" s="204"/>
      <c r="T1591" s="217"/>
    </row>
    <row r="1592" spans="2:20">
      <c r="B1592" s="204"/>
      <c r="C1592" s="204"/>
      <c r="D1592" s="204"/>
      <c r="E1592" s="204"/>
      <c r="F1592" s="204"/>
      <c r="G1592" s="204"/>
      <c r="H1592" s="204"/>
      <c r="I1592" s="204"/>
      <c r="J1592" s="204"/>
      <c r="K1592" s="204"/>
      <c r="L1592" s="204"/>
      <c r="M1592" s="204"/>
      <c r="N1592" s="204"/>
      <c r="O1592" s="204"/>
      <c r="P1592" s="204"/>
      <c r="T1592" s="217"/>
    </row>
    <row r="1593" spans="2:20">
      <c r="B1593" s="204"/>
      <c r="C1593" s="204"/>
      <c r="D1593" s="204"/>
      <c r="E1593" s="204"/>
      <c r="F1593" s="204"/>
      <c r="G1593" s="204"/>
      <c r="H1593" s="204"/>
      <c r="I1593" s="204"/>
      <c r="J1593" s="204"/>
      <c r="K1593" s="204"/>
      <c r="L1593" s="204"/>
      <c r="M1593" s="204"/>
      <c r="N1593" s="204"/>
      <c r="O1593" s="204"/>
      <c r="P1593" s="204"/>
      <c r="T1593" s="217"/>
    </row>
    <row r="1594" spans="2:20">
      <c r="B1594" s="204"/>
      <c r="C1594" s="204"/>
      <c r="D1594" s="204"/>
      <c r="E1594" s="204"/>
      <c r="F1594" s="204"/>
      <c r="G1594" s="204"/>
      <c r="H1594" s="204"/>
      <c r="I1594" s="204"/>
      <c r="J1594" s="204"/>
      <c r="K1594" s="204"/>
      <c r="L1594" s="204"/>
      <c r="M1594" s="204"/>
      <c r="N1594" s="204"/>
      <c r="O1594" s="204"/>
      <c r="P1594" s="204"/>
      <c r="T1594" s="217"/>
    </row>
    <row r="1595" spans="2:20">
      <c r="B1595" s="204"/>
      <c r="C1595" s="204"/>
      <c r="D1595" s="204"/>
      <c r="E1595" s="204"/>
      <c r="F1595" s="204"/>
      <c r="G1595" s="204"/>
      <c r="H1595" s="204"/>
      <c r="I1595" s="204"/>
      <c r="J1595" s="204"/>
      <c r="K1595" s="204"/>
      <c r="L1595" s="204"/>
      <c r="M1595" s="204"/>
      <c r="N1595" s="204"/>
      <c r="O1595" s="204"/>
      <c r="P1595" s="204"/>
      <c r="T1595" s="217"/>
    </row>
    <row r="1596" spans="2:20">
      <c r="B1596" s="204"/>
      <c r="C1596" s="204"/>
      <c r="D1596" s="204"/>
      <c r="E1596" s="204"/>
      <c r="F1596" s="204"/>
      <c r="G1596" s="204"/>
      <c r="H1596" s="204"/>
      <c r="I1596" s="204"/>
      <c r="J1596" s="204"/>
      <c r="K1596" s="204"/>
      <c r="L1596" s="204"/>
      <c r="M1596" s="204"/>
      <c r="N1596" s="204"/>
      <c r="O1596" s="204"/>
      <c r="P1596" s="204"/>
      <c r="T1596" s="217"/>
    </row>
    <row r="1597" spans="2:20">
      <c r="B1597" s="204"/>
      <c r="C1597" s="204"/>
      <c r="D1597" s="204"/>
      <c r="E1597" s="204"/>
      <c r="F1597" s="204"/>
      <c r="G1597" s="204"/>
      <c r="H1597" s="204"/>
      <c r="I1597" s="204"/>
      <c r="J1597" s="204"/>
      <c r="K1597" s="204"/>
      <c r="L1597" s="204"/>
      <c r="M1597" s="204"/>
      <c r="N1597" s="204"/>
      <c r="O1597" s="204"/>
      <c r="P1597" s="204"/>
      <c r="T1597" s="217"/>
    </row>
    <row r="1598" spans="2:20">
      <c r="B1598" s="204"/>
      <c r="C1598" s="204"/>
      <c r="D1598" s="204"/>
      <c r="E1598" s="204"/>
      <c r="F1598" s="204"/>
      <c r="G1598" s="204"/>
      <c r="H1598" s="204"/>
      <c r="I1598" s="204"/>
      <c r="J1598" s="204"/>
      <c r="K1598" s="204"/>
      <c r="L1598" s="204"/>
      <c r="M1598" s="204"/>
      <c r="N1598" s="204"/>
      <c r="O1598" s="204"/>
      <c r="P1598" s="204"/>
      <c r="T1598" s="217"/>
    </row>
    <row r="1599" spans="2:20">
      <c r="B1599" s="204"/>
      <c r="C1599" s="204"/>
      <c r="D1599" s="204"/>
      <c r="E1599" s="204"/>
      <c r="F1599" s="204"/>
      <c r="G1599" s="204"/>
      <c r="H1599" s="204"/>
      <c r="I1599" s="204"/>
      <c r="J1599" s="204"/>
      <c r="K1599" s="204"/>
      <c r="L1599" s="204"/>
      <c r="M1599" s="204"/>
      <c r="N1599" s="204"/>
      <c r="O1599" s="204"/>
      <c r="P1599" s="204"/>
      <c r="T1599" s="217"/>
    </row>
    <row r="1600" spans="2:20">
      <c r="B1600" s="204"/>
      <c r="C1600" s="204"/>
      <c r="D1600" s="204"/>
      <c r="E1600" s="204"/>
      <c r="F1600" s="204"/>
      <c r="G1600" s="204"/>
      <c r="H1600" s="204"/>
      <c r="I1600" s="204"/>
      <c r="J1600" s="204"/>
      <c r="K1600" s="204"/>
      <c r="L1600" s="204"/>
      <c r="M1600" s="204"/>
      <c r="N1600" s="204"/>
      <c r="O1600" s="204"/>
      <c r="P1600" s="204"/>
      <c r="T1600" s="217"/>
    </row>
    <row r="1601" spans="2:20">
      <c r="B1601" s="204"/>
      <c r="C1601" s="204"/>
      <c r="D1601" s="204"/>
      <c r="E1601" s="204"/>
      <c r="F1601" s="204"/>
      <c r="G1601" s="204"/>
      <c r="H1601" s="204"/>
      <c r="I1601" s="204"/>
      <c r="J1601" s="204"/>
      <c r="K1601" s="204"/>
      <c r="L1601" s="204"/>
      <c r="M1601" s="204"/>
      <c r="N1601" s="204"/>
      <c r="O1601" s="204"/>
      <c r="P1601" s="204"/>
      <c r="T1601" s="217"/>
    </row>
    <row r="1602" spans="2:20">
      <c r="B1602" s="204"/>
      <c r="C1602" s="204"/>
      <c r="D1602" s="204"/>
      <c r="E1602" s="204"/>
      <c r="F1602" s="204"/>
      <c r="G1602" s="204"/>
      <c r="H1602" s="204"/>
      <c r="I1602" s="204"/>
      <c r="J1602" s="204"/>
      <c r="K1602" s="204"/>
      <c r="L1602" s="204"/>
      <c r="M1602" s="204"/>
      <c r="N1602" s="204"/>
      <c r="O1602" s="204"/>
      <c r="P1602" s="204"/>
      <c r="T1602" s="217"/>
    </row>
    <row r="1603" spans="2:20">
      <c r="B1603" s="204"/>
      <c r="C1603" s="204"/>
      <c r="D1603" s="204"/>
      <c r="E1603" s="204"/>
      <c r="F1603" s="204"/>
      <c r="G1603" s="204"/>
      <c r="H1603" s="204"/>
      <c r="I1603" s="204"/>
      <c r="J1603" s="204"/>
      <c r="K1603" s="204"/>
      <c r="L1603" s="204"/>
      <c r="M1603" s="204"/>
      <c r="N1603" s="204"/>
      <c r="O1603" s="204"/>
      <c r="P1603" s="204"/>
      <c r="T1603" s="217"/>
    </row>
    <row r="1604" spans="2:20">
      <c r="B1604" s="204"/>
      <c r="C1604" s="204"/>
      <c r="D1604" s="204"/>
      <c r="E1604" s="204"/>
      <c r="F1604" s="204"/>
      <c r="G1604" s="204"/>
      <c r="H1604" s="204"/>
      <c r="I1604" s="204"/>
      <c r="J1604" s="204"/>
      <c r="K1604" s="204"/>
      <c r="L1604" s="204"/>
      <c r="M1604" s="204"/>
      <c r="N1604" s="204"/>
      <c r="O1604" s="204"/>
      <c r="P1604" s="204"/>
      <c r="T1604" s="217"/>
    </row>
    <row r="1605" spans="2:20">
      <c r="B1605" s="204"/>
      <c r="C1605" s="204"/>
      <c r="D1605" s="204"/>
      <c r="E1605" s="204"/>
      <c r="F1605" s="204"/>
      <c r="G1605" s="204"/>
      <c r="H1605" s="204"/>
      <c r="I1605" s="204"/>
      <c r="J1605" s="204"/>
      <c r="K1605" s="204"/>
      <c r="L1605" s="204"/>
      <c r="M1605" s="204"/>
      <c r="N1605" s="204"/>
      <c r="O1605" s="204"/>
      <c r="P1605" s="204"/>
      <c r="T1605" s="217"/>
    </row>
    <row r="1606" spans="2:20">
      <c r="B1606" s="204"/>
      <c r="C1606" s="204"/>
      <c r="D1606" s="204"/>
      <c r="E1606" s="204"/>
      <c r="F1606" s="204"/>
      <c r="G1606" s="204"/>
      <c r="H1606" s="204"/>
      <c r="I1606" s="204"/>
      <c r="J1606" s="204"/>
      <c r="K1606" s="204"/>
      <c r="L1606" s="204"/>
      <c r="M1606" s="204"/>
      <c r="N1606" s="204"/>
      <c r="O1606" s="204"/>
      <c r="P1606" s="204"/>
      <c r="T1606" s="217"/>
    </row>
    <row r="1607" spans="2:20">
      <c r="B1607" s="204"/>
      <c r="C1607" s="204"/>
      <c r="D1607" s="204"/>
      <c r="E1607" s="204"/>
      <c r="F1607" s="204"/>
      <c r="G1607" s="204"/>
      <c r="H1607" s="204"/>
      <c r="I1607" s="204"/>
      <c r="J1607" s="204"/>
      <c r="K1607" s="204"/>
      <c r="L1607" s="204"/>
      <c r="M1607" s="204"/>
      <c r="N1607" s="204"/>
      <c r="O1607" s="204"/>
      <c r="P1607" s="204"/>
      <c r="T1607" s="217"/>
    </row>
    <row r="1608" spans="2:20">
      <c r="B1608" s="204"/>
      <c r="C1608" s="204"/>
      <c r="D1608" s="204"/>
      <c r="E1608" s="204"/>
      <c r="F1608" s="204"/>
      <c r="G1608" s="204"/>
      <c r="H1608" s="204"/>
      <c r="I1608" s="204"/>
      <c r="J1608" s="204"/>
      <c r="K1608" s="204"/>
      <c r="L1608" s="204"/>
      <c r="M1608" s="204"/>
      <c r="N1608" s="204"/>
      <c r="O1608" s="204"/>
      <c r="P1608" s="204"/>
      <c r="T1608" s="217"/>
    </row>
    <row r="1609" spans="2:20">
      <c r="B1609" s="204"/>
      <c r="C1609" s="204"/>
      <c r="D1609" s="204"/>
      <c r="E1609" s="204"/>
      <c r="F1609" s="204"/>
      <c r="G1609" s="204"/>
      <c r="H1609" s="204"/>
      <c r="I1609" s="204"/>
      <c r="J1609" s="204"/>
      <c r="K1609" s="204"/>
      <c r="L1609" s="204"/>
      <c r="M1609" s="204"/>
      <c r="N1609" s="204"/>
      <c r="O1609" s="204"/>
      <c r="P1609" s="204"/>
      <c r="T1609" s="217"/>
    </row>
    <row r="1610" spans="2:20">
      <c r="B1610" s="204"/>
      <c r="C1610" s="204"/>
      <c r="D1610" s="204"/>
      <c r="E1610" s="204"/>
      <c r="F1610" s="204"/>
      <c r="G1610" s="204"/>
      <c r="H1610" s="204"/>
      <c r="I1610" s="204"/>
      <c r="J1610" s="204"/>
      <c r="K1610" s="204"/>
      <c r="L1610" s="204"/>
      <c r="M1610" s="204"/>
      <c r="N1610" s="204"/>
      <c r="O1610" s="204"/>
      <c r="P1610" s="204"/>
      <c r="T1610" s="217"/>
    </row>
    <row r="1611" spans="2:20">
      <c r="B1611" s="204"/>
      <c r="C1611" s="204"/>
      <c r="D1611" s="204"/>
      <c r="E1611" s="204"/>
      <c r="F1611" s="204"/>
      <c r="G1611" s="204"/>
      <c r="H1611" s="204"/>
      <c r="I1611" s="204"/>
      <c r="J1611" s="204"/>
      <c r="K1611" s="204"/>
      <c r="L1611" s="204"/>
      <c r="M1611" s="204"/>
      <c r="N1611" s="204"/>
      <c r="O1611" s="204"/>
      <c r="P1611" s="204"/>
      <c r="T1611" s="217"/>
    </row>
    <row r="1612" spans="2:20">
      <c r="B1612" s="204"/>
      <c r="C1612" s="204"/>
      <c r="D1612" s="204"/>
      <c r="E1612" s="204"/>
      <c r="F1612" s="204"/>
      <c r="G1612" s="204"/>
      <c r="H1612" s="204"/>
      <c r="I1612" s="204"/>
      <c r="J1612" s="204"/>
      <c r="K1612" s="204"/>
      <c r="L1612" s="204"/>
      <c r="M1612" s="204"/>
      <c r="N1612" s="204"/>
      <c r="O1612" s="204"/>
      <c r="P1612" s="204"/>
      <c r="T1612" s="217"/>
    </row>
    <row r="1613" spans="2:20">
      <c r="B1613" s="204"/>
      <c r="C1613" s="204"/>
      <c r="D1613" s="204"/>
      <c r="E1613" s="204"/>
      <c r="F1613" s="204"/>
      <c r="G1613" s="204"/>
      <c r="H1613" s="204"/>
      <c r="I1613" s="204"/>
      <c r="J1613" s="204"/>
      <c r="K1613" s="204"/>
      <c r="L1613" s="204"/>
      <c r="M1613" s="204"/>
      <c r="N1613" s="204"/>
      <c r="O1613" s="204"/>
      <c r="P1613" s="204"/>
      <c r="T1613" s="217"/>
    </row>
    <row r="1614" spans="2:20">
      <c r="B1614" s="204"/>
      <c r="C1614" s="204"/>
      <c r="D1614" s="204"/>
      <c r="E1614" s="204"/>
      <c r="F1614" s="204"/>
      <c r="G1614" s="204"/>
      <c r="H1614" s="204"/>
      <c r="I1614" s="204"/>
      <c r="J1614" s="204"/>
      <c r="K1614" s="204"/>
      <c r="L1614" s="204"/>
      <c r="M1614" s="204"/>
      <c r="N1614" s="204"/>
      <c r="O1614" s="204"/>
      <c r="P1614" s="204"/>
      <c r="T1614" s="217"/>
    </row>
    <row r="1615" spans="2:20">
      <c r="B1615" s="204"/>
      <c r="C1615" s="204"/>
      <c r="D1615" s="204"/>
      <c r="E1615" s="204"/>
      <c r="F1615" s="204"/>
      <c r="G1615" s="204"/>
      <c r="H1615" s="204"/>
      <c r="I1615" s="204"/>
      <c r="J1615" s="204"/>
      <c r="K1615" s="204"/>
      <c r="L1615" s="204"/>
      <c r="M1615" s="204"/>
      <c r="N1615" s="204"/>
      <c r="O1615" s="204"/>
      <c r="P1615" s="204"/>
      <c r="T1615" s="217"/>
    </row>
    <row r="1616" spans="2:20">
      <c r="B1616" s="204"/>
      <c r="C1616" s="204"/>
      <c r="D1616" s="204"/>
      <c r="E1616" s="204"/>
      <c r="F1616" s="204"/>
      <c r="G1616" s="204"/>
      <c r="H1616" s="204"/>
      <c r="I1616" s="204"/>
      <c r="J1616" s="204"/>
      <c r="K1616" s="204"/>
      <c r="L1616" s="204"/>
      <c r="M1616" s="204"/>
      <c r="N1616" s="204"/>
      <c r="O1616" s="204"/>
      <c r="P1616" s="204"/>
      <c r="T1616" s="217"/>
    </row>
    <row r="1617" spans="2:20">
      <c r="B1617" s="204"/>
      <c r="C1617" s="204"/>
      <c r="D1617" s="204"/>
      <c r="E1617" s="204"/>
      <c r="F1617" s="204"/>
      <c r="G1617" s="204"/>
      <c r="H1617" s="204"/>
      <c r="I1617" s="204"/>
      <c r="J1617" s="204"/>
      <c r="K1617" s="204"/>
      <c r="L1617" s="204"/>
      <c r="M1617" s="204"/>
      <c r="N1617" s="204"/>
      <c r="O1617" s="204"/>
      <c r="P1617" s="204"/>
      <c r="T1617" s="217"/>
    </row>
    <row r="1618" spans="2:20">
      <c r="B1618" s="204"/>
      <c r="C1618" s="204"/>
      <c r="D1618" s="204"/>
      <c r="E1618" s="204"/>
      <c r="F1618" s="204"/>
      <c r="G1618" s="204"/>
      <c r="H1618" s="204"/>
      <c r="I1618" s="204"/>
      <c r="J1618" s="204"/>
      <c r="K1618" s="204"/>
      <c r="L1618" s="204"/>
      <c r="M1618" s="204"/>
      <c r="N1618" s="204"/>
      <c r="O1618" s="204"/>
      <c r="P1618" s="204"/>
      <c r="T1618" s="217"/>
    </row>
    <row r="1619" spans="2:20">
      <c r="B1619" s="204"/>
      <c r="C1619" s="204"/>
      <c r="D1619" s="204"/>
      <c r="E1619" s="204"/>
      <c r="F1619" s="204"/>
      <c r="G1619" s="204"/>
      <c r="H1619" s="204"/>
      <c r="I1619" s="204"/>
      <c r="J1619" s="204"/>
      <c r="K1619" s="204"/>
      <c r="L1619" s="204"/>
      <c r="M1619" s="204"/>
      <c r="N1619" s="204"/>
      <c r="O1619" s="204"/>
      <c r="P1619" s="204"/>
      <c r="T1619" s="217"/>
    </row>
    <row r="1620" spans="2:20">
      <c r="B1620" s="204"/>
      <c r="C1620" s="204"/>
      <c r="D1620" s="204"/>
      <c r="E1620" s="204"/>
      <c r="F1620" s="204"/>
      <c r="G1620" s="204"/>
      <c r="H1620" s="204"/>
      <c r="I1620" s="204"/>
      <c r="J1620" s="204"/>
      <c r="K1620" s="204"/>
      <c r="L1620" s="204"/>
      <c r="M1620" s="204"/>
      <c r="N1620" s="204"/>
      <c r="O1620" s="204"/>
      <c r="P1620" s="204"/>
      <c r="T1620" s="217"/>
    </row>
    <row r="1621" spans="2:20">
      <c r="B1621" s="204"/>
      <c r="C1621" s="204"/>
      <c r="D1621" s="204"/>
      <c r="E1621" s="204"/>
      <c r="F1621" s="204"/>
      <c r="G1621" s="204"/>
      <c r="H1621" s="204"/>
      <c r="I1621" s="204"/>
      <c r="J1621" s="204"/>
      <c r="K1621" s="204"/>
      <c r="L1621" s="204"/>
      <c r="M1621" s="204"/>
      <c r="N1621" s="204"/>
      <c r="O1621" s="204"/>
      <c r="P1621" s="204"/>
      <c r="T1621" s="217"/>
    </row>
    <row r="1622" spans="2:20">
      <c r="B1622" s="204"/>
      <c r="C1622" s="204"/>
      <c r="D1622" s="204"/>
      <c r="E1622" s="204"/>
      <c r="F1622" s="204"/>
      <c r="G1622" s="204"/>
      <c r="H1622" s="204"/>
      <c r="I1622" s="204"/>
      <c r="J1622" s="204"/>
      <c r="K1622" s="204"/>
      <c r="L1622" s="204"/>
      <c r="M1622" s="204"/>
      <c r="N1622" s="204"/>
      <c r="O1622" s="204"/>
      <c r="P1622" s="204"/>
      <c r="T1622" s="217"/>
    </row>
    <row r="1623" spans="2:20">
      <c r="B1623" s="204"/>
      <c r="C1623" s="204"/>
      <c r="D1623" s="204"/>
      <c r="E1623" s="204"/>
      <c r="F1623" s="204"/>
      <c r="G1623" s="204"/>
      <c r="H1623" s="204"/>
      <c r="I1623" s="204"/>
      <c r="J1623" s="204"/>
      <c r="K1623" s="204"/>
      <c r="L1623" s="204"/>
      <c r="M1623" s="204"/>
      <c r="N1623" s="204"/>
      <c r="O1623" s="204"/>
      <c r="P1623" s="204"/>
      <c r="T1623" s="217"/>
    </row>
    <row r="1624" spans="2:20">
      <c r="B1624" s="204"/>
      <c r="C1624" s="204"/>
      <c r="D1624" s="204"/>
      <c r="E1624" s="204"/>
      <c r="F1624" s="204"/>
      <c r="G1624" s="204"/>
      <c r="H1624" s="204"/>
      <c r="I1624" s="204"/>
      <c r="J1624" s="204"/>
      <c r="K1624" s="204"/>
      <c r="L1624" s="204"/>
      <c r="M1624" s="204"/>
      <c r="N1624" s="204"/>
      <c r="O1624" s="204"/>
      <c r="P1624" s="204"/>
      <c r="T1624" s="217"/>
    </row>
    <row r="1625" spans="2:20">
      <c r="B1625" s="204"/>
      <c r="C1625" s="204"/>
      <c r="D1625" s="204"/>
      <c r="E1625" s="204"/>
      <c r="F1625" s="204"/>
      <c r="G1625" s="204"/>
      <c r="H1625" s="204"/>
      <c r="I1625" s="204"/>
      <c r="J1625" s="204"/>
      <c r="K1625" s="204"/>
      <c r="L1625" s="204"/>
      <c r="M1625" s="204"/>
      <c r="N1625" s="204"/>
      <c r="O1625" s="204"/>
      <c r="P1625" s="204"/>
      <c r="T1625" s="217"/>
    </row>
    <row r="1626" spans="2:20">
      <c r="B1626" s="204"/>
      <c r="C1626" s="204"/>
      <c r="D1626" s="204"/>
      <c r="E1626" s="204"/>
      <c r="F1626" s="204"/>
      <c r="G1626" s="204"/>
      <c r="H1626" s="204"/>
      <c r="I1626" s="204"/>
      <c r="J1626" s="204"/>
      <c r="K1626" s="204"/>
      <c r="L1626" s="204"/>
      <c r="M1626" s="204"/>
      <c r="N1626" s="204"/>
      <c r="O1626" s="204"/>
      <c r="P1626" s="204"/>
      <c r="T1626" s="217"/>
    </row>
    <row r="1627" spans="2:20">
      <c r="B1627" s="204"/>
      <c r="C1627" s="204"/>
      <c r="D1627" s="204"/>
      <c r="E1627" s="204"/>
      <c r="F1627" s="204"/>
      <c r="G1627" s="204"/>
      <c r="H1627" s="204"/>
      <c r="I1627" s="204"/>
      <c r="J1627" s="204"/>
      <c r="K1627" s="204"/>
      <c r="L1627" s="204"/>
      <c r="M1627" s="204"/>
      <c r="N1627" s="204"/>
      <c r="O1627" s="204"/>
      <c r="P1627" s="204"/>
      <c r="T1627" s="217"/>
    </row>
    <row r="1628" spans="2:20">
      <c r="B1628" s="204"/>
      <c r="C1628" s="204"/>
      <c r="D1628" s="204"/>
      <c r="E1628" s="204"/>
      <c r="F1628" s="204"/>
      <c r="G1628" s="204"/>
      <c r="H1628" s="204"/>
      <c r="I1628" s="204"/>
      <c r="J1628" s="204"/>
      <c r="K1628" s="204"/>
      <c r="L1628" s="204"/>
      <c r="M1628" s="204"/>
      <c r="N1628" s="204"/>
      <c r="O1628" s="204"/>
      <c r="P1628" s="204"/>
      <c r="T1628" s="217"/>
    </row>
    <row r="1629" spans="2:20">
      <c r="B1629" s="204"/>
      <c r="C1629" s="204"/>
      <c r="D1629" s="204"/>
      <c r="E1629" s="204"/>
      <c r="F1629" s="204"/>
      <c r="G1629" s="204"/>
      <c r="H1629" s="204"/>
      <c r="I1629" s="204"/>
      <c r="J1629" s="204"/>
      <c r="K1629" s="204"/>
      <c r="L1629" s="204"/>
      <c r="M1629" s="204"/>
      <c r="N1629" s="204"/>
      <c r="O1629" s="204"/>
      <c r="P1629" s="204"/>
      <c r="T1629" s="217"/>
    </row>
    <row r="1630" spans="2:20">
      <c r="B1630" s="204"/>
      <c r="C1630" s="204"/>
      <c r="D1630" s="204"/>
      <c r="E1630" s="204"/>
      <c r="F1630" s="204"/>
      <c r="G1630" s="204"/>
      <c r="H1630" s="204"/>
      <c r="I1630" s="204"/>
      <c r="J1630" s="204"/>
      <c r="K1630" s="204"/>
      <c r="L1630" s="204"/>
      <c r="M1630" s="204"/>
      <c r="N1630" s="204"/>
      <c r="O1630" s="204"/>
      <c r="P1630" s="204"/>
      <c r="T1630" s="217"/>
    </row>
    <row r="1631" spans="2:20">
      <c r="B1631" s="204"/>
      <c r="C1631" s="204"/>
      <c r="D1631" s="204"/>
      <c r="E1631" s="204"/>
      <c r="F1631" s="204"/>
      <c r="G1631" s="204"/>
      <c r="H1631" s="204"/>
      <c r="I1631" s="204"/>
      <c r="J1631" s="204"/>
      <c r="K1631" s="204"/>
      <c r="L1631" s="204"/>
      <c r="M1631" s="204"/>
      <c r="N1631" s="204"/>
      <c r="O1631" s="204"/>
      <c r="P1631" s="204"/>
      <c r="T1631" s="217"/>
    </row>
    <row r="1632" spans="2:20">
      <c r="B1632" s="204"/>
      <c r="C1632" s="204"/>
      <c r="D1632" s="204"/>
      <c r="E1632" s="204"/>
      <c r="F1632" s="204"/>
      <c r="G1632" s="204"/>
      <c r="H1632" s="204"/>
      <c r="I1632" s="204"/>
      <c r="J1632" s="204"/>
      <c r="K1632" s="204"/>
      <c r="L1632" s="204"/>
      <c r="M1632" s="204"/>
      <c r="N1632" s="204"/>
      <c r="O1632" s="204"/>
      <c r="P1632" s="204"/>
      <c r="T1632" s="217"/>
    </row>
    <row r="1633" spans="2:20">
      <c r="B1633" s="204"/>
      <c r="C1633" s="204"/>
      <c r="D1633" s="204"/>
      <c r="E1633" s="204"/>
      <c r="F1633" s="204"/>
      <c r="G1633" s="204"/>
      <c r="H1633" s="204"/>
      <c r="I1633" s="204"/>
      <c r="J1633" s="204"/>
      <c r="K1633" s="204"/>
      <c r="L1633" s="204"/>
      <c r="M1633" s="204"/>
      <c r="N1633" s="204"/>
      <c r="O1633" s="204"/>
      <c r="P1633" s="204"/>
      <c r="T1633" s="217"/>
    </row>
    <row r="1634" spans="2:20">
      <c r="B1634" s="204"/>
      <c r="C1634" s="204"/>
      <c r="D1634" s="204"/>
      <c r="E1634" s="204"/>
      <c r="F1634" s="204"/>
      <c r="G1634" s="204"/>
      <c r="H1634" s="204"/>
      <c r="I1634" s="204"/>
      <c r="J1634" s="204"/>
      <c r="K1634" s="204"/>
      <c r="L1634" s="204"/>
      <c r="M1634" s="204"/>
      <c r="N1634" s="204"/>
      <c r="O1634" s="204"/>
      <c r="P1634" s="204"/>
      <c r="T1634" s="217"/>
    </row>
    <row r="1635" spans="2:20">
      <c r="B1635" s="204"/>
      <c r="C1635" s="204"/>
      <c r="D1635" s="204"/>
      <c r="E1635" s="204"/>
      <c r="F1635" s="204"/>
      <c r="G1635" s="204"/>
      <c r="H1635" s="204"/>
      <c r="I1635" s="204"/>
      <c r="J1635" s="204"/>
      <c r="K1635" s="204"/>
      <c r="L1635" s="204"/>
      <c r="M1635" s="204"/>
      <c r="N1635" s="204"/>
      <c r="O1635" s="204"/>
      <c r="P1635" s="204"/>
      <c r="T1635" s="217"/>
    </row>
    <row r="1636" spans="2:20">
      <c r="B1636" s="204"/>
      <c r="C1636" s="204"/>
      <c r="D1636" s="204"/>
      <c r="E1636" s="204"/>
      <c r="F1636" s="204"/>
      <c r="G1636" s="204"/>
      <c r="H1636" s="204"/>
      <c r="I1636" s="204"/>
      <c r="J1636" s="204"/>
      <c r="K1636" s="204"/>
      <c r="L1636" s="204"/>
      <c r="M1636" s="204"/>
      <c r="N1636" s="204"/>
      <c r="O1636" s="204"/>
      <c r="P1636" s="204"/>
      <c r="T1636" s="217"/>
    </row>
    <row r="1637" spans="2:20">
      <c r="B1637" s="204"/>
      <c r="C1637" s="204"/>
      <c r="D1637" s="204"/>
      <c r="E1637" s="204"/>
      <c r="F1637" s="204"/>
      <c r="G1637" s="204"/>
      <c r="H1637" s="204"/>
      <c r="I1637" s="204"/>
      <c r="J1637" s="204"/>
      <c r="K1637" s="204"/>
      <c r="L1637" s="204"/>
      <c r="M1637" s="204"/>
      <c r="N1637" s="204"/>
      <c r="O1637" s="204"/>
      <c r="P1637" s="204"/>
      <c r="T1637" s="217"/>
    </row>
    <row r="1638" spans="2:20">
      <c r="B1638" s="204"/>
      <c r="C1638" s="204"/>
      <c r="D1638" s="204"/>
      <c r="E1638" s="204"/>
      <c r="F1638" s="204"/>
      <c r="G1638" s="204"/>
      <c r="H1638" s="204"/>
      <c r="I1638" s="204"/>
      <c r="J1638" s="204"/>
      <c r="K1638" s="204"/>
      <c r="L1638" s="204"/>
      <c r="M1638" s="204"/>
      <c r="N1638" s="204"/>
      <c r="O1638" s="204"/>
      <c r="P1638" s="204"/>
      <c r="T1638" s="217"/>
    </row>
    <row r="1639" spans="2:20">
      <c r="B1639" s="204"/>
      <c r="C1639" s="204"/>
      <c r="D1639" s="204"/>
      <c r="E1639" s="204"/>
      <c r="F1639" s="204"/>
      <c r="G1639" s="204"/>
      <c r="H1639" s="204"/>
      <c r="I1639" s="204"/>
      <c r="J1639" s="204"/>
      <c r="K1639" s="204"/>
      <c r="L1639" s="204"/>
      <c r="M1639" s="204"/>
      <c r="N1639" s="204"/>
      <c r="O1639" s="204"/>
      <c r="P1639" s="204"/>
      <c r="T1639" s="217"/>
    </row>
    <row r="1640" spans="2:20">
      <c r="B1640" s="204"/>
      <c r="C1640" s="204"/>
      <c r="D1640" s="204"/>
      <c r="E1640" s="204"/>
      <c r="F1640" s="204"/>
      <c r="G1640" s="204"/>
      <c r="H1640" s="204"/>
      <c r="I1640" s="204"/>
      <c r="J1640" s="204"/>
      <c r="K1640" s="204"/>
      <c r="L1640" s="204"/>
      <c r="M1640" s="204"/>
      <c r="N1640" s="204"/>
      <c r="O1640" s="204"/>
      <c r="P1640" s="204"/>
      <c r="T1640" s="217"/>
    </row>
    <row r="1641" spans="2:20">
      <c r="B1641" s="204"/>
      <c r="C1641" s="204"/>
      <c r="D1641" s="204"/>
      <c r="E1641" s="204"/>
      <c r="F1641" s="204"/>
      <c r="G1641" s="204"/>
      <c r="H1641" s="204"/>
      <c r="I1641" s="204"/>
      <c r="J1641" s="204"/>
      <c r="K1641" s="204"/>
      <c r="L1641" s="204"/>
      <c r="M1641" s="204"/>
      <c r="N1641" s="204"/>
      <c r="O1641" s="204"/>
      <c r="P1641" s="204"/>
      <c r="T1641" s="217"/>
    </row>
    <row r="1642" spans="2:20">
      <c r="B1642" s="204"/>
      <c r="C1642" s="204"/>
      <c r="D1642" s="204"/>
      <c r="E1642" s="204"/>
      <c r="F1642" s="204"/>
      <c r="G1642" s="204"/>
      <c r="H1642" s="204"/>
      <c r="I1642" s="204"/>
      <c r="J1642" s="204"/>
      <c r="K1642" s="204"/>
      <c r="L1642" s="204"/>
      <c r="M1642" s="204"/>
      <c r="N1642" s="204"/>
      <c r="O1642" s="204"/>
      <c r="P1642" s="204"/>
      <c r="T1642" s="217"/>
    </row>
    <row r="1643" spans="2:20">
      <c r="B1643" s="204"/>
      <c r="C1643" s="204"/>
      <c r="D1643" s="204"/>
      <c r="E1643" s="204"/>
      <c r="F1643" s="204"/>
      <c r="G1643" s="204"/>
      <c r="H1643" s="204"/>
      <c r="I1643" s="204"/>
      <c r="J1643" s="204"/>
      <c r="K1643" s="204"/>
      <c r="L1643" s="204"/>
      <c r="M1643" s="204"/>
      <c r="N1643" s="204"/>
      <c r="O1643" s="204"/>
      <c r="P1643" s="204"/>
      <c r="T1643" s="217"/>
    </row>
    <row r="1644" spans="2:20">
      <c r="B1644" s="204"/>
      <c r="C1644" s="204"/>
      <c r="D1644" s="204"/>
      <c r="E1644" s="204"/>
      <c r="F1644" s="204"/>
      <c r="G1644" s="204"/>
      <c r="H1644" s="204"/>
      <c r="I1644" s="204"/>
      <c r="J1644" s="204"/>
      <c r="K1644" s="204"/>
      <c r="L1644" s="204"/>
      <c r="M1644" s="204"/>
      <c r="N1644" s="204"/>
      <c r="O1644" s="204"/>
      <c r="P1644" s="204"/>
      <c r="T1644" s="217"/>
    </row>
    <row r="1645" spans="2:20">
      <c r="B1645" s="204"/>
      <c r="C1645" s="204"/>
      <c r="D1645" s="204"/>
      <c r="E1645" s="204"/>
      <c r="F1645" s="204"/>
      <c r="G1645" s="204"/>
      <c r="H1645" s="204"/>
      <c r="I1645" s="204"/>
      <c r="J1645" s="204"/>
      <c r="K1645" s="204"/>
      <c r="L1645" s="204"/>
      <c r="M1645" s="204"/>
      <c r="N1645" s="204"/>
      <c r="O1645" s="204"/>
      <c r="P1645" s="204"/>
      <c r="T1645" s="217"/>
    </row>
    <row r="1646" spans="2:20">
      <c r="B1646" s="204"/>
      <c r="C1646" s="204"/>
      <c r="D1646" s="204"/>
      <c r="E1646" s="204"/>
      <c r="F1646" s="204"/>
      <c r="G1646" s="204"/>
      <c r="H1646" s="204"/>
      <c r="I1646" s="204"/>
      <c r="J1646" s="204"/>
      <c r="K1646" s="204"/>
      <c r="L1646" s="204"/>
      <c r="M1646" s="204"/>
      <c r="N1646" s="204"/>
      <c r="O1646" s="204"/>
      <c r="P1646" s="204"/>
      <c r="T1646" s="217"/>
    </row>
    <row r="1647" spans="2:20">
      <c r="B1647" s="204"/>
      <c r="C1647" s="204"/>
      <c r="D1647" s="204"/>
      <c r="E1647" s="204"/>
      <c r="F1647" s="204"/>
      <c r="G1647" s="204"/>
      <c r="H1647" s="204"/>
      <c r="I1647" s="204"/>
      <c r="J1647" s="204"/>
      <c r="K1647" s="204"/>
      <c r="L1647" s="204"/>
      <c r="M1647" s="204"/>
      <c r="N1647" s="204"/>
      <c r="O1647" s="204"/>
      <c r="P1647" s="204"/>
      <c r="T1647" s="217"/>
    </row>
    <row r="1648" spans="2:20">
      <c r="B1648" s="204"/>
      <c r="C1648" s="204"/>
      <c r="D1648" s="204"/>
      <c r="E1648" s="204"/>
      <c r="F1648" s="204"/>
      <c r="G1648" s="204"/>
      <c r="H1648" s="204"/>
      <c r="I1648" s="204"/>
      <c r="J1648" s="204"/>
      <c r="K1648" s="204"/>
      <c r="L1648" s="204"/>
      <c r="M1648" s="204"/>
      <c r="N1648" s="204"/>
      <c r="O1648" s="204"/>
      <c r="P1648" s="204"/>
      <c r="T1648" s="217"/>
    </row>
    <row r="1649" spans="2:20">
      <c r="B1649" s="204"/>
      <c r="C1649" s="204"/>
      <c r="D1649" s="204"/>
      <c r="E1649" s="204"/>
      <c r="F1649" s="204"/>
      <c r="G1649" s="204"/>
      <c r="H1649" s="204"/>
      <c r="I1649" s="204"/>
      <c r="J1649" s="204"/>
      <c r="K1649" s="204"/>
      <c r="L1649" s="204"/>
      <c r="M1649" s="204"/>
      <c r="N1649" s="204"/>
      <c r="O1649" s="204"/>
      <c r="P1649" s="204"/>
      <c r="T1649" s="217"/>
    </row>
    <row r="1650" spans="2:20">
      <c r="B1650" s="204"/>
      <c r="C1650" s="204"/>
      <c r="D1650" s="204"/>
      <c r="E1650" s="204"/>
      <c r="F1650" s="204"/>
      <c r="G1650" s="204"/>
      <c r="H1650" s="204"/>
      <c r="I1650" s="204"/>
      <c r="J1650" s="204"/>
      <c r="K1650" s="204"/>
      <c r="L1650" s="204"/>
      <c r="M1650" s="204"/>
      <c r="N1650" s="204"/>
      <c r="O1650" s="204"/>
      <c r="P1650" s="204"/>
      <c r="T1650" s="217"/>
    </row>
    <row r="1651" spans="2:20">
      <c r="B1651" s="204"/>
      <c r="C1651" s="204"/>
      <c r="D1651" s="204"/>
      <c r="E1651" s="204"/>
      <c r="F1651" s="204"/>
      <c r="G1651" s="204"/>
      <c r="H1651" s="204"/>
      <c r="I1651" s="204"/>
      <c r="J1651" s="204"/>
      <c r="K1651" s="204"/>
      <c r="L1651" s="204"/>
      <c r="M1651" s="204"/>
      <c r="N1651" s="204"/>
      <c r="O1651" s="204"/>
      <c r="P1651" s="204"/>
      <c r="T1651" s="217"/>
    </row>
    <row r="1652" spans="2:20">
      <c r="B1652" s="204"/>
      <c r="C1652" s="204"/>
      <c r="D1652" s="204"/>
      <c r="E1652" s="204"/>
      <c r="F1652" s="204"/>
      <c r="G1652" s="204"/>
      <c r="H1652" s="204"/>
      <c r="I1652" s="204"/>
      <c r="J1652" s="204"/>
      <c r="K1652" s="204"/>
      <c r="L1652" s="204"/>
      <c r="M1652" s="204"/>
      <c r="N1652" s="204"/>
      <c r="O1652" s="204"/>
      <c r="P1652" s="204"/>
      <c r="T1652" s="217"/>
    </row>
    <row r="1653" spans="2:20">
      <c r="B1653" s="204"/>
      <c r="C1653" s="204"/>
      <c r="D1653" s="204"/>
      <c r="E1653" s="204"/>
      <c r="F1653" s="204"/>
      <c r="G1653" s="204"/>
      <c r="H1653" s="204"/>
      <c r="I1653" s="204"/>
      <c r="J1653" s="204"/>
      <c r="K1653" s="204"/>
      <c r="L1653" s="204"/>
      <c r="M1653" s="204"/>
      <c r="N1653" s="204"/>
      <c r="O1653" s="204"/>
      <c r="P1653" s="204"/>
      <c r="T1653" s="217"/>
    </row>
    <row r="1654" spans="2:20">
      <c r="B1654" s="204"/>
      <c r="C1654" s="204"/>
      <c r="D1654" s="204"/>
      <c r="E1654" s="204"/>
      <c r="F1654" s="204"/>
      <c r="G1654" s="204"/>
      <c r="H1654" s="204"/>
      <c r="I1654" s="204"/>
      <c r="J1654" s="204"/>
      <c r="K1654" s="204"/>
      <c r="L1654" s="204"/>
      <c r="M1654" s="204"/>
      <c r="N1654" s="204"/>
      <c r="O1654" s="204"/>
      <c r="P1654" s="204"/>
      <c r="T1654" s="217"/>
    </row>
    <row r="1655" spans="2:20">
      <c r="B1655" s="204"/>
      <c r="C1655" s="204"/>
      <c r="D1655" s="204"/>
      <c r="E1655" s="204"/>
      <c r="F1655" s="204"/>
      <c r="G1655" s="204"/>
      <c r="H1655" s="204"/>
      <c r="I1655" s="204"/>
      <c r="J1655" s="204"/>
      <c r="K1655" s="204"/>
      <c r="L1655" s="204"/>
      <c r="M1655" s="204"/>
      <c r="N1655" s="204"/>
      <c r="O1655" s="204"/>
      <c r="P1655" s="204"/>
      <c r="T1655" s="217"/>
    </row>
    <row r="1656" spans="2:20">
      <c r="B1656" s="204"/>
      <c r="C1656" s="204"/>
      <c r="D1656" s="204"/>
      <c r="E1656" s="204"/>
      <c r="F1656" s="204"/>
      <c r="G1656" s="204"/>
      <c r="H1656" s="204"/>
      <c r="I1656" s="204"/>
      <c r="J1656" s="204"/>
      <c r="K1656" s="204"/>
      <c r="L1656" s="204"/>
      <c r="M1656" s="204"/>
      <c r="N1656" s="204"/>
      <c r="O1656" s="204"/>
      <c r="P1656" s="204"/>
      <c r="T1656" s="217"/>
    </row>
    <row r="1657" spans="2:20">
      <c r="B1657" s="204"/>
      <c r="C1657" s="204"/>
      <c r="D1657" s="204"/>
      <c r="E1657" s="204"/>
      <c r="F1657" s="204"/>
      <c r="G1657" s="204"/>
      <c r="H1657" s="204"/>
      <c r="I1657" s="204"/>
      <c r="J1657" s="204"/>
      <c r="K1657" s="204"/>
      <c r="L1657" s="204"/>
      <c r="M1657" s="204"/>
      <c r="N1657" s="204"/>
      <c r="O1657" s="204"/>
      <c r="P1657" s="204"/>
      <c r="T1657" s="217"/>
    </row>
    <row r="1658" spans="2:20">
      <c r="B1658" s="204"/>
      <c r="C1658" s="204"/>
      <c r="D1658" s="204"/>
      <c r="E1658" s="204"/>
      <c r="F1658" s="204"/>
      <c r="G1658" s="204"/>
      <c r="H1658" s="204"/>
      <c r="I1658" s="204"/>
      <c r="J1658" s="204"/>
      <c r="K1658" s="204"/>
      <c r="L1658" s="204"/>
      <c r="M1658" s="204"/>
      <c r="N1658" s="204"/>
      <c r="O1658" s="204"/>
      <c r="P1658" s="204"/>
      <c r="T1658" s="217"/>
    </row>
    <row r="1659" spans="2:20">
      <c r="B1659" s="204"/>
      <c r="C1659" s="204"/>
      <c r="D1659" s="204"/>
      <c r="E1659" s="204"/>
      <c r="F1659" s="204"/>
      <c r="G1659" s="204"/>
      <c r="H1659" s="204"/>
      <c r="I1659" s="204"/>
      <c r="J1659" s="204"/>
      <c r="K1659" s="204"/>
      <c r="L1659" s="204"/>
      <c r="M1659" s="204"/>
      <c r="N1659" s="204"/>
      <c r="O1659" s="204"/>
      <c r="P1659" s="204"/>
      <c r="T1659" s="217"/>
    </row>
    <row r="1660" spans="2:20">
      <c r="B1660" s="204"/>
      <c r="C1660" s="204"/>
      <c r="D1660" s="204"/>
      <c r="E1660" s="204"/>
      <c r="F1660" s="204"/>
      <c r="G1660" s="204"/>
      <c r="H1660" s="204"/>
      <c r="I1660" s="204"/>
      <c r="J1660" s="204"/>
      <c r="K1660" s="204"/>
      <c r="L1660" s="204"/>
      <c r="M1660" s="204"/>
      <c r="N1660" s="204"/>
      <c r="O1660" s="204"/>
      <c r="P1660" s="204"/>
      <c r="T1660" s="217"/>
    </row>
    <row r="1661" spans="2:20">
      <c r="B1661" s="204"/>
      <c r="C1661" s="204"/>
      <c r="D1661" s="204"/>
      <c r="E1661" s="204"/>
      <c r="F1661" s="204"/>
      <c r="G1661" s="204"/>
      <c r="H1661" s="204"/>
      <c r="I1661" s="204"/>
      <c r="J1661" s="204"/>
      <c r="K1661" s="204"/>
      <c r="L1661" s="204"/>
      <c r="M1661" s="204"/>
      <c r="N1661" s="204"/>
      <c r="O1661" s="204"/>
      <c r="P1661" s="204"/>
      <c r="T1661" s="217"/>
    </row>
    <row r="1662" spans="2:20">
      <c r="B1662" s="204"/>
      <c r="C1662" s="204"/>
      <c r="D1662" s="204"/>
      <c r="E1662" s="204"/>
      <c r="F1662" s="204"/>
      <c r="G1662" s="204"/>
      <c r="H1662" s="204"/>
      <c r="I1662" s="204"/>
      <c r="J1662" s="204"/>
      <c r="K1662" s="204"/>
      <c r="L1662" s="204"/>
      <c r="M1662" s="204"/>
      <c r="N1662" s="204"/>
      <c r="O1662" s="204"/>
      <c r="P1662" s="204"/>
      <c r="T1662" s="217"/>
    </row>
    <row r="1663" spans="2:20">
      <c r="B1663" s="204"/>
      <c r="C1663" s="204"/>
      <c r="D1663" s="204"/>
      <c r="E1663" s="204"/>
      <c r="F1663" s="204"/>
      <c r="G1663" s="204"/>
      <c r="H1663" s="204"/>
      <c r="I1663" s="204"/>
      <c r="J1663" s="204"/>
      <c r="K1663" s="204"/>
      <c r="L1663" s="204"/>
      <c r="M1663" s="204"/>
      <c r="N1663" s="204"/>
      <c r="O1663" s="204"/>
      <c r="P1663" s="204"/>
      <c r="T1663" s="217"/>
    </row>
    <row r="1664" spans="2:20">
      <c r="B1664" s="204"/>
      <c r="C1664" s="204"/>
      <c r="D1664" s="204"/>
      <c r="E1664" s="204"/>
      <c r="F1664" s="204"/>
      <c r="G1664" s="204"/>
      <c r="H1664" s="204"/>
      <c r="I1664" s="204"/>
      <c r="J1664" s="204"/>
      <c r="K1664" s="204"/>
      <c r="L1664" s="204"/>
      <c r="M1664" s="204"/>
      <c r="N1664" s="204"/>
      <c r="O1664" s="204"/>
      <c r="P1664" s="204"/>
      <c r="T1664" s="217"/>
    </row>
    <row r="1665" spans="2:20">
      <c r="B1665" s="204"/>
      <c r="C1665" s="204"/>
      <c r="D1665" s="204"/>
      <c r="E1665" s="204"/>
      <c r="F1665" s="204"/>
      <c r="G1665" s="204"/>
      <c r="H1665" s="204"/>
      <c r="I1665" s="204"/>
      <c r="J1665" s="204"/>
      <c r="K1665" s="204"/>
      <c r="L1665" s="204"/>
      <c r="M1665" s="204"/>
      <c r="N1665" s="204"/>
      <c r="O1665" s="204"/>
      <c r="P1665" s="204"/>
      <c r="T1665" s="217"/>
    </row>
    <row r="1666" spans="2:20">
      <c r="B1666" s="204"/>
      <c r="C1666" s="204"/>
      <c r="D1666" s="204"/>
      <c r="E1666" s="204"/>
      <c r="F1666" s="204"/>
      <c r="G1666" s="204"/>
      <c r="H1666" s="204"/>
      <c r="I1666" s="204"/>
      <c r="J1666" s="204"/>
      <c r="K1666" s="204"/>
      <c r="L1666" s="204"/>
      <c r="M1666" s="204"/>
      <c r="N1666" s="204"/>
      <c r="O1666" s="204"/>
      <c r="P1666" s="204"/>
      <c r="T1666" s="217"/>
    </row>
    <row r="1667" spans="2:20">
      <c r="B1667" s="204"/>
      <c r="C1667" s="204"/>
      <c r="D1667" s="204"/>
      <c r="E1667" s="204"/>
      <c r="F1667" s="204"/>
      <c r="G1667" s="204"/>
      <c r="H1667" s="204"/>
      <c r="I1667" s="204"/>
      <c r="J1667" s="204"/>
      <c r="K1667" s="204"/>
      <c r="L1667" s="204"/>
      <c r="M1667" s="204"/>
      <c r="N1667" s="204"/>
      <c r="O1667" s="204"/>
      <c r="P1667" s="204"/>
      <c r="T1667" s="217"/>
    </row>
    <row r="1668" spans="2:20">
      <c r="B1668" s="204"/>
      <c r="C1668" s="204"/>
      <c r="D1668" s="204"/>
      <c r="E1668" s="204"/>
      <c r="F1668" s="204"/>
      <c r="G1668" s="204"/>
      <c r="H1668" s="204"/>
      <c r="I1668" s="204"/>
      <c r="J1668" s="204"/>
      <c r="K1668" s="204"/>
      <c r="L1668" s="204"/>
      <c r="M1668" s="204"/>
      <c r="N1668" s="204"/>
      <c r="O1668" s="204"/>
      <c r="P1668" s="204"/>
      <c r="T1668" s="217"/>
    </row>
    <row r="1669" spans="2:20">
      <c r="B1669" s="204"/>
      <c r="C1669" s="204"/>
      <c r="D1669" s="204"/>
      <c r="E1669" s="204"/>
      <c r="F1669" s="204"/>
      <c r="G1669" s="204"/>
      <c r="H1669" s="204"/>
      <c r="I1669" s="204"/>
      <c r="J1669" s="204"/>
      <c r="K1669" s="204"/>
      <c r="L1669" s="204"/>
      <c r="M1669" s="204"/>
      <c r="N1669" s="204"/>
      <c r="O1669" s="204"/>
      <c r="P1669" s="204"/>
      <c r="T1669" s="217"/>
    </row>
    <row r="1670" spans="2:20">
      <c r="B1670" s="204"/>
      <c r="C1670" s="204"/>
      <c r="D1670" s="204"/>
      <c r="E1670" s="204"/>
      <c r="F1670" s="204"/>
      <c r="G1670" s="204"/>
      <c r="H1670" s="204"/>
      <c r="I1670" s="204"/>
      <c r="J1670" s="204"/>
      <c r="K1670" s="204"/>
      <c r="L1670" s="204"/>
      <c r="M1670" s="204"/>
      <c r="N1670" s="204"/>
      <c r="O1670" s="204"/>
      <c r="P1670" s="204"/>
      <c r="T1670" s="217"/>
    </row>
    <row r="1671" spans="2:20">
      <c r="B1671" s="204"/>
      <c r="C1671" s="204"/>
      <c r="D1671" s="204"/>
      <c r="E1671" s="204"/>
      <c r="F1671" s="204"/>
      <c r="G1671" s="204"/>
      <c r="H1671" s="204"/>
      <c r="I1671" s="204"/>
      <c r="J1671" s="204"/>
      <c r="K1671" s="204"/>
      <c r="L1671" s="204"/>
      <c r="M1671" s="204"/>
      <c r="N1671" s="204"/>
      <c r="O1671" s="204"/>
      <c r="P1671" s="204"/>
      <c r="T1671" s="217"/>
    </row>
    <row r="1672" spans="2:20">
      <c r="B1672" s="204"/>
      <c r="C1672" s="204"/>
      <c r="D1672" s="204"/>
      <c r="E1672" s="204"/>
      <c r="F1672" s="204"/>
      <c r="G1672" s="204"/>
      <c r="H1672" s="204"/>
      <c r="I1672" s="204"/>
      <c r="J1672" s="204"/>
      <c r="K1672" s="204"/>
      <c r="L1672" s="204"/>
      <c r="M1672" s="204"/>
      <c r="N1672" s="204"/>
      <c r="O1672" s="204"/>
      <c r="P1672" s="204"/>
      <c r="T1672" s="217"/>
    </row>
    <row r="1673" spans="2:20">
      <c r="B1673" s="204"/>
      <c r="C1673" s="204"/>
      <c r="D1673" s="204"/>
      <c r="E1673" s="204"/>
      <c r="F1673" s="204"/>
      <c r="G1673" s="204"/>
      <c r="H1673" s="204"/>
      <c r="I1673" s="204"/>
      <c r="J1673" s="204"/>
      <c r="K1673" s="204"/>
      <c r="L1673" s="204"/>
      <c r="M1673" s="204"/>
      <c r="N1673" s="204"/>
      <c r="O1673" s="204"/>
      <c r="P1673" s="204"/>
      <c r="T1673" s="217"/>
    </row>
    <row r="1674" spans="2:20">
      <c r="B1674" s="204"/>
      <c r="C1674" s="204"/>
      <c r="D1674" s="204"/>
      <c r="E1674" s="204"/>
      <c r="F1674" s="204"/>
      <c r="G1674" s="204"/>
      <c r="H1674" s="204"/>
      <c r="I1674" s="204"/>
      <c r="J1674" s="204"/>
      <c r="K1674" s="204"/>
      <c r="L1674" s="204"/>
      <c r="M1674" s="204"/>
      <c r="N1674" s="204"/>
      <c r="O1674" s="204"/>
      <c r="P1674" s="204"/>
      <c r="T1674" s="217"/>
    </row>
    <row r="1675" spans="2:20">
      <c r="B1675" s="204"/>
      <c r="C1675" s="204"/>
      <c r="D1675" s="204"/>
      <c r="E1675" s="204"/>
      <c r="F1675" s="204"/>
      <c r="G1675" s="204"/>
      <c r="H1675" s="204"/>
      <c r="I1675" s="204"/>
      <c r="J1675" s="204"/>
      <c r="K1675" s="204"/>
      <c r="L1675" s="204"/>
      <c r="M1675" s="204"/>
      <c r="N1675" s="204"/>
      <c r="O1675" s="204"/>
      <c r="P1675" s="204"/>
      <c r="T1675" s="217"/>
    </row>
    <row r="1676" spans="2:20">
      <c r="B1676" s="204"/>
      <c r="C1676" s="204"/>
      <c r="D1676" s="204"/>
      <c r="E1676" s="204"/>
      <c r="F1676" s="204"/>
      <c r="G1676" s="204"/>
      <c r="H1676" s="204"/>
      <c r="I1676" s="204"/>
      <c r="J1676" s="204"/>
      <c r="K1676" s="204"/>
      <c r="L1676" s="204"/>
      <c r="M1676" s="204"/>
      <c r="N1676" s="204"/>
      <c r="O1676" s="204"/>
      <c r="P1676" s="204"/>
      <c r="T1676" s="217"/>
    </row>
    <row r="1677" spans="2:20">
      <c r="B1677" s="204"/>
      <c r="C1677" s="204"/>
      <c r="D1677" s="204"/>
      <c r="E1677" s="204"/>
      <c r="F1677" s="204"/>
      <c r="G1677" s="204"/>
      <c r="H1677" s="204"/>
      <c r="I1677" s="204"/>
      <c r="J1677" s="204"/>
      <c r="K1677" s="204"/>
      <c r="L1677" s="204"/>
      <c r="M1677" s="204"/>
      <c r="N1677" s="204"/>
      <c r="O1677" s="204"/>
      <c r="P1677" s="204"/>
      <c r="T1677" s="217"/>
    </row>
    <row r="1678" spans="2:20">
      <c r="B1678" s="204"/>
      <c r="C1678" s="204"/>
      <c r="D1678" s="204"/>
      <c r="E1678" s="204"/>
      <c r="F1678" s="204"/>
      <c r="G1678" s="204"/>
      <c r="H1678" s="204"/>
      <c r="I1678" s="204"/>
      <c r="J1678" s="204"/>
      <c r="K1678" s="204"/>
      <c r="L1678" s="204"/>
      <c r="M1678" s="204"/>
      <c r="N1678" s="204"/>
      <c r="O1678" s="204"/>
      <c r="P1678" s="204"/>
      <c r="T1678" s="217"/>
    </row>
    <row r="1679" spans="2:20">
      <c r="B1679" s="204"/>
      <c r="C1679" s="204"/>
      <c r="D1679" s="204"/>
      <c r="E1679" s="204"/>
      <c r="F1679" s="204"/>
      <c r="G1679" s="204"/>
      <c r="H1679" s="204"/>
      <c r="I1679" s="204"/>
      <c r="J1679" s="204"/>
      <c r="K1679" s="204"/>
      <c r="L1679" s="204"/>
      <c r="M1679" s="204"/>
      <c r="N1679" s="204"/>
      <c r="O1679" s="204"/>
      <c r="P1679" s="204"/>
      <c r="T1679" s="217"/>
    </row>
    <row r="1680" spans="2:20">
      <c r="B1680" s="204"/>
      <c r="C1680" s="204"/>
      <c r="D1680" s="204"/>
      <c r="E1680" s="204"/>
      <c r="F1680" s="204"/>
      <c r="G1680" s="204"/>
      <c r="H1680" s="204"/>
      <c r="I1680" s="204"/>
      <c r="J1680" s="204"/>
      <c r="K1680" s="204"/>
      <c r="L1680" s="204"/>
      <c r="M1680" s="204"/>
      <c r="N1680" s="204"/>
      <c r="O1680" s="204"/>
      <c r="P1680" s="204"/>
      <c r="T1680" s="217"/>
    </row>
    <row r="1681" spans="2:20">
      <c r="B1681" s="204"/>
      <c r="C1681" s="204"/>
      <c r="D1681" s="204"/>
      <c r="E1681" s="204"/>
      <c r="F1681" s="204"/>
      <c r="G1681" s="204"/>
      <c r="H1681" s="204"/>
      <c r="I1681" s="204"/>
      <c r="J1681" s="204"/>
      <c r="K1681" s="204"/>
      <c r="L1681" s="204"/>
      <c r="M1681" s="204"/>
      <c r="N1681" s="204"/>
      <c r="O1681" s="204"/>
      <c r="P1681" s="204"/>
      <c r="T1681" s="217"/>
    </row>
    <row r="1682" spans="2:20">
      <c r="B1682" s="204"/>
      <c r="C1682" s="204"/>
      <c r="D1682" s="204"/>
      <c r="E1682" s="204"/>
      <c r="F1682" s="204"/>
      <c r="G1682" s="204"/>
      <c r="H1682" s="204"/>
      <c r="I1682" s="204"/>
      <c r="J1682" s="204"/>
      <c r="K1682" s="204"/>
      <c r="L1682" s="204"/>
      <c r="M1682" s="204"/>
      <c r="N1682" s="204"/>
      <c r="O1682" s="204"/>
      <c r="P1682" s="204"/>
      <c r="T1682" s="217"/>
    </row>
    <row r="1683" spans="2:20">
      <c r="B1683" s="204"/>
      <c r="C1683" s="204"/>
      <c r="D1683" s="204"/>
      <c r="E1683" s="204"/>
      <c r="F1683" s="204"/>
      <c r="G1683" s="204"/>
      <c r="H1683" s="204"/>
      <c r="I1683" s="204"/>
      <c r="J1683" s="204"/>
      <c r="K1683" s="204"/>
      <c r="L1683" s="204"/>
      <c r="M1683" s="204"/>
      <c r="N1683" s="204"/>
      <c r="O1683" s="204"/>
      <c r="P1683" s="204"/>
      <c r="T1683" s="217"/>
    </row>
    <row r="1684" spans="2:20">
      <c r="B1684" s="204"/>
      <c r="C1684" s="204"/>
      <c r="D1684" s="204"/>
      <c r="E1684" s="204"/>
      <c r="F1684" s="204"/>
      <c r="G1684" s="204"/>
      <c r="H1684" s="204"/>
      <c r="I1684" s="204"/>
      <c r="J1684" s="204"/>
      <c r="K1684" s="204"/>
      <c r="L1684" s="204"/>
      <c r="M1684" s="204"/>
      <c r="N1684" s="204"/>
      <c r="O1684" s="204"/>
      <c r="P1684" s="204"/>
      <c r="T1684" s="217"/>
    </row>
    <row r="1685" spans="2:20">
      <c r="B1685" s="204"/>
      <c r="C1685" s="204"/>
      <c r="D1685" s="204"/>
      <c r="E1685" s="204"/>
      <c r="F1685" s="204"/>
      <c r="G1685" s="204"/>
      <c r="H1685" s="204"/>
      <c r="I1685" s="204"/>
      <c r="J1685" s="204"/>
      <c r="K1685" s="204"/>
      <c r="L1685" s="204"/>
      <c r="M1685" s="204"/>
      <c r="N1685" s="204"/>
      <c r="O1685" s="204"/>
      <c r="P1685" s="204"/>
      <c r="T1685" s="217"/>
    </row>
    <row r="1686" spans="2:20">
      <c r="B1686" s="204"/>
      <c r="C1686" s="204"/>
      <c r="D1686" s="204"/>
      <c r="E1686" s="204"/>
      <c r="F1686" s="204"/>
      <c r="G1686" s="204"/>
      <c r="H1686" s="204"/>
      <c r="I1686" s="204"/>
      <c r="J1686" s="204"/>
      <c r="K1686" s="204"/>
      <c r="L1686" s="204"/>
      <c r="M1686" s="204"/>
      <c r="N1686" s="204"/>
      <c r="O1686" s="204"/>
      <c r="P1686" s="204"/>
      <c r="T1686" s="217"/>
    </row>
    <row r="1687" spans="2:20">
      <c r="B1687" s="204"/>
      <c r="C1687" s="204"/>
      <c r="D1687" s="204"/>
      <c r="E1687" s="204"/>
      <c r="F1687" s="204"/>
      <c r="G1687" s="204"/>
      <c r="H1687" s="204"/>
      <c r="I1687" s="204"/>
      <c r="J1687" s="204"/>
      <c r="K1687" s="204"/>
      <c r="L1687" s="204"/>
      <c r="M1687" s="204"/>
      <c r="N1687" s="204"/>
      <c r="O1687" s="204"/>
      <c r="P1687" s="204"/>
      <c r="T1687" s="217"/>
    </row>
    <row r="1688" spans="2:20">
      <c r="B1688" s="204"/>
      <c r="C1688" s="204"/>
      <c r="D1688" s="204"/>
      <c r="E1688" s="204"/>
      <c r="F1688" s="204"/>
      <c r="G1688" s="204"/>
      <c r="H1688" s="204"/>
      <c r="I1688" s="204"/>
      <c r="J1688" s="204"/>
      <c r="K1688" s="204"/>
      <c r="L1688" s="204"/>
      <c r="M1688" s="204"/>
      <c r="N1688" s="204"/>
      <c r="O1688" s="204"/>
      <c r="P1688" s="204"/>
      <c r="T1688" s="217"/>
    </row>
    <row r="1689" spans="2:20">
      <c r="B1689" s="204"/>
      <c r="C1689" s="204"/>
      <c r="D1689" s="204"/>
      <c r="E1689" s="204"/>
      <c r="F1689" s="204"/>
      <c r="G1689" s="204"/>
      <c r="H1689" s="204"/>
      <c r="I1689" s="204"/>
      <c r="J1689" s="204"/>
      <c r="K1689" s="204"/>
      <c r="L1689" s="204"/>
      <c r="M1689" s="204"/>
      <c r="N1689" s="204"/>
      <c r="O1689" s="204"/>
      <c r="P1689" s="204"/>
      <c r="T1689" s="217"/>
    </row>
    <row r="1690" spans="2:20">
      <c r="B1690" s="204"/>
      <c r="C1690" s="204"/>
      <c r="D1690" s="204"/>
      <c r="E1690" s="204"/>
      <c r="F1690" s="204"/>
      <c r="G1690" s="204"/>
      <c r="H1690" s="204"/>
      <c r="I1690" s="204"/>
      <c r="J1690" s="204"/>
      <c r="K1690" s="204"/>
      <c r="L1690" s="204"/>
      <c r="M1690" s="204"/>
      <c r="N1690" s="204"/>
      <c r="O1690" s="204"/>
      <c r="P1690" s="204"/>
      <c r="T1690" s="217"/>
    </row>
    <row r="1691" spans="2:20">
      <c r="B1691" s="204"/>
      <c r="C1691" s="204"/>
      <c r="D1691" s="204"/>
      <c r="E1691" s="204"/>
      <c r="F1691" s="204"/>
      <c r="G1691" s="204"/>
      <c r="H1691" s="204"/>
      <c r="I1691" s="204"/>
      <c r="J1691" s="204"/>
      <c r="K1691" s="204"/>
      <c r="L1691" s="204"/>
      <c r="M1691" s="204"/>
      <c r="N1691" s="204"/>
      <c r="O1691" s="204"/>
      <c r="P1691" s="204"/>
      <c r="T1691" s="217"/>
    </row>
    <row r="1692" spans="2:20">
      <c r="B1692" s="204"/>
      <c r="C1692" s="204"/>
      <c r="D1692" s="204"/>
      <c r="E1692" s="204"/>
      <c r="F1692" s="204"/>
      <c r="G1692" s="204"/>
      <c r="H1692" s="204"/>
      <c r="I1692" s="204"/>
      <c r="J1692" s="204"/>
      <c r="K1692" s="204"/>
      <c r="L1692" s="204"/>
      <c r="M1692" s="204"/>
      <c r="N1692" s="204"/>
      <c r="O1692" s="204"/>
      <c r="P1692" s="204"/>
      <c r="T1692" s="217"/>
    </row>
    <row r="1693" spans="2:20">
      <c r="B1693" s="204"/>
      <c r="C1693" s="204"/>
      <c r="D1693" s="204"/>
      <c r="E1693" s="204"/>
      <c r="F1693" s="204"/>
      <c r="G1693" s="204"/>
      <c r="H1693" s="204"/>
      <c r="I1693" s="204"/>
      <c r="J1693" s="204"/>
      <c r="K1693" s="204"/>
      <c r="L1693" s="204"/>
      <c r="M1693" s="204"/>
      <c r="N1693" s="204"/>
      <c r="O1693" s="204"/>
      <c r="P1693" s="204"/>
      <c r="T1693" s="217"/>
    </row>
    <row r="1694" spans="2:20">
      <c r="B1694" s="204"/>
      <c r="C1694" s="204"/>
      <c r="D1694" s="204"/>
      <c r="E1694" s="204"/>
      <c r="F1694" s="204"/>
      <c r="G1694" s="204"/>
      <c r="H1694" s="204"/>
      <c r="I1694" s="204"/>
      <c r="J1694" s="204"/>
      <c r="K1694" s="204"/>
      <c r="L1694" s="204"/>
      <c r="M1694" s="204"/>
      <c r="N1694" s="204"/>
      <c r="O1694" s="204"/>
      <c r="P1694" s="204"/>
      <c r="T1694" s="217"/>
    </row>
    <row r="1695" spans="2:20">
      <c r="B1695" s="204"/>
      <c r="C1695" s="204"/>
      <c r="D1695" s="204"/>
      <c r="E1695" s="204"/>
      <c r="F1695" s="204"/>
      <c r="G1695" s="204"/>
      <c r="H1695" s="204"/>
      <c r="I1695" s="204"/>
      <c r="J1695" s="204"/>
      <c r="K1695" s="204"/>
      <c r="L1695" s="204"/>
      <c r="M1695" s="204"/>
      <c r="N1695" s="204"/>
      <c r="O1695" s="204"/>
      <c r="P1695" s="204"/>
      <c r="T1695" s="217"/>
    </row>
    <row r="1696" spans="2:20">
      <c r="B1696" s="204"/>
      <c r="C1696" s="204"/>
      <c r="D1696" s="204"/>
      <c r="E1696" s="204"/>
      <c r="F1696" s="204"/>
      <c r="G1696" s="204"/>
      <c r="H1696" s="204"/>
      <c r="I1696" s="204"/>
      <c r="J1696" s="204"/>
      <c r="K1696" s="204"/>
      <c r="L1696" s="204"/>
      <c r="M1696" s="204"/>
      <c r="N1696" s="204"/>
      <c r="O1696" s="204"/>
      <c r="P1696" s="204"/>
      <c r="T1696" s="217"/>
    </row>
    <row r="1697" spans="2:20">
      <c r="B1697" s="204"/>
      <c r="C1697" s="204"/>
      <c r="D1697" s="204"/>
      <c r="E1697" s="204"/>
      <c r="F1697" s="204"/>
      <c r="G1697" s="204"/>
      <c r="H1697" s="204"/>
      <c r="I1697" s="204"/>
      <c r="J1697" s="204"/>
      <c r="K1697" s="204"/>
      <c r="L1697" s="204"/>
      <c r="M1697" s="204"/>
      <c r="N1697" s="204"/>
      <c r="O1697" s="204"/>
      <c r="P1697" s="204"/>
      <c r="T1697" s="217"/>
    </row>
    <row r="1698" spans="2:20">
      <c r="B1698" s="204"/>
      <c r="C1698" s="204"/>
      <c r="D1698" s="204"/>
      <c r="E1698" s="204"/>
      <c r="F1698" s="204"/>
      <c r="G1698" s="204"/>
      <c r="H1698" s="204"/>
      <c r="I1698" s="204"/>
      <c r="J1698" s="204"/>
      <c r="K1698" s="204"/>
      <c r="L1698" s="204"/>
      <c r="M1698" s="204"/>
      <c r="N1698" s="204"/>
      <c r="O1698" s="204"/>
      <c r="P1698" s="204"/>
      <c r="T1698" s="217"/>
    </row>
    <row r="1699" spans="2:20">
      <c r="B1699" s="204"/>
      <c r="C1699" s="204"/>
      <c r="D1699" s="204"/>
      <c r="E1699" s="204"/>
      <c r="F1699" s="204"/>
      <c r="G1699" s="204"/>
      <c r="H1699" s="204"/>
      <c r="I1699" s="204"/>
      <c r="J1699" s="204"/>
      <c r="K1699" s="204"/>
      <c r="L1699" s="204"/>
      <c r="M1699" s="204"/>
      <c r="N1699" s="204"/>
      <c r="O1699" s="204"/>
      <c r="P1699" s="204"/>
      <c r="T1699" s="217"/>
    </row>
    <row r="1700" spans="2:20">
      <c r="B1700" s="204"/>
      <c r="C1700" s="204"/>
      <c r="D1700" s="204"/>
      <c r="E1700" s="204"/>
      <c r="F1700" s="204"/>
      <c r="G1700" s="204"/>
      <c r="H1700" s="204"/>
      <c r="I1700" s="204"/>
      <c r="J1700" s="204"/>
      <c r="K1700" s="204"/>
      <c r="L1700" s="204"/>
      <c r="M1700" s="204"/>
      <c r="N1700" s="204"/>
      <c r="O1700" s="204"/>
      <c r="P1700" s="204"/>
      <c r="T1700" s="217"/>
    </row>
    <row r="1701" spans="2:20">
      <c r="B1701" s="204"/>
      <c r="C1701" s="204"/>
      <c r="D1701" s="204"/>
      <c r="E1701" s="204"/>
      <c r="F1701" s="204"/>
      <c r="G1701" s="204"/>
      <c r="H1701" s="204"/>
      <c r="I1701" s="204"/>
      <c r="J1701" s="204"/>
      <c r="K1701" s="204"/>
      <c r="L1701" s="204"/>
      <c r="M1701" s="204"/>
      <c r="N1701" s="204"/>
      <c r="O1701" s="204"/>
      <c r="P1701" s="204"/>
      <c r="T1701" s="217"/>
    </row>
    <row r="1702" spans="2:20">
      <c r="B1702" s="204"/>
      <c r="C1702" s="204"/>
      <c r="D1702" s="204"/>
      <c r="E1702" s="204"/>
      <c r="F1702" s="204"/>
      <c r="G1702" s="204"/>
      <c r="H1702" s="204"/>
      <c r="I1702" s="204"/>
      <c r="J1702" s="204"/>
      <c r="K1702" s="204"/>
      <c r="L1702" s="204"/>
      <c r="M1702" s="204"/>
      <c r="N1702" s="204"/>
      <c r="O1702" s="204"/>
      <c r="P1702" s="204"/>
      <c r="T1702" s="217"/>
    </row>
    <row r="1703" spans="2:20">
      <c r="B1703" s="204"/>
      <c r="C1703" s="204"/>
      <c r="D1703" s="204"/>
      <c r="E1703" s="204"/>
      <c r="F1703" s="204"/>
      <c r="G1703" s="204"/>
      <c r="H1703" s="204"/>
      <c r="I1703" s="204"/>
      <c r="J1703" s="204"/>
      <c r="K1703" s="204"/>
      <c r="L1703" s="204"/>
      <c r="M1703" s="204"/>
      <c r="N1703" s="204"/>
      <c r="O1703" s="204"/>
      <c r="P1703" s="204"/>
      <c r="T1703" s="217"/>
    </row>
    <row r="1704" spans="2:20">
      <c r="B1704" s="204"/>
      <c r="C1704" s="204"/>
      <c r="D1704" s="204"/>
      <c r="E1704" s="204"/>
      <c r="F1704" s="204"/>
      <c r="G1704" s="204"/>
      <c r="H1704" s="204"/>
      <c r="I1704" s="204"/>
      <c r="J1704" s="204"/>
      <c r="K1704" s="204"/>
      <c r="L1704" s="204"/>
      <c r="M1704" s="204"/>
      <c r="N1704" s="204"/>
      <c r="O1704" s="204"/>
      <c r="P1704" s="204"/>
      <c r="T1704" s="217"/>
    </row>
    <row r="1705" spans="2:20">
      <c r="B1705" s="204"/>
      <c r="C1705" s="204"/>
      <c r="D1705" s="204"/>
      <c r="E1705" s="204"/>
      <c r="F1705" s="204"/>
      <c r="G1705" s="204"/>
      <c r="H1705" s="204"/>
      <c r="I1705" s="204"/>
      <c r="J1705" s="204"/>
      <c r="K1705" s="204"/>
      <c r="L1705" s="204"/>
      <c r="M1705" s="204"/>
      <c r="N1705" s="204"/>
      <c r="O1705" s="204"/>
      <c r="P1705" s="204"/>
      <c r="T1705" s="217"/>
    </row>
    <row r="1706" spans="2:20">
      <c r="B1706" s="204"/>
      <c r="C1706" s="204"/>
      <c r="D1706" s="204"/>
      <c r="E1706" s="204"/>
      <c r="F1706" s="204"/>
      <c r="G1706" s="204"/>
      <c r="H1706" s="204"/>
      <c r="I1706" s="204"/>
      <c r="J1706" s="204"/>
      <c r="K1706" s="204"/>
      <c r="L1706" s="204"/>
      <c r="M1706" s="204"/>
      <c r="N1706" s="204"/>
      <c r="O1706" s="204"/>
      <c r="P1706" s="204"/>
      <c r="T1706" s="217"/>
    </row>
    <row r="1707" spans="2:20">
      <c r="B1707" s="204"/>
      <c r="C1707" s="204"/>
      <c r="D1707" s="204"/>
      <c r="E1707" s="204"/>
      <c r="F1707" s="204"/>
      <c r="G1707" s="204"/>
      <c r="H1707" s="204"/>
      <c r="I1707" s="204"/>
      <c r="J1707" s="204"/>
      <c r="K1707" s="204"/>
      <c r="L1707" s="204"/>
      <c r="M1707" s="204"/>
      <c r="N1707" s="204"/>
      <c r="O1707" s="204"/>
      <c r="P1707" s="204"/>
      <c r="T1707" s="217"/>
    </row>
    <row r="1708" spans="2:20">
      <c r="B1708" s="204"/>
      <c r="C1708" s="204"/>
      <c r="D1708" s="204"/>
      <c r="E1708" s="204"/>
      <c r="F1708" s="204"/>
      <c r="G1708" s="204"/>
      <c r="H1708" s="204"/>
      <c r="I1708" s="204"/>
      <c r="J1708" s="204"/>
      <c r="K1708" s="204"/>
      <c r="L1708" s="204"/>
      <c r="M1708" s="204"/>
      <c r="N1708" s="204"/>
      <c r="O1708" s="204"/>
      <c r="P1708" s="204"/>
      <c r="T1708" s="217"/>
    </row>
    <row r="1709" spans="2:20">
      <c r="B1709" s="204"/>
      <c r="C1709" s="204"/>
      <c r="D1709" s="204"/>
      <c r="E1709" s="204"/>
      <c r="F1709" s="204"/>
      <c r="G1709" s="204"/>
      <c r="H1709" s="204"/>
      <c r="I1709" s="204"/>
      <c r="J1709" s="204"/>
      <c r="K1709" s="204"/>
      <c r="L1709" s="204"/>
      <c r="M1709" s="204"/>
      <c r="N1709" s="204"/>
      <c r="O1709" s="204"/>
      <c r="P1709" s="204"/>
      <c r="T1709" s="217"/>
    </row>
    <row r="1710" spans="2:20">
      <c r="B1710" s="204"/>
      <c r="C1710" s="204"/>
      <c r="D1710" s="204"/>
      <c r="E1710" s="204"/>
      <c r="F1710" s="204"/>
      <c r="G1710" s="204"/>
      <c r="H1710" s="204"/>
      <c r="I1710" s="204"/>
      <c r="J1710" s="204"/>
      <c r="K1710" s="204"/>
      <c r="L1710" s="204"/>
      <c r="M1710" s="204"/>
      <c r="N1710" s="204"/>
      <c r="O1710" s="204"/>
      <c r="P1710" s="204"/>
      <c r="T1710" s="217"/>
    </row>
    <row r="1711" spans="2:20">
      <c r="B1711" s="204"/>
      <c r="C1711" s="204"/>
      <c r="D1711" s="204"/>
      <c r="E1711" s="204"/>
      <c r="F1711" s="204"/>
      <c r="G1711" s="204"/>
      <c r="H1711" s="204"/>
      <c r="I1711" s="204"/>
      <c r="J1711" s="204"/>
      <c r="K1711" s="204"/>
      <c r="L1711" s="204"/>
      <c r="M1711" s="204"/>
      <c r="N1711" s="204"/>
      <c r="O1711" s="204"/>
      <c r="P1711" s="204"/>
      <c r="T1711" s="217"/>
    </row>
    <row r="1712" spans="2:20">
      <c r="B1712" s="204"/>
      <c r="C1712" s="204"/>
      <c r="D1712" s="204"/>
      <c r="E1712" s="204"/>
      <c r="F1712" s="204"/>
      <c r="G1712" s="204"/>
      <c r="H1712" s="204"/>
      <c r="I1712" s="204"/>
      <c r="J1712" s="204"/>
      <c r="K1712" s="204"/>
      <c r="L1712" s="204"/>
      <c r="M1712" s="204"/>
      <c r="N1712" s="204"/>
      <c r="O1712" s="204"/>
      <c r="P1712" s="204"/>
      <c r="T1712" s="217"/>
    </row>
    <row r="1713" spans="2:20">
      <c r="B1713" s="204"/>
      <c r="C1713" s="204"/>
      <c r="D1713" s="204"/>
      <c r="E1713" s="204"/>
      <c r="F1713" s="204"/>
      <c r="G1713" s="204"/>
      <c r="H1713" s="204"/>
      <c r="I1713" s="204"/>
      <c r="J1713" s="204"/>
      <c r="K1713" s="204"/>
      <c r="L1713" s="204"/>
      <c r="M1713" s="204"/>
      <c r="N1713" s="204"/>
      <c r="O1713" s="204"/>
      <c r="P1713" s="204"/>
      <c r="T1713" s="217"/>
    </row>
    <row r="1714" spans="2:20">
      <c r="B1714" s="204"/>
      <c r="C1714" s="204"/>
      <c r="D1714" s="204"/>
      <c r="E1714" s="204"/>
      <c r="F1714" s="204"/>
      <c r="G1714" s="204"/>
      <c r="H1714" s="204"/>
      <c r="I1714" s="204"/>
      <c r="J1714" s="204"/>
      <c r="K1714" s="204"/>
      <c r="L1714" s="204"/>
      <c r="M1714" s="204"/>
      <c r="N1714" s="204"/>
      <c r="O1714" s="204"/>
      <c r="P1714" s="204"/>
      <c r="T1714" s="217"/>
    </row>
    <row r="1715" spans="2:20">
      <c r="B1715" s="204"/>
      <c r="C1715" s="204"/>
      <c r="D1715" s="204"/>
      <c r="E1715" s="204"/>
      <c r="F1715" s="204"/>
      <c r="G1715" s="204"/>
      <c r="H1715" s="204"/>
      <c r="I1715" s="204"/>
      <c r="J1715" s="204"/>
      <c r="K1715" s="204"/>
      <c r="L1715" s="204"/>
      <c r="M1715" s="204"/>
      <c r="N1715" s="204"/>
      <c r="O1715" s="204"/>
      <c r="P1715" s="204"/>
      <c r="T1715" s="217"/>
    </row>
    <row r="1716" spans="2:20">
      <c r="B1716" s="204"/>
      <c r="C1716" s="204"/>
      <c r="D1716" s="204"/>
      <c r="E1716" s="204"/>
      <c r="F1716" s="204"/>
      <c r="G1716" s="204"/>
      <c r="H1716" s="204"/>
      <c r="I1716" s="204"/>
      <c r="J1716" s="204"/>
      <c r="K1716" s="204"/>
      <c r="L1716" s="204"/>
      <c r="M1716" s="204"/>
      <c r="N1716" s="204"/>
      <c r="O1716" s="204"/>
      <c r="P1716" s="204"/>
      <c r="T1716" s="217"/>
    </row>
    <row r="1717" spans="2:20">
      <c r="B1717" s="204"/>
      <c r="C1717" s="204"/>
      <c r="D1717" s="204"/>
      <c r="E1717" s="204"/>
      <c r="F1717" s="204"/>
      <c r="G1717" s="204"/>
      <c r="H1717" s="204"/>
      <c r="I1717" s="204"/>
      <c r="J1717" s="204"/>
      <c r="K1717" s="204"/>
      <c r="L1717" s="204"/>
      <c r="M1717" s="204"/>
      <c r="N1717" s="204"/>
      <c r="O1717" s="204"/>
      <c r="P1717" s="204"/>
      <c r="T1717" s="217"/>
    </row>
    <row r="1718" spans="2:20">
      <c r="B1718" s="204"/>
      <c r="C1718" s="204"/>
      <c r="D1718" s="204"/>
      <c r="E1718" s="204"/>
      <c r="F1718" s="204"/>
      <c r="G1718" s="204"/>
      <c r="H1718" s="204"/>
      <c r="I1718" s="204"/>
      <c r="J1718" s="204"/>
      <c r="K1718" s="204"/>
      <c r="L1718" s="204"/>
      <c r="M1718" s="204"/>
      <c r="N1718" s="204"/>
      <c r="O1718" s="204"/>
      <c r="P1718" s="204"/>
      <c r="T1718" s="217"/>
    </row>
    <row r="1719" spans="2:20">
      <c r="B1719" s="204"/>
      <c r="C1719" s="204"/>
      <c r="D1719" s="204"/>
      <c r="E1719" s="204"/>
      <c r="F1719" s="204"/>
      <c r="G1719" s="204"/>
      <c r="H1719" s="204"/>
      <c r="I1719" s="204"/>
      <c r="J1719" s="204"/>
      <c r="K1719" s="204"/>
      <c r="L1719" s="204"/>
      <c r="M1719" s="204"/>
      <c r="N1719" s="204"/>
      <c r="O1719" s="204"/>
      <c r="P1719" s="204"/>
      <c r="T1719" s="217"/>
    </row>
    <row r="1720" spans="2:20">
      <c r="B1720" s="204"/>
      <c r="C1720" s="204"/>
      <c r="D1720" s="204"/>
      <c r="E1720" s="204"/>
      <c r="F1720" s="204"/>
      <c r="G1720" s="204"/>
      <c r="H1720" s="204"/>
      <c r="I1720" s="204"/>
      <c r="J1720" s="204"/>
      <c r="K1720" s="204"/>
      <c r="L1720" s="204"/>
      <c r="M1720" s="204"/>
      <c r="N1720" s="204"/>
      <c r="O1720" s="204"/>
      <c r="P1720" s="204"/>
      <c r="T1720" s="217"/>
    </row>
    <row r="1721" spans="2:20">
      <c r="B1721" s="204"/>
      <c r="C1721" s="204"/>
      <c r="D1721" s="204"/>
      <c r="E1721" s="204"/>
      <c r="F1721" s="204"/>
      <c r="G1721" s="204"/>
      <c r="H1721" s="204"/>
      <c r="I1721" s="204"/>
      <c r="J1721" s="204"/>
      <c r="K1721" s="204"/>
      <c r="L1721" s="204"/>
      <c r="M1721" s="204"/>
      <c r="N1721" s="204"/>
      <c r="O1721" s="204"/>
      <c r="P1721" s="204"/>
      <c r="T1721" s="217"/>
    </row>
    <row r="1722" spans="2:20">
      <c r="B1722" s="204"/>
      <c r="C1722" s="204"/>
      <c r="D1722" s="204"/>
      <c r="E1722" s="204"/>
      <c r="F1722" s="204"/>
      <c r="G1722" s="204"/>
      <c r="H1722" s="204"/>
      <c r="I1722" s="204"/>
      <c r="J1722" s="204"/>
      <c r="K1722" s="204"/>
      <c r="L1722" s="204"/>
      <c r="M1722" s="204"/>
      <c r="N1722" s="204"/>
      <c r="O1722" s="204"/>
      <c r="P1722" s="204"/>
      <c r="T1722" s="217"/>
    </row>
    <row r="1723" spans="2:20">
      <c r="B1723" s="204"/>
      <c r="C1723" s="204"/>
      <c r="D1723" s="204"/>
      <c r="E1723" s="204"/>
      <c r="F1723" s="204"/>
      <c r="G1723" s="204"/>
      <c r="H1723" s="204"/>
      <c r="I1723" s="204"/>
      <c r="J1723" s="204"/>
      <c r="K1723" s="204"/>
      <c r="L1723" s="204"/>
      <c r="M1723" s="204"/>
      <c r="N1723" s="204"/>
      <c r="O1723" s="204"/>
      <c r="P1723" s="204"/>
      <c r="T1723" s="217"/>
    </row>
    <row r="1724" spans="2:20">
      <c r="B1724" s="204"/>
      <c r="C1724" s="204"/>
      <c r="D1724" s="204"/>
      <c r="E1724" s="204"/>
      <c r="F1724" s="204"/>
      <c r="G1724" s="204"/>
      <c r="H1724" s="204"/>
      <c r="I1724" s="204"/>
      <c r="J1724" s="204"/>
      <c r="K1724" s="204"/>
      <c r="L1724" s="204"/>
      <c r="M1724" s="204"/>
      <c r="N1724" s="204"/>
      <c r="O1724" s="204"/>
      <c r="P1724" s="204"/>
      <c r="T1724" s="217"/>
    </row>
    <row r="1725" spans="2:20">
      <c r="B1725" s="204"/>
      <c r="C1725" s="204"/>
      <c r="D1725" s="204"/>
      <c r="E1725" s="204"/>
      <c r="F1725" s="204"/>
      <c r="G1725" s="204"/>
      <c r="H1725" s="204"/>
      <c r="I1725" s="204"/>
      <c r="J1725" s="204"/>
      <c r="K1725" s="204"/>
      <c r="L1725" s="204"/>
      <c r="M1725" s="204"/>
      <c r="N1725" s="204"/>
      <c r="O1725" s="204"/>
      <c r="P1725" s="204"/>
      <c r="T1725" s="217"/>
    </row>
    <row r="1726" spans="2:20">
      <c r="B1726" s="204"/>
      <c r="C1726" s="204"/>
      <c r="D1726" s="204"/>
      <c r="E1726" s="204"/>
      <c r="F1726" s="204"/>
      <c r="G1726" s="204"/>
      <c r="H1726" s="204"/>
      <c r="I1726" s="204"/>
      <c r="J1726" s="204"/>
      <c r="K1726" s="204"/>
      <c r="L1726" s="204"/>
      <c r="M1726" s="204"/>
      <c r="N1726" s="204"/>
      <c r="O1726" s="204"/>
      <c r="P1726" s="204"/>
      <c r="T1726" s="217"/>
    </row>
    <row r="1727" spans="2:20">
      <c r="B1727" s="204"/>
      <c r="C1727" s="204"/>
      <c r="D1727" s="204"/>
      <c r="E1727" s="204"/>
      <c r="F1727" s="204"/>
      <c r="G1727" s="204"/>
      <c r="H1727" s="204"/>
      <c r="I1727" s="204"/>
      <c r="J1727" s="204"/>
      <c r="K1727" s="204"/>
      <c r="L1727" s="204"/>
      <c r="M1727" s="204"/>
      <c r="N1727" s="204"/>
      <c r="O1727" s="204"/>
      <c r="P1727" s="204"/>
      <c r="T1727" s="217"/>
    </row>
    <row r="1728" spans="2:20">
      <c r="B1728" s="204"/>
      <c r="C1728" s="204"/>
      <c r="D1728" s="204"/>
      <c r="E1728" s="204"/>
      <c r="F1728" s="204"/>
      <c r="G1728" s="204"/>
      <c r="H1728" s="204"/>
      <c r="I1728" s="204"/>
      <c r="J1728" s="204"/>
      <c r="K1728" s="204"/>
      <c r="L1728" s="204"/>
      <c r="M1728" s="204"/>
      <c r="N1728" s="204"/>
      <c r="O1728" s="204"/>
      <c r="P1728" s="204"/>
      <c r="T1728" s="217"/>
    </row>
    <row r="1729" spans="2:20">
      <c r="B1729" s="204"/>
      <c r="C1729" s="204"/>
      <c r="D1729" s="204"/>
      <c r="E1729" s="204"/>
      <c r="F1729" s="204"/>
      <c r="G1729" s="204"/>
      <c r="H1729" s="204"/>
      <c r="I1729" s="204"/>
      <c r="J1729" s="204"/>
      <c r="K1729" s="204"/>
      <c r="L1729" s="204"/>
      <c r="M1729" s="204"/>
      <c r="N1729" s="204"/>
      <c r="O1729" s="204"/>
      <c r="P1729" s="204"/>
      <c r="T1729" s="217"/>
    </row>
    <row r="1730" spans="2:20">
      <c r="B1730" s="204"/>
      <c r="C1730" s="204"/>
      <c r="D1730" s="204"/>
      <c r="E1730" s="204"/>
      <c r="F1730" s="204"/>
      <c r="G1730" s="204"/>
      <c r="H1730" s="204"/>
      <c r="I1730" s="204"/>
      <c r="J1730" s="204"/>
      <c r="K1730" s="204"/>
      <c r="L1730" s="204"/>
      <c r="M1730" s="204"/>
      <c r="N1730" s="204"/>
      <c r="O1730" s="204"/>
      <c r="P1730" s="204"/>
      <c r="T1730" s="217"/>
    </row>
    <row r="1731" spans="2:20">
      <c r="B1731" s="204"/>
      <c r="C1731" s="204"/>
      <c r="D1731" s="204"/>
      <c r="E1731" s="204"/>
      <c r="F1731" s="204"/>
      <c r="G1731" s="204"/>
      <c r="H1731" s="204"/>
      <c r="I1731" s="204"/>
      <c r="J1731" s="204"/>
      <c r="K1731" s="204"/>
      <c r="L1731" s="204"/>
      <c r="M1731" s="204"/>
      <c r="N1731" s="204"/>
      <c r="O1731" s="204"/>
      <c r="P1731" s="204"/>
      <c r="T1731" s="217"/>
    </row>
    <row r="1732" spans="2:20">
      <c r="B1732" s="204"/>
      <c r="C1732" s="204"/>
      <c r="D1732" s="204"/>
      <c r="E1732" s="204"/>
      <c r="F1732" s="204"/>
      <c r="G1732" s="204"/>
      <c r="H1732" s="204"/>
      <c r="I1732" s="204"/>
      <c r="J1732" s="204"/>
      <c r="K1732" s="204"/>
      <c r="L1732" s="204"/>
      <c r="M1732" s="204"/>
      <c r="N1732" s="204"/>
      <c r="O1732" s="204"/>
      <c r="P1732" s="204"/>
      <c r="T1732" s="217"/>
    </row>
    <row r="1733" spans="2:20">
      <c r="B1733" s="204"/>
      <c r="C1733" s="204"/>
      <c r="D1733" s="204"/>
      <c r="E1733" s="204"/>
      <c r="F1733" s="204"/>
      <c r="G1733" s="204"/>
      <c r="H1733" s="204"/>
      <c r="I1733" s="204"/>
      <c r="J1733" s="204"/>
      <c r="K1733" s="204"/>
      <c r="L1733" s="204"/>
      <c r="M1733" s="204"/>
      <c r="N1733" s="204"/>
      <c r="O1733" s="204"/>
      <c r="P1733" s="204"/>
      <c r="T1733" s="217"/>
    </row>
    <row r="1734" spans="2:20">
      <c r="B1734" s="204"/>
      <c r="C1734" s="204"/>
      <c r="D1734" s="204"/>
      <c r="E1734" s="204"/>
      <c r="F1734" s="204"/>
      <c r="G1734" s="204"/>
      <c r="H1734" s="204"/>
      <c r="I1734" s="204"/>
      <c r="J1734" s="204"/>
      <c r="K1734" s="204"/>
      <c r="L1734" s="204"/>
      <c r="M1734" s="204"/>
      <c r="N1734" s="204"/>
      <c r="O1734" s="204"/>
      <c r="P1734" s="204"/>
      <c r="T1734" s="217"/>
    </row>
    <row r="1735" spans="2:20">
      <c r="B1735" s="204"/>
      <c r="C1735" s="204"/>
      <c r="D1735" s="204"/>
      <c r="E1735" s="204"/>
      <c r="F1735" s="204"/>
      <c r="G1735" s="204"/>
      <c r="H1735" s="204"/>
      <c r="I1735" s="204"/>
      <c r="J1735" s="204"/>
      <c r="K1735" s="204"/>
      <c r="L1735" s="204"/>
      <c r="M1735" s="204"/>
      <c r="N1735" s="204"/>
      <c r="O1735" s="204"/>
      <c r="P1735" s="204"/>
      <c r="T1735" s="217"/>
    </row>
    <row r="1736" spans="2:20">
      <c r="B1736" s="204"/>
      <c r="C1736" s="204"/>
      <c r="D1736" s="204"/>
      <c r="E1736" s="204"/>
      <c r="F1736" s="204"/>
      <c r="G1736" s="204"/>
      <c r="H1736" s="204"/>
      <c r="I1736" s="204"/>
      <c r="J1736" s="204"/>
      <c r="K1736" s="204"/>
      <c r="L1736" s="204"/>
      <c r="M1736" s="204"/>
      <c r="N1736" s="204"/>
      <c r="O1736" s="204"/>
      <c r="P1736" s="204"/>
      <c r="T1736" s="217"/>
    </row>
    <row r="1737" spans="2:20">
      <c r="B1737" s="204"/>
      <c r="C1737" s="204"/>
      <c r="D1737" s="204"/>
      <c r="E1737" s="204"/>
      <c r="F1737" s="204"/>
      <c r="G1737" s="204"/>
      <c r="H1737" s="204"/>
      <c r="I1737" s="204"/>
      <c r="J1737" s="204"/>
      <c r="K1737" s="204"/>
      <c r="L1737" s="204"/>
      <c r="M1737" s="204"/>
      <c r="N1737" s="204"/>
      <c r="O1737" s="204"/>
      <c r="P1737" s="204"/>
      <c r="T1737" s="217"/>
    </row>
    <row r="1738" spans="2:20">
      <c r="B1738" s="204"/>
      <c r="C1738" s="204"/>
      <c r="D1738" s="204"/>
      <c r="E1738" s="204"/>
      <c r="F1738" s="204"/>
      <c r="G1738" s="204"/>
      <c r="H1738" s="204"/>
      <c r="I1738" s="204"/>
      <c r="J1738" s="204"/>
      <c r="K1738" s="204"/>
      <c r="L1738" s="204"/>
      <c r="M1738" s="204"/>
      <c r="N1738" s="204"/>
      <c r="O1738" s="204"/>
      <c r="P1738" s="204"/>
      <c r="T1738" s="217"/>
    </row>
    <row r="1739" spans="2:20">
      <c r="B1739" s="204"/>
      <c r="C1739" s="204"/>
      <c r="D1739" s="204"/>
      <c r="E1739" s="204"/>
      <c r="F1739" s="204"/>
      <c r="G1739" s="204"/>
      <c r="H1739" s="204"/>
      <c r="I1739" s="204"/>
      <c r="J1739" s="204"/>
      <c r="K1739" s="204"/>
      <c r="L1739" s="204"/>
      <c r="M1739" s="204"/>
      <c r="N1739" s="204"/>
      <c r="O1739" s="204"/>
      <c r="P1739" s="204"/>
      <c r="T1739" s="217"/>
    </row>
    <row r="1740" spans="2:20">
      <c r="B1740" s="204"/>
      <c r="C1740" s="204"/>
      <c r="D1740" s="204"/>
      <c r="E1740" s="204"/>
      <c r="F1740" s="204"/>
      <c r="G1740" s="204"/>
      <c r="H1740" s="204"/>
      <c r="I1740" s="204"/>
      <c r="J1740" s="204"/>
      <c r="K1740" s="204"/>
      <c r="L1740" s="204"/>
      <c r="M1740" s="204"/>
      <c r="N1740" s="204"/>
      <c r="O1740" s="204"/>
      <c r="P1740" s="204"/>
      <c r="T1740" s="217"/>
    </row>
    <row r="1741" spans="2:20">
      <c r="B1741" s="204"/>
      <c r="C1741" s="204"/>
      <c r="D1741" s="204"/>
      <c r="E1741" s="204"/>
      <c r="F1741" s="204"/>
      <c r="G1741" s="204"/>
      <c r="H1741" s="204"/>
      <c r="I1741" s="204"/>
      <c r="J1741" s="204"/>
      <c r="K1741" s="204"/>
      <c r="L1741" s="204"/>
      <c r="M1741" s="204"/>
      <c r="N1741" s="204"/>
      <c r="O1741" s="204"/>
      <c r="P1741" s="204"/>
      <c r="T1741" s="217"/>
    </row>
    <row r="1742" spans="2:20">
      <c r="B1742" s="204"/>
      <c r="C1742" s="204"/>
      <c r="D1742" s="204"/>
      <c r="E1742" s="204"/>
      <c r="F1742" s="204"/>
      <c r="G1742" s="204"/>
      <c r="H1742" s="204"/>
      <c r="I1742" s="204"/>
      <c r="J1742" s="204"/>
      <c r="K1742" s="204"/>
      <c r="L1742" s="204"/>
      <c r="M1742" s="204"/>
      <c r="N1742" s="204"/>
      <c r="O1742" s="204"/>
      <c r="P1742" s="204"/>
      <c r="T1742" s="217"/>
    </row>
    <row r="1743" spans="2:20">
      <c r="B1743" s="204"/>
      <c r="C1743" s="204"/>
      <c r="D1743" s="204"/>
      <c r="E1743" s="204"/>
      <c r="F1743" s="204"/>
      <c r="G1743" s="204"/>
      <c r="H1743" s="204"/>
      <c r="I1743" s="204"/>
      <c r="J1743" s="204"/>
      <c r="K1743" s="204"/>
      <c r="L1743" s="204"/>
      <c r="M1743" s="204"/>
      <c r="N1743" s="204"/>
      <c r="O1743" s="204"/>
      <c r="P1743" s="204"/>
      <c r="T1743" s="217"/>
    </row>
    <row r="1744" spans="2:20">
      <c r="B1744" s="204"/>
      <c r="C1744" s="204"/>
      <c r="D1744" s="204"/>
      <c r="E1744" s="204"/>
      <c r="F1744" s="204"/>
      <c r="G1744" s="204"/>
      <c r="H1744" s="204"/>
      <c r="I1744" s="204"/>
      <c r="J1744" s="204"/>
      <c r="K1744" s="204"/>
      <c r="L1744" s="204"/>
      <c r="M1744" s="204"/>
      <c r="N1744" s="204"/>
      <c r="O1744" s="204"/>
      <c r="P1744" s="204"/>
      <c r="T1744" s="217"/>
    </row>
    <row r="1745" spans="2:20">
      <c r="B1745" s="204"/>
      <c r="C1745" s="204"/>
      <c r="D1745" s="204"/>
      <c r="E1745" s="204"/>
      <c r="F1745" s="204"/>
      <c r="G1745" s="204"/>
      <c r="H1745" s="204"/>
      <c r="I1745" s="204"/>
      <c r="J1745" s="204"/>
      <c r="K1745" s="204"/>
      <c r="L1745" s="204"/>
      <c r="M1745" s="204"/>
      <c r="N1745" s="204"/>
      <c r="O1745" s="204"/>
      <c r="P1745" s="204"/>
      <c r="T1745" s="217"/>
    </row>
    <row r="1746" spans="2:20">
      <c r="B1746" s="204"/>
      <c r="C1746" s="204"/>
      <c r="D1746" s="204"/>
      <c r="E1746" s="204"/>
      <c r="F1746" s="204"/>
      <c r="G1746" s="204"/>
      <c r="H1746" s="204"/>
      <c r="I1746" s="204"/>
      <c r="J1746" s="204"/>
      <c r="K1746" s="204"/>
      <c r="L1746" s="204"/>
      <c r="M1746" s="204"/>
      <c r="N1746" s="204"/>
      <c r="O1746" s="204"/>
      <c r="P1746" s="204"/>
      <c r="T1746" s="217"/>
    </row>
    <row r="1747" spans="2:20">
      <c r="B1747" s="204"/>
      <c r="C1747" s="204"/>
      <c r="D1747" s="204"/>
      <c r="E1747" s="204"/>
      <c r="F1747" s="204"/>
      <c r="G1747" s="204"/>
      <c r="H1747" s="204"/>
      <c r="I1747" s="204"/>
      <c r="J1747" s="204"/>
      <c r="K1747" s="204"/>
      <c r="L1747" s="204"/>
      <c r="M1747" s="204"/>
      <c r="N1747" s="204"/>
      <c r="O1747" s="204"/>
      <c r="P1747" s="204"/>
      <c r="T1747" s="217"/>
    </row>
    <row r="1748" spans="2:20">
      <c r="B1748" s="204"/>
      <c r="C1748" s="204"/>
      <c r="D1748" s="204"/>
      <c r="E1748" s="204"/>
      <c r="F1748" s="204"/>
      <c r="G1748" s="204"/>
      <c r="H1748" s="204"/>
      <c r="I1748" s="204"/>
      <c r="J1748" s="204"/>
      <c r="K1748" s="204"/>
      <c r="L1748" s="204"/>
      <c r="M1748" s="204"/>
      <c r="N1748" s="204"/>
      <c r="O1748" s="204"/>
      <c r="P1748" s="204"/>
      <c r="T1748" s="217"/>
    </row>
    <row r="1749" spans="2:20">
      <c r="B1749" s="204"/>
      <c r="C1749" s="204"/>
      <c r="D1749" s="204"/>
      <c r="E1749" s="204"/>
      <c r="F1749" s="204"/>
      <c r="G1749" s="204"/>
      <c r="H1749" s="204"/>
      <c r="I1749" s="204"/>
      <c r="J1749" s="204"/>
      <c r="K1749" s="204"/>
      <c r="L1749" s="204"/>
      <c r="M1749" s="204"/>
      <c r="N1749" s="204"/>
      <c r="O1749" s="204"/>
      <c r="P1749" s="204"/>
      <c r="T1749" s="217"/>
    </row>
    <row r="1750" spans="2:20">
      <c r="B1750" s="204"/>
      <c r="C1750" s="204"/>
      <c r="D1750" s="204"/>
      <c r="E1750" s="204"/>
      <c r="F1750" s="204"/>
      <c r="G1750" s="204"/>
      <c r="H1750" s="204"/>
      <c r="I1750" s="204"/>
      <c r="J1750" s="204"/>
      <c r="K1750" s="204"/>
      <c r="L1750" s="204"/>
      <c r="M1750" s="204"/>
      <c r="N1750" s="204"/>
      <c r="O1750" s="204"/>
      <c r="P1750" s="204"/>
      <c r="T1750" s="217"/>
    </row>
    <row r="1751" spans="2:20">
      <c r="B1751" s="204"/>
      <c r="C1751" s="204"/>
      <c r="D1751" s="204"/>
      <c r="E1751" s="204"/>
      <c r="F1751" s="204"/>
      <c r="G1751" s="204"/>
      <c r="H1751" s="204"/>
      <c r="I1751" s="204"/>
      <c r="J1751" s="204"/>
      <c r="K1751" s="204"/>
      <c r="L1751" s="204"/>
      <c r="M1751" s="204"/>
      <c r="N1751" s="204"/>
      <c r="O1751" s="204"/>
      <c r="P1751" s="204"/>
      <c r="T1751" s="217"/>
    </row>
    <row r="1752" spans="2:20">
      <c r="B1752" s="204"/>
      <c r="C1752" s="204"/>
      <c r="D1752" s="204"/>
      <c r="E1752" s="204"/>
      <c r="F1752" s="204"/>
      <c r="G1752" s="204"/>
      <c r="H1752" s="204"/>
      <c r="I1752" s="204"/>
      <c r="J1752" s="204"/>
      <c r="K1752" s="204"/>
      <c r="L1752" s="204"/>
      <c r="M1752" s="204"/>
      <c r="N1752" s="204"/>
      <c r="O1752" s="204"/>
      <c r="P1752" s="204"/>
      <c r="T1752" s="217"/>
    </row>
    <row r="1753" spans="2:20">
      <c r="B1753" s="204"/>
      <c r="C1753" s="204"/>
      <c r="D1753" s="204"/>
      <c r="E1753" s="204"/>
      <c r="F1753" s="204"/>
      <c r="G1753" s="204"/>
      <c r="H1753" s="204"/>
      <c r="I1753" s="204"/>
      <c r="J1753" s="204"/>
      <c r="K1753" s="204"/>
      <c r="L1753" s="204"/>
      <c r="M1753" s="204"/>
      <c r="N1753" s="204"/>
      <c r="O1753" s="204"/>
      <c r="P1753" s="204"/>
      <c r="T1753" s="217"/>
    </row>
    <row r="1754" spans="2:20">
      <c r="B1754" s="204"/>
      <c r="C1754" s="204"/>
      <c r="D1754" s="204"/>
      <c r="E1754" s="204"/>
      <c r="F1754" s="204"/>
      <c r="G1754" s="204"/>
      <c r="H1754" s="204"/>
      <c r="I1754" s="204"/>
      <c r="J1754" s="204"/>
      <c r="K1754" s="204"/>
      <c r="L1754" s="204"/>
      <c r="M1754" s="204"/>
      <c r="N1754" s="204"/>
      <c r="O1754" s="204"/>
      <c r="P1754" s="204"/>
      <c r="T1754" s="217"/>
    </row>
    <row r="1755" spans="2:20">
      <c r="B1755" s="204"/>
      <c r="C1755" s="204"/>
      <c r="D1755" s="204"/>
      <c r="E1755" s="204"/>
      <c r="F1755" s="204"/>
      <c r="G1755" s="204"/>
      <c r="H1755" s="204"/>
      <c r="I1755" s="204"/>
      <c r="J1755" s="204"/>
      <c r="K1755" s="204"/>
      <c r="L1755" s="204"/>
      <c r="M1755" s="204"/>
      <c r="N1755" s="204"/>
      <c r="O1755" s="204"/>
      <c r="P1755" s="204"/>
      <c r="T1755" s="217"/>
    </row>
    <row r="1756" spans="2:20">
      <c r="B1756" s="204"/>
      <c r="C1756" s="204"/>
      <c r="D1756" s="204"/>
      <c r="E1756" s="204"/>
      <c r="F1756" s="204"/>
      <c r="G1756" s="204"/>
      <c r="H1756" s="204"/>
      <c r="I1756" s="204"/>
      <c r="J1756" s="204"/>
      <c r="K1756" s="204"/>
      <c r="L1756" s="204"/>
      <c r="M1756" s="204"/>
      <c r="N1756" s="204"/>
      <c r="O1756" s="204"/>
      <c r="P1756" s="204"/>
      <c r="T1756" s="217"/>
    </row>
    <row r="1757" spans="2:20">
      <c r="B1757" s="204"/>
      <c r="C1757" s="204"/>
      <c r="D1757" s="204"/>
      <c r="E1757" s="204"/>
      <c r="F1757" s="204"/>
      <c r="G1757" s="204"/>
      <c r="H1757" s="204"/>
      <c r="I1757" s="204"/>
      <c r="J1757" s="204"/>
      <c r="K1757" s="204"/>
      <c r="L1757" s="204"/>
      <c r="M1757" s="204"/>
      <c r="N1757" s="204"/>
      <c r="O1757" s="204"/>
      <c r="P1757" s="204"/>
      <c r="T1757" s="217"/>
    </row>
    <row r="1758" spans="2:20">
      <c r="B1758" s="204"/>
      <c r="C1758" s="204"/>
      <c r="D1758" s="204"/>
      <c r="E1758" s="204"/>
      <c r="F1758" s="204"/>
      <c r="G1758" s="204"/>
      <c r="H1758" s="204"/>
      <c r="I1758" s="204"/>
      <c r="J1758" s="204"/>
      <c r="K1758" s="204"/>
      <c r="L1758" s="204"/>
      <c r="M1758" s="204"/>
      <c r="N1758" s="204"/>
      <c r="O1758" s="204"/>
      <c r="P1758" s="204"/>
      <c r="T1758" s="217"/>
    </row>
    <row r="1759" spans="2:20">
      <c r="B1759" s="204"/>
      <c r="C1759" s="204"/>
      <c r="D1759" s="204"/>
      <c r="E1759" s="204"/>
      <c r="F1759" s="204"/>
      <c r="G1759" s="204"/>
      <c r="H1759" s="204"/>
      <c r="I1759" s="204"/>
      <c r="J1759" s="204"/>
      <c r="K1759" s="204"/>
      <c r="L1759" s="204"/>
      <c r="M1759" s="204"/>
      <c r="N1759" s="204"/>
      <c r="O1759" s="204"/>
      <c r="P1759" s="204"/>
      <c r="T1759" s="217"/>
    </row>
    <row r="1760" spans="2:20">
      <c r="B1760" s="204"/>
      <c r="C1760" s="204"/>
      <c r="D1760" s="204"/>
      <c r="E1760" s="204"/>
      <c r="F1760" s="204"/>
      <c r="G1760" s="204"/>
      <c r="H1760" s="204"/>
      <c r="I1760" s="204"/>
      <c r="J1760" s="204"/>
      <c r="K1760" s="204"/>
      <c r="L1760" s="204"/>
      <c r="M1760" s="204"/>
      <c r="N1760" s="204"/>
      <c r="O1760" s="204"/>
      <c r="P1760" s="204"/>
      <c r="T1760" s="217"/>
    </row>
    <row r="1761" spans="2:20">
      <c r="B1761" s="204"/>
      <c r="C1761" s="204"/>
      <c r="D1761" s="204"/>
      <c r="E1761" s="204"/>
      <c r="F1761" s="204"/>
      <c r="G1761" s="204"/>
      <c r="H1761" s="204"/>
      <c r="I1761" s="204"/>
      <c r="J1761" s="204"/>
      <c r="K1761" s="204"/>
      <c r="L1761" s="204"/>
      <c r="M1761" s="204"/>
      <c r="N1761" s="204"/>
      <c r="O1761" s="204"/>
      <c r="P1761" s="204"/>
      <c r="T1761" s="217"/>
    </row>
    <row r="1762" spans="2:20">
      <c r="B1762" s="204"/>
      <c r="C1762" s="204"/>
      <c r="D1762" s="204"/>
      <c r="E1762" s="204"/>
      <c r="F1762" s="204"/>
      <c r="G1762" s="204"/>
      <c r="H1762" s="204"/>
      <c r="I1762" s="204"/>
      <c r="J1762" s="204"/>
      <c r="K1762" s="204"/>
      <c r="L1762" s="204"/>
      <c r="M1762" s="204"/>
      <c r="N1762" s="204"/>
      <c r="O1762" s="204"/>
      <c r="P1762" s="204"/>
      <c r="T1762" s="217"/>
    </row>
    <row r="1763" spans="2:20">
      <c r="B1763" s="204"/>
      <c r="C1763" s="204"/>
      <c r="D1763" s="204"/>
      <c r="E1763" s="204"/>
      <c r="F1763" s="204"/>
      <c r="G1763" s="204"/>
      <c r="H1763" s="204"/>
      <c r="I1763" s="204"/>
      <c r="J1763" s="204"/>
      <c r="K1763" s="204"/>
      <c r="L1763" s="204"/>
      <c r="M1763" s="204"/>
      <c r="N1763" s="204"/>
      <c r="O1763" s="204"/>
      <c r="P1763" s="204"/>
      <c r="T1763" s="217"/>
    </row>
    <row r="1764" spans="2:20">
      <c r="B1764" s="204"/>
      <c r="C1764" s="204"/>
      <c r="D1764" s="204"/>
      <c r="E1764" s="204"/>
      <c r="F1764" s="204"/>
      <c r="G1764" s="204"/>
      <c r="H1764" s="204"/>
      <c r="I1764" s="204"/>
      <c r="J1764" s="204"/>
      <c r="K1764" s="204"/>
      <c r="L1764" s="204"/>
      <c r="M1764" s="204"/>
      <c r="N1764" s="204"/>
      <c r="O1764" s="204"/>
      <c r="P1764" s="204"/>
      <c r="T1764" s="217"/>
    </row>
    <row r="1765" spans="2:20">
      <c r="B1765" s="204"/>
      <c r="C1765" s="204"/>
      <c r="D1765" s="204"/>
      <c r="E1765" s="204"/>
      <c r="F1765" s="204"/>
      <c r="G1765" s="204"/>
      <c r="H1765" s="204"/>
      <c r="I1765" s="204"/>
      <c r="J1765" s="204"/>
      <c r="K1765" s="204"/>
      <c r="L1765" s="204"/>
      <c r="M1765" s="204"/>
      <c r="N1765" s="204"/>
      <c r="O1765" s="204"/>
      <c r="P1765" s="204"/>
      <c r="T1765" s="217"/>
    </row>
    <row r="1766" spans="2:20">
      <c r="B1766" s="204"/>
      <c r="C1766" s="204"/>
      <c r="D1766" s="204"/>
      <c r="E1766" s="204"/>
      <c r="F1766" s="204"/>
      <c r="G1766" s="204"/>
      <c r="H1766" s="204"/>
      <c r="I1766" s="204"/>
      <c r="J1766" s="204"/>
      <c r="K1766" s="204"/>
      <c r="L1766" s="204"/>
      <c r="M1766" s="204"/>
      <c r="N1766" s="204"/>
      <c r="O1766" s="204"/>
      <c r="P1766" s="204"/>
      <c r="T1766" s="217"/>
    </row>
    <row r="1767" spans="2:20">
      <c r="B1767" s="204"/>
      <c r="C1767" s="204"/>
      <c r="D1767" s="204"/>
      <c r="E1767" s="204"/>
      <c r="F1767" s="204"/>
      <c r="G1767" s="204"/>
      <c r="H1767" s="204"/>
      <c r="I1767" s="204"/>
      <c r="J1767" s="204"/>
      <c r="K1767" s="204"/>
      <c r="L1767" s="204"/>
      <c r="M1767" s="204"/>
      <c r="N1767" s="204"/>
      <c r="O1767" s="204"/>
      <c r="P1767" s="204"/>
      <c r="T1767" s="217"/>
    </row>
    <row r="1768" spans="2:20">
      <c r="B1768" s="204"/>
      <c r="C1768" s="204"/>
      <c r="D1768" s="204"/>
      <c r="E1768" s="204"/>
      <c r="F1768" s="204"/>
      <c r="G1768" s="204"/>
      <c r="H1768" s="204"/>
      <c r="I1768" s="204"/>
      <c r="J1768" s="204"/>
      <c r="K1768" s="204"/>
      <c r="L1768" s="204"/>
      <c r="M1768" s="204"/>
      <c r="N1768" s="204"/>
      <c r="O1768" s="204"/>
      <c r="P1768" s="204"/>
      <c r="T1768" s="217"/>
    </row>
    <row r="1769" spans="2:20">
      <c r="B1769" s="204"/>
      <c r="C1769" s="204"/>
      <c r="D1769" s="204"/>
      <c r="E1769" s="204"/>
      <c r="F1769" s="204"/>
      <c r="G1769" s="204"/>
      <c r="H1769" s="204"/>
      <c r="I1769" s="204"/>
      <c r="J1769" s="204"/>
      <c r="K1769" s="204"/>
      <c r="L1769" s="204"/>
      <c r="M1769" s="204"/>
      <c r="N1769" s="204"/>
      <c r="O1769" s="204"/>
      <c r="P1769" s="204"/>
      <c r="T1769" s="217"/>
    </row>
    <row r="1770" spans="2:20">
      <c r="B1770" s="204"/>
      <c r="C1770" s="204"/>
      <c r="D1770" s="204"/>
      <c r="E1770" s="204"/>
      <c r="F1770" s="204"/>
      <c r="G1770" s="204"/>
      <c r="H1770" s="204"/>
      <c r="I1770" s="204"/>
      <c r="J1770" s="204"/>
      <c r="K1770" s="204"/>
      <c r="L1770" s="204"/>
      <c r="M1770" s="204"/>
      <c r="N1770" s="204"/>
      <c r="O1770" s="204"/>
      <c r="P1770" s="204"/>
      <c r="T1770" s="217"/>
    </row>
    <row r="1771" spans="2:20">
      <c r="B1771" s="204"/>
      <c r="C1771" s="204"/>
      <c r="D1771" s="204"/>
      <c r="E1771" s="204"/>
      <c r="F1771" s="204"/>
      <c r="G1771" s="204"/>
      <c r="H1771" s="204"/>
      <c r="I1771" s="204"/>
      <c r="J1771" s="204"/>
      <c r="K1771" s="204"/>
      <c r="L1771" s="204"/>
      <c r="M1771" s="204"/>
      <c r="N1771" s="204"/>
      <c r="O1771" s="204"/>
      <c r="P1771" s="204"/>
      <c r="T1771" s="217"/>
    </row>
    <row r="1772" spans="2:20">
      <c r="B1772" s="204"/>
      <c r="C1772" s="204"/>
      <c r="D1772" s="204"/>
      <c r="E1772" s="204"/>
      <c r="F1772" s="204"/>
      <c r="G1772" s="204"/>
      <c r="H1772" s="204"/>
      <c r="I1772" s="204"/>
      <c r="J1772" s="204"/>
      <c r="K1772" s="204"/>
      <c r="L1772" s="204"/>
      <c r="M1772" s="204"/>
      <c r="N1772" s="204"/>
      <c r="O1772" s="204"/>
      <c r="P1772" s="204"/>
      <c r="T1772" s="217"/>
    </row>
    <row r="1773" spans="2:20">
      <c r="B1773" s="204"/>
      <c r="C1773" s="204"/>
      <c r="D1773" s="204"/>
      <c r="E1773" s="204"/>
      <c r="F1773" s="204"/>
      <c r="G1773" s="204"/>
      <c r="H1773" s="204"/>
      <c r="I1773" s="204"/>
      <c r="J1773" s="204"/>
      <c r="K1773" s="204"/>
      <c r="L1773" s="204"/>
      <c r="M1773" s="204"/>
      <c r="N1773" s="204"/>
      <c r="O1773" s="204"/>
      <c r="P1773" s="204"/>
      <c r="T1773" s="217"/>
    </row>
    <row r="1774" spans="2:20">
      <c r="B1774" s="204"/>
      <c r="C1774" s="204"/>
      <c r="D1774" s="204"/>
      <c r="E1774" s="204"/>
      <c r="F1774" s="204"/>
      <c r="G1774" s="204"/>
      <c r="H1774" s="204"/>
      <c r="I1774" s="204"/>
      <c r="J1774" s="204"/>
      <c r="K1774" s="204"/>
      <c r="L1774" s="204"/>
      <c r="M1774" s="204"/>
      <c r="N1774" s="204"/>
      <c r="O1774" s="204"/>
      <c r="P1774" s="204"/>
      <c r="T1774" s="217"/>
    </row>
    <row r="1775" spans="2:20">
      <c r="B1775" s="204"/>
      <c r="C1775" s="204"/>
      <c r="D1775" s="204"/>
      <c r="E1775" s="204"/>
      <c r="F1775" s="204"/>
      <c r="G1775" s="204"/>
      <c r="H1775" s="204"/>
      <c r="I1775" s="204"/>
      <c r="J1775" s="204"/>
      <c r="K1775" s="204"/>
      <c r="L1775" s="204"/>
      <c r="M1775" s="204"/>
      <c r="N1775" s="204"/>
      <c r="O1775" s="204"/>
      <c r="P1775" s="204"/>
      <c r="T1775" s="217"/>
    </row>
    <row r="1776" spans="2:20">
      <c r="B1776" s="204"/>
      <c r="C1776" s="204"/>
      <c r="D1776" s="204"/>
      <c r="E1776" s="204"/>
      <c r="F1776" s="204"/>
      <c r="G1776" s="204"/>
      <c r="H1776" s="204"/>
      <c r="I1776" s="204"/>
      <c r="J1776" s="204"/>
      <c r="K1776" s="204"/>
      <c r="L1776" s="204"/>
      <c r="M1776" s="204"/>
      <c r="N1776" s="204"/>
      <c r="O1776" s="204"/>
      <c r="P1776" s="204"/>
      <c r="T1776" s="217"/>
    </row>
    <row r="1777" spans="2:20">
      <c r="B1777" s="204"/>
      <c r="C1777" s="204"/>
      <c r="D1777" s="204"/>
      <c r="E1777" s="204"/>
      <c r="F1777" s="204"/>
      <c r="G1777" s="204"/>
      <c r="H1777" s="204"/>
      <c r="I1777" s="204"/>
      <c r="J1777" s="204"/>
      <c r="K1777" s="204"/>
      <c r="L1777" s="204"/>
      <c r="M1777" s="204"/>
      <c r="N1777" s="204"/>
      <c r="O1777" s="204"/>
      <c r="P1777" s="204"/>
      <c r="T1777" s="217"/>
    </row>
    <row r="1778" spans="2:20">
      <c r="B1778" s="204"/>
      <c r="C1778" s="204"/>
      <c r="D1778" s="204"/>
      <c r="E1778" s="204"/>
      <c r="F1778" s="204"/>
      <c r="G1778" s="204"/>
      <c r="H1778" s="204"/>
      <c r="I1778" s="204"/>
      <c r="J1778" s="204"/>
      <c r="K1778" s="204"/>
      <c r="L1778" s="204"/>
      <c r="M1778" s="204"/>
      <c r="N1778" s="204"/>
      <c r="O1778" s="204"/>
      <c r="P1778" s="204"/>
      <c r="T1778" s="217"/>
    </row>
    <row r="1779" spans="2:20">
      <c r="B1779" s="204"/>
      <c r="C1779" s="204"/>
      <c r="D1779" s="204"/>
      <c r="E1779" s="204"/>
      <c r="F1779" s="204"/>
      <c r="G1779" s="204"/>
      <c r="H1779" s="204"/>
      <c r="I1779" s="204"/>
      <c r="J1779" s="204"/>
      <c r="K1779" s="204"/>
      <c r="L1779" s="204"/>
      <c r="M1779" s="204"/>
      <c r="N1779" s="204"/>
      <c r="O1779" s="204"/>
      <c r="P1779" s="204"/>
      <c r="T1779" s="217"/>
    </row>
    <row r="1780" spans="2:20">
      <c r="B1780" s="204"/>
      <c r="C1780" s="204"/>
      <c r="D1780" s="204"/>
      <c r="E1780" s="204"/>
      <c r="F1780" s="204"/>
      <c r="G1780" s="204"/>
      <c r="H1780" s="204"/>
      <c r="I1780" s="204"/>
      <c r="J1780" s="204"/>
      <c r="K1780" s="204"/>
      <c r="L1780" s="204"/>
      <c r="M1780" s="204"/>
      <c r="N1780" s="204"/>
      <c r="O1780" s="204"/>
      <c r="P1780" s="204"/>
      <c r="T1780" s="217"/>
    </row>
    <row r="1781" spans="2:20">
      <c r="B1781" s="204"/>
      <c r="C1781" s="204"/>
      <c r="D1781" s="204"/>
      <c r="E1781" s="204"/>
      <c r="F1781" s="204"/>
      <c r="G1781" s="204"/>
      <c r="H1781" s="204"/>
      <c r="I1781" s="204"/>
      <c r="J1781" s="204"/>
      <c r="K1781" s="204"/>
      <c r="L1781" s="204"/>
      <c r="M1781" s="204"/>
      <c r="N1781" s="204"/>
      <c r="O1781" s="204"/>
      <c r="P1781" s="204"/>
      <c r="T1781" s="217"/>
    </row>
    <row r="1782" spans="2:20">
      <c r="B1782" s="204"/>
      <c r="C1782" s="204"/>
      <c r="D1782" s="204"/>
      <c r="E1782" s="204"/>
      <c r="F1782" s="204"/>
      <c r="G1782" s="204"/>
      <c r="H1782" s="204"/>
      <c r="I1782" s="204"/>
      <c r="J1782" s="204"/>
      <c r="K1782" s="204"/>
      <c r="L1782" s="204"/>
      <c r="M1782" s="204"/>
      <c r="N1782" s="204"/>
      <c r="O1782" s="204"/>
      <c r="P1782" s="204"/>
      <c r="T1782" s="217"/>
    </row>
    <row r="1783" spans="2:20">
      <c r="B1783" s="204"/>
      <c r="C1783" s="204"/>
      <c r="D1783" s="204"/>
      <c r="E1783" s="204"/>
      <c r="F1783" s="204"/>
      <c r="G1783" s="204"/>
      <c r="H1783" s="204"/>
      <c r="I1783" s="204"/>
      <c r="J1783" s="204"/>
      <c r="K1783" s="204"/>
      <c r="L1783" s="204"/>
      <c r="M1783" s="204"/>
      <c r="N1783" s="204"/>
      <c r="O1783" s="204"/>
      <c r="P1783" s="204"/>
      <c r="T1783" s="217"/>
    </row>
    <row r="1784" spans="2:20">
      <c r="B1784" s="204"/>
      <c r="C1784" s="204"/>
      <c r="D1784" s="204"/>
      <c r="E1784" s="204"/>
      <c r="F1784" s="204"/>
      <c r="G1784" s="204"/>
      <c r="H1784" s="204"/>
      <c r="I1784" s="204"/>
      <c r="J1784" s="204"/>
      <c r="K1784" s="204"/>
      <c r="L1784" s="204"/>
      <c r="M1784" s="204"/>
      <c r="N1784" s="204"/>
      <c r="O1784" s="204"/>
      <c r="P1784" s="204"/>
      <c r="T1784" s="217"/>
    </row>
    <row r="1785" spans="2:20">
      <c r="B1785" s="204"/>
      <c r="C1785" s="204"/>
      <c r="D1785" s="204"/>
      <c r="E1785" s="204"/>
      <c r="F1785" s="204"/>
      <c r="G1785" s="204"/>
      <c r="H1785" s="204"/>
      <c r="I1785" s="204"/>
      <c r="J1785" s="204"/>
      <c r="K1785" s="204"/>
      <c r="L1785" s="204"/>
      <c r="M1785" s="204"/>
      <c r="N1785" s="204"/>
      <c r="O1785" s="204"/>
      <c r="P1785" s="204"/>
      <c r="T1785" s="217"/>
    </row>
    <row r="1786" spans="2:20">
      <c r="B1786" s="204"/>
      <c r="C1786" s="204"/>
      <c r="D1786" s="204"/>
      <c r="E1786" s="204"/>
      <c r="F1786" s="204"/>
      <c r="G1786" s="204"/>
      <c r="H1786" s="204"/>
      <c r="I1786" s="204"/>
      <c r="J1786" s="204"/>
      <c r="K1786" s="204"/>
      <c r="L1786" s="204"/>
      <c r="M1786" s="204"/>
      <c r="N1786" s="204"/>
      <c r="O1786" s="204"/>
      <c r="P1786" s="204"/>
      <c r="T1786" s="217"/>
    </row>
    <row r="1787" spans="2:20">
      <c r="B1787" s="204"/>
      <c r="C1787" s="204"/>
      <c r="D1787" s="204"/>
      <c r="E1787" s="204"/>
      <c r="F1787" s="204"/>
      <c r="G1787" s="204"/>
      <c r="H1787" s="204"/>
      <c r="I1787" s="204"/>
      <c r="J1787" s="204"/>
      <c r="K1787" s="204"/>
      <c r="L1787" s="204"/>
      <c r="M1787" s="204"/>
      <c r="N1787" s="204"/>
      <c r="O1787" s="204"/>
      <c r="P1787" s="204"/>
      <c r="T1787" s="217"/>
    </row>
    <row r="1788" spans="2:20">
      <c r="B1788" s="204"/>
      <c r="C1788" s="204"/>
      <c r="D1788" s="204"/>
      <c r="E1788" s="204"/>
      <c r="F1788" s="204"/>
      <c r="G1788" s="204"/>
      <c r="H1788" s="204"/>
      <c r="I1788" s="204"/>
      <c r="J1788" s="204"/>
      <c r="K1788" s="204"/>
      <c r="L1788" s="204"/>
      <c r="M1788" s="204"/>
      <c r="N1788" s="204"/>
      <c r="O1788" s="204"/>
      <c r="P1788" s="204"/>
      <c r="T1788" s="217"/>
    </row>
    <row r="1789" spans="2:20">
      <c r="B1789" s="204"/>
      <c r="C1789" s="204"/>
      <c r="D1789" s="204"/>
      <c r="E1789" s="204"/>
      <c r="F1789" s="204"/>
      <c r="G1789" s="204"/>
      <c r="H1789" s="204"/>
      <c r="I1789" s="204"/>
      <c r="J1789" s="204"/>
      <c r="K1789" s="204"/>
      <c r="L1789" s="204"/>
      <c r="M1789" s="204"/>
      <c r="N1789" s="204"/>
      <c r="O1789" s="204"/>
      <c r="P1789" s="204"/>
      <c r="T1789" s="217"/>
    </row>
    <row r="1790" spans="2:20">
      <c r="B1790" s="204"/>
      <c r="C1790" s="204"/>
      <c r="D1790" s="204"/>
      <c r="E1790" s="204"/>
      <c r="F1790" s="204"/>
      <c r="G1790" s="204"/>
      <c r="H1790" s="204"/>
      <c r="I1790" s="204"/>
      <c r="J1790" s="204"/>
      <c r="K1790" s="204"/>
      <c r="L1790" s="204"/>
      <c r="M1790" s="204"/>
      <c r="N1790" s="204"/>
      <c r="O1790" s="204"/>
      <c r="P1790" s="204"/>
      <c r="T1790" s="217"/>
    </row>
    <row r="1791" spans="2:20">
      <c r="B1791" s="204"/>
      <c r="C1791" s="204"/>
      <c r="D1791" s="204"/>
      <c r="E1791" s="204"/>
      <c r="F1791" s="204"/>
      <c r="G1791" s="204"/>
      <c r="H1791" s="204"/>
      <c r="I1791" s="204"/>
      <c r="J1791" s="204"/>
      <c r="K1791" s="204"/>
      <c r="L1791" s="204"/>
      <c r="M1791" s="204"/>
      <c r="N1791" s="204"/>
      <c r="O1791" s="204"/>
      <c r="P1791" s="204"/>
      <c r="T1791" s="217"/>
    </row>
    <row r="1792" spans="2:20">
      <c r="B1792" s="204"/>
      <c r="C1792" s="204"/>
      <c r="D1792" s="204"/>
      <c r="E1792" s="204"/>
      <c r="F1792" s="204"/>
      <c r="G1792" s="204"/>
      <c r="H1792" s="204"/>
      <c r="I1792" s="204"/>
      <c r="J1792" s="204"/>
      <c r="K1792" s="204"/>
      <c r="L1792" s="204"/>
      <c r="M1792" s="204"/>
      <c r="N1792" s="204"/>
      <c r="O1792" s="204"/>
      <c r="P1792" s="204"/>
      <c r="T1792" s="217"/>
    </row>
    <row r="1793" spans="2:20">
      <c r="B1793" s="204"/>
      <c r="C1793" s="204"/>
      <c r="D1793" s="204"/>
      <c r="E1793" s="204"/>
      <c r="F1793" s="204"/>
      <c r="G1793" s="204"/>
      <c r="H1793" s="204"/>
      <c r="I1793" s="204"/>
      <c r="J1793" s="204"/>
      <c r="K1793" s="204"/>
      <c r="L1793" s="204"/>
      <c r="M1793" s="204"/>
      <c r="N1793" s="204"/>
      <c r="O1793" s="204"/>
      <c r="P1793" s="204"/>
      <c r="T1793" s="217"/>
    </row>
    <row r="1794" spans="2:20">
      <c r="B1794" s="204"/>
      <c r="C1794" s="204"/>
      <c r="D1794" s="204"/>
      <c r="E1794" s="204"/>
      <c r="F1794" s="204"/>
      <c r="G1794" s="204"/>
      <c r="H1794" s="204"/>
      <c r="I1794" s="204"/>
      <c r="J1794" s="204"/>
      <c r="K1794" s="204"/>
      <c r="L1794" s="204"/>
      <c r="M1794" s="204"/>
      <c r="N1794" s="204"/>
      <c r="O1794" s="204"/>
      <c r="P1794" s="204"/>
      <c r="T1794" s="217"/>
    </row>
    <row r="1795" spans="2:20">
      <c r="B1795" s="204"/>
      <c r="C1795" s="204"/>
      <c r="D1795" s="204"/>
      <c r="E1795" s="204"/>
      <c r="F1795" s="204"/>
      <c r="G1795" s="204"/>
      <c r="H1795" s="204"/>
      <c r="I1795" s="204"/>
      <c r="J1795" s="204"/>
      <c r="K1795" s="204"/>
      <c r="L1795" s="204"/>
      <c r="M1795" s="204"/>
      <c r="N1795" s="204"/>
      <c r="O1795" s="204"/>
      <c r="P1795" s="204"/>
      <c r="T1795" s="217"/>
    </row>
    <row r="1796" spans="2:20">
      <c r="B1796" s="204"/>
      <c r="C1796" s="204"/>
      <c r="D1796" s="204"/>
      <c r="E1796" s="204"/>
      <c r="F1796" s="204"/>
      <c r="G1796" s="204"/>
      <c r="H1796" s="204"/>
      <c r="I1796" s="204"/>
      <c r="J1796" s="204"/>
      <c r="K1796" s="204"/>
      <c r="L1796" s="204"/>
      <c r="M1796" s="204"/>
      <c r="N1796" s="204"/>
      <c r="O1796" s="204"/>
      <c r="P1796" s="204"/>
      <c r="T1796" s="217"/>
    </row>
    <row r="1797" spans="2:20">
      <c r="B1797" s="204"/>
      <c r="C1797" s="204"/>
      <c r="D1797" s="204"/>
      <c r="E1797" s="204"/>
      <c r="F1797" s="204"/>
      <c r="G1797" s="204"/>
      <c r="H1797" s="204"/>
      <c r="I1797" s="204"/>
      <c r="J1797" s="204"/>
      <c r="K1797" s="204"/>
      <c r="L1797" s="204"/>
      <c r="M1797" s="204"/>
      <c r="N1797" s="204"/>
      <c r="O1797" s="204"/>
      <c r="P1797" s="204"/>
      <c r="T1797" s="217"/>
    </row>
    <row r="1798" spans="2:20">
      <c r="B1798" s="204"/>
      <c r="C1798" s="204"/>
      <c r="D1798" s="204"/>
      <c r="E1798" s="204"/>
      <c r="F1798" s="204"/>
      <c r="G1798" s="204"/>
      <c r="H1798" s="204"/>
      <c r="I1798" s="204"/>
      <c r="J1798" s="204"/>
      <c r="K1798" s="204"/>
      <c r="L1798" s="204"/>
      <c r="M1798" s="204"/>
      <c r="N1798" s="204"/>
      <c r="O1798" s="204"/>
      <c r="P1798" s="204"/>
      <c r="T1798" s="217"/>
    </row>
    <row r="1799" spans="2:20">
      <c r="B1799" s="204"/>
      <c r="C1799" s="204"/>
      <c r="D1799" s="204"/>
      <c r="E1799" s="204"/>
      <c r="F1799" s="204"/>
      <c r="G1799" s="204"/>
      <c r="H1799" s="204"/>
      <c r="I1799" s="204"/>
      <c r="J1799" s="204"/>
      <c r="K1799" s="204"/>
      <c r="L1799" s="204"/>
      <c r="M1799" s="204"/>
      <c r="N1799" s="204"/>
      <c r="O1799" s="204"/>
      <c r="P1799" s="204"/>
      <c r="T1799" s="217"/>
    </row>
    <row r="1800" spans="2:20">
      <c r="B1800" s="204"/>
      <c r="C1800" s="204"/>
      <c r="D1800" s="204"/>
      <c r="E1800" s="204"/>
      <c r="F1800" s="204"/>
      <c r="G1800" s="204"/>
      <c r="H1800" s="204"/>
      <c r="I1800" s="204"/>
      <c r="J1800" s="204"/>
      <c r="K1800" s="204"/>
      <c r="L1800" s="204"/>
      <c r="M1800" s="204"/>
      <c r="N1800" s="204"/>
      <c r="O1800" s="204"/>
      <c r="P1800" s="204"/>
      <c r="T1800" s="217"/>
    </row>
    <row r="1801" spans="2:20">
      <c r="B1801" s="204"/>
      <c r="C1801" s="204"/>
      <c r="D1801" s="204"/>
      <c r="E1801" s="204"/>
      <c r="F1801" s="204"/>
      <c r="G1801" s="204"/>
      <c r="H1801" s="204"/>
      <c r="I1801" s="204"/>
      <c r="J1801" s="204"/>
      <c r="K1801" s="204"/>
      <c r="L1801" s="204"/>
      <c r="M1801" s="204"/>
      <c r="N1801" s="204"/>
      <c r="O1801" s="204"/>
      <c r="P1801" s="204"/>
      <c r="T1801" s="217"/>
    </row>
    <row r="1802" spans="2:20">
      <c r="B1802" s="204"/>
      <c r="C1802" s="204"/>
      <c r="D1802" s="204"/>
      <c r="E1802" s="204"/>
      <c r="F1802" s="204"/>
      <c r="G1802" s="204"/>
      <c r="H1802" s="204"/>
      <c r="I1802" s="204"/>
      <c r="J1802" s="204"/>
      <c r="K1802" s="204"/>
      <c r="L1802" s="204"/>
      <c r="M1802" s="204"/>
      <c r="N1802" s="204"/>
      <c r="O1802" s="204"/>
      <c r="P1802" s="204"/>
      <c r="T1802" s="217"/>
    </row>
    <row r="1803" spans="2:20">
      <c r="B1803" s="204"/>
      <c r="C1803" s="204"/>
      <c r="D1803" s="204"/>
      <c r="E1803" s="204"/>
      <c r="F1803" s="204"/>
      <c r="G1803" s="204"/>
      <c r="H1803" s="204"/>
      <c r="I1803" s="204"/>
      <c r="J1803" s="204"/>
      <c r="K1803" s="204"/>
      <c r="L1803" s="204"/>
      <c r="M1803" s="204"/>
      <c r="N1803" s="204"/>
      <c r="O1803" s="204"/>
      <c r="P1803" s="204"/>
      <c r="T1803" s="217"/>
    </row>
    <row r="1804" spans="2:20">
      <c r="B1804" s="204"/>
      <c r="C1804" s="204"/>
      <c r="D1804" s="204"/>
      <c r="E1804" s="204"/>
      <c r="F1804" s="204"/>
      <c r="G1804" s="204"/>
      <c r="H1804" s="204"/>
      <c r="I1804" s="204"/>
      <c r="J1804" s="204"/>
      <c r="K1804" s="204"/>
      <c r="L1804" s="204"/>
      <c r="M1804" s="204"/>
      <c r="N1804" s="204"/>
      <c r="O1804" s="204"/>
      <c r="P1804" s="204"/>
      <c r="T1804" s="217"/>
    </row>
    <row r="1805" spans="2:20">
      <c r="B1805" s="204"/>
      <c r="C1805" s="204"/>
      <c r="D1805" s="204"/>
      <c r="E1805" s="204"/>
      <c r="F1805" s="204"/>
      <c r="G1805" s="204"/>
      <c r="H1805" s="204"/>
      <c r="I1805" s="204"/>
      <c r="J1805" s="204"/>
      <c r="K1805" s="204"/>
      <c r="L1805" s="204"/>
      <c r="M1805" s="204"/>
      <c r="N1805" s="204"/>
      <c r="O1805" s="204"/>
      <c r="P1805" s="204"/>
      <c r="T1805" s="217"/>
    </row>
    <row r="1806" spans="2:20">
      <c r="B1806" s="204"/>
      <c r="C1806" s="204"/>
      <c r="D1806" s="204"/>
      <c r="E1806" s="204"/>
      <c r="F1806" s="204"/>
      <c r="G1806" s="204"/>
      <c r="H1806" s="204"/>
      <c r="I1806" s="204"/>
      <c r="J1806" s="204"/>
      <c r="K1806" s="204"/>
      <c r="L1806" s="204"/>
      <c r="M1806" s="204"/>
      <c r="N1806" s="204"/>
      <c r="O1806" s="204"/>
      <c r="P1806" s="204"/>
      <c r="T1806" s="217"/>
    </row>
    <row r="1807" spans="2:20">
      <c r="B1807" s="204"/>
      <c r="C1807" s="204"/>
      <c r="D1807" s="204"/>
      <c r="E1807" s="204"/>
      <c r="F1807" s="204"/>
      <c r="G1807" s="204"/>
      <c r="H1807" s="204"/>
      <c r="I1807" s="204"/>
      <c r="J1807" s="204"/>
      <c r="K1807" s="204"/>
      <c r="L1807" s="204"/>
      <c r="M1807" s="204"/>
      <c r="N1807" s="204"/>
      <c r="O1807" s="204"/>
      <c r="P1807" s="204"/>
      <c r="T1807" s="217"/>
    </row>
    <row r="1808" spans="2:20">
      <c r="B1808" s="204"/>
      <c r="C1808" s="204"/>
      <c r="D1808" s="204"/>
      <c r="E1808" s="204"/>
      <c r="F1808" s="204"/>
      <c r="G1808" s="204"/>
      <c r="H1808" s="204"/>
      <c r="I1808" s="204"/>
      <c r="J1808" s="204"/>
      <c r="K1808" s="204"/>
      <c r="L1808" s="204"/>
      <c r="M1808" s="204"/>
      <c r="N1808" s="204"/>
      <c r="O1808" s="204"/>
      <c r="P1808" s="204"/>
      <c r="T1808" s="217"/>
    </row>
    <row r="1809" spans="2:20">
      <c r="B1809" s="204"/>
      <c r="C1809" s="204"/>
      <c r="D1809" s="204"/>
      <c r="E1809" s="204"/>
      <c r="F1809" s="204"/>
      <c r="G1809" s="204"/>
      <c r="H1809" s="204"/>
      <c r="I1809" s="204"/>
      <c r="J1809" s="204"/>
      <c r="K1809" s="204"/>
      <c r="L1809" s="204"/>
      <c r="M1809" s="204"/>
      <c r="N1809" s="204"/>
      <c r="O1809" s="204"/>
      <c r="P1809" s="204"/>
      <c r="T1809" s="217"/>
    </row>
    <row r="1810" spans="2:20">
      <c r="B1810" s="204"/>
      <c r="C1810" s="204"/>
      <c r="D1810" s="204"/>
      <c r="E1810" s="204"/>
      <c r="F1810" s="204"/>
      <c r="G1810" s="204"/>
      <c r="H1810" s="204"/>
      <c r="I1810" s="204"/>
      <c r="J1810" s="204"/>
      <c r="K1810" s="204"/>
      <c r="L1810" s="204"/>
      <c r="M1810" s="204"/>
      <c r="N1810" s="204"/>
      <c r="O1810" s="204"/>
      <c r="P1810" s="204"/>
      <c r="T1810" s="217"/>
    </row>
    <row r="1811" spans="2:20">
      <c r="B1811" s="204"/>
      <c r="C1811" s="204"/>
      <c r="D1811" s="204"/>
      <c r="E1811" s="204"/>
      <c r="F1811" s="204"/>
      <c r="G1811" s="204"/>
      <c r="H1811" s="204"/>
      <c r="I1811" s="204"/>
      <c r="J1811" s="204"/>
      <c r="K1811" s="204"/>
      <c r="L1811" s="204"/>
      <c r="M1811" s="204"/>
      <c r="N1811" s="204"/>
      <c r="O1811" s="204"/>
      <c r="P1811" s="204"/>
      <c r="T1811" s="217"/>
    </row>
    <row r="1812" spans="2:20">
      <c r="B1812" s="204"/>
      <c r="C1812" s="204"/>
      <c r="D1812" s="204"/>
      <c r="E1812" s="204"/>
      <c r="F1812" s="204"/>
      <c r="G1812" s="204"/>
      <c r="H1812" s="204"/>
      <c r="I1812" s="204"/>
      <c r="J1812" s="204"/>
      <c r="K1812" s="204"/>
      <c r="L1812" s="204"/>
      <c r="M1812" s="204"/>
      <c r="N1812" s="204"/>
      <c r="O1812" s="204"/>
      <c r="P1812" s="204"/>
      <c r="T1812" s="217"/>
    </row>
    <row r="1813" spans="2:20">
      <c r="B1813" s="204"/>
      <c r="C1813" s="204"/>
      <c r="D1813" s="204"/>
      <c r="E1813" s="204"/>
      <c r="F1813" s="204"/>
      <c r="G1813" s="204"/>
      <c r="H1813" s="204"/>
      <c r="I1813" s="204"/>
      <c r="J1813" s="204"/>
      <c r="K1813" s="204"/>
      <c r="L1813" s="204"/>
      <c r="M1813" s="204"/>
      <c r="N1813" s="204"/>
      <c r="O1813" s="204"/>
      <c r="P1813" s="204"/>
      <c r="T1813" s="217"/>
    </row>
    <row r="1814" spans="2:20">
      <c r="B1814" s="204"/>
      <c r="C1814" s="204"/>
      <c r="D1814" s="204"/>
      <c r="E1814" s="204"/>
      <c r="F1814" s="204"/>
      <c r="G1814" s="204"/>
      <c r="H1814" s="204"/>
      <c r="I1814" s="204"/>
      <c r="J1814" s="204"/>
      <c r="K1814" s="204"/>
      <c r="L1814" s="204"/>
      <c r="M1814" s="204"/>
      <c r="N1814" s="204"/>
      <c r="O1814" s="204"/>
      <c r="P1814" s="204"/>
      <c r="T1814" s="217"/>
    </row>
    <row r="1815" spans="2:20">
      <c r="B1815" s="204"/>
      <c r="C1815" s="204"/>
      <c r="D1815" s="204"/>
      <c r="E1815" s="204"/>
      <c r="F1815" s="204"/>
      <c r="G1815" s="204"/>
      <c r="H1815" s="204"/>
      <c r="I1815" s="204"/>
      <c r="J1815" s="204"/>
      <c r="K1815" s="204"/>
      <c r="L1815" s="204"/>
      <c r="M1815" s="204"/>
      <c r="N1815" s="204"/>
      <c r="O1815" s="204"/>
      <c r="P1815" s="204"/>
      <c r="T1815" s="217"/>
    </row>
    <row r="1816" spans="2:20">
      <c r="B1816" s="204"/>
      <c r="C1816" s="204"/>
      <c r="D1816" s="204"/>
      <c r="E1816" s="204"/>
      <c r="F1816" s="204"/>
      <c r="G1816" s="204"/>
      <c r="H1816" s="204"/>
      <c r="I1816" s="204"/>
      <c r="J1816" s="204"/>
      <c r="K1816" s="204"/>
      <c r="L1816" s="204"/>
      <c r="M1816" s="204"/>
      <c r="N1816" s="204"/>
      <c r="O1816" s="204"/>
      <c r="P1816" s="204"/>
      <c r="T1816" s="217"/>
    </row>
    <row r="1817" spans="2:20">
      <c r="B1817" s="204"/>
      <c r="C1817" s="204"/>
      <c r="D1817" s="204"/>
      <c r="E1817" s="204"/>
      <c r="F1817" s="204"/>
      <c r="G1817" s="204"/>
      <c r="H1817" s="204"/>
      <c r="I1817" s="204"/>
      <c r="J1817" s="204"/>
      <c r="K1817" s="204"/>
      <c r="L1817" s="204"/>
      <c r="M1817" s="204"/>
      <c r="N1817" s="204"/>
      <c r="O1817" s="204"/>
      <c r="P1817" s="204"/>
      <c r="T1817" s="217"/>
    </row>
    <row r="1818" spans="2:20">
      <c r="B1818" s="204"/>
      <c r="C1818" s="204"/>
      <c r="D1818" s="204"/>
      <c r="E1818" s="204"/>
      <c r="F1818" s="204"/>
      <c r="G1818" s="204"/>
      <c r="H1818" s="204"/>
      <c r="I1818" s="204"/>
      <c r="J1818" s="204"/>
      <c r="K1818" s="204"/>
      <c r="L1818" s="204"/>
      <c r="M1818" s="204"/>
      <c r="N1818" s="204"/>
      <c r="O1818" s="204"/>
      <c r="P1818" s="204"/>
      <c r="T1818" s="217"/>
    </row>
    <row r="1819" spans="2:20">
      <c r="B1819" s="204"/>
      <c r="C1819" s="204"/>
      <c r="D1819" s="204"/>
      <c r="E1819" s="204"/>
      <c r="F1819" s="204"/>
      <c r="G1819" s="204"/>
      <c r="H1819" s="204"/>
      <c r="I1819" s="204"/>
      <c r="J1819" s="204"/>
      <c r="K1819" s="204"/>
      <c r="L1819" s="204"/>
      <c r="M1819" s="204"/>
      <c r="N1819" s="204"/>
      <c r="O1819" s="204"/>
      <c r="P1819" s="204"/>
      <c r="T1819" s="217"/>
    </row>
    <row r="1820" spans="2:20">
      <c r="B1820" s="204"/>
      <c r="C1820" s="204"/>
      <c r="D1820" s="204"/>
      <c r="E1820" s="204"/>
      <c r="F1820" s="204"/>
      <c r="G1820" s="204"/>
      <c r="H1820" s="204"/>
      <c r="I1820" s="204"/>
      <c r="J1820" s="204"/>
      <c r="K1820" s="204"/>
      <c r="L1820" s="204"/>
      <c r="M1820" s="204"/>
      <c r="N1820" s="204"/>
      <c r="O1820" s="204"/>
      <c r="P1820" s="204"/>
      <c r="T1820" s="217"/>
    </row>
    <row r="1821" spans="2:20">
      <c r="B1821" s="204"/>
      <c r="C1821" s="204"/>
      <c r="D1821" s="204"/>
      <c r="E1821" s="204"/>
      <c r="F1821" s="204"/>
      <c r="G1821" s="204"/>
      <c r="H1821" s="204"/>
      <c r="I1821" s="204"/>
      <c r="J1821" s="204"/>
      <c r="K1821" s="204"/>
      <c r="L1821" s="204"/>
      <c r="M1821" s="204"/>
      <c r="N1821" s="204"/>
      <c r="O1821" s="204"/>
      <c r="P1821" s="204"/>
      <c r="T1821" s="217"/>
    </row>
    <row r="1822" spans="2:20">
      <c r="B1822" s="204"/>
      <c r="C1822" s="204"/>
      <c r="D1822" s="204"/>
      <c r="E1822" s="204"/>
      <c r="F1822" s="204"/>
      <c r="G1822" s="204"/>
      <c r="H1822" s="204"/>
      <c r="I1822" s="204"/>
      <c r="J1822" s="204"/>
      <c r="K1822" s="204"/>
      <c r="L1822" s="204"/>
      <c r="M1822" s="204"/>
      <c r="N1822" s="204"/>
      <c r="O1822" s="204"/>
      <c r="P1822" s="204"/>
      <c r="T1822" s="217"/>
    </row>
    <row r="1823" spans="2:20">
      <c r="B1823" s="204"/>
      <c r="C1823" s="204"/>
      <c r="D1823" s="204"/>
      <c r="E1823" s="204"/>
      <c r="F1823" s="204"/>
      <c r="G1823" s="204"/>
      <c r="H1823" s="204"/>
      <c r="I1823" s="204"/>
      <c r="J1823" s="204"/>
      <c r="K1823" s="204"/>
      <c r="L1823" s="204"/>
      <c r="M1823" s="204"/>
      <c r="N1823" s="204"/>
      <c r="O1823" s="204"/>
      <c r="P1823" s="204"/>
      <c r="T1823" s="217"/>
    </row>
    <row r="1824" spans="2:20">
      <c r="B1824" s="204"/>
      <c r="C1824" s="204"/>
      <c r="D1824" s="204"/>
      <c r="E1824" s="204"/>
      <c r="F1824" s="204"/>
      <c r="G1824" s="204"/>
      <c r="H1824" s="204"/>
      <c r="I1824" s="204"/>
      <c r="J1824" s="204"/>
      <c r="K1824" s="204"/>
      <c r="L1824" s="204"/>
      <c r="M1824" s="204"/>
      <c r="N1824" s="204"/>
      <c r="O1824" s="204"/>
      <c r="P1824" s="204"/>
      <c r="T1824" s="217"/>
    </row>
    <row r="1825" spans="2:20">
      <c r="B1825" s="204"/>
      <c r="C1825" s="204"/>
      <c r="D1825" s="204"/>
      <c r="E1825" s="204"/>
      <c r="F1825" s="204"/>
      <c r="G1825" s="204"/>
      <c r="H1825" s="204"/>
      <c r="I1825" s="204"/>
      <c r="J1825" s="204"/>
      <c r="K1825" s="204"/>
      <c r="L1825" s="204"/>
      <c r="M1825" s="204"/>
      <c r="N1825" s="204"/>
      <c r="O1825" s="204"/>
      <c r="P1825" s="204"/>
      <c r="T1825" s="217"/>
    </row>
    <row r="1826" spans="2:20">
      <c r="B1826" s="204"/>
      <c r="C1826" s="204"/>
      <c r="D1826" s="204"/>
      <c r="E1826" s="204"/>
      <c r="F1826" s="204"/>
      <c r="G1826" s="204"/>
      <c r="H1826" s="204"/>
      <c r="I1826" s="204"/>
      <c r="J1826" s="204"/>
      <c r="K1826" s="204"/>
      <c r="L1826" s="204"/>
      <c r="M1826" s="204"/>
      <c r="N1826" s="204"/>
      <c r="O1826" s="204"/>
      <c r="P1826" s="204"/>
      <c r="T1826" s="217"/>
    </row>
    <row r="1827" spans="2:20">
      <c r="B1827" s="204"/>
      <c r="C1827" s="204"/>
      <c r="D1827" s="204"/>
      <c r="E1827" s="204"/>
      <c r="F1827" s="204"/>
      <c r="G1827" s="204"/>
      <c r="H1827" s="204"/>
      <c r="I1827" s="204"/>
      <c r="J1827" s="204"/>
      <c r="K1827" s="204"/>
      <c r="L1827" s="204"/>
      <c r="M1827" s="204"/>
      <c r="N1827" s="204"/>
      <c r="O1827" s="204"/>
      <c r="P1827" s="204"/>
      <c r="T1827" s="217"/>
    </row>
    <row r="1828" spans="2:20">
      <c r="B1828" s="204"/>
      <c r="C1828" s="204"/>
      <c r="D1828" s="204"/>
      <c r="E1828" s="204"/>
      <c r="F1828" s="204"/>
      <c r="G1828" s="204"/>
      <c r="H1828" s="204"/>
      <c r="I1828" s="204"/>
      <c r="J1828" s="204"/>
      <c r="K1828" s="204"/>
      <c r="L1828" s="204"/>
      <c r="M1828" s="204"/>
      <c r="N1828" s="204"/>
      <c r="O1828" s="204"/>
      <c r="P1828" s="204"/>
      <c r="T1828" s="217"/>
    </row>
    <row r="1829" spans="2:20">
      <c r="B1829" s="204"/>
      <c r="C1829" s="204"/>
      <c r="D1829" s="204"/>
      <c r="E1829" s="204"/>
      <c r="F1829" s="204"/>
      <c r="G1829" s="204"/>
      <c r="H1829" s="204"/>
      <c r="I1829" s="204"/>
      <c r="J1829" s="204"/>
      <c r="K1829" s="204"/>
      <c r="L1829" s="204"/>
      <c r="M1829" s="204"/>
      <c r="N1829" s="204"/>
      <c r="O1829" s="204"/>
      <c r="P1829" s="204"/>
      <c r="T1829" s="217"/>
    </row>
    <row r="1830" spans="2:20">
      <c r="B1830" s="204"/>
      <c r="C1830" s="204"/>
      <c r="D1830" s="204"/>
      <c r="E1830" s="204"/>
      <c r="F1830" s="204"/>
      <c r="G1830" s="204"/>
      <c r="H1830" s="204"/>
      <c r="I1830" s="204"/>
      <c r="J1830" s="204"/>
      <c r="K1830" s="204"/>
      <c r="L1830" s="204"/>
      <c r="M1830" s="204"/>
      <c r="N1830" s="204"/>
      <c r="O1830" s="204"/>
      <c r="P1830" s="204"/>
      <c r="T1830" s="217"/>
    </row>
    <row r="1831" spans="2:20">
      <c r="B1831" s="204"/>
      <c r="C1831" s="204"/>
      <c r="D1831" s="204"/>
      <c r="E1831" s="204"/>
      <c r="F1831" s="204"/>
      <c r="G1831" s="204"/>
      <c r="H1831" s="204"/>
      <c r="I1831" s="204"/>
      <c r="J1831" s="204"/>
      <c r="K1831" s="204"/>
      <c r="L1831" s="204"/>
      <c r="M1831" s="204"/>
      <c r="N1831" s="204"/>
      <c r="O1831" s="204"/>
      <c r="P1831" s="204"/>
      <c r="T1831" s="217"/>
    </row>
    <row r="1832" spans="2:20">
      <c r="B1832" s="204"/>
      <c r="C1832" s="204"/>
      <c r="D1832" s="204"/>
      <c r="E1832" s="204"/>
      <c r="F1832" s="204"/>
      <c r="G1832" s="204"/>
      <c r="H1832" s="204"/>
      <c r="I1832" s="204"/>
      <c r="J1832" s="204"/>
      <c r="K1832" s="204"/>
      <c r="L1832" s="204"/>
      <c r="M1832" s="204"/>
      <c r="N1832" s="204"/>
      <c r="O1832" s="204"/>
      <c r="P1832" s="204"/>
      <c r="T1832" s="217"/>
    </row>
    <row r="1833" spans="2:20">
      <c r="B1833" s="204"/>
      <c r="C1833" s="204"/>
      <c r="D1833" s="204"/>
      <c r="E1833" s="204"/>
      <c r="F1833" s="204"/>
      <c r="G1833" s="204"/>
      <c r="H1833" s="204"/>
      <c r="I1833" s="204"/>
      <c r="J1833" s="204"/>
      <c r="K1833" s="204"/>
      <c r="L1833" s="204"/>
      <c r="M1833" s="204"/>
      <c r="N1833" s="204"/>
      <c r="O1833" s="204"/>
      <c r="P1833" s="204"/>
      <c r="T1833" s="217"/>
    </row>
    <row r="1834" spans="2:20">
      <c r="B1834" s="204"/>
      <c r="C1834" s="204"/>
      <c r="D1834" s="204"/>
      <c r="E1834" s="204"/>
      <c r="F1834" s="204"/>
      <c r="G1834" s="204"/>
      <c r="H1834" s="204"/>
      <c r="I1834" s="204"/>
      <c r="J1834" s="204"/>
      <c r="K1834" s="204"/>
      <c r="L1834" s="204"/>
      <c r="M1834" s="204"/>
      <c r="N1834" s="204"/>
      <c r="O1834" s="204"/>
      <c r="P1834" s="204"/>
      <c r="T1834" s="217"/>
    </row>
    <row r="1835" spans="2:20">
      <c r="B1835" s="204"/>
      <c r="C1835" s="204"/>
      <c r="D1835" s="204"/>
      <c r="E1835" s="204"/>
      <c r="F1835" s="204"/>
      <c r="G1835" s="204"/>
      <c r="H1835" s="204"/>
      <c r="I1835" s="204"/>
      <c r="J1835" s="204"/>
      <c r="K1835" s="204"/>
      <c r="L1835" s="204"/>
      <c r="M1835" s="204"/>
      <c r="N1835" s="204"/>
      <c r="O1835" s="204"/>
      <c r="P1835" s="204"/>
      <c r="T1835" s="217"/>
    </row>
    <row r="1836" spans="2:20">
      <c r="B1836" s="204"/>
      <c r="C1836" s="204"/>
      <c r="D1836" s="204"/>
      <c r="E1836" s="204"/>
      <c r="F1836" s="204"/>
      <c r="G1836" s="204"/>
      <c r="H1836" s="204"/>
      <c r="I1836" s="204"/>
      <c r="J1836" s="204"/>
      <c r="K1836" s="204"/>
      <c r="L1836" s="204"/>
      <c r="M1836" s="204"/>
      <c r="N1836" s="204"/>
      <c r="O1836" s="204"/>
      <c r="P1836" s="204"/>
      <c r="T1836" s="217"/>
    </row>
    <row r="1837" spans="2:20">
      <c r="B1837" s="204"/>
      <c r="C1837" s="204"/>
      <c r="D1837" s="204"/>
      <c r="E1837" s="204"/>
      <c r="F1837" s="204"/>
      <c r="G1837" s="204"/>
      <c r="H1837" s="204"/>
      <c r="I1837" s="204"/>
      <c r="J1837" s="204"/>
      <c r="K1837" s="204"/>
      <c r="L1837" s="204"/>
      <c r="M1837" s="204"/>
      <c r="N1837" s="204"/>
      <c r="O1837" s="204"/>
      <c r="P1837" s="204"/>
      <c r="T1837" s="217"/>
    </row>
    <row r="1838" spans="2:20">
      <c r="B1838" s="204"/>
      <c r="C1838" s="204"/>
      <c r="D1838" s="204"/>
      <c r="E1838" s="204"/>
      <c r="F1838" s="204"/>
      <c r="G1838" s="204"/>
      <c r="H1838" s="204"/>
      <c r="I1838" s="204"/>
      <c r="J1838" s="204"/>
      <c r="K1838" s="204"/>
      <c r="L1838" s="204"/>
      <c r="M1838" s="204"/>
      <c r="N1838" s="204"/>
      <c r="O1838" s="204"/>
      <c r="P1838" s="204"/>
      <c r="T1838" s="217"/>
    </row>
    <row r="1839" spans="2:20">
      <c r="B1839" s="204"/>
      <c r="C1839" s="204"/>
      <c r="D1839" s="204"/>
      <c r="E1839" s="204"/>
      <c r="F1839" s="204"/>
      <c r="G1839" s="204"/>
      <c r="H1839" s="204"/>
      <c r="I1839" s="204"/>
      <c r="J1839" s="204"/>
      <c r="K1839" s="204"/>
      <c r="L1839" s="204"/>
      <c r="M1839" s="204"/>
      <c r="N1839" s="204"/>
      <c r="O1839" s="204"/>
      <c r="P1839" s="204"/>
      <c r="T1839" s="217"/>
    </row>
    <row r="1840" spans="2:20">
      <c r="B1840" s="204"/>
      <c r="C1840" s="204"/>
      <c r="D1840" s="204"/>
      <c r="E1840" s="204"/>
      <c r="F1840" s="204"/>
      <c r="G1840" s="204"/>
      <c r="H1840" s="204"/>
      <c r="I1840" s="204"/>
      <c r="J1840" s="204"/>
      <c r="K1840" s="204"/>
      <c r="L1840" s="204"/>
      <c r="M1840" s="204"/>
      <c r="N1840" s="204"/>
      <c r="O1840" s="204"/>
      <c r="P1840" s="204"/>
      <c r="T1840" s="217"/>
    </row>
    <row r="1841" spans="2:20">
      <c r="B1841" s="204"/>
      <c r="C1841" s="204"/>
      <c r="D1841" s="204"/>
      <c r="E1841" s="204"/>
      <c r="F1841" s="204"/>
      <c r="G1841" s="204"/>
      <c r="H1841" s="204"/>
      <c r="I1841" s="204"/>
      <c r="J1841" s="204"/>
      <c r="K1841" s="204"/>
      <c r="L1841" s="204"/>
      <c r="M1841" s="204"/>
      <c r="N1841" s="204"/>
      <c r="O1841" s="204"/>
      <c r="P1841" s="204"/>
      <c r="T1841" s="217"/>
    </row>
    <row r="1842" spans="2:20">
      <c r="B1842" s="204"/>
      <c r="C1842" s="204"/>
      <c r="D1842" s="204"/>
      <c r="E1842" s="204"/>
      <c r="F1842" s="204"/>
      <c r="G1842" s="204"/>
      <c r="H1842" s="204"/>
      <c r="I1842" s="204"/>
      <c r="J1842" s="204"/>
      <c r="K1842" s="204"/>
      <c r="L1842" s="204"/>
      <c r="M1842" s="204"/>
      <c r="N1842" s="204"/>
      <c r="O1842" s="204"/>
      <c r="P1842" s="204"/>
      <c r="T1842" s="217"/>
    </row>
    <row r="1843" spans="2:20">
      <c r="B1843" s="204"/>
      <c r="C1843" s="204"/>
      <c r="D1843" s="204"/>
      <c r="E1843" s="204"/>
      <c r="F1843" s="204"/>
      <c r="G1843" s="204"/>
      <c r="H1843" s="204"/>
      <c r="I1843" s="204"/>
      <c r="J1843" s="204"/>
      <c r="K1843" s="204"/>
      <c r="L1843" s="204"/>
      <c r="M1843" s="204"/>
      <c r="N1843" s="204"/>
      <c r="O1843" s="204"/>
      <c r="P1843" s="204"/>
      <c r="T1843" s="217"/>
    </row>
    <row r="1844" spans="2:20">
      <c r="B1844" s="204"/>
      <c r="C1844" s="204"/>
      <c r="D1844" s="204"/>
      <c r="E1844" s="204"/>
      <c r="F1844" s="204"/>
      <c r="G1844" s="204"/>
      <c r="H1844" s="204"/>
      <c r="I1844" s="204"/>
      <c r="J1844" s="204"/>
      <c r="K1844" s="204"/>
      <c r="L1844" s="204"/>
      <c r="M1844" s="204"/>
      <c r="N1844" s="204"/>
      <c r="O1844" s="204"/>
      <c r="P1844" s="204"/>
      <c r="T1844" s="217"/>
    </row>
    <row r="1845" spans="2:20">
      <c r="B1845" s="204"/>
      <c r="C1845" s="204"/>
      <c r="D1845" s="204"/>
      <c r="E1845" s="204"/>
      <c r="F1845" s="204"/>
      <c r="G1845" s="204"/>
      <c r="H1845" s="204"/>
      <c r="I1845" s="204"/>
      <c r="J1845" s="204"/>
      <c r="K1845" s="204"/>
      <c r="L1845" s="204"/>
      <c r="M1845" s="204"/>
      <c r="N1845" s="204"/>
      <c r="O1845" s="204"/>
      <c r="P1845" s="204"/>
      <c r="T1845" s="217"/>
    </row>
    <row r="1846" spans="2:20">
      <c r="B1846" s="204"/>
      <c r="C1846" s="204"/>
      <c r="D1846" s="204"/>
      <c r="E1846" s="204"/>
      <c r="F1846" s="204"/>
      <c r="G1846" s="204"/>
      <c r="H1846" s="204"/>
      <c r="I1846" s="204"/>
      <c r="J1846" s="204"/>
      <c r="K1846" s="204"/>
      <c r="L1846" s="204"/>
      <c r="M1846" s="204"/>
      <c r="N1846" s="204"/>
      <c r="O1846" s="204"/>
      <c r="P1846" s="204"/>
      <c r="T1846" s="217"/>
    </row>
    <row r="1847" spans="2:20">
      <c r="B1847" s="204"/>
      <c r="C1847" s="204"/>
      <c r="D1847" s="204"/>
      <c r="E1847" s="204"/>
      <c r="F1847" s="204"/>
      <c r="G1847" s="204"/>
      <c r="H1847" s="204"/>
      <c r="I1847" s="204"/>
      <c r="J1847" s="204"/>
      <c r="K1847" s="204"/>
      <c r="L1847" s="204"/>
      <c r="M1847" s="204"/>
      <c r="N1847" s="204"/>
      <c r="O1847" s="204"/>
      <c r="P1847" s="204"/>
      <c r="T1847" s="217"/>
    </row>
    <row r="1848" spans="2:20">
      <c r="B1848" s="204"/>
      <c r="C1848" s="204"/>
      <c r="D1848" s="204"/>
      <c r="E1848" s="204"/>
      <c r="F1848" s="204"/>
      <c r="G1848" s="204"/>
      <c r="H1848" s="204"/>
      <c r="I1848" s="204"/>
      <c r="J1848" s="204"/>
      <c r="K1848" s="204"/>
      <c r="L1848" s="204"/>
      <c r="M1848" s="204"/>
      <c r="N1848" s="204"/>
      <c r="O1848" s="204"/>
      <c r="P1848" s="204"/>
      <c r="T1848" s="217"/>
    </row>
    <row r="1849" spans="2:20">
      <c r="B1849" s="204"/>
      <c r="C1849" s="204"/>
      <c r="D1849" s="204"/>
      <c r="E1849" s="204"/>
      <c r="F1849" s="204"/>
      <c r="G1849" s="204"/>
      <c r="H1849" s="204"/>
      <c r="I1849" s="204"/>
      <c r="J1849" s="204"/>
      <c r="K1849" s="204"/>
      <c r="L1849" s="204"/>
      <c r="M1849" s="204"/>
      <c r="N1849" s="204"/>
      <c r="O1849" s="204"/>
      <c r="P1849" s="204"/>
      <c r="T1849" s="217"/>
    </row>
    <row r="1850" spans="2:20">
      <c r="B1850" s="204"/>
      <c r="C1850" s="204"/>
      <c r="D1850" s="204"/>
      <c r="E1850" s="204"/>
      <c r="F1850" s="204"/>
      <c r="G1850" s="204"/>
      <c r="H1850" s="204"/>
      <c r="I1850" s="204"/>
      <c r="J1850" s="204"/>
      <c r="K1850" s="204"/>
      <c r="L1850" s="204"/>
      <c r="M1850" s="204"/>
      <c r="N1850" s="204"/>
      <c r="O1850" s="204"/>
      <c r="P1850" s="204"/>
      <c r="T1850" s="217"/>
    </row>
    <row r="1851" spans="2:20">
      <c r="B1851" s="204"/>
      <c r="C1851" s="204"/>
      <c r="D1851" s="204"/>
      <c r="E1851" s="204"/>
      <c r="F1851" s="204"/>
      <c r="G1851" s="204"/>
      <c r="H1851" s="204"/>
      <c r="I1851" s="204"/>
      <c r="J1851" s="204"/>
      <c r="K1851" s="204"/>
      <c r="L1851" s="204"/>
      <c r="M1851" s="204"/>
      <c r="N1851" s="204"/>
      <c r="O1851" s="204"/>
      <c r="P1851" s="204"/>
      <c r="T1851" s="217"/>
    </row>
    <row r="1852" spans="2:20">
      <c r="B1852" s="204"/>
      <c r="C1852" s="204"/>
      <c r="D1852" s="204"/>
      <c r="E1852" s="204"/>
      <c r="F1852" s="204"/>
      <c r="G1852" s="204"/>
      <c r="H1852" s="204"/>
      <c r="I1852" s="204"/>
      <c r="J1852" s="204"/>
      <c r="K1852" s="204"/>
      <c r="L1852" s="204"/>
      <c r="M1852" s="204"/>
      <c r="N1852" s="204"/>
      <c r="O1852" s="204"/>
      <c r="P1852" s="204"/>
      <c r="T1852" s="217"/>
    </row>
    <row r="1853" spans="2:20">
      <c r="B1853" s="204"/>
      <c r="C1853" s="204"/>
      <c r="D1853" s="204"/>
      <c r="E1853" s="204"/>
      <c r="F1853" s="204"/>
      <c r="G1853" s="204"/>
      <c r="H1853" s="204"/>
      <c r="I1853" s="204"/>
      <c r="J1853" s="204"/>
      <c r="K1853" s="204"/>
      <c r="L1853" s="204"/>
      <c r="M1853" s="204"/>
      <c r="N1853" s="204"/>
      <c r="O1853" s="204"/>
      <c r="P1853" s="204"/>
      <c r="T1853" s="217"/>
    </row>
    <row r="1854" spans="2:20">
      <c r="B1854" s="204"/>
      <c r="C1854" s="204"/>
      <c r="D1854" s="204"/>
      <c r="E1854" s="204"/>
      <c r="F1854" s="204"/>
      <c r="G1854" s="204"/>
      <c r="H1854" s="204"/>
      <c r="I1854" s="204"/>
      <c r="J1854" s="204"/>
      <c r="K1854" s="204"/>
      <c r="L1854" s="204"/>
      <c r="M1854" s="204"/>
      <c r="N1854" s="204"/>
      <c r="O1854" s="204"/>
      <c r="P1854" s="204"/>
      <c r="T1854" s="217"/>
    </row>
    <row r="1855" spans="2:20">
      <c r="B1855" s="204"/>
      <c r="C1855" s="204"/>
      <c r="D1855" s="204"/>
      <c r="E1855" s="204"/>
      <c r="F1855" s="204"/>
      <c r="G1855" s="204"/>
      <c r="H1855" s="204"/>
      <c r="I1855" s="204"/>
      <c r="J1855" s="204"/>
      <c r="K1855" s="204"/>
      <c r="L1855" s="204"/>
      <c r="M1855" s="204"/>
      <c r="N1855" s="204"/>
      <c r="O1855" s="204"/>
      <c r="P1855" s="204"/>
      <c r="T1855" s="217"/>
    </row>
    <row r="1856" spans="2:20">
      <c r="B1856" s="204"/>
      <c r="C1856" s="204"/>
      <c r="D1856" s="204"/>
      <c r="E1856" s="204"/>
      <c r="F1856" s="204"/>
      <c r="G1856" s="204"/>
      <c r="H1856" s="204"/>
      <c r="I1856" s="204"/>
      <c r="J1856" s="204"/>
      <c r="K1856" s="204"/>
      <c r="L1856" s="204"/>
      <c r="M1856" s="204"/>
      <c r="N1856" s="204"/>
      <c r="O1856" s="204"/>
      <c r="P1856" s="204"/>
      <c r="T1856" s="217"/>
    </row>
    <row r="1857" spans="2:20">
      <c r="B1857" s="204"/>
      <c r="C1857" s="204"/>
      <c r="D1857" s="204"/>
      <c r="E1857" s="204"/>
      <c r="F1857" s="204"/>
      <c r="G1857" s="204"/>
      <c r="H1857" s="204"/>
      <c r="I1857" s="204"/>
      <c r="J1857" s="204"/>
      <c r="K1857" s="204"/>
      <c r="L1857" s="204"/>
      <c r="M1857" s="204"/>
      <c r="N1857" s="204"/>
      <c r="O1857" s="204"/>
      <c r="P1857" s="204"/>
      <c r="T1857" s="217"/>
    </row>
    <row r="1858" spans="2:20">
      <c r="B1858" s="204"/>
      <c r="C1858" s="204"/>
      <c r="D1858" s="204"/>
      <c r="E1858" s="204"/>
      <c r="F1858" s="204"/>
      <c r="G1858" s="204"/>
      <c r="H1858" s="204"/>
      <c r="I1858" s="204"/>
      <c r="J1858" s="204"/>
      <c r="K1858" s="204"/>
      <c r="L1858" s="204"/>
      <c r="M1858" s="204"/>
      <c r="N1858" s="204"/>
      <c r="O1858" s="204"/>
      <c r="P1858" s="204"/>
      <c r="T1858" s="217"/>
    </row>
    <row r="1859" spans="2:20">
      <c r="B1859" s="204"/>
      <c r="C1859" s="204"/>
      <c r="D1859" s="204"/>
      <c r="E1859" s="204"/>
      <c r="F1859" s="204"/>
      <c r="G1859" s="204"/>
      <c r="H1859" s="204"/>
      <c r="I1859" s="204"/>
      <c r="J1859" s="204"/>
      <c r="K1859" s="204"/>
      <c r="L1859" s="204"/>
      <c r="M1859" s="204"/>
      <c r="N1859" s="204"/>
      <c r="O1859" s="204"/>
      <c r="P1859" s="204"/>
      <c r="T1859" s="217"/>
    </row>
    <row r="1860" spans="2:20">
      <c r="B1860" s="204"/>
      <c r="C1860" s="204"/>
      <c r="D1860" s="204"/>
      <c r="E1860" s="204"/>
      <c r="F1860" s="204"/>
      <c r="G1860" s="204"/>
      <c r="H1860" s="204"/>
      <c r="I1860" s="204"/>
      <c r="J1860" s="204"/>
      <c r="K1860" s="204"/>
      <c r="L1860" s="204"/>
      <c r="M1860" s="204"/>
      <c r="N1860" s="204"/>
      <c r="O1860" s="204"/>
      <c r="P1860" s="204"/>
      <c r="T1860" s="217"/>
    </row>
    <row r="1861" spans="2:20">
      <c r="B1861" s="204"/>
      <c r="C1861" s="204"/>
      <c r="D1861" s="204"/>
      <c r="E1861" s="204"/>
      <c r="F1861" s="204"/>
      <c r="G1861" s="204"/>
      <c r="H1861" s="204"/>
      <c r="I1861" s="204"/>
      <c r="J1861" s="204"/>
      <c r="K1861" s="204"/>
      <c r="L1861" s="204"/>
      <c r="M1861" s="204"/>
      <c r="N1861" s="204"/>
      <c r="O1861" s="204"/>
      <c r="P1861" s="204"/>
      <c r="T1861" s="217"/>
    </row>
    <row r="1862" spans="2:20">
      <c r="B1862" s="204"/>
      <c r="C1862" s="204"/>
      <c r="D1862" s="204"/>
      <c r="E1862" s="204"/>
      <c r="F1862" s="204"/>
      <c r="G1862" s="204"/>
      <c r="H1862" s="204"/>
      <c r="I1862" s="204"/>
      <c r="J1862" s="204"/>
      <c r="K1862" s="204"/>
      <c r="L1862" s="204"/>
      <c r="M1862" s="204"/>
      <c r="N1862" s="204"/>
      <c r="O1862" s="204"/>
      <c r="P1862" s="204"/>
      <c r="T1862" s="217"/>
    </row>
    <row r="1863" spans="2:20">
      <c r="B1863" s="204"/>
      <c r="C1863" s="204"/>
      <c r="D1863" s="204"/>
      <c r="E1863" s="204"/>
      <c r="F1863" s="204"/>
      <c r="G1863" s="204"/>
      <c r="H1863" s="204"/>
      <c r="I1863" s="204"/>
      <c r="J1863" s="204"/>
      <c r="K1863" s="204"/>
      <c r="L1863" s="204"/>
      <c r="M1863" s="204"/>
      <c r="N1863" s="204"/>
      <c r="O1863" s="204"/>
      <c r="P1863" s="204"/>
      <c r="T1863" s="217"/>
    </row>
    <row r="1864" spans="2:20">
      <c r="B1864" s="204"/>
      <c r="C1864" s="204"/>
      <c r="D1864" s="204"/>
      <c r="E1864" s="204"/>
      <c r="F1864" s="204"/>
      <c r="G1864" s="204"/>
      <c r="H1864" s="204"/>
      <c r="I1864" s="204"/>
      <c r="J1864" s="204"/>
      <c r="K1864" s="204"/>
      <c r="L1864" s="204"/>
      <c r="M1864" s="204"/>
      <c r="N1864" s="204"/>
      <c r="O1864" s="204"/>
      <c r="P1864" s="204"/>
      <c r="T1864" s="217"/>
    </row>
    <row r="1865" spans="2:20">
      <c r="B1865" s="204"/>
      <c r="C1865" s="204"/>
      <c r="D1865" s="204"/>
      <c r="E1865" s="204"/>
      <c r="F1865" s="204"/>
      <c r="G1865" s="204"/>
      <c r="H1865" s="204"/>
      <c r="I1865" s="204"/>
      <c r="J1865" s="204"/>
      <c r="K1865" s="204"/>
      <c r="L1865" s="204"/>
      <c r="M1865" s="204"/>
      <c r="N1865" s="204"/>
      <c r="O1865" s="204"/>
      <c r="P1865" s="204"/>
      <c r="T1865" s="217"/>
    </row>
    <row r="1866" spans="2:20">
      <c r="B1866" s="204"/>
      <c r="C1866" s="204"/>
      <c r="D1866" s="204"/>
      <c r="E1866" s="204"/>
      <c r="F1866" s="204"/>
      <c r="G1866" s="204"/>
      <c r="H1866" s="204"/>
      <c r="I1866" s="204"/>
      <c r="J1866" s="204"/>
      <c r="K1866" s="204"/>
      <c r="L1866" s="204"/>
      <c r="M1866" s="204"/>
      <c r="N1866" s="204"/>
      <c r="O1866" s="204"/>
      <c r="P1866" s="204"/>
      <c r="T1866" s="217"/>
    </row>
    <row r="1867" spans="2:20">
      <c r="B1867" s="204"/>
      <c r="C1867" s="204"/>
      <c r="D1867" s="204"/>
      <c r="E1867" s="204"/>
      <c r="F1867" s="204"/>
      <c r="G1867" s="204"/>
      <c r="H1867" s="204"/>
      <c r="I1867" s="204"/>
      <c r="J1867" s="204"/>
      <c r="K1867" s="204"/>
      <c r="L1867" s="204"/>
      <c r="M1867" s="204"/>
      <c r="N1867" s="204"/>
      <c r="O1867" s="204"/>
      <c r="P1867" s="204"/>
      <c r="T1867" s="217"/>
    </row>
    <row r="1868" spans="2:20">
      <c r="B1868" s="204"/>
      <c r="C1868" s="204"/>
      <c r="D1868" s="204"/>
      <c r="E1868" s="204"/>
      <c r="F1868" s="204"/>
      <c r="G1868" s="204"/>
      <c r="H1868" s="204"/>
      <c r="I1868" s="204"/>
      <c r="J1868" s="204"/>
      <c r="K1868" s="204"/>
      <c r="L1868" s="204"/>
      <c r="M1868" s="204"/>
      <c r="N1868" s="204"/>
      <c r="O1868" s="204"/>
      <c r="P1868" s="204"/>
      <c r="T1868" s="217"/>
    </row>
    <row r="1869" spans="2:20">
      <c r="B1869" s="204"/>
      <c r="C1869" s="204"/>
      <c r="D1869" s="204"/>
      <c r="E1869" s="204"/>
      <c r="F1869" s="204"/>
      <c r="G1869" s="204"/>
      <c r="H1869" s="204"/>
      <c r="I1869" s="204"/>
      <c r="J1869" s="204"/>
      <c r="K1869" s="204"/>
      <c r="L1869" s="204"/>
      <c r="M1869" s="204"/>
      <c r="N1869" s="204"/>
      <c r="O1869" s="204"/>
      <c r="P1869" s="204"/>
      <c r="T1869" s="217"/>
    </row>
    <row r="1870" spans="2:20">
      <c r="B1870" s="204"/>
      <c r="C1870" s="204"/>
      <c r="D1870" s="204"/>
      <c r="E1870" s="204"/>
      <c r="F1870" s="204"/>
      <c r="G1870" s="204"/>
      <c r="H1870" s="204"/>
      <c r="I1870" s="204"/>
      <c r="J1870" s="204"/>
      <c r="K1870" s="204"/>
      <c r="L1870" s="204"/>
      <c r="M1870" s="204"/>
      <c r="N1870" s="204"/>
      <c r="O1870" s="204"/>
      <c r="P1870" s="204"/>
      <c r="T1870" s="217"/>
    </row>
    <row r="1871" spans="2:20">
      <c r="B1871" s="204"/>
      <c r="C1871" s="204"/>
      <c r="D1871" s="204"/>
      <c r="E1871" s="204"/>
      <c r="F1871" s="204"/>
      <c r="G1871" s="204"/>
      <c r="H1871" s="204"/>
      <c r="I1871" s="204"/>
      <c r="J1871" s="204"/>
      <c r="K1871" s="204"/>
      <c r="L1871" s="204"/>
      <c r="M1871" s="204"/>
      <c r="N1871" s="204"/>
      <c r="O1871" s="204"/>
      <c r="P1871" s="204"/>
      <c r="T1871" s="217"/>
    </row>
    <row r="1872" spans="2:20">
      <c r="B1872" s="204"/>
      <c r="C1872" s="204"/>
      <c r="D1872" s="204"/>
      <c r="E1872" s="204"/>
      <c r="F1872" s="204"/>
      <c r="G1872" s="204"/>
      <c r="H1872" s="204"/>
      <c r="I1872" s="204"/>
      <c r="J1872" s="204"/>
      <c r="K1872" s="204"/>
      <c r="L1872" s="204"/>
      <c r="M1872" s="204"/>
      <c r="N1872" s="204"/>
      <c r="O1872" s="204"/>
      <c r="P1872" s="204"/>
      <c r="T1872" s="217"/>
    </row>
    <row r="1873" spans="2:20">
      <c r="B1873" s="204"/>
      <c r="C1873" s="204"/>
      <c r="D1873" s="204"/>
      <c r="E1873" s="204"/>
      <c r="F1873" s="204"/>
      <c r="G1873" s="204"/>
      <c r="H1873" s="204"/>
      <c r="I1873" s="204"/>
      <c r="J1873" s="204"/>
      <c r="K1873" s="204"/>
      <c r="L1873" s="204"/>
      <c r="M1873" s="204"/>
      <c r="N1873" s="204"/>
      <c r="O1873" s="204"/>
      <c r="P1873" s="204"/>
      <c r="T1873" s="217"/>
    </row>
    <row r="1874" spans="2:20">
      <c r="B1874" s="204"/>
      <c r="C1874" s="204"/>
      <c r="D1874" s="204"/>
      <c r="E1874" s="204"/>
      <c r="F1874" s="204"/>
      <c r="G1874" s="204"/>
      <c r="H1874" s="204"/>
      <c r="I1874" s="204"/>
      <c r="J1874" s="204"/>
      <c r="K1874" s="204"/>
      <c r="L1874" s="204"/>
      <c r="M1874" s="204"/>
      <c r="N1874" s="204"/>
      <c r="O1874" s="204"/>
      <c r="P1874" s="204"/>
      <c r="T1874" s="217"/>
    </row>
    <row r="1875" spans="2:20">
      <c r="B1875" s="204"/>
      <c r="C1875" s="204"/>
      <c r="D1875" s="204"/>
      <c r="E1875" s="204"/>
      <c r="F1875" s="204"/>
      <c r="G1875" s="204"/>
      <c r="H1875" s="204"/>
      <c r="I1875" s="204"/>
      <c r="J1875" s="204"/>
      <c r="K1875" s="204"/>
      <c r="L1875" s="204"/>
      <c r="M1875" s="204"/>
      <c r="N1875" s="204"/>
      <c r="O1875" s="204"/>
      <c r="P1875" s="204"/>
      <c r="T1875" s="217"/>
    </row>
    <row r="1876" spans="2:20">
      <c r="B1876" s="204"/>
      <c r="C1876" s="204"/>
      <c r="D1876" s="204"/>
      <c r="E1876" s="204"/>
      <c r="F1876" s="204"/>
      <c r="G1876" s="204"/>
      <c r="H1876" s="204"/>
      <c r="I1876" s="204"/>
      <c r="J1876" s="204"/>
      <c r="K1876" s="204"/>
      <c r="L1876" s="204"/>
      <c r="M1876" s="204"/>
      <c r="N1876" s="204"/>
      <c r="O1876" s="204"/>
      <c r="P1876" s="204"/>
      <c r="T1876" s="217"/>
    </row>
    <row r="1877" spans="2:20">
      <c r="B1877" s="204"/>
      <c r="C1877" s="204"/>
      <c r="D1877" s="204"/>
      <c r="E1877" s="204"/>
      <c r="F1877" s="204"/>
      <c r="G1877" s="204"/>
      <c r="H1877" s="204"/>
      <c r="I1877" s="204"/>
      <c r="J1877" s="204"/>
      <c r="K1877" s="204"/>
      <c r="L1877" s="204"/>
      <c r="M1877" s="204"/>
      <c r="N1877" s="204"/>
      <c r="O1877" s="204"/>
      <c r="P1877" s="204"/>
      <c r="T1877" s="217"/>
    </row>
    <row r="1878" spans="2:20">
      <c r="B1878" s="204"/>
      <c r="C1878" s="204"/>
      <c r="D1878" s="204"/>
      <c r="E1878" s="204"/>
      <c r="F1878" s="204"/>
      <c r="G1878" s="204"/>
      <c r="H1878" s="204"/>
      <c r="I1878" s="204"/>
      <c r="J1878" s="204"/>
      <c r="K1878" s="204"/>
      <c r="L1878" s="204"/>
      <c r="M1878" s="204"/>
      <c r="N1878" s="204"/>
      <c r="O1878" s="204"/>
      <c r="P1878" s="204"/>
      <c r="T1878" s="217"/>
    </row>
    <row r="1879" spans="2:20">
      <c r="B1879" s="204"/>
      <c r="C1879" s="204"/>
      <c r="D1879" s="204"/>
      <c r="E1879" s="204"/>
      <c r="F1879" s="204"/>
      <c r="G1879" s="204"/>
      <c r="H1879" s="204"/>
      <c r="I1879" s="204"/>
      <c r="J1879" s="204"/>
      <c r="K1879" s="204"/>
      <c r="L1879" s="204"/>
      <c r="M1879" s="204"/>
      <c r="N1879" s="204"/>
      <c r="O1879" s="204"/>
      <c r="P1879" s="204"/>
      <c r="T1879" s="217"/>
    </row>
    <row r="1880" spans="2:20">
      <c r="B1880" s="204"/>
      <c r="C1880" s="204"/>
      <c r="D1880" s="204"/>
      <c r="E1880" s="204"/>
      <c r="F1880" s="204"/>
      <c r="G1880" s="204"/>
      <c r="H1880" s="204"/>
      <c r="I1880" s="204"/>
      <c r="J1880" s="204"/>
      <c r="K1880" s="204"/>
      <c r="L1880" s="204"/>
      <c r="M1880" s="204"/>
      <c r="N1880" s="204"/>
      <c r="O1880" s="204"/>
      <c r="P1880" s="204"/>
      <c r="T1880" s="217"/>
    </row>
    <row r="1881" spans="2:20">
      <c r="B1881" s="204"/>
      <c r="C1881" s="204"/>
      <c r="D1881" s="204"/>
      <c r="E1881" s="204"/>
      <c r="F1881" s="204"/>
      <c r="G1881" s="204"/>
      <c r="H1881" s="204"/>
      <c r="I1881" s="204"/>
      <c r="J1881" s="204"/>
      <c r="K1881" s="204"/>
      <c r="L1881" s="204"/>
      <c r="M1881" s="204"/>
      <c r="N1881" s="204"/>
      <c r="O1881" s="204"/>
      <c r="P1881" s="204"/>
      <c r="T1881" s="217"/>
    </row>
    <row r="1882" spans="2:20">
      <c r="B1882" s="204"/>
      <c r="C1882" s="204"/>
      <c r="D1882" s="204"/>
      <c r="E1882" s="204"/>
      <c r="F1882" s="204"/>
      <c r="G1882" s="204"/>
      <c r="H1882" s="204"/>
      <c r="I1882" s="204"/>
      <c r="J1882" s="204"/>
      <c r="K1882" s="204"/>
      <c r="L1882" s="204"/>
      <c r="M1882" s="204"/>
      <c r="N1882" s="204"/>
      <c r="O1882" s="204"/>
      <c r="P1882" s="204"/>
      <c r="T1882" s="217"/>
    </row>
    <row r="1883" spans="2:20">
      <c r="B1883" s="204"/>
      <c r="C1883" s="204"/>
      <c r="D1883" s="204"/>
      <c r="E1883" s="204"/>
      <c r="F1883" s="204"/>
      <c r="G1883" s="204"/>
      <c r="H1883" s="204"/>
      <c r="I1883" s="204"/>
      <c r="J1883" s="204"/>
      <c r="K1883" s="204"/>
      <c r="L1883" s="204"/>
      <c r="M1883" s="204"/>
      <c r="N1883" s="204"/>
      <c r="O1883" s="204"/>
      <c r="P1883" s="204"/>
      <c r="T1883" s="217"/>
    </row>
    <row r="1884" spans="2:20">
      <c r="B1884" s="204"/>
      <c r="C1884" s="204"/>
      <c r="D1884" s="204"/>
      <c r="E1884" s="204"/>
      <c r="F1884" s="204"/>
      <c r="G1884" s="204"/>
      <c r="H1884" s="204"/>
      <c r="I1884" s="204"/>
      <c r="J1884" s="204"/>
      <c r="K1884" s="204"/>
      <c r="L1884" s="204"/>
      <c r="M1884" s="204"/>
      <c r="N1884" s="204"/>
      <c r="O1884" s="204"/>
      <c r="P1884" s="204"/>
      <c r="T1884" s="217"/>
    </row>
    <row r="1885" spans="2:20">
      <c r="B1885" s="204"/>
      <c r="C1885" s="204"/>
      <c r="D1885" s="204"/>
      <c r="E1885" s="204"/>
      <c r="F1885" s="204"/>
      <c r="G1885" s="204"/>
      <c r="H1885" s="204"/>
      <c r="I1885" s="204"/>
      <c r="J1885" s="204"/>
      <c r="K1885" s="204"/>
      <c r="L1885" s="204"/>
      <c r="M1885" s="204"/>
      <c r="N1885" s="204"/>
      <c r="O1885" s="204"/>
      <c r="P1885" s="204"/>
      <c r="T1885" s="217"/>
    </row>
    <row r="1886" spans="2:20">
      <c r="B1886" s="204"/>
      <c r="C1886" s="204"/>
      <c r="D1886" s="204"/>
      <c r="E1886" s="204"/>
      <c r="F1886" s="204"/>
      <c r="G1886" s="204"/>
      <c r="H1886" s="204"/>
      <c r="I1886" s="204"/>
      <c r="J1886" s="204"/>
      <c r="K1886" s="204"/>
      <c r="L1886" s="204"/>
      <c r="M1886" s="204"/>
      <c r="N1886" s="204"/>
      <c r="O1886" s="204"/>
      <c r="P1886" s="204"/>
      <c r="T1886" s="217"/>
    </row>
    <row r="1887" spans="2:20">
      <c r="B1887" s="204"/>
      <c r="C1887" s="204"/>
      <c r="D1887" s="204"/>
      <c r="E1887" s="204"/>
      <c r="F1887" s="204"/>
      <c r="G1887" s="204"/>
      <c r="H1887" s="204"/>
      <c r="I1887" s="204"/>
      <c r="J1887" s="204"/>
      <c r="K1887" s="204"/>
      <c r="L1887" s="204"/>
      <c r="M1887" s="204"/>
      <c r="N1887" s="204"/>
      <c r="O1887" s="204"/>
      <c r="P1887" s="204"/>
      <c r="T1887" s="217"/>
    </row>
    <row r="1888" spans="2:20">
      <c r="B1888" s="204"/>
      <c r="C1888" s="204"/>
      <c r="D1888" s="204"/>
      <c r="E1888" s="204"/>
      <c r="F1888" s="204"/>
      <c r="G1888" s="204"/>
      <c r="H1888" s="204"/>
      <c r="I1888" s="204"/>
      <c r="J1888" s="204"/>
      <c r="K1888" s="204"/>
      <c r="L1888" s="204"/>
      <c r="M1888" s="204"/>
      <c r="N1888" s="204"/>
      <c r="O1888" s="204"/>
      <c r="P1888" s="204"/>
      <c r="T1888" s="217"/>
    </row>
    <row r="1889" spans="2:20">
      <c r="B1889" s="204"/>
      <c r="C1889" s="204"/>
      <c r="D1889" s="204"/>
      <c r="E1889" s="204"/>
      <c r="F1889" s="204"/>
      <c r="G1889" s="204"/>
      <c r="H1889" s="204"/>
      <c r="I1889" s="204"/>
      <c r="J1889" s="204"/>
      <c r="K1889" s="204"/>
      <c r="L1889" s="204"/>
      <c r="M1889" s="204"/>
      <c r="N1889" s="204"/>
      <c r="O1889" s="204"/>
      <c r="P1889" s="204"/>
      <c r="T1889" s="217"/>
    </row>
    <row r="1890" spans="2:20">
      <c r="B1890" s="204"/>
      <c r="C1890" s="204"/>
      <c r="D1890" s="204"/>
      <c r="E1890" s="204"/>
      <c r="F1890" s="204"/>
      <c r="G1890" s="204"/>
      <c r="H1890" s="204"/>
      <c r="I1890" s="204"/>
      <c r="J1890" s="204"/>
      <c r="K1890" s="204"/>
      <c r="L1890" s="204"/>
      <c r="M1890" s="204"/>
      <c r="N1890" s="204"/>
      <c r="O1890" s="204"/>
      <c r="P1890" s="204"/>
      <c r="T1890" s="217"/>
    </row>
    <row r="1891" spans="2:20">
      <c r="B1891" s="204"/>
      <c r="C1891" s="204"/>
      <c r="D1891" s="204"/>
      <c r="E1891" s="204"/>
      <c r="F1891" s="204"/>
      <c r="G1891" s="204"/>
      <c r="H1891" s="204"/>
      <c r="I1891" s="204"/>
      <c r="J1891" s="204"/>
      <c r="K1891" s="204"/>
      <c r="L1891" s="204"/>
      <c r="M1891" s="204"/>
      <c r="N1891" s="204"/>
      <c r="O1891" s="204"/>
      <c r="P1891" s="204"/>
      <c r="T1891" s="217"/>
    </row>
    <row r="1892" spans="2:20">
      <c r="B1892" s="204"/>
      <c r="C1892" s="204"/>
      <c r="D1892" s="204"/>
      <c r="E1892" s="204"/>
      <c r="F1892" s="204"/>
      <c r="G1892" s="204"/>
      <c r="H1892" s="204"/>
      <c r="I1892" s="204"/>
      <c r="J1892" s="204"/>
      <c r="K1892" s="204"/>
      <c r="L1892" s="204"/>
      <c r="M1892" s="204"/>
      <c r="N1892" s="204"/>
      <c r="O1892" s="204"/>
      <c r="P1892" s="204"/>
      <c r="T1892" s="217"/>
    </row>
    <row r="1893" spans="2:20">
      <c r="B1893" s="204"/>
      <c r="C1893" s="204"/>
      <c r="D1893" s="204"/>
      <c r="E1893" s="204"/>
      <c r="F1893" s="204"/>
      <c r="G1893" s="204"/>
      <c r="H1893" s="204"/>
      <c r="I1893" s="204"/>
      <c r="J1893" s="204"/>
      <c r="K1893" s="204"/>
      <c r="L1893" s="204"/>
      <c r="M1893" s="204"/>
      <c r="N1893" s="204"/>
      <c r="O1893" s="204"/>
      <c r="P1893" s="204"/>
      <c r="T1893" s="217"/>
    </row>
    <row r="1894" spans="2:20">
      <c r="B1894" s="204"/>
      <c r="C1894" s="204"/>
      <c r="D1894" s="204"/>
      <c r="E1894" s="204"/>
      <c r="F1894" s="204"/>
      <c r="G1894" s="204"/>
      <c r="H1894" s="204"/>
      <c r="I1894" s="204"/>
      <c r="J1894" s="204"/>
      <c r="K1894" s="204"/>
      <c r="L1894" s="204"/>
      <c r="M1894" s="204"/>
      <c r="N1894" s="204"/>
      <c r="O1894" s="204"/>
      <c r="P1894" s="204"/>
      <c r="T1894" s="217"/>
    </row>
    <row r="1895" spans="2:20">
      <c r="B1895" s="204"/>
      <c r="C1895" s="204"/>
      <c r="D1895" s="204"/>
      <c r="E1895" s="204"/>
      <c r="F1895" s="204"/>
      <c r="G1895" s="204"/>
      <c r="H1895" s="204"/>
      <c r="I1895" s="204"/>
      <c r="J1895" s="204"/>
      <c r="K1895" s="204"/>
      <c r="L1895" s="204"/>
      <c r="M1895" s="204"/>
      <c r="N1895" s="204"/>
      <c r="O1895" s="204"/>
      <c r="P1895" s="204"/>
      <c r="T1895" s="217"/>
    </row>
    <row r="1896" spans="2:20">
      <c r="B1896" s="204"/>
      <c r="C1896" s="204"/>
      <c r="D1896" s="204"/>
      <c r="E1896" s="204"/>
      <c r="F1896" s="204"/>
      <c r="G1896" s="204"/>
      <c r="H1896" s="204"/>
      <c r="I1896" s="204"/>
      <c r="J1896" s="204"/>
      <c r="K1896" s="204"/>
      <c r="L1896" s="204"/>
      <c r="M1896" s="204"/>
      <c r="N1896" s="204"/>
      <c r="O1896" s="204"/>
      <c r="P1896" s="204"/>
      <c r="T1896" s="217"/>
    </row>
    <row r="1897" spans="2:20">
      <c r="B1897" s="204"/>
      <c r="C1897" s="204"/>
      <c r="D1897" s="204"/>
      <c r="E1897" s="204"/>
      <c r="F1897" s="204"/>
      <c r="G1897" s="204"/>
      <c r="H1897" s="204"/>
      <c r="I1897" s="204"/>
      <c r="J1897" s="204"/>
      <c r="K1897" s="204"/>
      <c r="L1897" s="204"/>
      <c r="M1897" s="204"/>
      <c r="N1897" s="204"/>
      <c r="O1897" s="204"/>
      <c r="P1897" s="204"/>
      <c r="T1897" s="217"/>
    </row>
    <row r="1898" spans="2:20">
      <c r="B1898" s="204"/>
      <c r="C1898" s="204"/>
      <c r="D1898" s="204"/>
      <c r="E1898" s="204"/>
      <c r="F1898" s="204"/>
      <c r="G1898" s="204"/>
      <c r="H1898" s="204"/>
      <c r="I1898" s="204"/>
      <c r="J1898" s="204"/>
      <c r="K1898" s="204"/>
      <c r="L1898" s="204"/>
      <c r="M1898" s="204"/>
      <c r="N1898" s="204"/>
      <c r="O1898" s="204"/>
      <c r="P1898" s="204"/>
      <c r="T1898" s="217"/>
    </row>
    <row r="1899" spans="2:20">
      <c r="B1899" s="204"/>
      <c r="C1899" s="204"/>
      <c r="D1899" s="204"/>
      <c r="E1899" s="204"/>
      <c r="F1899" s="204"/>
      <c r="G1899" s="204"/>
      <c r="H1899" s="204"/>
      <c r="I1899" s="204"/>
      <c r="J1899" s="204"/>
      <c r="K1899" s="204"/>
      <c r="L1899" s="204"/>
      <c r="M1899" s="204"/>
      <c r="N1899" s="204"/>
      <c r="O1899" s="204"/>
      <c r="P1899" s="204"/>
      <c r="T1899" s="217"/>
    </row>
    <row r="1900" spans="2:20">
      <c r="B1900" s="204"/>
      <c r="C1900" s="204"/>
      <c r="D1900" s="204"/>
      <c r="E1900" s="204"/>
      <c r="F1900" s="204"/>
      <c r="G1900" s="204"/>
      <c r="H1900" s="204"/>
      <c r="I1900" s="204"/>
      <c r="J1900" s="204"/>
      <c r="K1900" s="204"/>
      <c r="L1900" s="204"/>
      <c r="M1900" s="204"/>
      <c r="N1900" s="204"/>
      <c r="O1900" s="204"/>
      <c r="P1900" s="204"/>
      <c r="T1900" s="217"/>
    </row>
    <row r="1901" spans="2:20">
      <c r="B1901" s="204"/>
      <c r="C1901" s="204"/>
      <c r="D1901" s="204"/>
      <c r="E1901" s="204"/>
      <c r="F1901" s="204"/>
      <c r="G1901" s="204"/>
      <c r="H1901" s="204"/>
      <c r="I1901" s="204"/>
      <c r="J1901" s="204"/>
      <c r="K1901" s="204"/>
      <c r="L1901" s="204"/>
      <c r="M1901" s="204"/>
      <c r="N1901" s="204"/>
      <c r="O1901" s="204"/>
      <c r="P1901" s="204"/>
      <c r="T1901" s="217"/>
    </row>
    <row r="1902" spans="2:20">
      <c r="B1902" s="204"/>
      <c r="C1902" s="204"/>
      <c r="D1902" s="204"/>
      <c r="E1902" s="204"/>
      <c r="F1902" s="204"/>
      <c r="G1902" s="204"/>
      <c r="H1902" s="204"/>
      <c r="I1902" s="204"/>
      <c r="J1902" s="204"/>
      <c r="K1902" s="204"/>
      <c r="L1902" s="204"/>
      <c r="M1902" s="204"/>
      <c r="N1902" s="204"/>
      <c r="O1902" s="204"/>
      <c r="P1902" s="204"/>
      <c r="T1902" s="217"/>
    </row>
    <row r="1903" spans="2:20">
      <c r="B1903" s="204"/>
      <c r="C1903" s="204"/>
      <c r="D1903" s="204"/>
      <c r="E1903" s="204"/>
      <c r="F1903" s="204"/>
      <c r="G1903" s="204"/>
      <c r="H1903" s="204"/>
      <c r="I1903" s="204"/>
      <c r="J1903" s="204"/>
      <c r="K1903" s="204"/>
      <c r="L1903" s="204"/>
      <c r="M1903" s="204"/>
      <c r="N1903" s="204"/>
      <c r="O1903" s="204"/>
      <c r="P1903" s="204"/>
      <c r="T1903" s="217"/>
    </row>
    <row r="1904" spans="2:20">
      <c r="B1904" s="204"/>
      <c r="C1904" s="204"/>
      <c r="D1904" s="204"/>
      <c r="E1904" s="204"/>
      <c r="F1904" s="204"/>
      <c r="G1904" s="204"/>
      <c r="H1904" s="204"/>
      <c r="I1904" s="204"/>
      <c r="J1904" s="204"/>
      <c r="K1904" s="204"/>
      <c r="L1904" s="204"/>
      <c r="M1904" s="204"/>
      <c r="N1904" s="204"/>
      <c r="O1904" s="204"/>
      <c r="P1904" s="204"/>
      <c r="T1904" s="217"/>
    </row>
    <row r="1905" spans="2:20">
      <c r="B1905" s="204"/>
      <c r="C1905" s="204"/>
      <c r="D1905" s="204"/>
      <c r="E1905" s="204"/>
      <c r="F1905" s="204"/>
      <c r="G1905" s="204"/>
      <c r="H1905" s="204"/>
      <c r="I1905" s="204"/>
      <c r="J1905" s="204"/>
      <c r="K1905" s="204"/>
      <c r="L1905" s="204"/>
      <c r="M1905" s="204"/>
      <c r="N1905" s="204"/>
      <c r="O1905" s="204"/>
      <c r="P1905" s="204"/>
      <c r="T1905" s="217"/>
    </row>
    <row r="1906" spans="2:20">
      <c r="B1906" s="204"/>
      <c r="C1906" s="204"/>
      <c r="D1906" s="204"/>
      <c r="E1906" s="204"/>
      <c r="F1906" s="204"/>
      <c r="G1906" s="204"/>
      <c r="H1906" s="204"/>
      <c r="I1906" s="204"/>
      <c r="J1906" s="204"/>
      <c r="K1906" s="204"/>
      <c r="L1906" s="204"/>
      <c r="M1906" s="204"/>
      <c r="N1906" s="204"/>
      <c r="O1906" s="204"/>
      <c r="P1906" s="204"/>
      <c r="T1906" s="217"/>
    </row>
    <row r="1907" spans="2:20">
      <c r="B1907" s="204"/>
      <c r="C1907" s="204"/>
      <c r="D1907" s="204"/>
      <c r="E1907" s="204"/>
      <c r="F1907" s="204"/>
      <c r="G1907" s="204"/>
      <c r="H1907" s="204"/>
      <c r="I1907" s="204"/>
      <c r="J1907" s="204"/>
      <c r="K1907" s="204"/>
      <c r="L1907" s="204"/>
      <c r="M1907" s="204"/>
      <c r="N1907" s="204"/>
      <c r="O1907" s="204"/>
      <c r="P1907" s="204"/>
      <c r="T1907" s="217"/>
    </row>
    <row r="1908" spans="2:20">
      <c r="B1908" s="204"/>
      <c r="C1908" s="204"/>
      <c r="D1908" s="204"/>
      <c r="E1908" s="204"/>
      <c r="F1908" s="204"/>
      <c r="G1908" s="204"/>
      <c r="H1908" s="204"/>
      <c r="I1908" s="204"/>
      <c r="J1908" s="204"/>
      <c r="K1908" s="204"/>
      <c r="L1908" s="204"/>
      <c r="M1908" s="204"/>
      <c r="N1908" s="204"/>
      <c r="O1908" s="204"/>
      <c r="P1908" s="204"/>
      <c r="T1908" s="217"/>
    </row>
    <row r="1909" spans="2:20">
      <c r="B1909" s="204"/>
      <c r="C1909" s="204"/>
      <c r="D1909" s="204"/>
      <c r="E1909" s="204"/>
      <c r="F1909" s="204"/>
      <c r="G1909" s="204"/>
      <c r="H1909" s="204"/>
      <c r="I1909" s="204"/>
      <c r="J1909" s="204"/>
      <c r="K1909" s="204"/>
      <c r="L1909" s="204"/>
      <c r="M1909" s="204"/>
      <c r="N1909" s="204"/>
      <c r="O1909" s="204"/>
      <c r="P1909" s="204"/>
      <c r="T1909" s="217"/>
    </row>
    <row r="1910" spans="2:20">
      <c r="B1910" s="204"/>
      <c r="C1910" s="204"/>
      <c r="D1910" s="204"/>
      <c r="E1910" s="204"/>
      <c r="F1910" s="204"/>
      <c r="G1910" s="204"/>
      <c r="H1910" s="204"/>
      <c r="I1910" s="204"/>
      <c r="J1910" s="204"/>
      <c r="K1910" s="204"/>
      <c r="L1910" s="204"/>
      <c r="M1910" s="204"/>
      <c r="N1910" s="204"/>
      <c r="O1910" s="204"/>
      <c r="P1910" s="204"/>
      <c r="T1910" s="217"/>
    </row>
    <row r="1911" spans="2:20">
      <c r="B1911" s="204"/>
      <c r="C1911" s="204"/>
      <c r="D1911" s="204"/>
      <c r="E1911" s="204"/>
      <c r="F1911" s="204"/>
      <c r="G1911" s="204"/>
      <c r="H1911" s="204"/>
      <c r="I1911" s="204"/>
      <c r="J1911" s="204"/>
      <c r="K1911" s="204"/>
      <c r="L1911" s="204"/>
      <c r="M1911" s="204"/>
      <c r="N1911" s="204"/>
      <c r="O1911" s="204"/>
      <c r="P1911" s="204"/>
      <c r="T1911" s="217"/>
    </row>
    <row r="1912" spans="2:20">
      <c r="B1912" s="204"/>
      <c r="C1912" s="204"/>
      <c r="D1912" s="204"/>
      <c r="E1912" s="204"/>
      <c r="F1912" s="204"/>
      <c r="G1912" s="204"/>
      <c r="H1912" s="204"/>
      <c r="I1912" s="204"/>
      <c r="J1912" s="204"/>
      <c r="K1912" s="204"/>
      <c r="L1912" s="204"/>
      <c r="M1912" s="204"/>
      <c r="N1912" s="204"/>
      <c r="O1912" s="204"/>
      <c r="P1912" s="204"/>
      <c r="T1912" s="217"/>
    </row>
    <row r="1913" spans="2:20">
      <c r="B1913" s="204"/>
      <c r="C1913" s="204"/>
      <c r="D1913" s="204"/>
      <c r="E1913" s="204"/>
      <c r="F1913" s="204"/>
      <c r="G1913" s="204"/>
      <c r="H1913" s="204"/>
      <c r="I1913" s="204"/>
      <c r="J1913" s="204"/>
      <c r="K1913" s="204"/>
      <c r="L1913" s="204"/>
      <c r="M1913" s="204"/>
      <c r="N1913" s="204"/>
      <c r="O1913" s="204"/>
      <c r="P1913" s="204"/>
      <c r="T1913" s="217"/>
    </row>
    <row r="1914" spans="2:20">
      <c r="B1914" s="204"/>
      <c r="C1914" s="204"/>
      <c r="D1914" s="204"/>
      <c r="E1914" s="204"/>
      <c r="F1914" s="204"/>
      <c r="G1914" s="204"/>
      <c r="H1914" s="204"/>
      <c r="I1914" s="204"/>
      <c r="J1914" s="204"/>
      <c r="K1914" s="204"/>
      <c r="L1914" s="204"/>
      <c r="M1914" s="204"/>
      <c r="N1914" s="204"/>
      <c r="O1914" s="204"/>
      <c r="P1914" s="204"/>
      <c r="T1914" s="217"/>
    </row>
    <row r="1915" spans="2:20">
      <c r="B1915" s="204"/>
      <c r="C1915" s="204"/>
      <c r="D1915" s="204"/>
      <c r="E1915" s="204"/>
      <c r="F1915" s="204"/>
      <c r="G1915" s="204"/>
      <c r="H1915" s="204"/>
      <c r="I1915" s="204"/>
      <c r="J1915" s="204"/>
      <c r="K1915" s="204"/>
      <c r="L1915" s="204"/>
      <c r="M1915" s="204"/>
      <c r="N1915" s="204"/>
      <c r="O1915" s="204"/>
      <c r="P1915" s="204"/>
      <c r="T1915" s="217"/>
    </row>
    <row r="1916" spans="2:20">
      <c r="B1916" s="204"/>
      <c r="C1916" s="204"/>
      <c r="D1916" s="204"/>
      <c r="E1916" s="204"/>
      <c r="F1916" s="204"/>
      <c r="G1916" s="204"/>
      <c r="H1916" s="204"/>
      <c r="I1916" s="204"/>
      <c r="J1916" s="204"/>
      <c r="K1916" s="204"/>
      <c r="L1916" s="204"/>
      <c r="M1916" s="204"/>
      <c r="N1916" s="204"/>
      <c r="O1916" s="204"/>
      <c r="P1916" s="204"/>
      <c r="T1916" s="217"/>
    </row>
    <row r="1917" spans="2:20">
      <c r="B1917" s="204"/>
      <c r="C1917" s="204"/>
      <c r="D1917" s="204"/>
      <c r="E1917" s="204"/>
      <c r="F1917" s="204"/>
      <c r="G1917" s="204"/>
      <c r="H1917" s="204"/>
      <c r="I1917" s="204"/>
      <c r="J1917" s="204"/>
      <c r="K1917" s="204"/>
      <c r="L1917" s="204"/>
      <c r="M1917" s="204"/>
      <c r="N1917" s="204"/>
      <c r="O1917" s="204"/>
      <c r="P1917" s="204"/>
      <c r="T1917" s="217"/>
    </row>
    <row r="1918" spans="2:20">
      <c r="B1918" s="204"/>
      <c r="C1918" s="204"/>
      <c r="D1918" s="204"/>
      <c r="E1918" s="204"/>
      <c r="F1918" s="204"/>
      <c r="G1918" s="204"/>
      <c r="H1918" s="204"/>
      <c r="I1918" s="204"/>
      <c r="J1918" s="204"/>
      <c r="K1918" s="204"/>
      <c r="L1918" s="204"/>
      <c r="M1918" s="204"/>
      <c r="N1918" s="204"/>
      <c r="O1918" s="204"/>
      <c r="P1918" s="204"/>
      <c r="T1918" s="217"/>
    </row>
    <row r="1919" spans="2:20">
      <c r="B1919" s="204"/>
      <c r="C1919" s="204"/>
      <c r="D1919" s="204"/>
      <c r="E1919" s="204"/>
      <c r="F1919" s="204"/>
      <c r="G1919" s="204"/>
      <c r="H1919" s="204"/>
      <c r="I1919" s="204"/>
      <c r="J1919" s="204"/>
      <c r="K1919" s="204"/>
      <c r="L1919" s="204"/>
      <c r="M1919" s="204"/>
      <c r="N1919" s="204"/>
      <c r="O1919" s="204"/>
      <c r="P1919" s="204"/>
      <c r="T1919" s="217"/>
    </row>
    <row r="1920" spans="2:20">
      <c r="B1920" s="204"/>
      <c r="C1920" s="204"/>
      <c r="D1920" s="204"/>
      <c r="E1920" s="204"/>
      <c r="F1920" s="204"/>
      <c r="G1920" s="204"/>
      <c r="H1920" s="204"/>
      <c r="I1920" s="204"/>
      <c r="J1920" s="204"/>
      <c r="K1920" s="204"/>
      <c r="L1920" s="204"/>
      <c r="M1920" s="204"/>
      <c r="N1920" s="204"/>
      <c r="O1920" s="204"/>
      <c r="P1920" s="204"/>
      <c r="T1920" s="217"/>
    </row>
    <row r="1921" spans="2:20">
      <c r="B1921" s="204"/>
      <c r="C1921" s="204"/>
      <c r="D1921" s="204"/>
      <c r="E1921" s="204"/>
      <c r="F1921" s="204"/>
      <c r="G1921" s="204"/>
      <c r="H1921" s="204"/>
      <c r="I1921" s="204"/>
      <c r="J1921" s="204"/>
      <c r="K1921" s="204"/>
      <c r="L1921" s="204"/>
      <c r="M1921" s="204"/>
      <c r="N1921" s="204"/>
      <c r="O1921" s="204"/>
      <c r="P1921" s="204"/>
      <c r="T1921" s="217"/>
    </row>
    <row r="1922" spans="2:20">
      <c r="B1922" s="204"/>
      <c r="C1922" s="204"/>
      <c r="D1922" s="204"/>
      <c r="E1922" s="204"/>
      <c r="F1922" s="204"/>
      <c r="G1922" s="204"/>
      <c r="H1922" s="204"/>
      <c r="I1922" s="204"/>
      <c r="J1922" s="204"/>
      <c r="K1922" s="204"/>
      <c r="L1922" s="204"/>
      <c r="M1922" s="204"/>
      <c r="N1922" s="204"/>
      <c r="O1922" s="204"/>
      <c r="P1922" s="204"/>
      <c r="T1922" s="217"/>
    </row>
    <row r="1923" spans="2:20">
      <c r="B1923" s="204"/>
      <c r="C1923" s="204"/>
      <c r="D1923" s="204"/>
      <c r="E1923" s="204"/>
      <c r="F1923" s="204"/>
      <c r="G1923" s="204"/>
      <c r="H1923" s="204"/>
      <c r="I1923" s="204"/>
      <c r="J1923" s="204"/>
      <c r="K1923" s="204"/>
      <c r="L1923" s="204"/>
      <c r="M1923" s="204"/>
      <c r="N1923" s="204"/>
      <c r="O1923" s="204"/>
      <c r="P1923" s="204"/>
      <c r="T1923" s="217"/>
    </row>
    <row r="1924" spans="2:20">
      <c r="B1924" s="204"/>
      <c r="C1924" s="204"/>
      <c r="D1924" s="204"/>
      <c r="E1924" s="204"/>
      <c r="F1924" s="204"/>
      <c r="G1924" s="204"/>
      <c r="H1924" s="204"/>
      <c r="I1924" s="204"/>
      <c r="J1924" s="204"/>
      <c r="K1924" s="204"/>
      <c r="L1924" s="204"/>
      <c r="M1924" s="204"/>
      <c r="N1924" s="204"/>
      <c r="O1924" s="204"/>
      <c r="P1924" s="204"/>
      <c r="T1924" s="217"/>
    </row>
    <row r="1925" spans="2:20">
      <c r="B1925" s="204"/>
      <c r="C1925" s="204"/>
      <c r="D1925" s="204"/>
      <c r="E1925" s="204"/>
      <c r="F1925" s="204"/>
      <c r="G1925" s="204"/>
      <c r="H1925" s="204"/>
      <c r="I1925" s="204"/>
      <c r="J1925" s="204"/>
      <c r="K1925" s="204"/>
      <c r="L1925" s="204"/>
      <c r="M1925" s="204"/>
      <c r="N1925" s="204"/>
      <c r="O1925" s="204"/>
      <c r="P1925" s="204"/>
      <c r="T1925" s="217"/>
    </row>
    <row r="1926" spans="2:20">
      <c r="B1926" s="204"/>
      <c r="C1926" s="204"/>
      <c r="D1926" s="204"/>
      <c r="E1926" s="204"/>
      <c r="F1926" s="204"/>
      <c r="G1926" s="204"/>
      <c r="H1926" s="204"/>
      <c r="I1926" s="204"/>
      <c r="J1926" s="204"/>
      <c r="K1926" s="204"/>
      <c r="L1926" s="204"/>
      <c r="M1926" s="204"/>
      <c r="N1926" s="204"/>
      <c r="O1926" s="204"/>
      <c r="P1926" s="204"/>
      <c r="T1926" s="217"/>
    </row>
    <row r="1927" spans="2:20">
      <c r="B1927" s="204"/>
      <c r="C1927" s="204"/>
      <c r="D1927" s="204"/>
      <c r="E1927" s="204"/>
      <c r="F1927" s="204"/>
      <c r="G1927" s="204"/>
      <c r="H1927" s="204"/>
      <c r="I1927" s="204"/>
      <c r="J1927" s="204"/>
      <c r="K1927" s="204"/>
      <c r="L1927" s="204"/>
      <c r="M1927" s="204"/>
      <c r="N1927" s="204"/>
      <c r="O1927" s="204"/>
      <c r="P1927" s="204"/>
      <c r="T1927" s="217"/>
    </row>
    <row r="1928" spans="2:20">
      <c r="B1928" s="204"/>
      <c r="C1928" s="204"/>
      <c r="D1928" s="204"/>
      <c r="E1928" s="204"/>
      <c r="F1928" s="204"/>
      <c r="G1928" s="204"/>
      <c r="H1928" s="204"/>
      <c r="I1928" s="204"/>
      <c r="J1928" s="204"/>
      <c r="K1928" s="204"/>
      <c r="L1928" s="204"/>
      <c r="M1928" s="204"/>
      <c r="N1928" s="204"/>
      <c r="O1928" s="204"/>
      <c r="P1928" s="204"/>
      <c r="T1928" s="217"/>
    </row>
    <row r="1929" spans="2:20">
      <c r="B1929" s="204"/>
      <c r="C1929" s="204"/>
      <c r="D1929" s="204"/>
      <c r="E1929" s="204"/>
      <c r="F1929" s="204"/>
      <c r="G1929" s="204"/>
      <c r="H1929" s="204"/>
      <c r="I1929" s="204"/>
      <c r="J1929" s="204"/>
      <c r="K1929" s="204"/>
      <c r="L1929" s="204"/>
      <c r="M1929" s="204"/>
      <c r="N1929" s="204"/>
      <c r="O1929" s="204"/>
      <c r="P1929" s="204"/>
      <c r="T1929" s="217"/>
    </row>
    <row r="1930" spans="2:20">
      <c r="B1930" s="204"/>
      <c r="C1930" s="204"/>
      <c r="D1930" s="204"/>
      <c r="E1930" s="204"/>
      <c r="F1930" s="204"/>
      <c r="G1930" s="204"/>
      <c r="H1930" s="204"/>
      <c r="I1930" s="204"/>
      <c r="J1930" s="204"/>
      <c r="K1930" s="204"/>
      <c r="L1930" s="204"/>
      <c r="M1930" s="204"/>
      <c r="N1930" s="204"/>
      <c r="O1930" s="204"/>
      <c r="P1930" s="204"/>
      <c r="T1930" s="217"/>
    </row>
    <row r="1931" spans="2:20">
      <c r="B1931" s="204"/>
      <c r="C1931" s="204"/>
      <c r="D1931" s="204"/>
      <c r="E1931" s="204"/>
      <c r="F1931" s="204"/>
      <c r="G1931" s="204"/>
      <c r="H1931" s="204"/>
      <c r="I1931" s="204"/>
      <c r="J1931" s="204"/>
      <c r="K1931" s="204"/>
      <c r="L1931" s="204"/>
      <c r="M1931" s="204"/>
      <c r="N1931" s="204"/>
      <c r="O1931" s="204"/>
      <c r="P1931" s="204"/>
      <c r="T1931" s="217"/>
    </row>
    <row r="1932" spans="2:20">
      <c r="B1932" s="204"/>
      <c r="C1932" s="204"/>
      <c r="D1932" s="204"/>
      <c r="E1932" s="204"/>
      <c r="F1932" s="204"/>
      <c r="G1932" s="204"/>
      <c r="H1932" s="204"/>
      <c r="I1932" s="204"/>
      <c r="J1932" s="204"/>
      <c r="K1932" s="204"/>
      <c r="L1932" s="204"/>
      <c r="M1932" s="204"/>
      <c r="N1932" s="204"/>
      <c r="O1932" s="204"/>
      <c r="P1932" s="204"/>
      <c r="T1932" s="217"/>
    </row>
    <row r="1933" spans="2:20">
      <c r="B1933" s="204"/>
      <c r="C1933" s="204"/>
      <c r="D1933" s="204"/>
      <c r="E1933" s="204"/>
      <c r="F1933" s="204"/>
      <c r="G1933" s="204"/>
      <c r="H1933" s="204"/>
      <c r="I1933" s="204"/>
      <c r="J1933" s="204"/>
      <c r="K1933" s="204"/>
      <c r="L1933" s="204"/>
      <c r="M1933" s="204"/>
      <c r="N1933" s="204"/>
      <c r="O1933" s="204"/>
      <c r="P1933" s="204"/>
      <c r="T1933" s="217"/>
    </row>
    <row r="1934" spans="2:20">
      <c r="B1934" s="204"/>
      <c r="C1934" s="204"/>
      <c r="D1934" s="204"/>
      <c r="E1934" s="204"/>
      <c r="F1934" s="204"/>
      <c r="G1934" s="204"/>
      <c r="H1934" s="204"/>
      <c r="I1934" s="204"/>
      <c r="J1934" s="204"/>
      <c r="K1934" s="204"/>
      <c r="L1934" s="204"/>
      <c r="M1934" s="204"/>
      <c r="N1934" s="204"/>
      <c r="O1934" s="204"/>
      <c r="P1934" s="204"/>
      <c r="T1934" s="217"/>
    </row>
    <row r="1935" spans="2:20">
      <c r="B1935" s="204"/>
      <c r="C1935" s="204"/>
      <c r="D1935" s="204"/>
      <c r="E1935" s="204"/>
      <c r="F1935" s="204"/>
      <c r="G1935" s="204"/>
      <c r="H1935" s="204"/>
      <c r="I1935" s="204"/>
      <c r="J1935" s="204"/>
      <c r="K1935" s="204"/>
      <c r="L1935" s="204"/>
      <c r="M1935" s="204"/>
      <c r="N1935" s="204"/>
      <c r="O1935" s="204"/>
      <c r="P1935" s="204"/>
      <c r="T1935" s="217"/>
    </row>
    <row r="1936" spans="2:20">
      <c r="B1936" s="204"/>
      <c r="C1936" s="204"/>
      <c r="D1936" s="204"/>
      <c r="E1936" s="204"/>
      <c r="F1936" s="204"/>
      <c r="G1936" s="204"/>
      <c r="H1936" s="204"/>
      <c r="I1936" s="204"/>
      <c r="J1936" s="204"/>
      <c r="K1936" s="204"/>
      <c r="L1936" s="204"/>
      <c r="M1936" s="204"/>
      <c r="N1936" s="204"/>
      <c r="O1936" s="204"/>
      <c r="P1936" s="204"/>
      <c r="T1936" s="217"/>
    </row>
    <row r="1937" spans="2:20">
      <c r="B1937" s="204"/>
      <c r="C1937" s="204"/>
      <c r="D1937" s="204"/>
      <c r="E1937" s="204"/>
      <c r="F1937" s="204"/>
      <c r="G1937" s="204"/>
      <c r="H1937" s="204"/>
      <c r="I1937" s="204"/>
      <c r="J1937" s="204"/>
      <c r="K1937" s="204"/>
      <c r="L1937" s="204"/>
      <c r="M1937" s="204"/>
      <c r="N1937" s="204"/>
      <c r="O1937" s="204"/>
      <c r="P1937" s="204"/>
      <c r="T1937" s="217"/>
    </row>
    <row r="1938" spans="2:20">
      <c r="B1938" s="204"/>
      <c r="C1938" s="204"/>
      <c r="D1938" s="204"/>
      <c r="E1938" s="204"/>
      <c r="F1938" s="204"/>
      <c r="G1938" s="204"/>
      <c r="H1938" s="204"/>
      <c r="I1938" s="204"/>
      <c r="J1938" s="204"/>
      <c r="K1938" s="204"/>
      <c r="L1938" s="204"/>
      <c r="M1938" s="204"/>
      <c r="N1938" s="204"/>
      <c r="O1938" s="204"/>
      <c r="P1938" s="204"/>
      <c r="T1938" s="217"/>
    </row>
    <row r="1939" spans="2:20">
      <c r="B1939" s="204"/>
      <c r="C1939" s="204"/>
      <c r="D1939" s="204"/>
      <c r="E1939" s="204"/>
      <c r="F1939" s="204"/>
      <c r="G1939" s="204"/>
      <c r="H1939" s="204"/>
      <c r="I1939" s="204"/>
      <c r="J1939" s="204"/>
      <c r="K1939" s="204"/>
      <c r="L1939" s="204"/>
      <c r="M1939" s="204"/>
      <c r="N1939" s="204"/>
      <c r="O1939" s="204"/>
      <c r="P1939" s="204"/>
      <c r="T1939" s="217"/>
    </row>
    <row r="1940" spans="2:20">
      <c r="B1940" s="204"/>
      <c r="C1940" s="204"/>
      <c r="D1940" s="204"/>
      <c r="E1940" s="204"/>
      <c r="F1940" s="204"/>
      <c r="G1940" s="204"/>
      <c r="H1940" s="204"/>
      <c r="I1940" s="204"/>
      <c r="J1940" s="204"/>
      <c r="K1940" s="204"/>
      <c r="L1940" s="204"/>
      <c r="M1940" s="204"/>
      <c r="N1940" s="204"/>
      <c r="O1940" s="204"/>
      <c r="P1940" s="204"/>
      <c r="T1940" s="217"/>
    </row>
    <row r="1941" spans="2:20">
      <c r="B1941" s="204"/>
      <c r="C1941" s="204"/>
      <c r="D1941" s="204"/>
      <c r="E1941" s="204"/>
      <c r="F1941" s="204"/>
      <c r="G1941" s="204"/>
      <c r="H1941" s="204"/>
      <c r="I1941" s="204"/>
      <c r="J1941" s="204"/>
      <c r="K1941" s="204"/>
      <c r="L1941" s="204"/>
      <c r="M1941" s="204"/>
      <c r="N1941" s="204"/>
      <c r="O1941" s="204"/>
      <c r="P1941" s="204"/>
      <c r="T1941" s="217"/>
    </row>
    <row r="1942" spans="2:20">
      <c r="B1942" s="204"/>
      <c r="C1942" s="204"/>
      <c r="D1942" s="204"/>
      <c r="E1942" s="204"/>
      <c r="F1942" s="204"/>
      <c r="G1942" s="204"/>
      <c r="H1942" s="204"/>
      <c r="I1942" s="204"/>
      <c r="J1942" s="204"/>
      <c r="K1942" s="204"/>
      <c r="L1942" s="204"/>
      <c r="M1942" s="204"/>
      <c r="N1942" s="204"/>
      <c r="O1942" s="204"/>
      <c r="P1942" s="204"/>
      <c r="T1942" s="217"/>
    </row>
    <row r="1943" spans="2:20">
      <c r="B1943" s="204"/>
      <c r="C1943" s="204"/>
      <c r="D1943" s="204"/>
      <c r="E1943" s="204"/>
      <c r="F1943" s="204"/>
      <c r="G1943" s="204"/>
      <c r="H1943" s="204"/>
      <c r="I1943" s="204"/>
      <c r="J1943" s="204"/>
      <c r="K1943" s="204"/>
      <c r="L1943" s="204"/>
      <c r="M1943" s="204"/>
      <c r="N1943" s="204"/>
      <c r="O1943" s="204"/>
      <c r="P1943" s="204"/>
      <c r="T1943" s="217"/>
    </row>
    <row r="1944" spans="2:20">
      <c r="B1944" s="204"/>
      <c r="C1944" s="204"/>
      <c r="D1944" s="204"/>
      <c r="E1944" s="204"/>
      <c r="F1944" s="204"/>
      <c r="G1944" s="204"/>
      <c r="H1944" s="204"/>
      <c r="I1944" s="204"/>
      <c r="J1944" s="204"/>
      <c r="K1944" s="204"/>
      <c r="L1944" s="204"/>
      <c r="M1944" s="204"/>
      <c r="N1944" s="204"/>
      <c r="O1944" s="204"/>
      <c r="P1944" s="204"/>
      <c r="T1944" s="217"/>
    </row>
    <row r="1945" spans="2:20">
      <c r="B1945" s="204"/>
      <c r="C1945" s="204"/>
      <c r="D1945" s="204"/>
      <c r="E1945" s="204"/>
      <c r="F1945" s="204"/>
      <c r="G1945" s="204"/>
      <c r="H1945" s="204"/>
      <c r="I1945" s="204"/>
      <c r="J1945" s="204"/>
      <c r="K1945" s="204"/>
      <c r="L1945" s="204"/>
      <c r="M1945" s="204"/>
      <c r="N1945" s="204"/>
      <c r="O1945" s="204"/>
      <c r="P1945" s="204"/>
      <c r="T1945" s="217"/>
    </row>
    <row r="1946" spans="2:20">
      <c r="B1946" s="204"/>
      <c r="C1946" s="204"/>
      <c r="D1946" s="204"/>
      <c r="E1946" s="204"/>
      <c r="F1946" s="204"/>
      <c r="G1946" s="204"/>
      <c r="H1946" s="204"/>
      <c r="I1946" s="204"/>
      <c r="J1946" s="204"/>
      <c r="K1946" s="204"/>
      <c r="L1946" s="204"/>
      <c r="M1946" s="204"/>
      <c r="N1946" s="204"/>
      <c r="O1946" s="204"/>
      <c r="P1946" s="204"/>
      <c r="T1946" s="217"/>
    </row>
    <row r="1947" spans="2:20">
      <c r="B1947" s="204"/>
      <c r="C1947" s="204"/>
      <c r="D1947" s="204"/>
      <c r="E1947" s="204"/>
      <c r="F1947" s="204"/>
      <c r="G1947" s="204"/>
      <c r="H1947" s="204"/>
      <c r="I1947" s="204"/>
      <c r="J1947" s="204"/>
      <c r="K1947" s="204"/>
      <c r="L1947" s="204"/>
      <c r="M1947" s="204"/>
      <c r="N1947" s="204"/>
      <c r="O1947" s="204"/>
      <c r="P1947" s="204"/>
      <c r="T1947" s="217"/>
    </row>
    <row r="1948" spans="2:20">
      <c r="B1948" s="204"/>
      <c r="C1948" s="204"/>
      <c r="D1948" s="204"/>
      <c r="E1948" s="204"/>
      <c r="F1948" s="204"/>
      <c r="G1948" s="204"/>
      <c r="H1948" s="204"/>
      <c r="I1948" s="204"/>
      <c r="J1948" s="204"/>
      <c r="K1948" s="204"/>
      <c r="L1948" s="204"/>
      <c r="M1948" s="204"/>
      <c r="N1948" s="204"/>
      <c r="O1948" s="204"/>
      <c r="P1948" s="204"/>
      <c r="T1948" s="217"/>
    </row>
    <row r="1949" spans="2:20">
      <c r="B1949" s="204"/>
      <c r="C1949" s="204"/>
      <c r="D1949" s="204"/>
      <c r="E1949" s="204"/>
      <c r="F1949" s="204"/>
      <c r="G1949" s="204"/>
      <c r="H1949" s="204"/>
      <c r="I1949" s="204"/>
      <c r="J1949" s="204"/>
      <c r="K1949" s="204"/>
      <c r="L1949" s="204"/>
      <c r="M1949" s="204"/>
      <c r="N1949" s="204"/>
      <c r="O1949" s="204"/>
      <c r="P1949" s="204"/>
      <c r="T1949" s="217"/>
    </row>
    <row r="1950" spans="2:20">
      <c r="B1950" s="204"/>
      <c r="C1950" s="204"/>
      <c r="D1950" s="204"/>
      <c r="E1950" s="204"/>
      <c r="F1950" s="204"/>
      <c r="G1950" s="204"/>
      <c r="H1950" s="204"/>
      <c r="I1950" s="204"/>
      <c r="J1950" s="204"/>
      <c r="K1950" s="204"/>
      <c r="L1950" s="204"/>
      <c r="M1950" s="204"/>
      <c r="N1950" s="204"/>
      <c r="O1950" s="204"/>
      <c r="P1950" s="204"/>
      <c r="T1950" s="217"/>
    </row>
    <row r="1951" spans="2:20">
      <c r="B1951" s="204"/>
      <c r="C1951" s="204"/>
      <c r="D1951" s="204"/>
      <c r="E1951" s="204"/>
      <c r="F1951" s="204"/>
      <c r="G1951" s="204"/>
      <c r="H1951" s="204"/>
      <c r="I1951" s="204"/>
      <c r="J1951" s="204"/>
      <c r="K1951" s="204"/>
      <c r="L1951" s="204"/>
      <c r="M1951" s="204"/>
      <c r="N1951" s="204"/>
      <c r="O1951" s="204"/>
      <c r="P1951" s="204"/>
      <c r="T1951" s="217"/>
    </row>
    <row r="1952" spans="2:20">
      <c r="B1952" s="204"/>
      <c r="C1952" s="204"/>
      <c r="D1952" s="204"/>
      <c r="E1952" s="204"/>
      <c r="F1952" s="204"/>
      <c r="G1952" s="204"/>
      <c r="H1952" s="204"/>
      <c r="I1952" s="204"/>
      <c r="J1952" s="204"/>
      <c r="K1952" s="204"/>
      <c r="L1952" s="204"/>
      <c r="M1952" s="204"/>
      <c r="N1952" s="204"/>
      <c r="O1952" s="204"/>
      <c r="P1952" s="204"/>
      <c r="T1952" s="217"/>
    </row>
    <row r="1953" spans="2:20">
      <c r="B1953" s="204"/>
      <c r="C1953" s="204"/>
      <c r="D1953" s="204"/>
      <c r="E1953" s="204"/>
      <c r="F1953" s="204"/>
      <c r="G1953" s="204"/>
      <c r="H1953" s="204"/>
      <c r="I1953" s="204"/>
      <c r="J1953" s="204"/>
      <c r="K1953" s="204"/>
      <c r="L1953" s="204"/>
      <c r="M1953" s="204"/>
      <c r="N1953" s="204"/>
      <c r="O1953" s="204"/>
      <c r="P1953" s="204"/>
      <c r="T1953" s="217"/>
    </row>
    <row r="1954" spans="2:20">
      <c r="B1954" s="204"/>
      <c r="C1954" s="204"/>
      <c r="D1954" s="204"/>
      <c r="E1954" s="204"/>
      <c r="F1954" s="204"/>
      <c r="G1954" s="204"/>
      <c r="H1954" s="204"/>
      <c r="I1954" s="204"/>
      <c r="J1954" s="204"/>
      <c r="K1954" s="204"/>
      <c r="L1954" s="204"/>
      <c r="M1954" s="204"/>
      <c r="N1954" s="204"/>
      <c r="O1954" s="204"/>
      <c r="P1954" s="204"/>
      <c r="T1954" s="217"/>
    </row>
    <row r="1955" spans="2:20">
      <c r="B1955" s="204"/>
      <c r="C1955" s="204"/>
      <c r="D1955" s="204"/>
      <c r="E1955" s="204"/>
      <c r="F1955" s="204"/>
      <c r="G1955" s="204"/>
      <c r="H1955" s="204"/>
      <c r="I1955" s="204"/>
      <c r="J1955" s="204"/>
      <c r="K1955" s="204"/>
      <c r="L1955" s="204"/>
      <c r="M1955" s="204"/>
      <c r="N1955" s="204"/>
      <c r="O1955" s="204"/>
      <c r="P1955" s="204"/>
      <c r="T1955" s="217"/>
    </row>
    <row r="1956" spans="2:20">
      <c r="B1956" s="204"/>
      <c r="C1956" s="204"/>
      <c r="D1956" s="204"/>
      <c r="E1956" s="204"/>
      <c r="F1956" s="204"/>
      <c r="G1956" s="204"/>
      <c r="H1956" s="204"/>
      <c r="I1956" s="204"/>
      <c r="J1956" s="204"/>
      <c r="K1956" s="204"/>
      <c r="L1956" s="204"/>
      <c r="M1956" s="204"/>
      <c r="N1956" s="204"/>
      <c r="O1956" s="204"/>
      <c r="P1956" s="204"/>
      <c r="T1956" s="217"/>
    </row>
    <row r="1957" spans="2:20">
      <c r="B1957" s="204"/>
      <c r="C1957" s="204"/>
      <c r="D1957" s="204"/>
      <c r="E1957" s="204"/>
      <c r="F1957" s="204"/>
      <c r="G1957" s="204"/>
      <c r="H1957" s="204"/>
      <c r="I1957" s="204"/>
      <c r="J1957" s="204"/>
      <c r="K1957" s="204"/>
      <c r="L1957" s="204"/>
      <c r="M1957" s="204"/>
      <c r="N1957" s="204"/>
      <c r="O1957" s="204"/>
      <c r="P1957" s="204"/>
      <c r="T1957" s="217"/>
    </row>
    <row r="1958" spans="2:20">
      <c r="B1958" s="204"/>
      <c r="C1958" s="204"/>
      <c r="D1958" s="204"/>
      <c r="E1958" s="204"/>
      <c r="F1958" s="204"/>
      <c r="G1958" s="204"/>
      <c r="H1958" s="204"/>
      <c r="I1958" s="204"/>
      <c r="J1958" s="204"/>
      <c r="K1958" s="204"/>
      <c r="L1958" s="204"/>
      <c r="M1958" s="204"/>
      <c r="N1958" s="204"/>
      <c r="O1958" s="204"/>
      <c r="P1958" s="204"/>
      <c r="T1958" s="217"/>
    </row>
    <row r="1959" spans="2:20">
      <c r="B1959" s="204"/>
      <c r="C1959" s="204"/>
      <c r="D1959" s="204"/>
      <c r="E1959" s="204"/>
      <c r="F1959" s="204"/>
      <c r="G1959" s="204"/>
      <c r="H1959" s="204"/>
      <c r="I1959" s="204"/>
      <c r="J1959" s="204"/>
      <c r="K1959" s="204"/>
      <c r="L1959" s="204"/>
      <c r="M1959" s="204"/>
      <c r="N1959" s="204"/>
      <c r="O1959" s="204"/>
      <c r="P1959" s="204"/>
      <c r="T1959" s="217"/>
    </row>
    <row r="1960" spans="2:20">
      <c r="B1960" s="204"/>
      <c r="C1960" s="204"/>
      <c r="D1960" s="204"/>
      <c r="E1960" s="204"/>
      <c r="F1960" s="204"/>
      <c r="G1960" s="204"/>
      <c r="H1960" s="204"/>
      <c r="I1960" s="204"/>
      <c r="J1960" s="204"/>
      <c r="K1960" s="204"/>
      <c r="L1960" s="204"/>
      <c r="M1960" s="204"/>
      <c r="N1960" s="204"/>
      <c r="O1960" s="204"/>
      <c r="P1960" s="204"/>
      <c r="T1960" s="217"/>
    </row>
    <row r="1961" spans="2:20">
      <c r="B1961" s="204"/>
      <c r="C1961" s="204"/>
      <c r="D1961" s="204"/>
      <c r="E1961" s="204"/>
      <c r="F1961" s="204"/>
      <c r="G1961" s="204"/>
      <c r="H1961" s="204"/>
      <c r="I1961" s="204"/>
      <c r="J1961" s="204"/>
      <c r="K1961" s="204"/>
      <c r="L1961" s="204"/>
      <c r="M1961" s="204"/>
      <c r="N1961" s="204"/>
      <c r="O1961" s="204"/>
      <c r="P1961" s="204"/>
      <c r="T1961" s="217"/>
    </row>
    <row r="1962" spans="2:20">
      <c r="B1962" s="204"/>
      <c r="C1962" s="204"/>
      <c r="D1962" s="204"/>
      <c r="E1962" s="204"/>
      <c r="F1962" s="204"/>
      <c r="G1962" s="204"/>
      <c r="H1962" s="204"/>
      <c r="I1962" s="204"/>
      <c r="J1962" s="204"/>
      <c r="K1962" s="204"/>
      <c r="L1962" s="204"/>
      <c r="M1962" s="204"/>
      <c r="N1962" s="204"/>
      <c r="O1962" s="204"/>
      <c r="P1962" s="204"/>
      <c r="T1962" s="217"/>
    </row>
    <row r="1963" spans="2:20">
      <c r="B1963" s="204"/>
      <c r="C1963" s="204"/>
      <c r="D1963" s="204"/>
      <c r="E1963" s="204"/>
      <c r="F1963" s="204"/>
      <c r="G1963" s="204"/>
      <c r="H1963" s="204"/>
      <c r="I1963" s="204"/>
      <c r="J1963" s="204"/>
      <c r="K1963" s="204"/>
      <c r="L1963" s="204"/>
      <c r="M1963" s="204"/>
      <c r="N1963" s="204"/>
      <c r="O1963" s="204"/>
      <c r="P1963" s="204"/>
      <c r="T1963" s="217"/>
    </row>
    <row r="1964" spans="2:20">
      <c r="B1964" s="204"/>
      <c r="C1964" s="204"/>
      <c r="D1964" s="204"/>
      <c r="E1964" s="204"/>
      <c r="F1964" s="204"/>
      <c r="G1964" s="204"/>
      <c r="H1964" s="204"/>
      <c r="I1964" s="204"/>
      <c r="J1964" s="204"/>
      <c r="K1964" s="204"/>
      <c r="L1964" s="204"/>
      <c r="M1964" s="204"/>
      <c r="N1964" s="204"/>
      <c r="O1964" s="204"/>
      <c r="P1964" s="204"/>
      <c r="T1964" s="217"/>
    </row>
    <row r="1965" spans="2:20">
      <c r="B1965" s="204"/>
      <c r="C1965" s="204"/>
      <c r="D1965" s="204"/>
      <c r="E1965" s="204"/>
      <c r="F1965" s="204"/>
      <c r="G1965" s="204"/>
      <c r="H1965" s="204"/>
      <c r="I1965" s="204"/>
      <c r="J1965" s="204"/>
      <c r="K1965" s="204"/>
      <c r="L1965" s="204"/>
      <c r="M1965" s="204"/>
      <c r="N1965" s="204"/>
      <c r="O1965" s="204"/>
      <c r="P1965" s="204"/>
      <c r="T1965" s="217"/>
    </row>
    <row r="1966" spans="2:20">
      <c r="B1966" s="204"/>
      <c r="C1966" s="204"/>
      <c r="D1966" s="204"/>
      <c r="E1966" s="204"/>
      <c r="F1966" s="204"/>
      <c r="G1966" s="204"/>
      <c r="H1966" s="204"/>
      <c r="I1966" s="204"/>
      <c r="J1966" s="204"/>
      <c r="K1966" s="204"/>
      <c r="L1966" s="204"/>
      <c r="M1966" s="204"/>
      <c r="N1966" s="204"/>
      <c r="O1966" s="204"/>
      <c r="P1966" s="204"/>
      <c r="T1966" s="217"/>
    </row>
    <row r="1967" spans="2:20">
      <c r="B1967" s="204"/>
      <c r="C1967" s="204"/>
      <c r="D1967" s="204"/>
      <c r="E1967" s="204"/>
      <c r="F1967" s="204"/>
      <c r="G1967" s="204"/>
      <c r="H1967" s="204"/>
      <c r="I1967" s="204"/>
      <c r="J1967" s="204"/>
      <c r="K1967" s="204"/>
      <c r="L1967" s="204"/>
      <c r="M1967" s="204"/>
      <c r="N1967" s="204"/>
      <c r="O1967" s="204"/>
      <c r="P1967" s="204"/>
      <c r="T1967" s="217"/>
    </row>
    <row r="1968" spans="2:20">
      <c r="B1968" s="204"/>
      <c r="C1968" s="204"/>
      <c r="D1968" s="204"/>
      <c r="E1968" s="204"/>
      <c r="F1968" s="204"/>
      <c r="G1968" s="204"/>
      <c r="H1968" s="204"/>
      <c r="I1968" s="204"/>
      <c r="J1968" s="204"/>
      <c r="K1968" s="204"/>
      <c r="L1968" s="204"/>
      <c r="M1968" s="204"/>
      <c r="N1968" s="204"/>
      <c r="O1968" s="204"/>
      <c r="P1968" s="204"/>
      <c r="T1968" s="217"/>
    </row>
    <row r="1969" spans="2:20">
      <c r="B1969" s="204"/>
      <c r="C1969" s="204"/>
      <c r="D1969" s="204"/>
      <c r="E1969" s="204"/>
      <c r="F1969" s="204"/>
      <c r="G1969" s="204"/>
      <c r="H1969" s="204"/>
      <c r="I1969" s="204"/>
      <c r="J1969" s="204"/>
      <c r="K1969" s="204"/>
      <c r="L1969" s="204"/>
      <c r="M1969" s="204"/>
      <c r="N1969" s="204"/>
      <c r="O1969" s="204"/>
      <c r="P1969" s="204"/>
      <c r="T1969" s="217"/>
    </row>
    <row r="1970" spans="2:20">
      <c r="B1970" s="204"/>
      <c r="C1970" s="204"/>
      <c r="D1970" s="204"/>
      <c r="E1970" s="204"/>
      <c r="F1970" s="204"/>
      <c r="G1970" s="204"/>
      <c r="H1970" s="204"/>
      <c r="I1970" s="204"/>
      <c r="J1970" s="204"/>
      <c r="K1970" s="204"/>
      <c r="L1970" s="204"/>
      <c r="M1970" s="204"/>
      <c r="N1970" s="204"/>
      <c r="O1970" s="204"/>
      <c r="P1970" s="204"/>
      <c r="T1970" s="217"/>
    </row>
    <row r="1971" spans="2:20">
      <c r="B1971" s="204"/>
      <c r="C1971" s="204"/>
      <c r="D1971" s="204"/>
      <c r="E1971" s="204"/>
      <c r="F1971" s="204"/>
      <c r="G1971" s="204"/>
      <c r="H1971" s="204"/>
      <c r="I1971" s="204"/>
      <c r="J1971" s="204"/>
      <c r="K1971" s="204"/>
      <c r="L1971" s="204"/>
      <c r="M1971" s="204"/>
      <c r="N1971" s="204"/>
      <c r="O1971" s="204"/>
      <c r="P1971" s="204"/>
      <c r="T1971" s="217"/>
    </row>
    <row r="1972" spans="2:20">
      <c r="B1972" s="204"/>
      <c r="C1972" s="204"/>
      <c r="D1972" s="204"/>
      <c r="E1972" s="204"/>
      <c r="F1972" s="204"/>
      <c r="G1972" s="204"/>
      <c r="H1972" s="204"/>
      <c r="I1972" s="204"/>
      <c r="J1972" s="204"/>
      <c r="K1972" s="204"/>
      <c r="L1972" s="204"/>
      <c r="M1972" s="204"/>
      <c r="N1972" s="204"/>
      <c r="O1972" s="204"/>
      <c r="P1972" s="204"/>
      <c r="T1972" s="217"/>
    </row>
    <row r="1973" spans="2:20">
      <c r="B1973" s="204"/>
      <c r="C1973" s="204"/>
      <c r="D1973" s="204"/>
      <c r="E1973" s="204"/>
      <c r="F1973" s="204"/>
      <c r="G1973" s="204"/>
      <c r="H1973" s="204"/>
      <c r="I1973" s="204"/>
      <c r="J1973" s="204"/>
      <c r="K1973" s="204"/>
      <c r="L1973" s="204"/>
      <c r="M1973" s="204"/>
      <c r="N1973" s="204"/>
      <c r="O1973" s="204"/>
      <c r="P1973" s="204"/>
      <c r="T1973" s="217"/>
    </row>
    <row r="1974" spans="2:20">
      <c r="B1974" s="204"/>
      <c r="C1974" s="204"/>
      <c r="D1974" s="204"/>
      <c r="E1974" s="204"/>
      <c r="F1974" s="204"/>
      <c r="G1974" s="204"/>
      <c r="H1974" s="204"/>
      <c r="I1974" s="204"/>
      <c r="J1974" s="204"/>
      <c r="K1974" s="204"/>
      <c r="L1974" s="204"/>
      <c r="M1974" s="204"/>
      <c r="N1974" s="204"/>
      <c r="O1974" s="204"/>
      <c r="P1974" s="204"/>
      <c r="T1974" s="217"/>
    </row>
    <row r="1975" spans="2:20">
      <c r="B1975" s="204"/>
      <c r="C1975" s="204"/>
      <c r="D1975" s="204"/>
      <c r="E1975" s="204"/>
      <c r="F1975" s="204"/>
      <c r="G1975" s="204"/>
      <c r="H1975" s="204"/>
      <c r="I1975" s="204"/>
      <c r="J1975" s="204"/>
      <c r="K1975" s="204"/>
      <c r="L1975" s="204"/>
      <c r="M1975" s="204"/>
      <c r="N1975" s="204"/>
      <c r="O1975" s="204"/>
      <c r="P1975" s="204"/>
      <c r="T1975" s="217"/>
    </row>
    <row r="1976" spans="2:20">
      <c r="B1976" s="204"/>
      <c r="C1976" s="204"/>
      <c r="D1976" s="204"/>
      <c r="E1976" s="204"/>
      <c r="F1976" s="204"/>
      <c r="G1976" s="204"/>
      <c r="H1976" s="204"/>
      <c r="I1976" s="204"/>
      <c r="J1976" s="204"/>
      <c r="K1976" s="204"/>
      <c r="L1976" s="204"/>
      <c r="M1976" s="204"/>
      <c r="N1976" s="204"/>
      <c r="O1976" s="204"/>
      <c r="P1976" s="204"/>
      <c r="T1976" s="217"/>
    </row>
    <row r="1977" spans="2:20">
      <c r="B1977" s="204"/>
      <c r="C1977" s="204"/>
      <c r="D1977" s="204"/>
      <c r="E1977" s="204"/>
      <c r="F1977" s="204"/>
      <c r="G1977" s="204"/>
      <c r="H1977" s="204"/>
      <c r="I1977" s="204"/>
      <c r="J1977" s="204"/>
      <c r="K1977" s="204"/>
      <c r="L1977" s="204"/>
      <c r="M1977" s="204"/>
      <c r="N1977" s="204"/>
      <c r="O1977" s="204"/>
      <c r="P1977" s="204"/>
      <c r="T1977" s="217"/>
    </row>
    <row r="1978" spans="2:20">
      <c r="B1978" s="204"/>
      <c r="C1978" s="204"/>
      <c r="D1978" s="204"/>
      <c r="E1978" s="204"/>
      <c r="F1978" s="204"/>
      <c r="G1978" s="204"/>
      <c r="H1978" s="204"/>
      <c r="I1978" s="204"/>
      <c r="J1978" s="204"/>
      <c r="K1978" s="204"/>
      <c r="L1978" s="204"/>
      <c r="M1978" s="204"/>
      <c r="N1978" s="204"/>
      <c r="O1978" s="204"/>
      <c r="P1978" s="204"/>
      <c r="T1978" s="217"/>
    </row>
    <row r="1979" spans="2:20">
      <c r="B1979" s="204"/>
      <c r="C1979" s="204"/>
      <c r="D1979" s="204"/>
      <c r="E1979" s="204"/>
      <c r="F1979" s="204"/>
      <c r="G1979" s="204"/>
      <c r="H1979" s="204"/>
      <c r="I1979" s="204"/>
      <c r="J1979" s="204"/>
      <c r="K1979" s="204"/>
      <c r="L1979" s="204"/>
      <c r="M1979" s="204"/>
      <c r="N1979" s="204"/>
      <c r="O1979" s="204"/>
      <c r="P1979" s="204"/>
      <c r="T1979" s="217"/>
    </row>
    <row r="1980" spans="2:20">
      <c r="B1980" s="204"/>
      <c r="C1980" s="204"/>
      <c r="D1980" s="204"/>
      <c r="E1980" s="204"/>
      <c r="F1980" s="204"/>
      <c r="G1980" s="204"/>
      <c r="H1980" s="204"/>
      <c r="I1980" s="204"/>
      <c r="J1980" s="204"/>
      <c r="K1980" s="204"/>
      <c r="L1980" s="204"/>
      <c r="M1980" s="204"/>
      <c r="N1980" s="204"/>
      <c r="O1980" s="204"/>
      <c r="P1980" s="204"/>
      <c r="T1980" s="217"/>
    </row>
    <row r="1981" spans="2:20">
      <c r="B1981" s="204"/>
      <c r="C1981" s="204"/>
      <c r="D1981" s="204"/>
      <c r="E1981" s="204"/>
      <c r="F1981" s="204"/>
      <c r="G1981" s="204"/>
      <c r="H1981" s="204"/>
      <c r="I1981" s="204"/>
      <c r="J1981" s="204"/>
      <c r="K1981" s="204"/>
      <c r="L1981" s="204"/>
      <c r="M1981" s="204"/>
      <c r="N1981" s="204"/>
      <c r="O1981" s="204"/>
      <c r="P1981" s="204"/>
      <c r="T1981" s="217"/>
    </row>
    <row r="1982" spans="2:20">
      <c r="B1982" s="204"/>
      <c r="C1982" s="204"/>
      <c r="D1982" s="204"/>
      <c r="E1982" s="204"/>
      <c r="F1982" s="204"/>
      <c r="G1982" s="204"/>
      <c r="H1982" s="204"/>
      <c r="I1982" s="204"/>
      <c r="J1982" s="204"/>
      <c r="K1982" s="204"/>
      <c r="L1982" s="204"/>
      <c r="M1982" s="204"/>
      <c r="N1982" s="204"/>
      <c r="O1982" s="204"/>
      <c r="P1982" s="204"/>
      <c r="T1982" s="217"/>
    </row>
    <row r="1983" spans="2:20">
      <c r="B1983" s="204"/>
      <c r="C1983" s="204"/>
      <c r="D1983" s="204"/>
      <c r="E1983" s="204"/>
      <c r="F1983" s="204"/>
      <c r="G1983" s="204"/>
      <c r="H1983" s="204"/>
      <c r="I1983" s="204"/>
      <c r="J1983" s="204"/>
      <c r="K1983" s="204"/>
      <c r="L1983" s="204"/>
      <c r="M1983" s="204"/>
      <c r="N1983" s="204"/>
      <c r="O1983" s="204"/>
      <c r="P1983" s="204"/>
      <c r="T1983" s="217"/>
    </row>
    <row r="1984" spans="2:20">
      <c r="B1984" s="204"/>
      <c r="C1984" s="204"/>
      <c r="D1984" s="204"/>
      <c r="E1984" s="204"/>
      <c r="F1984" s="204"/>
      <c r="G1984" s="204"/>
      <c r="H1984" s="204"/>
      <c r="I1984" s="204"/>
      <c r="J1984" s="204"/>
      <c r="K1984" s="204"/>
      <c r="L1984" s="204"/>
      <c r="M1984" s="204"/>
      <c r="N1984" s="204"/>
      <c r="O1984" s="204"/>
      <c r="P1984" s="204"/>
      <c r="T1984" s="217"/>
    </row>
    <row r="1985" spans="2:20">
      <c r="B1985" s="204"/>
      <c r="C1985" s="204"/>
      <c r="D1985" s="204"/>
      <c r="E1985" s="204"/>
      <c r="F1985" s="204"/>
      <c r="G1985" s="204"/>
      <c r="H1985" s="204"/>
      <c r="I1985" s="204"/>
      <c r="J1985" s="204"/>
      <c r="K1985" s="204"/>
      <c r="L1985" s="204"/>
      <c r="M1985" s="204"/>
      <c r="N1985" s="204"/>
      <c r="O1985" s="204"/>
      <c r="P1985" s="204"/>
      <c r="T1985" s="217"/>
    </row>
    <row r="1986" spans="2:20">
      <c r="B1986" s="204"/>
      <c r="C1986" s="204"/>
      <c r="D1986" s="204"/>
      <c r="E1986" s="204"/>
      <c r="F1986" s="204"/>
      <c r="G1986" s="204"/>
      <c r="H1986" s="204"/>
      <c r="I1986" s="204"/>
      <c r="J1986" s="204"/>
      <c r="K1986" s="204"/>
      <c r="L1986" s="204"/>
      <c r="M1986" s="204"/>
      <c r="N1986" s="204"/>
      <c r="O1986" s="204"/>
      <c r="P1986" s="204"/>
      <c r="T1986" s="217"/>
    </row>
    <row r="1987" spans="2:20">
      <c r="B1987" s="204"/>
      <c r="C1987" s="204"/>
      <c r="D1987" s="204"/>
      <c r="E1987" s="204"/>
      <c r="F1987" s="204"/>
      <c r="G1987" s="204"/>
      <c r="H1987" s="204"/>
      <c r="I1987" s="204"/>
      <c r="J1987" s="204"/>
      <c r="K1987" s="204"/>
      <c r="L1987" s="204"/>
      <c r="M1987" s="204"/>
      <c r="N1987" s="204"/>
      <c r="O1987" s="204"/>
      <c r="P1987" s="204"/>
      <c r="T1987" s="217"/>
    </row>
    <row r="1988" spans="2:20">
      <c r="B1988" s="204"/>
      <c r="C1988" s="204"/>
      <c r="D1988" s="204"/>
      <c r="E1988" s="204"/>
      <c r="F1988" s="204"/>
      <c r="G1988" s="204"/>
      <c r="H1988" s="204"/>
      <c r="I1988" s="204"/>
      <c r="J1988" s="204"/>
      <c r="K1988" s="204"/>
      <c r="L1988" s="204"/>
      <c r="M1988" s="204"/>
      <c r="N1988" s="204"/>
      <c r="O1988" s="204"/>
      <c r="P1988" s="204"/>
      <c r="T1988" s="217"/>
    </row>
    <row r="1989" spans="2:20">
      <c r="B1989" s="204"/>
      <c r="C1989" s="204"/>
      <c r="D1989" s="204"/>
      <c r="E1989" s="204"/>
      <c r="F1989" s="204"/>
      <c r="G1989" s="204"/>
      <c r="H1989" s="204"/>
      <c r="I1989" s="204"/>
      <c r="J1989" s="204"/>
      <c r="K1989" s="204"/>
      <c r="L1989" s="204"/>
      <c r="M1989" s="204"/>
      <c r="N1989" s="204"/>
      <c r="O1989" s="204"/>
      <c r="P1989" s="204"/>
      <c r="T1989" s="217"/>
    </row>
    <row r="1990" spans="2:20">
      <c r="B1990" s="204"/>
      <c r="C1990" s="204"/>
      <c r="D1990" s="204"/>
      <c r="E1990" s="204"/>
      <c r="F1990" s="204"/>
      <c r="G1990" s="204"/>
      <c r="H1990" s="204"/>
      <c r="I1990" s="204"/>
      <c r="J1990" s="204"/>
      <c r="K1990" s="204"/>
      <c r="L1990" s="204"/>
      <c r="M1990" s="204"/>
      <c r="N1990" s="204"/>
      <c r="O1990" s="204"/>
      <c r="P1990" s="204"/>
      <c r="T1990" s="217"/>
    </row>
    <row r="1991" spans="2:20">
      <c r="B1991" s="204"/>
      <c r="C1991" s="204"/>
      <c r="D1991" s="204"/>
      <c r="E1991" s="204"/>
      <c r="F1991" s="204"/>
      <c r="G1991" s="204"/>
      <c r="H1991" s="204"/>
      <c r="I1991" s="204"/>
      <c r="J1991" s="204"/>
      <c r="K1991" s="204"/>
      <c r="L1991" s="204"/>
      <c r="M1991" s="204"/>
      <c r="N1991" s="204"/>
      <c r="O1991" s="204"/>
      <c r="P1991" s="204"/>
      <c r="T1991" s="217"/>
    </row>
    <row r="1992" spans="2:20">
      <c r="B1992" s="204"/>
      <c r="C1992" s="204"/>
      <c r="D1992" s="204"/>
      <c r="E1992" s="204"/>
      <c r="F1992" s="204"/>
      <c r="G1992" s="204"/>
      <c r="H1992" s="204"/>
      <c r="I1992" s="204"/>
      <c r="J1992" s="204"/>
      <c r="K1992" s="204"/>
      <c r="L1992" s="204"/>
      <c r="M1992" s="204"/>
      <c r="N1992" s="204"/>
      <c r="O1992" s="204"/>
      <c r="P1992" s="204"/>
      <c r="T1992" s="217"/>
    </row>
    <row r="1993" spans="2:20">
      <c r="B1993" s="204"/>
      <c r="C1993" s="204"/>
      <c r="D1993" s="204"/>
      <c r="E1993" s="204"/>
      <c r="F1993" s="204"/>
      <c r="G1993" s="204"/>
      <c r="H1993" s="204"/>
      <c r="I1993" s="204"/>
      <c r="J1993" s="204"/>
      <c r="K1993" s="204"/>
      <c r="L1993" s="204"/>
      <c r="M1993" s="204"/>
      <c r="N1993" s="204"/>
      <c r="O1993" s="204"/>
      <c r="P1993" s="204"/>
      <c r="T1993" s="217"/>
    </row>
    <row r="1994" spans="2:20">
      <c r="B1994" s="204"/>
      <c r="C1994" s="204"/>
      <c r="D1994" s="204"/>
      <c r="E1994" s="204"/>
      <c r="F1994" s="204"/>
      <c r="G1994" s="204"/>
      <c r="H1994" s="204"/>
      <c r="I1994" s="204"/>
      <c r="J1994" s="204"/>
      <c r="K1994" s="204"/>
      <c r="L1994" s="204"/>
      <c r="M1994" s="204"/>
      <c r="N1994" s="204"/>
      <c r="O1994" s="204"/>
      <c r="P1994" s="204"/>
      <c r="T1994" s="217"/>
    </row>
    <row r="1995" spans="2:20">
      <c r="B1995" s="204"/>
      <c r="C1995" s="204"/>
      <c r="D1995" s="204"/>
      <c r="E1995" s="204"/>
      <c r="F1995" s="204"/>
      <c r="G1995" s="204"/>
      <c r="H1995" s="204"/>
      <c r="I1995" s="204"/>
      <c r="J1995" s="204"/>
      <c r="K1995" s="204"/>
      <c r="L1995" s="204"/>
      <c r="M1995" s="204"/>
      <c r="N1995" s="204"/>
      <c r="O1995" s="204"/>
      <c r="P1995" s="204"/>
      <c r="T1995" s="217"/>
    </row>
    <row r="1996" spans="2:20">
      <c r="B1996" s="204"/>
      <c r="C1996" s="204"/>
      <c r="D1996" s="204"/>
      <c r="E1996" s="204"/>
      <c r="F1996" s="204"/>
      <c r="G1996" s="204"/>
      <c r="H1996" s="204"/>
      <c r="I1996" s="204"/>
      <c r="J1996" s="204"/>
      <c r="K1996" s="204"/>
      <c r="L1996" s="204"/>
      <c r="M1996" s="204"/>
      <c r="N1996" s="204"/>
      <c r="O1996" s="204"/>
      <c r="P1996" s="204"/>
      <c r="T1996" s="217"/>
    </row>
    <row r="1997" spans="2:20">
      <c r="B1997" s="204"/>
      <c r="C1997" s="204"/>
      <c r="D1997" s="204"/>
      <c r="E1997" s="204"/>
      <c r="F1997" s="204"/>
      <c r="G1997" s="204"/>
      <c r="H1997" s="204"/>
      <c r="I1997" s="204"/>
      <c r="J1997" s="204"/>
      <c r="K1997" s="204"/>
      <c r="L1997" s="204"/>
      <c r="M1997" s="204"/>
      <c r="N1997" s="204"/>
      <c r="O1997" s="204"/>
      <c r="P1997" s="204"/>
      <c r="T1997" s="217"/>
    </row>
    <row r="1998" spans="2:20">
      <c r="B1998" s="204"/>
      <c r="C1998" s="204"/>
      <c r="D1998" s="204"/>
      <c r="E1998" s="204"/>
      <c r="F1998" s="204"/>
      <c r="G1998" s="204"/>
      <c r="H1998" s="204"/>
      <c r="I1998" s="204"/>
      <c r="J1998" s="204"/>
      <c r="K1998" s="204"/>
      <c r="L1998" s="204"/>
      <c r="M1998" s="204"/>
      <c r="N1998" s="204"/>
      <c r="O1998" s="204"/>
      <c r="P1998" s="204"/>
      <c r="T1998" s="217"/>
    </row>
    <row r="1999" spans="2:20">
      <c r="B1999" s="204"/>
      <c r="C1999" s="204"/>
      <c r="D1999" s="204"/>
      <c r="E1999" s="204"/>
      <c r="F1999" s="204"/>
      <c r="G1999" s="204"/>
      <c r="H1999" s="204"/>
      <c r="I1999" s="204"/>
      <c r="J1999" s="204"/>
      <c r="K1999" s="204"/>
      <c r="L1999" s="204"/>
      <c r="M1999" s="204"/>
      <c r="N1999" s="204"/>
      <c r="O1999" s="204"/>
      <c r="P1999" s="204"/>
      <c r="T1999" s="217"/>
    </row>
    <row r="2000" spans="2:20">
      <c r="B2000" s="204"/>
      <c r="C2000" s="204"/>
      <c r="D2000" s="204"/>
      <c r="E2000" s="204"/>
      <c r="F2000" s="204"/>
      <c r="G2000" s="204"/>
      <c r="H2000" s="204"/>
      <c r="I2000" s="204"/>
      <c r="J2000" s="204"/>
      <c r="K2000" s="204"/>
      <c r="L2000" s="204"/>
      <c r="M2000" s="204"/>
      <c r="N2000" s="204"/>
      <c r="O2000" s="204"/>
      <c r="P2000" s="204"/>
      <c r="T2000" s="217"/>
    </row>
    <row r="2001" spans="2:20">
      <c r="B2001" s="204"/>
      <c r="C2001" s="204"/>
      <c r="D2001" s="204"/>
      <c r="E2001" s="204"/>
      <c r="F2001" s="204"/>
      <c r="G2001" s="204"/>
      <c r="H2001" s="204"/>
      <c r="I2001" s="204"/>
      <c r="J2001" s="204"/>
      <c r="K2001" s="204"/>
      <c r="L2001" s="204"/>
      <c r="M2001" s="204"/>
      <c r="N2001" s="204"/>
      <c r="O2001" s="204"/>
      <c r="P2001" s="204"/>
      <c r="T2001" s="217"/>
    </row>
    <row r="2002" spans="2:20">
      <c r="B2002" s="204"/>
      <c r="C2002" s="204"/>
      <c r="D2002" s="204"/>
      <c r="E2002" s="204"/>
      <c r="F2002" s="204"/>
      <c r="G2002" s="204"/>
      <c r="H2002" s="204"/>
      <c r="I2002" s="204"/>
      <c r="J2002" s="204"/>
      <c r="K2002" s="204"/>
      <c r="L2002" s="204"/>
      <c r="M2002" s="204"/>
      <c r="N2002" s="204"/>
      <c r="O2002" s="204"/>
      <c r="P2002" s="204"/>
      <c r="T2002" s="217"/>
    </row>
    <row r="2003" spans="2:20">
      <c r="B2003" s="204"/>
      <c r="C2003" s="204"/>
      <c r="D2003" s="204"/>
      <c r="E2003" s="204"/>
      <c r="F2003" s="204"/>
      <c r="G2003" s="204"/>
      <c r="H2003" s="204"/>
      <c r="I2003" s="204"/>
      <c r="J2003" s="204"/>
      <c r="K2003" s="204"/>
      <c r="L2003" s="204"/>
      <c r="M2003" s="204"/>
      <c r="N2003" s="204"/>
      <c r="O2003" s="204"/>
      <c r="P2003" s="204"/>
      <c r="T2003" s="217"/>
    </row>
    <row r="2004" spans="2:20">
      <c r="B2004" s="204"/>
      <c r="C2004" s="204"/>
      <c r="D2004" s="204"/>
      <c r="E2004" s="204"/>
      <c r="F2004" s="204"/>
      <c r="G2004" s="204"/>
      <c r="H2004" s="204"/>
      <c r="I2004" s="204"/>
      <c r="J2004" s="204"/>
      <c r="K2004" s="204"/>
      <c r="L2004" s="204"/>
      <c r="M2004" s="204"/>
      <c r="N2004" s="204"/>
      <c r="O2004" s="204"/>
      <c r="P2004" s="204"/>
      <c r="T2004" s="217"/>
    </row>
    <row r="2005" spans="2:20">
      <c r="B2005" s="204"/>
      <c r="C2005" s="204"/>
      <c r="D2005" s="204"/>
      <c r="E2005" s="204"/>
      <c r="F2005" s="204"/>
      <c r="G2005" s="204"/>
      <c r="H2005" s="204"/>
      <c r="I2005" s="204"/>
      <c r="J2005" s="204"/>
      <c r="K2005" s="204"/>
      <c r="L2005" s="204"/>
      <c r="M2005" s="204"/>
      <c r="N2005" s="204"/>
      <c r="O2005" s="204"/>
      <c r="P2005" s="204"/>
      <c r="T2005" s="217"/>
    </row>
    <row r="2006" spans="2:20">
      <c r="B2006" s="204"/>
      <c r="C2006" s="204"/>
      <c r="D2006" s="204"/>
      <c r="E2006" s="204"/>
      <c r="F2006" s="204"/>
      <c r="G2006" s="204"/>
      <c r="H2006" s="204"/>
      <c r="I2006" s="204"/>
      <c r="J2006" s="204"/>
      <c r="K2006" s="204"/>
      <c r="L2006" s="204"/>
      <c r="M2006" s="204"/>
      <c r="N2006" s="204"/>
      <c r="O2006" s="204"/>
      <c r="P2006" s="204"/>
      <c r="T2006" s="217"/>
    </row>
    <row r="2007" spans="2:20">
      <c r="B2007" s="204"/>
      <c r="C2007" s="204"/>
      <c r="D2007" s="204"/>
      <c r="E2007" s="204"/>
      <c r="F2007" s="204"/>
      <c r="G2007" s="204"/>
      <c r="H2007" s="204"/>
      <c r="I2007" s="204"/>
      <c r="J2007" s="204"/>
      <c r="K2007" s="204"/>
      <c r="L2007" s="204"/>
      <c r="M2007" s="204"/>
      <c r="N2007" s="204"/>
      <c r="O2007" s="204"/>
      <c r="P2007" s="204"/>
      <c r="T2007" s="217"/>
    </row>
    <row r="2008" spans="2:20">
      <c r="B2008" s="204"/>
      <c r="C2008" s="204"/>
      <c r="D2008" s="204"/>
      <c r="E2008" s="204"/>
      <c r="F2008" s="204"/>
      <c r="G2008" s="204"/>
      <c r="H2008" s="204"/>
      <c r="I2008" s="204"/>
      <c r="J2008" s="204"/>
      <c r="K2008" s="204"/>
      <c r="L2008" s="204"/>
      <c r="M2008" s="204"/>
      <c r="N2008" s="204"/>
      <c r="O2008" s="204"/>
      <c r="P2008" s="204"/>
      <c r="T2008" s="217"/>
    </row>
    <row r="2009" spans="2:20">
      <c r="B2009" s="204"/>
      <c r="C2009" s="204"/>
      <c r="D2009" s="204"/>
      <c r="E2009" s="204"/>
      <c r="F2009" s="204"/>
      <c r="G2009" s="204"/>
      <c r="H2009" s="204"/>
      <c r="I2009" s="204"/>
      <c r="J2009" s="204"/>
      <c r="K2009" s="204"/>
      <c r="L2009" s="204"/>
      <c r="M2009" s="204"/>
      <c r="N2009" s="204"/>
      <c r="O2009" s="204"/>
      <c r="P2009" s="204"/>
      <c r="T2009" s="217"/>
    </row>
    <row r="2010" spans="2:20">
      <c r="B2010" s="204"/>
      <c r="C2010" s="204"/>
      <c r="D2010" s="204"/>
      <c r="E2010" s="204"/>
      <c r="F2010" s="204"/>
      <c r="G2010" s="204"/>
      <c r="H2010" s="204"/>
      <c r="I2010" s="204"/>
      <c r="J2010" s="204"/>
      <c r="K2010" s="204"/>
      <c r="L2010" s="204"/>
      <c r="M2010" s="204"/>
      <c r="N2010" s="204"/>
      <c r="O2010" s="204"/>
      <c r="P2010" s="204"/>
      <c r="T2010" s="217"/>
    </row>
    <row r="2011" spans="2:20">
      <c r="B2011" s="204"/>
      <c r="C2011" s="204"/>
      <c r="D2011" s="204"/>
      <c r="E2011" s="204"/>
      <c r="F2011" s="204"/>
      <c r="G2011" s="204"/>
      <c r="H2011" s="204"/>
      <c r="I2011" s="204"/>
      <c r="J2011" s="204"/>
      <c r="K2011" s="204"/>
      <c r="L2011" s="204"/>
      <c r="M2011" s="204"/>
      <c r="N2011" s="204"/>
      <c r="O2011" s="204"/>
      <c r="P2011" s="204"/>
      <c r="T2011" s="217"/>
    </row>
    <row r="2012" spans="2:20">
      <c r="B2012" s="204"/>
      <c r="C2012" s="204"/>
      <c r="D2012" s="204"/>
      <c r="E2012" s="204"/>
      <c r="F2012" s="204"/>
      <c r="G2012" s="204"/>
      <c r="H2012" s="204"/>
      <c r="I2012" s="204"/>
      <c r="J2012" s="204"/>
      <c r="K2012" s="204"/>
      <c r="L2012" s="204"/>
      <c r="M2012" s="204"/>
      <c r="N2012" s="204"/>
      <c r="O2012" s="204"/>
      <c r="P2012" s="204"/>
      <c r="T2012" s="217"/>
    </row>
    <row r="2013" spans="2:20">
      <c r="B2013" s="204"/>
      <c r="C2013" s="204"/>
      <c r="D2013" s="204"/>
      <c r="E2013" s="204"/>
      <c r="F2013" s="204"/>
      <c r="G2013" s="204"/>
      <c r="H2013" s="204"/>
      <c r="I2013" s="204"/>
      <c r="J2013" s="204"/>
      <c r="K2013" s="204"/>
      <c r="L2013" s="204"/>
      <c r="M2013" s="204"/>
      <c r="N2013" s="204"/>
      <c r="O2013" s="204"/>
      <c r="P2013" s="204"/>
      <c r="T2013" s="217"/>
    </row>
    <row r="2014" spans="2:20">
      <c r="B2014" s="204"/>
      <c r="C2014" s="204"/>
      <c r="D2014" s="204"/>
      <c r="E2014" s="204"/>
      <c r="F2014" s="204"/>
      <c r="G2014" s="204"/>
      <c r="H2014" s="204"/>
      <c r="I2014" s="204"/>
      <c r="J2014" s="204"/>
      <c r="K2014" s="204"/>
      <c r="L2014" s="204"/>
      <c r="M2014" s="204"/>
      <c r="N2014" s="204"/>
      <c r="O2014" s="204"/>
      <c r="P2014" s="204"/>
      <c r="T2014" s="217"/>
    </row>
    <row r="2015" spans="2:20">
      <c r="B2015" s="204"/>
      <c r="C2015" s="204"/>
      <c r="D2015" s="204"/>
      <c r="E2015" s="204"/>
      <c r="F2015" s="204"/>
      <c r="G2015" s="204"/>
      <c r="H2015" s="204"/>
      <c r="I2015" s="204"/>
      <c r="J2015" s="204"/>
      <c r="K2015" s="204"/>
      <c r="L2015" s="204"/>
      <c r="M2015" s="204"/>
      <c r="N2015" s="204"/>
      <c r="O2015" s="204"/>
      <c r="P2015" s="204"/>
      <c r="T2015" s="217"/>
    </row>
    <row r="2016" spans="2:20">
      <c r="B2016" s="204"/>
      <c r="C2016" s="204"/>
      <c r="D2016" s="204"/>
      <c r="E2016" s="204"/>
      <c r="F2016" s="204"/>
      <c r="G2016" s="204"/>
      <c r="H2016" s="204"/>
      <c r="I2016" s="204"/>
      <c r="J2016" s="204"/>
      <c r="K2016" s="204"/>
      <c r="L2016" s="204"/>
      <c r="M2016" s="204"/>
      <c r="N2016" s="204"/>
      <c r="O2016" s="204"/>
      <c r="P2016" s="204"/>
      <c r="T2016" s="217"/>
    </row>
    <row r="2017" spans="2:20">
      <c r="B2017" s="204"/>
      <c r="C2017" s="204"/>
      <c r="D2017" s="204"/>
      <c r="E2017" s="204"/>
      <c r="F2017" s="204"/>
      <c r="G2017" s="204"/>
      <c r="H2017" s="204"/>
      <c r="I2017" s="204"/>
      <c r="J2017" s="204"/>
      <c r="K2017" s="204"/>
      <c r="L2017" s="204"/>
      <c r="M2017" s="204"/>
      <c r="N2017" s="204"/>
      <c r="O2017" s="204"/>
      <c r="P2017" s="204"/>
      <c r="T2017" s="217"/>
    </row>
    <row r="2018" spans="2:20">
      <c r="B2018" s="204"/>
      <c r="C2018" s="204"/>
      <c r="D2018" s="204"/>
      <c r="E2018" s="204"/>
      <c r="F2018" s="204"/>
      <c r="G2018" s="204"/>
      <c r="H2018" s="204"/>
      <c r="I2018" s="204"/>
      <c r="J2018" s="204"/>
      <c r="K2018" s="204"/>
      <c r="L2018" s="204"/>
      <c r="M2018" s="204"/>
      <c r="N2018" s="204"/>
      <c r="O2018" s="204"/>
      <c r="P2018" s="204"/>
      <c r="T2018" s="217"/>
    </row>
    <row r="2019" spans="2:20">
      <c r="B2019" s="204"/>
      <c r="C2019" s="204"/>
      <c r="D2019" s="204"/>
      <c r="E2019" s="204"/>
      <c r="F2019" s="204"/>
      <c r="G2019" s="204"/>
      <c r="H2019" s="204"/>
      <c r="I2019" s="204"/>
      <c r="J2019" s="204"/>
      <c r="K2019" s="204"/>
      <c r="L2019" s="204"/>
      <c r="M2019" s="204"/>
      <c r="N2019" s="204"/>
      <c r="O2019" s="204"/>
      <c r="P2019" s="204"/>
      <c r="T2019" s="217"/>
    </row>
    <row r="2020" spans="2:20">
      <c r="B2020" s="204"/>
      <c r="C2020" s="204"/>
      <c r="D2020" s="204"/>
      <c r="E2020" s="204"/>
      <c r="F2020" s="204"/>
      <c r="G2020" s="204"/>
      <c r="H2020" s="204"/>
      <c r="I2020" s="204"/>
      <c r="J2020" s="204"/>
      <c r="K2020" s="204"/>
      <c r="L2020" s="204"/>
      <c r="M2020" s="204"/>
      <c r="N2020" s="204"/>
      <c r="O2020" s="204"/>
      <c r="P2020" s="204"/>
      <c r="T2020" s="217"/>
    </row>
    <row r="2021" spans="2:20">
      <c r="B2021" s="204"/>
      <c r="C2021" s="204"/>
      <c r="D2021" s="204"/>
      <c r="E2021" s="204"/>
      <c r="F2021" s="204"/>
      <c r="G2021" s="204"/>
      <c r="H2021" s="204"/>
      <c r="I2021" s="204"/>
      <c r="J2021" s="204"/>
      <c r="K2021" s="204"/>
      <c r="L2021" s="204"/>
      <c r="M2021" s="204"/>
      <c r="N2021" s="204"/>
      <c r="O2021" s="204"/>
      <c r="P2021" s="204"/>
      <c r="T2021" s="217"/>
    </row>
    <row r="2022" spans="2:20">
      <c r="B2022" s="204"/>
      <c r="C2022" s="204"/>
      <c r="D2022" s="204"/>
      <c r="E2022" s="204"/>
      <c r="F2022" s="204"/>
      <c r="G2022" s="204"/>
      <c r="H2022" s="204"/>
      <c r="I2022" s="204"/>
      <c r="J2022" s="204"/>
      <c r="K2022" s="204"/>
      <c r="L2022" s="204"/>
      <c r="M2022" s="204"/>
      <c r="N2022" s="204"/>
      <c r="O2022" s="204"/>
      <c r="P2022" s="204"/>
      <c r="T2022" s="217"/>
    </row>
    <row r="2023" spans="2:20">
      <c r="B2023" s="204"/>
      <c r="C2023" s="204"/>
      <c r="D2023" s="204"/>
      <c r="E2023" s="204"/>
      <c r="F2023" s="204"/>
      <c r="G2023" s="204"/>
      <c r="H2023" s="204"/>
      <c r="I2023" s="204"/>
      <c r="J2023" s="204"/>
      <c r="K2023" s="204"/>
      <c r="L2023" s="204"/>
      <c r="M2023" s="204"/>
      <c r="N2023" s="204"/>
      <c r="O2023" s="204"/>
      <c r="P2023" s="204"/>
      <c r="T2023" s="217"/>
    </row>
    <row r="2024" spans="2:20">
      <c r="B2024" s="204"/>
      <c r="C2024" s="204"/>
      <c r="D2024" s="204"/>
      <c r="E2024" s="204"/>
      <c r="F2024" s="204"/>
      <c r="G2024" s="204"/>
      <c r="H2024" s="204"/>
      <c r="I2024" s="204"/>
      <c r="J2024" s="204"/>
      <c r="K2024" s="204"/>
      <c r="L2024" s="204"/>
      <c r="M2024" s="204"/>
      <c r="N2024" s="204"/>
      <c r="O2024" s="204"/>
      <c r="P2024" s="204"/>
      <c r="T2024" s="217"/>
    </row>
    <row r="2025" spans="2:20">
      <c r="B2025" s="204"/>
      <c r="C2025" s="204"/>
      <c r="D2025" s="204"/>
      <c r="E2025" s="204"/>
      <c r="F2025" s="204"/>
      <c r="G2025" s="204"/>
      <c r="H2025" s="204"/>
      <c r="I2025" s="204"/>
      <c r="J2025" s="204"/>
      <c r="K2025" s="204"/>
      <c r="L2025" s="204"/>
      <c r="M2025" s="204"/>
      <c r="N2025" s="204"/>
      <c r="O2025" s="204"/>
      <c r="P2025" s="204"/>
      <c r="T2025" s="217"/>
    </row>
    <row r="2026" spans="2:20">
      <c r="B2026" s="204"/>
      <c r="C2026" s="204"/>
      <c r="D2026" s="204"/>
      <c r="E2026" s="204"/>
      <c r="F2026" s="204"/>
      <c r="G2026" s="204"/>
      <c r="H2026" s="204"/>
      <c r="I2026" s="204"/>
      <c r="J2026" s="204"/>
      <c r="K2026" s="204"/>
      <c r="L2026" s="204"/>
      <c r="M2026" s="204"/>
      <c r="N2026" s="204"/>
      <c r="O2026" s="204"/>
      <c r="P2026" s="204"/>
      <c r="T2026" s="217"/>
    </row>
    <row r="2027" spans="2:20">
      <c r="B2027" s="204"/>
      <c r="C2027" s="204"/>
      <c r="D2027" s="204"/>
      <c r="E2027" s="204"/>
      <c r="F2027" s="204"/>
      <c r="G2027" s="204"/>
      <c r="H2027" s="204"/>
      <c r="I2027" s="204"/>
      <c r="J2027" s="204"/>
      <c r="K2027" s="204"/>
      <c r="L2027" s="204"/>
      <c r="M2027" s="204"/>
      <c r="N2027" s="204"/>
      <c r="O2027" s="204"/>
      <c r="P2027" s="204"/>
      <c r="T2027" s="217"/>
    </row>
    <row r="2028" spans="2:20">
      <c r="B2028" s="204"/>
      <c r="C2028" s="204"/>
      <c r="D2028" s="204"/>
      <c r="E2028" s="204"/>
      <c r="F2028" s="204"/>
      <c r="G2028" s="204"/>
      <c r="H2028" s="204"/>
      <c r="I2028" s="204"/>
      <c r="J2028" s="204"/>
      <c r="K2028" s="204"/>
      <c r="L2028" s="204"/>
      <c r="M2028" s="204"/>
      <c r="N2028" s="204"/>
      <c r="O2028" s="204"/>
      <c r="P2028" s="204"/>
      <c r="T2028" s="217"/>
    </row>
    <row r="2029" spans="2:20">
      <c r="B2029" s="204"/>
      <c r="C2029" s="204"/>
      <c r="D2029" s="204"/>
      <c r="E2029" s="204"/>
      <c r="F2029" s="204"/>
      <c r="G2029" s="204"/>
      <c r="H2029" s="204"/>
      <c r="I2029" s="204"/>
      <c r="J2029" s="204"/>
      <c r="K2029" s="204"/>
      <c r="L2029" s="204"/>
      <c r="M2029" s="204"/>
      <c r="N2029" s="204"/>
      <c r="O2029" s="204"/>
      <c r="P2029" s="204"/>
      <c r="T2029" s="217"/>
    </row>
    <row r="2030" spans="2:20">
      <c r="B2030" s="204"/>
      <c r="C2030" s="204"/>
      <c r="D2030" s="204"/>
      <c r="E2030" s="204"/>
      <c r="F2030" s="204"/>
      <c r="G2030" s="204"/>
      <c r="H2030" s="204"/>
      <c r="I2030" s="204"/>
      <c r="J2030" s="204"/>
      <c r="K2030" s="204"/>
      <c r="L2030" s="204"/>
      <c r="M2030" s="204"/>
      <c r="N2030" s="204"/>
      <c r="O2030" s="204"/>
      <c r="P2030" s="204"/>
      <c r="T2030" s="217"/>
    </row>
    <row r="2031" spans="2:20">
      <c r="B2031" s="204"/>
      <c r="C2031" s="204"/>
      <c r="D2031" s="204"/>
      <c r="E2031" s="204"/>
      <c r="F2031" s="204"/>
      <c r="G2031" s="204"/>
      <c r="H2031" s="204"/>
      <c r="I2031" s="204"/>
      <c r="J2031" s="204"/>
      <c r="K2031" s="204"/>
      <c r="L2031" s="204"/>
      <c r="M2031" s="204"/>
      <c r="N2031" s="204"/>
      <c r="O2031" s="204"/>
      <c r="P2031" s="204"/>
      <c r="T2031" s="217"/>
    </row>
    <row r="2032" spans="2:20">
      <c r="B2032" s="204"/>
      <c r="C2032" s="204"/>
      <c r="D2032" s="204"/>
      <c r="E2032" s="204"/>
      <c r="F2032" s="204"/>
      <c r="G2032" s="204"/>
      <c r="H2032" s="204"/>
      <c r="I2032" s="204"/>
      <c r="J2032" s="204"/>
      <c r="K2032" s="204"/>
      <c r="L2032" s="204"/>
      <c r="M2032" s="204"/>
      <c r="N2032" s="204"/>
      <c r="O2032" s="204"/>
      <c r="P2032" s="204"/>
      <c r="T2032" s="217"/>
    </row>
    <row r="2033" spans="2:20">
      <c r="B2033" s="204"/>
      <c r="C2033" s="204"/>
      <c r="D2033" s="204"/>
      <c r="E2033" s="204"/>
      <c r="F2033" s="204"/>
      <c r="G2033" s="204"/>
      <c r="H2033" s="204"/>
      <c r="I2033" s="204"/>
      <c r="J2033" s="204"/>
      <c r="K2033" s="204"/>
      <c r="L2033" s="204"/>
      <c r="M2033" s="204"/>
      <c r="N2033" s="204"/>
      <c r="O2033" s="204"/>
      <c r="P2033" s="204"/>
      <c r="T2033" s="217"/>
    </row>
    <row r="2034" spans="2:20">
      <c r="B2034" s="204"/>
      <c r="C2034" s="204"/>
      <c r="D2034" s="204"/>
      <c r="E2034" s="204"/>
      <c r="F2034" s="204"/>
      <c r="G2034" s="204"/>
      <c r="H2034" s="204"/>
      <c r="I2034" s="204"/>
      <c r="J2034" s="204"/>
      <c r="K2034" s="204"/>
      <c r="L2034" s="204"/>
      <c r="M2034" s="204"/>
      <c r="N2034" s="204"/>
      <c r="O2034" s="204"/>
      <c r="P2034" s="204"/>
      <c r="T2034" s="217"/>
    </row>
    <row r="2035" spans="2:20">
      <c r="B2035" s="204"/>
      <c r="C2035" s="204"/>
      <c r="D2035" s="204"/>
      <c r="E2035" s="204"/>
      <c r="F2035" s="204"/>
      <c r="G2035" s="204"/>
      <c r="H2035" s="204"/>
      <c r="I2035" s="204"/>
      <c r="J2035" s="204"/>
      <c r="K2035" s="204"/>
      <c r="L2035" s="204"/>
      <c r="M2035" s="204"/>
      <c r="N2035" s="204"/>
      <c r="O2035" s="204"/>
      <c r="P2035" s="204"/>
      <c r="T2035" s="217"/>
    </row>
    <row r="2036" spans="2:20">
      <c r="B2036" s="204"/>
      <c r="C2036" s="204"/>
      <c r="D2036" s="204"/>
      <c r="E2036" s="204"/>
      <c r="F2036" s="204"/>
      <c r="G2036" s="204"/>
      <c r="H2036" s="204"/>
      <c r="I2036" s="204"/>
      <c r="J2036" s="204"/>
      <c r="K2036" s="204"/>
      <c r="L2036" s="204"/>
      <c r="M2036" s="204"/>
      <c r="N2036" s="204"/>
      <c r="O2036" s="204"/>
      <c r="P2036" s="204"/>
      <c r="T2036" s="217"/>
    </row>
    <row r="2037" spans="2:20">
      <c r="B2037" s="204"/>
      <c r="C2037" s="204"/>
      <c r="D2037" s="204"/>
      <c r="E2037" s="204"/>
      <c r="F2037" s="204"/>
      <c r="G2037" s="204"/>
      <c r="H2037" s="204"/>
      <c r="I2037" s="204"/>
      <c r="J2037" s="204"/>
      <c r="K2037" s="204"/>
      <c r="L2037" s="204"/>
      <c r="M2037" s="204"/>
      <c r="N2037" s="204"/>
      <c r="O2037" s="204"/>
      <c r="P2037" s="204"/>
      <c r="T2037" s="217"/>
    </row>
    <row r="2038" spans="2:20">
      <c r="B2038" s="204"/>
      <c r="C2038" s="204"/>
      <c r="D2038" s="204"/>
      <c r="E2038" s="204"/>
      <c r="F2038" s="204"/>
      <c r="G2038" s="204"/>
      <c r="H2038" s="204"/>
      <c r="I2038" s="204"/>
      <c r="J2038" s="204"/>
      <c r="K2038" s="204"/>
      <c r="L2038" s="204"/>
      <c r="M2038" s="204"/>
      <c r="N2038" s="204"/>
      <c r="O2038" s="204"/>
      <c r="P2038" s="204"/>
      <c r="T2038" s="217"/>
    </row>
    <row r="2039" spans="2:20">
      <c r="B2039" s="204"/>
      <c r="C2039" s="204"/>
      <c r="D2039" s="204"/>
      <c r="E2039" s="204"/>
      <c r="F2039" s="204"/>
      <c r="G2039" s="204"/>
      <c r="H2039" s="204"/>
      <c r="I2039" s="204"/>
      <c r="J2039" s="204"/>
      <c r="K2039" s="204"/>
      <c r="L2039" s="204"/>
      <c r="M2039" s="204"/>
      <c r="N2039" s="204"/>
      <c r="O2039" s="204"/>
      <c r="P2039" s="204"/>
      <c r="T2039" s="217"/>
    </row>
    <row r="2040" spans="2:20">
      <c r="B2040" s="204"/>
      <c r="C2040" s="204"/>
      <c r="D2040" s="204"/>
      <c r="E2040" s="204"/>
      <c r="F2040" s="204"/>
      <c r="G2040" s="204"/>
      <c r="H2040" s="204"/>
      <c r="I2040" s="204"/>
      <c r="J2040" s="204"/>
      <c r="K2040" s="204"/>
      <c r="L2040" s="204"/>
      <c r="M2040" s="204"/>
      <c r="N2040" s="204"/>
      <c r="O2040" s="204"/>
      <c r="P2040" s="204"/>
      <c r="T2040" s="217"/>
    </row>
    <row r="2041" spans="2:20">
      <c r="B2041" s="204"/>
      <c r="C2041" s="204"/>
      <c r="D2041" s="204"/>
      <c r="E2041" s="204"/>
      <c r="F2041" s="204"/>
      <c r="G2041" s="204"/>
      <c r="H2041" s="204"/>
      <c r="I2041" s="204"/>
      <c r="J2041" s="204"/>
      <c r="K2041" s="204"/>
      <c r="L2041" s="204"/>
      <c r="M2041" s="204"/>
      <c r="N2041" s="204"/>
      <c r="O2041" s="204"/>
      <c r="P2041" s="204"/>
      <c r="T2041" s="217"/>
    </row>
    <row r="2042" spans="2:20">
      <c r="B2042" s="204"/>
      <c r="C2042" s="204"/>
      <c r="D2042" s="204"/>
      <c r="E2042" s="204"/>
      <c r="F2042" s="204"/>
      <c r="G2042" s="204"/>
      <c r="H2042" s="204"/>
      <c r="I2042" s="204"/>
      <c r="J2042" s="204"/>
      <c r="K2042" s="204"/>
      <c r="L2042" s="204"/>
      <c r="M2042" s="204"/>
      <c r="N2042" s="204"/>
      <c r="O2042" s="204"/>
      <c r="P2042" s="204"/>
      <c r="T2042" s="217"/>
    </row>
    <row r="2043" spans="2:20">
      <c r="B2043" s="204"/>
      <c r="C2043" s="204"/>
      <c r="D2043" s="204"/>
      <c r="E2043" s="204"/>
      <c r="F2043" s="204"/>
      <c r="G2043" s="204"/>
      <c r="H2043" s="204"/>
      <c r="I2043" s="204"/>
      <c r="J2043" s="204"/>
      <c r="K2043" s="204"/>
      <c r="L2043" s="204"/>
      <c r="M2043" s="204"/>
      <c r="N2043" s="204"/>
      <c r="O2043" s="204"/>
      <c r="P2043" s="204"/>
      <c r="T2043" s="217"/>
    </row>
    <row r="2044" spans="2:20">
      <c r="B2044" s="204"/>
      <c r="C2044" s="204"/>
      <c r="D2044" s="204"/>
      <c r="E2044" s="204"/>
      <c r="F2044" s="204"/>
      <c r="G2044" s="204"/>
      <c r="H2044" s="204"/>
      <c r="I2044" s="204"/>
      <c r="J2044" s="204"/>
      <c r="K2044" s="204"/>
      <c r="L2044" s="204"/>
      <c r="M2044" s="204"/>
      <c r="N2044" s="204"/>
      <c r="O2044" s="204"/>
      <c r="P2044" s="204"/>
      <c r="T2044" s="217"/>
    </row>
    <row r="2045" spans="2:20">
      <c r="B2045" s="204"/>
      <c r="C2045" s="204"/>
      <c r="D2045" s="204"/>
      <c r="E2045" s="204"/>
      <c r="F2045" s="204"/>
      <c r="G2045" s="204"/>
      <c r="H2045" s="204"/>
      <c r="I2045" s="204"/>
      <c r="J2045" s="204"/>
      <c r="K2045" s="204"/>
      <c r="L2045" s="204"/>
      <c r="M2045" s="204"/>
      <c r="N2045" s="204"/>
      <c r="O2045" s="204"/>
      <c r="P2045" s="204"/>
      <c r="T2045" s="217"/>
    </row>
    <row r="2046" spans="2:20">
      <c r="B2046" s="204"/>
      <c r="C2046" s="204"/>
      <c r="D2046" s="204"/>
      <c r="E2046" s="204"/>
      <c r="F2046" s="204"/>
      <c r="G2046" s="204"/>
      <c r="H2046" s="204"/>
      <c r="I2046" s="204"/>
      <c r="J2046" s="204"/>
      <c r="K2046" s="204"/>
      <c r="L2046" s="204"/>
      <c r="M2046" s="204"/>
      <c r="N2046" s="204"/>
      <c r="O2046" s="204"/>
      <c r="P2046" s="204"/>
      <c r="T2046" s="217"/>
    </row>
    <row r="2047" spans="2:20">
      <c r="B2047" s="204"/>
      <c r="C2047" s="204"/>
      <c r="D2047" s="204"/>
      <c r="E2047" s="204"/>
      <c r="F2047" s="204"/>
      <c r="G2047" s="204"/>
      <c r="H2047" s="204"/>
      <c r="I2047" s="204"/>
      <c r="J2047" s="204"/>
      <c r="K2047" s="204"/>
      <c r="L2047" s="204"/>
      <c r="M2047" s="204"/>
      <c r="N2047" s="204"/>
      <c r="O2047" s="204"/>
      <c r="P2047" s="204"/>
      <c r="T2047" s="217"/>
    </row>
    <row r="2048" spans="2:20">
      <c r="B2048" s="204"/>
      <c r="C2048" s="204"/>
      <c r="D2048" s="204"/>
      <c r="E2048" s="204"/>
      <c r="F2048" s="204"/>
      <c r="G2048" s="204"/>
      <c r="H2048" s="204"/>
      <c r="I2048" s="204"/>
      <c r="J2048" s="204"/>
      <c r="K2048" s="204"/>
      <c r="L2048" s="204"/>
      <c r="M2048" s="204"/>
      <c r="N2048" s="204"/>
      <c r="O2048" s="204"/>
      <c r="P2048" s="204"/>
      <c r="T2048" s="217"/>
    </row>
    <row r="2049" spans="2:20">
      <c r="B2049" s="204"/>
      <c r="C2049" s="204"/>
      <c r="D2049" s="204"/>
      <c r="E2049" s="204"/>
      <c r="F2049" s="204"/>
      <c r="G2049" s="204"/>
      <c r="H2049" s="204"/>
      <c r="I2049" s="204"/>
      <c r="J2049" s="204"/>
      <c r="K2049" s="204"/>
      <c r="L2049" s="204"/>
      <c r="M2049" s="204"/>
      <c r="N2049" s="204"/>
      <c r="O2049" s="204"/>
      <c r="P2049" s="204"/>
      <c r="T2049" s="217"/>
    </row>
    <row r="2050" spans="2:20">
      <c r="B2050" s="204"/>
      <c r="C2050" s="204"/>
      <c r="D2050" s="204"/>
      <c r="E2050" s="204"/>
      <c r="F2050" s="204"/>
      <c r="G2050" s="204"/>
      <c r="H2050" s="204"/>
      <c r="I2050" s="204"/>
      <c r="J2050" s="204"/>
      <c r="K2050" s="204"/>
      <c r="L2050" s="204"/>
      <c r="M2050" s="204"/>
      <c r="N2050" s="204"/>
      <c r="O2050" s="204"/>
      <c r="P2050" s="204"/>
      <c r="T2050" s="217"/>
    </row>
    <row r="2051" spans="2:20">
      <c r="B2051" s="204"/>
      <c r="C2051" s="204"/>
      <c r="D2051" s="204"/>
      <c r="E2051" s="204"/>
      <c r="F2051" s="204"/>
      <c r="G2051" s="204"/>
      <c r="H2051" s="204"/>
      <c r="I2051" s="204"/>
      <c r="J2051" s="204"/>
      <c r="K2051" s="204"/>
      <c r="L2051" s="204"/>
      <c r="M2051" s="204"/>
      <c r="N2051" s="204"/>
      <c r="O2051" s="204"/>
      <c r="P2051" s="204"/>
      <c r="T2051" s="217"/>
    </row>
    <row r="2052" spans="2:20">
      <c r="B2052" s="204"/>
      <c r="C2052" s="204"/>
      <c r="D2052" s="204"/>
      <c r="E2052" s="204"/>
      <c r="F2052" s="204"/>
      <c r="G2052" s="204"/>
      <c r="H2052" s="204"/>
      <c r="I2052" s="204"/>
      <c r="J2052" s="204"/>
      <c r="K2052" s="204"/>
      <c r="L2052" s="204"/>
      <c r="M2052" s="204"/>
      <c r="N2052" s="204"/>
      <c r="O2052" s="204"/>
      <c r="P2052" s="204"/>
      <c r="T2052" s="217"/>
    </row>
    <row r="2053" spans="2:20">
      <c r="B2053" s="204"/>
      <c r="C2053" s="204"/>
      <c r="D2053" s="204"/>
      <c r="E2053" s="204"/>
      <c r="F2053" s="204"/>
      <c r="G2053" s="204"/>
      <c r="H2053" s="204"/>
      <c r="I2053" s="204"/>
      <c r="J2053" s="204"/>
      <c r="K2053" s="204"/>
      <c r="L2053" s="204"/>
      <c r="M2053" s="204"/>
      <c r="N2053" s="204"/>
      <c r="O2053" s="204"/>
      <c r="P2053" s="204"/>
      <c r="T2053" s="217"/>
    </row>
    <row r="2054" spans="2:20">
      <c r="B2054" s="204"/>
      <c r="C2054" s="204"/>
      <c r="D2054" s="204"/>
      <c r="E2054" s="204"/>
      <c r="F2054" s="204"/>
      <c r="G2054" s="204"/>
      <c r="H2054" s="204"/>
      <c r="I2054" s="204"/>
      <c r="J2054" s="204"/>
      <c r="K2054" s="204"/>
      <c r="L2054" s="204"/>
      <c r="M2054" s="204"/>
      <c r="N2054" s="204"/>
      <c r="O2054" s="204"/>
      <c r="P2054" s="204"/>
      <c r="T2054" s="217"/>
    </row>
    <row r="2055" spans="2:20">
      <c r="B2055" s="204"/>
      <c r="C2055" s="204"/>
      <c r="D2055" s="204"/>
      <c r="E2055" s="204"/>
      <c r="F2055" s="204"/>
      <c r="G2055" s="204"/>
      <c r="H2055" s="204"/>
      <c r="I2055" s="204"/>
      <c r="J2055" s="204"/>
      <c r="K2055" s="204"/>
      <c r="L2055" s="204"/>
      <c r="M2055" s="204"/>
      <c r="N2055" s="204"/>
      <c r="O2055" s="204"/>
      <c r="P2055" s="204"/>
      <c r="T2055" s="217"/>
    </row>
    <row r="2056" spans="2:20">
      <c r="B2056" s="204"/>
      <c r="C2056" s="204"/>
      <c r="D2056" s="204"/>
      <c r="E2056" s="204"/>
      <c r="F2056" s="204"/>
      <c r="G2056" s="204"/>
      <c r="H2056" s="204"/>
      <c r="I2056" s="204"/>
      <c r="J2056" s="204"/>
      <c r="K2056" s="204"/>
      <c r="L2056" s="204"/>
      <c r="M2056" s="204"/>
      <c r="N2056" s="204"/>
      <c r="O2056" s="204"/>
      <c r="P2056" s="204"/>
      <c r="T2056" s="217"/>
    </row>
    <row r="2057" spans="2:20">
      <c r="B2057" s="204"/>
      <c r="C2057" s="204"/>
      <c r="D2057" s="204"/>
      <c r="E2057" s="204"/>
      <c r="F2057" s="204"/>
      <c r="G2057" s="204"/>
      <c r="H2057" s="204"/>
      <c r="I2057" s="204"/>
      <c r="J2057" s="204"/>
      <c r="K2057" s="204"/>
      <c r="L2057" s="204"/>
      <c r="M2057" s="204"/>
      <c r="N2057" s="204"/>
      <c r="O2057" s="204"/>
      <c r="P2057" s="204"/>
      <c r="T2057" s="217"/>
    </row>
    <row r="2058" spans="2:20">
      <c r="B2058" s="204"/>
      <c r="C2058" s="204"/>
      <c r="D2058" s="204"/>
      <c r="E2058" s="204"/>
      <c r="F2058" s="204"/>
      <c r="G2058" s="204"/>
      <c r="H2058" s="204"/>
      <c r="I2058" s="204"/>
      <c r="J2058" s="204"/>
      <c r="K2058" s="204"/>
      <c r="L2058" s="204"/>
      <c r="M2058" s="204"/>
      <c r="N2058" s="204"/>
      <c r="O2058" s="204"/>
      <c r="P2058" s="204"/>
      <c r="T2058" s="217"/>
    </row>
    <row r="2059" spans="2:20">
      <c r="B2059" s="204"/>
      <c r="C2059" s="204"/>
      <c r="D2059" s="204"/>
      <c r="E2059" s="204"/>
      <c r="F2059" s="204"/>
      <c r="G2059" s="204"/>
      <c r="H2059" s="204"/>
      <c r="I2059" s="204"/>
      <c r="J2059" s="204"/>
      <c r="K2059" s="204"/>
      <c r="L2059" s="204"/>
      <c r="M2059" s="204"/>
      <c r="N2059" s="204"/>
      <c r="O2059" s="204"/>
      <c r="P2059" s="204"/>
      <c r="T2059" s="217"/>
    </row>
    <row r="2060" spans="2:20">
      <c r="B2060" s="204"/>
      <c r="C2060" s="204"/>
      <c r="D2060" s="204"/>
      <c r="E2060" s="204"/>
      <c r="F2060" s="204"/>
      <c r="G2060" s="204"/>
      <c r="H2060" s="204"/>
      <c r="I2060" s="204"/>
      <c r="J2060" s="204"/>
      <c r="K2060" s="204"/>
      <c r="L2060" s="204"/>
      <c r="M2060" s="204"/>
      <c r="N2060" s="204"/>
      <c r="O2060" s="204"/>
      <c r="P2060" s="204"/>
      <c r="T2060" s="217"/>
    </row>
    <row r="2061" spans="2:20">
      <c r="B2061" s="204"/>
      <c r="C2061" s="204"/>
      <c r="D2061" s="204"/>
      <c r="E2061" s="204"/>
      <c r="F2061" s="204"/>
      <c r="G2061" s="204"/>
      <c r="H2061" s="204"/>
      <c r="I2061" s="204"/>
      <c r="J2061" s="204"/>
      <c r="K2061" s="204"/>
      <c r="L2061" s="204"/>
      <c r="M2061" s="204"/>
      <c r="N2061" s="204"/>
      <c r="O2061" s="204"/>
      <c r="P2061" s="204"/>
      <c r="T2061" s="217"/>
    </row>
    <row r="2062" spans="2:20">
      <c r="B2062" s="204"/>
      <c r="C2062" s="204"/>
      <c r="D2062" s="204"/>
      <c r="E2062" s="204"/>
      <c r="F2062" s="204"/>
      <c r="G2062" s="204"/>
      <c r="H2062" s="204"/>
      <c r="I2062" s="204"/>
      <c r="J2062" s="204"/>
      <c r="K2062" s="204"/>
      <c r="L2062" s="204"/>
      <c r="M2062" s="204"/>
      <c r="N2062" s="204"/>
      <c r="O2062" s="204"/>
      <c r="P2062" s="204"/>
      <c r="T2062" s="217"/>
    </row>
    <row r="2063" spans="2:20">
      <c r="B2063" s="204"/>
      <c r="C2063" s="204"/>
      <c r="D2063" s="204"/>
      <c r="E2063" s="204"/>
      <c r="F2063" s="204"/>
      <c r="G2063" s="204"/>
      <c r="H2063" s="204"/>
      <c r="I2063" s="204"/>
      <c r="J2063" s="204"/>
      <c r="K2063" s="204"/>
      <c r="L2063" s="204"/>
      <c r="M2063" s="204"/>
      <c r="N2063" s="204"/>
      <c r="O2063" s="204"/>
      <c r="P2063" s="204"/>
      <c r="T2063" s="217"/>
    </row>
    <row r="2064" spans="2:20">
      <c r="B2064" s="204"/>
      <c r="C2064" s="204"/>
      <c r="D2064" s="204"/>
      <c r="E2064" s="204"/>
      <c r="F2064" s="204"/>
      <c r="G2064" s="204"/>
      <c r="H2064" s="204"/>
      <c r="I2064" s="204"/>
      <c r="J2064" s="204"/>
      <c r="K2064" s="204"/>
      <c r="L2064" s="204"/>
      <c r="M2064" s="204"/>
      <c r="N2064" s="204"/>
      <c r="O2064" s="204"/>
      <c r="P2064" s="204"/>
      <c r="T2064" s="217"/>
    </row>
    <row r="2065" spans="2:20">
      <c r="B2065" s="204"/>
      <c r="C2065" s="204"/>
      <c r="D2065" s="204"/>
      <c r="E2065" s="204"/>
      <c r="F2065" s="204"/>
      <c r="G2065" s="204"/>
      <c r="H2065" s="204"/>
      <c r="I2065" s="204"/>
      <c r="J2065" s="204"/>
      <c r="K2065" s="204"/>
      <c r="L2065" s="204"/>
      <c r="M2065" s="204"/>
      <c r="N2065" s="204"/>
      <c r="O2065" s="204"/>
      <c r="P2065" s="204"/>
      <c r="T2065" s="217"/>
    </row>
    <row r="2066" spans="2:20">
      <c r="B2066" s="204"/>
      <c r="C2066" s="204"/>
      <c r="D2066" s="204"/>
      <c r="E2066" s="204"/>
      <c r="F2066" s="204"/>
      <c r="G2066" s="204"/>
      <c r="H2066" s="204"/>
      <c r="I2066" s="204"/>
      <c r="J2066" s="204"/>
      <c r="K2066" s="204"/>
      <c r="L2066" s="204"/>
      <c r="M2066" s="204"/>
      <c r="N2066" s="204"/>
      <c r="O2066" s="204"/>
      <c r="P2066" s="204"/>
      <c r="T2066" s="217"/>
    </row>
    <row r="2067" spans="2:20">
      <c r="B2067" s="204"/>
      <c r="C2067" s="204"/>
      <c r="D2067" s="204"/>
      <c r="E2067" s="204"/>
      <c r="F2067" s="204"/>
      <c r="G2067" s="204"/>
      <c r="H2067" s="204"/>
      <c r="I2067" s="204"/>
      <c r="J2067" s="204"/>
      <c r="K2067" s="204"/>
      <c r="L2067" s="204"/>
      <c r="M2067" s="204"/>
      <c r="N2067" s="204"/>
      <c r="O2067" s="204"/>
      <c r="P2067" s="204"/>
      <c r="T2067" s="217"/>
    </row>
    <row r="2068" spans="2:20">
      <c r="B2068" s="204"/>
      <c r="C2068" s="204"/>
      <c r="D2068" s="204"/>
      <c r="E2068" s="204"/>
      <c r="F2068" s="204"/>
      <c r="G2068" s="204"/>
      <c r="H2068" s="204"/>
      <c r="I2068" s="204"/>
      <c r="J2068" s="204"/>
      <c r="K2068" s="204"/>
      <c r="L2068" s="204"/>
      <c r="M2068" s="204"/>
      <c r="N2068" s="204"/>
      <c r="O2068" s="204"/>
      <c r="P2068" s="204"/>
      <c r="T2068" s="217"/>
    </row>
    <row r="2069" spans="2:20">
      <c r="B2069" s="204"/>
      <c r="C2069" s="204"/>
      <c r="D2069" s="204"/>
      <c r="E2069" s="204"/>
      <c r="F2069" s="204"/>
      <c r="G2069" s="204"/>
      <c r="H2069" s="204"/>
      <c r="I2069" s="204"/>
      <c r="J2069" s="204"/>
      <c r="K2069" s="204"/>
      <c r="L2069" s="204"/>
      <c r="M2069" s="204"/>
      <c r="N2069" s="204"/>
      <c r="O2069" s="204"/>
      <c r="P2069" s="204"/>
      <c r="T2069" s="217"/>
    </row>
    <row r="2070" spans="2:20">
      <c r="B2070" s="204"/>
      <c r="C2070" s="204"/>
      <c r="D2070" s="204"/>
      <c r="E2070" s="204"/>
      <c r="F2070" s="204"/>
      <c r="G2070" s="204"/>
      <c r="H2070" s="204"/>
      <c r="I2070" s="204"/>
      <c r="J2070" s="204"/>
      <c r="K2070" s="204"/>
      <c r="L2070" s="204"/>
      <c r="M2070" s="204"/>
      <c r="N2070" s="204"/>
      <c r="O2070" s="204"/>
      <c r="P2070" s="204"/>
      <c r="T2070" s="217"/>
    </row>
    <row r="2071" spans="2:20">
      <c r="B2071" s="204"/>
      <c r="C2071" s="204"/>
      <c r="D2071" s="204"/>
      <c r="E2071" s="204"/>
      <c r="F2071" s="204"/>
      <c r="G2071" s="204"/>
      <c r="H2071" s="204"/>
      <c r="I2071" s="204"/>
      <c r="J2071" s="204"/>
      <c r="K2071" s="204"/>
      <c r="L2071" s="204"/>
      <c r="M2071" s="204"/>
      <c r="N2071" s="204"/>
      <c r="O2071" s="204"/>
      <c r="P2071" s="204"/>
      <c r="T2071" s="217"/>
    </row>
    <row r="2072" spans="2:20">
      <c r="B2072" s="204"/>
      <c r="C2072" s="204"/>
      <c r="D2072" s="204"/>
      <c r="E2072" s="204"/>
      <c r="F2072" s="204"/>
      <c r="G2072" s="204"/>
      <c r="H2072" s="204"/>
      <c r="I2072" s="204"/>
      <c r="J2072" s="204"/>
      <c r="K2072" s="204"/>
      <c r="L2072" s="204"/>
      <c r="M2072" s="204"/>
      <c r="N2072" s="204"/>
      <c r="O2072" s="204"/>
      <c r="P2072" s="204"/>
      <c r="T2072" s="217"/>
    </row>
    <row r="2073" spans="2:20">
      <c r="B2073" s="204"/>
      <c r="C2073" s="204"/>
      <c r="D2073" s="204"/>
      <c r="E2073" s="204"/>
      <c r="F2073" s="204"/>
      <c r="G2073" s="204"/>
      <c r="H2073" s="204"/>
      <c r="I2073" s="204"/>
      <c r="J2073" s="204"/>
      <c r="K2073" s="204"/>
      <c r="L2073" s="204"/>
      <c r="M2073" s="204"/>
      <c r="N2073" s="204"/>
      <c r="O2073" s="204"/>
      <c r="P2073" s="204"/>
      <c r="T2073" s="217"/>
    </row>
    <row r="2074" spans="2:20">
      <c r="B2074" s="204"/>
      <c r="C2074" s="204"/>
      <c r="D2074" s="204"/>
      <c r="E2074" s="204"/>
      <c r="F2074" s="204"/>
      <c r="G2074" s="204"/>
      <c r="H2074" s="204"/>
      <c r="I2074" s="204"/>
      <c r="J2074" s="204"/>
      <c r="K2074" s="204"/>
      <c r="L2074" s="204"/>
      <c r="M2074" s="204"/>
      <c r="N2074" s="204"/>
      <c r="O2074" s="204"/>
      <c r="P2074" s="204"/>
      <c r="T2074" s="217"/>
    </row>
    <row r="2075" spans="2:20">
      <c r="B2075" s="204"/>
      <c r="C2075" s="204"/>
      <c r="D2075" s="204"/>
      <c r="E2075" s="204"/>
      <c r="F2075" s="204"/>
      <c r="G2075" s="204"/>
      <c r="H2075" s="204"/>
      <c r="I2075" s="204"/>
      <c r="J2075" s="204"/>
      <c r="K2075" s="204"/>
      <c r="L2075" s="204"/>
      <c r="M2075" s="204"/>
      <c r="N2075" s="204"/>
      <c r="O2075" s="204"/>
      <c r="P2075" s="204"/>
      <c r="T2075" s="217"/>
    </row>
    <row r="2076" spans="2:20">
      <c r="B2076" s="204"/>
      <c r="C2076" s="204"/>
      <c r="D2076" s="204"/>
      <c r="E2076" s="204"/>
      <c r="F2076" s="204"/>
      <c r="G2076" s="204"/>
      <c r="H2076" s="204"/>
      <c r="I2076" s="204"/>
      <c r="J2076" s="204"/>
      <c r="K2076" s="204"/>
      <c r="L2076" s="204"/>
      <c r="M2076" s="204"/>
      <c r="N2076" s="204"/>
      <c r="O2076" s="204"/>
      <c r="P2076" s="204"/>
      <c r="T2076" s="217"/>
    </row>
    <row r="2077" spans="2:20">
      <c r="B2077" s="204"/>
      <c r="C2077" s="204"/>
      <c r="D2077" s="204"/>
      <c r="E2077" s="204"/>
      <c r="F2077" s="204"/>
      <c r="G2077" s="204"/>
      <c r="H2077" s="204"/>
      <c r="I2077" s="204"/>
      <c r="J2077" s="204"/>
      <c r="K2077" s="204"/>
      <c r="L2077" s="204"/>
      <c r="M2077" s="204"/>
      <c r="N2077" s="204"/>
      <c r="O2077" s="204"/>
      <c r="P2077" s="204"/>
      <c r="T2077" s="217"/>
    </row>
    <row r="2078" spans="2:20">
      <c r="B2078" s="204"/>
      <c r="C2078" s="204"/>
      <c r="D2078" s="204"/>
      <c r="E2078" s="204"/>
      <c r="F2078" s="204"/>
      <c r="G2078" s="204"/>
      <c r="H2078" s="204"/>
      <c r="I2078" s="204"/>
      <c r="J2078" s="204"/>
      <c r="K2078" s="204"/>
      <c r="L2078" s="204"/>
      <c r="M2078" s="204"/>
      <c r="N2078" s="204"/>
      <c r="O2078" s="204"/>
      <c r="P2078" s="204"/>
      <c r="T2078" s="217"/>
    </row>
    <row r="2079" spans="2:20">
      <c r="B2079" s="204"/>
      <c r="C2079" s="204"/>
      <c r="D2079" s="204"/>
      <c r="E2079" s="204"/>
      <c r="F2079" s="204"/>
      <c r="G2079" s="204"/>
      <c r="H2079" s="204"/>
      <c r="I2079" s="204"/>
      <c r="J2079" s="204"/>
      <c r="K2079" s="204"/>
      <c r="L2079" s="204"/>
      <c r="M2079" s="204"/>
      <c r="N2079" s="204"/>
      <c r="O2079" s="204"/>
      <c r="P2079" s="204"/>
      <c r="T2079" s="217"/>
    </row>
    <row r="2080" spans="2:20">
      <c r="B2080" s="204"/>
      <c r="C2080" s="204"/>
      <c r="D2080" s="204"/>
      <c r="E2080" s="204"/>
      <c r="F2080" s="204"/>
      <c r="G2080" s="204"/>
      <c r="H2080" s="204"/>
      <c r="I2080" s="204"/>
      <c r="J2080" s="204"/>
      <c r="K2080" s="204"/>
      <c r="L2080" s="204"/>
      <c r="M2080" s="204"/>
      <c r="N2080" s="204"/>
      <c r="O2080" s="204"/>
      <c r="P2080" s="204"/>
      <c r="T2080" s="217"/>
    </row>
    <row r="2081" spans="2:20">
      <c r="B2081" s="204"/>
      <c r="C2081" s="204"/>
      <c r="D2081" s="204"/>
      <c r="E2081" s="204"/>
      <c r="F2081" s="204"/>
      <c r="G2081" s="204"/>
      <c r="H2081" s="204"/>
      <c r="I2081" s="204"/>
      <c r="J2081" s="204"/>
      <c r="K2081" s="204"/>
      <c r="L2081" s="204"/>
      <c r="M2081" s="204"/>
      <c r="N2081" s="204"/>
      <c r="O2081" s="204"/>
      <c r="P2081" s="204"/>
      <c r="T2081" s="217"/>
    </row>
    <row r="2082" spans="2:20">
      <c r="B2082" s="204"/>
      <c r="C2082" s="204"/>
      <c r="D2082" s="204"/>
      <c r="E2082" s="204"/>
      <c r="F2082" s="204"/>
      <c r="G2082" s="204"/>
      <c r="H2082" s="204"/>
      <c r="I2082" s="204"/>
      <c r="J2082" s="204"/>
      <c r="K2082" s="204"/>
      <c r="L2082" s="204"/>
      <c r="M2082" s="204"/>
      <c r="N2082" s="204"/>
      <c r="O2082" s="204"/>
      <c r="P2082" s="204"/>
      <c r="T2082" s="217"/>
    </row>
    <row r="2083" spans="2:20">
      <c r="B2083" s="204"/>
      <c r="C2083" s="204"/>
      <c r="D2083" s="204"/>
      <c r="E2083" s="204"/>
      <c r="F2083" s="204"/>
      <c r="G2083" s="204"/>
      <c r="H2083" s="204"/>
      <c r="I2083" s="204"/>
      <c r="J2083" s="204"/>
      <c r="K2083" s="204"/>
      <c r="L2083" s="204"/>
      <c r="M2083" s="204"/>
      <c r="N2083" s="204"/>
      <c r="O2083" s="204"/>
      <c r="P2083" s="204"/>
      <c r="T2083" s="217"/>
    </row>
    <row r="2084" spans="2:20">
      <c r="B2084" s="204"/>
      <c r="C2084" s="204"/>
      <c r="D2084" s="204"/>
      <c r="E2084" s="204"/>
      <c r="F2084" s="204"/>
      <c r="G2084" s="204"/>
      <c r="H2084" s="204"/>
      <c r="I2084" s="204"/>
      <c r="J2084" s="204"/>
      <c r="K2084" s="204"/>
      <c r="L2084" s="204"/>
      <c r="M2084" s="204"/>
      <c r="N2084" s="204"/>
      <c r="O2084" s="204"/>
      <c r="P2084" s="204"/>
      <c r="T2084" s="217"/>
    </row>
    <row r="2085" spans="2:20">
      <c r="B2085" s="204"/>
      <c r="C2085" s="204"/>
      <c r="D2085" s="204"/>
      <c r="E2085" s="204"/>
      <c r="F2085" s="204"/>
      <c r="G2085" s="204"/>
      <c r="H2085" s="204"/>
      <c r="I2085" s="204"/>
      <c r="J2085" s="204"/>
      <c r="K2085" s="204"/>
      <c r="L2085" s="204"/>
      <c r="M2085" s="204"/>
      <c r="N2085" s="204"/>
      <c r="O2085" s="204"/>
      <c r="P2085" s="204"/>
      <c r="T2085" s="217"/>
    </row>
    <row r="2086" spans="2:20">
      <c r="B2086" s="204"/>
      <c r="C2086" s="204"/>
      <c r="D2086" s="204"/>
      <c r="E2086" s="204"/>
      <c r="F2086" s="204"/>
      <c r="G2086" s="204"/>
      <c r="H2086" s="204"/>
      <c r="I2086" s="204"/>
      <c r="J2086" s="204"/>
      <c r="K2086" s="204"/>
      <c r="L2086" s="204"/>
      <c r="M2086" s="204"/>
      <c r="N2086" s="204"/>
      <c r="O2086" s="204"/>
      <c r="P2086" s="204"/>
      <c r="T2086" s="217"/>
    </row>
    <row r="2087" spans="2:20">
      <c r="B2087" s="204"/>
      <c r="C2087" s="204"/>
      <c r="D2087" s="204"/>
      <c r="E2087" s="204"/>
      <c r="F2087" s="204"/>
      <c r="G2087" s="204"/>
      <c r="H2087" s="204"/>
      <c r="I2087" s="204"/>
      <c r="J2087" s="204"/>
      <c r="K2087" s="204"/>
      <c r="L2087" s="204"/>
      <c r="M2087" s="204"/>
      <c r="N2087" s="204"/>
      <c r="O2087" s="204"/>
      <c r="P2087" s="204"/>
      <c r="T2087" s="217"/>
    </row>
    <row r="2088" spans="2:20">
      <c r="B2088" s="204"/>
      <c r="C2088" s="204"/>
      <c r="D2088" s="204"/>
      <c r="E2088" s="204"/>
      <c r="F2088" s="204"/>
      <c r="G2088" s="204"/>
      <c r="H2088" s="204"/>
      <c r="I2088" s="204"/>
      <c r="J2088" s="204"/>
      <c r="K2088" s="204"/>
      <c r="L2088" s="204"/>
      <c r="M2088" s="204"/>
      <c r="N2088" s="204"/>
      <c r="O2088" s="204"/>
      <c r="P2088" s="204"/>
      <c r="T2088" s="217"/>
    </row>
    <row r="2089" spans="2:20">
      <c r="B2089" s="204"/>
      <c r="C2089" s="204"/>
      <c r="D2089" s="204"/>
      <c r="E2089" s="204"/>
      <c r="F2089" s="204"/>
      <c r="G2089" s="204"/>
      <c r="H2089" s="204"/>
      <c r="I2089" s="204"/>
      <c r="J2089" s="204"/>
      <c r="K2089" s="204"/>
      <c r="L2089" s="204"/>
      <c r="M2089" s="204"/>
      <c r="N2089" s="204"/>
      <c r="O2089" s="204"/>
      <c r="P2089" s="204"/>
      <c r="T2089" s="217"/>
    </row>
    <row r="2090" spans="2:20">
      <c r="B2090" s="204"/>
      <c r="C2090" s="204"/>
      <c r="D2090" s="204"/>
      <c r="E2090" s="204"/>
      <c r="F2090" s="204"/>
      <c r="G2090" s="204"/>
      <c r="H2090" s="204"/>
      <c r="I2090" s="204"/>
      <c r="J2090" s="204"/>
      <c r="K2090" s="204"/>
      <c r="L2090" s="204"/>
      <c r="M2090" s="204"/>
      <c r="N2090" s="204"/>
      <c r="O2090" s="204"/>
      <c r="P2090" s="204"/>
      <c r="T2090" s="217"/>
    </row>
    <row r="2091" spans="2:20">
      <c r="B2091" s="204"/>
      <c r="C2091" s="204"/>
      <c r="D2091" s="204"/>
      <c r="E2091" s="204"/>
      <c r="F2091" s="204"/>
      <c r="G2091" s="204"/>
      <c r="H2091" s="204"/>
      <c r="I2091" s="204"/>
      <c r="J2091" s="204"/>
      <c r="K2091" s="204"/>
      <c r="L2091" s="204"/>
      <c r="M2091" s="204"/>
      <c r="N2091" s="204"/>
      <c r="O2091" s="204"/>
      <c r="P2091" s="204"/>
      <c r="T2091" s="217"/>
    </row>
    <row r="2092" spans="2:20">
      <c r="B2092" s="204"/>
      <c r="C2092" s="204"/>
      <c r="D2092" s="204"/>
      <c r="E2092" s="204"/>
      <c r="F2092" s="204"/>
      <c r="G2092" s="204"/>
      <c r="H2092" s="204"/>
      <c r="I2092" s="204"/>
      <c r="J2092" s="204"/>
      <c r="K2092" s="204"/>
      <c r="L2092" s="204"/>
      <c r="M2092" s="204"/>
      <c r="N2092" s="204"/>
      <c r="O2092" s="204"/>
      <c r="P2092" s="204"/>
      <c r="T2092" s="217"/>
    </row>
    <row r="2093" spans="2:20">
      <c r="B2093" s="204"/>
      <c r="C2093" s="204"/>
      <c r="D2093" s="204"/>
      <c r="E2093" s="204"/>
      <c r="F2093" s="204"/>
      <c r="G2093" s="204"/>
      <c r="H2093" s="204"/>
      <c r="I2093" s="204"/>
      <c r="J2093" s="204"/>
      <c r="K2093" s="204"/>
      <c r="L2093" s="204"/>
      <c r="M2093" s="204"/>
      <c r="N2093" s="204"/>
      <c r="O2093" s="204"/>
      <c r="P2093" s="204"/>
      <c r="T2093" s="217"/>
    </row>
    <row r="2094" spans="2:20">
      <c r="B2094" s="204"/>
      <c r="C2094" s="204"/>
      <c r="D2094" s="204"/>
      <c r="E2094" s="204"/>
      <c r="F2094" s="204"/>
      <c r="G2094" s="204"/>
      <c r="H2094" s="204"/>
      <c r="I2094" s="204"/>
      <c r="J2094" s="204"/>
      <c r="K2094" s="204"/>
      <c r="L2094" s="204"/>
      <c r="M2094" s="204"/>
      <c r="N2094" s="204"/>
      <c r="O2094" s="204"/>
      <c r="P2094" s="204"/>
      <c r="T2094" s="217"/>
    </row>
    <row r="2095" spans="2:20">
      <c r="B2095" s="204"/>
      <c r="C2095" s="204"/>
      <c r="D2095" s="204"/>
      <c r="E2095" s="204"/>
      <c r="F2095" s="204"/>
      <c r="G2095" s="204"/>
      <c r="H2095" s="204"/>
      <c r="I2095" s="204"/>
      <c r="J2095" s="204"/>
      <c r="K2095" s="204"/>
      <c r="L2095" s="204"/>
      <c r="M2095" s="204"/>
      <c r="N2095" s="204"/>
      <c r="O2095" s="204"/>
      <c r="P2095" s="204"/>
      <c r="T2095" s="217"/>
    </row>
    <row r="2096" spans="2:20">
      <c r="B2096" s="204"/>
      <c r="C2096" s="204"/>
      <c r="D2096" s="204"/>
      <c r="E2096" s="204"/>
      <c r="F2096" s="204"/>
      <c r="G2096" s="204"/>
      <c r="H2096" s="204"/>
      <c r="I2096" s="204"/>
      <c r="J2096" s="204"/>
      <c r="K2096" s="204"/>
      <c r="L2096" s="204"/>
      <c r="M2096" s="204"/>
      <c r="N2096" s="204"/>
      <c r="O2096" s="204"/>
      <c r="P2096" s="204"/>
      <c r="T2096" s="217"/>
    </row>
    <row r="2097" spans="2:20">
      <c r="B2097" s="204"/>
      <c r="C2097" s="204"/>
      <c r="D2097" s="204"/>
      <c r="E2097" s="204"/>
      <c r="F2097" s="204"/>
      <c r="G2097" s="204"/>
      <c r="H2097" s="204"/>
      <c r="I2097" s="204"/>
      <c r="J2097" s="204"/>
      <c r="K2097" s="204"/>
      <c r="L2097" s="204"/>
      <c r="M2097" s="204"/>
      <c r="N2097" s="204"/>
      <c r="O2097" s="204"/>
      <c r="P2097" s="204"/>
      <c r="T2097" s="217"/>
    </row>
    <row r="2098" spans="2:20">
      <c r="B2098" s="204"/>
      <c r="C2098" s="204"/>
      <c r="D2098" s="204"/>
      <c r="E2098" s="204"/>
      <c r="F2098" s="204"/>
      <c r="G2098" s="204"/>
      <c r="H2098" s="204"/>
      <c r="I2098" s="204"/>
      <c r="J2098" s="204"/>
      <c r="K2098" s="204"/>
      <c r="L2098" s="204"/>
      <c r="M2098" s="204"/>
      <c r="N2098" s="204"/>
      <c r="O2098" s="204"/>
      <c r="P2098" s="204"/>
      <c r="T2098" s="217"/>
    </row>
    <row r="2099" spans="2:20">
      <c r="B2099" s="204"/>
      <c r="C2099" s="204"/>
      <c r="D2099" s="204"/>
      <c r="E2099" s="204"/>
      <c r="F2099" s="204"/>
      <c r="G2099" s="204"/>
      <c r="H2099" s="204"/>
      <c r="I2099" s="204"/>
      <c r="J2099" s="204"/>
      <c r="K2099" s="204"/>
      <c r="L2099" s="204"/>
      <c r="M2099" s="204"/>
      <c r="N2099" s="204"/>
      <c r="O2099" s="204"/>
      <c r="P2099" s="204"/>
      <c r="T2099" s="217"/>
    </row>
    <row r="2100" spans="2:20">
      <c r="B2100" s="204"/>
      <c r="C2100" s="204"/>
      <c r="D2100" s="204"/>
      <c r="E2100" s="204"/>
      <c r="F2100" s="204"/>
      <c r="G2100" s="204"/>
      <c r="H2100" s="204"/>
      <c r="I2100" s="204"/>
      <c r="J2100" s="204"/>
      <c r="K2100" s="204"/>
      <c r="L2100" s="204"/>
      <c r="M2100" s="204"/>
      <c r="N2100" s="204"/>
      <c r="O2100" s="204"/>
      <c r="P2100" s="204"/>
      <c r="T2100" s="217"/>
    </row>
    <row r="2101" spans="2:20">
      <c r="B2101" s="204"/>
      <c r="C2101" s="204"/>
      <c r="D2101" s="204"/>
      <c r="E2101" s="204"/>
      <c r="F2101" s="204"/>
      <c r="G2101" s="204"/>
      <c r="H2101" s="204"/>
      <c r="I2101" s="204"/>
      <c r="J2101" s="204"/>
      <c r="K2101" s="204"/>
      <c r="L2101" s="204"/>
      <c r="M2101" s="204"/>
      <c r="N2101" s="204"/>
      <c r="O2101" s="204"/>
      <c r="P2101" s="204"/>
      <c r="T2101" s="217"/>
    </row>
    <row r="2102" spans="2:20">
      <c r="B2102" s="204"/>
      <c r="C2102" s="204"/>
      <c r="D2102" s="204"/>
      <c r="E2102" s="204"/>
      <c r="F2102" s="204"/>
      <c r="G2102" s="204"/>
      <c r="H2102" s="204"/>
      <c r="I2102" s="204"/>
      <c r="J2102" s="204"/>
      <c r="K2102" s="204"/>
      <c r="L2102" s="204"/>
      <c r="M2102" s="204"/>
      <c r="N2102" s="204"/>
      <c r="O2102" s="204"/>
      <c r="P2102" s="204"/>
      <c r="T2102" s="217"/>
    </row>
    <row r="2103" spans="2:20">
      <c r="B2103" s="204"/>
      <c r="C2103" s="204"/>
      <c r="D2103" s="204"/>
      <c r="E2103" s="204"/>
      <c r="F2103" s="204"/>
      <c r="G2103" s="204"/>
      <c r="H2103" s="204"/>
      <c r="I2103" s="204"/>
      <c r="J2103" s="204"/>
      <c r="K2103" s="204"/>
      <c r="L2103" s="204"/>
      <c r="M2103" s="204"/>
      <c r="N2103" s="204"/>
      <c r="O2103" s="204"/>
      <c r="P2103" s="204"/>
      <c r="T2103" s="217"/>
    </row>
    <row r="2104" spans="2:20">
      <c r="B2104" s="204"/>
      <c r="C2104" s="204"/>
      <c r="D2104" s="204"/>
      <c r="E2104" s="204"/>
      <c r="F2104" s="204"/>
      <c r="G2104" s="204"/>
      <c r="H2104" s="204"/>
      <c r="I2104" s="204"/>
      <c r="J2104" s="204"/>
      <c r="K2104" s="204"/>
      <c r="L2104" s="204"/>
      <c r="M2104" s="204"/>
      <c r="N2104" s="204"/>
      <c r="O2104" s="204"/>
      <c r="P2104" s="204"/>
      <c r="T2104" s="217"/>
    </row>
    <row r="2105" spans="2:20">
      <c r="B2105" s="204"/>
      <c r="C2105" s="204"/>
      <c r="D2105" s="204"/>
      <c r="E2105" s="204"/>
      <c r="F2105" s="204"/>
      <c r="G2105" s="204"/>
      <c r="H2105" s="204"/>
      <c r="I2105" s="204"/>
      <c r="J2105" s="204"/>
      <c r="K2105" s="204"/>
      <c r="L2105" s="204"/>
      <c r="M2105" s="204"/>
      <c r="N2105" s="204"/>
      <c r="O2105" s="204"/>
      <c r="P2105" s="204"/>
      <c r="T2105" s="217"/>
    </row>
    <row r="2106" spans="2:20">
      <c r="B2106" s="204"/>
      <c r="C2106" s="204"/>
      <c r="D2106" s="204"/>
      <c r="E2106" s="204"/>
      <c r="F2106" s="204"/>
      <c r="G2106" s="204"/>
      <c r="H2106" s="204"/>
      <c r="I2106" s="204"/>
      <c r="J2106" s="204"/>
      <c r="K2106" s="204"/>
      <c r="L2106" s="204"/>
      <c r="M2106" s="204"/>
      <c r="N2106" s="204"/>
      <c r="O2106" s="204"/>
      <c r="P2106" s="204"/>
      <c r="T2106" s="217"/>
    </row>
    <row r="2107" spans="2:20">
      <c r="B2107" s="204"/>
      <c r="C2107" s="204"/>
      <c r="D2107" s="204"/>
      <c r="E2107" s="204"/>
      <c r="F2107" s="204"/>
      <c r="G2107" s="204"/>
      <c r="H2107" s="204"/>
      <c r="I2107" s="204"/>
      <c r="J2107" s="204"/>
      <c r="K2107" s="204"/>
      <c r="L2107" s="204"/>
      <c r="M2107" s="204"/>
      <c r="N2107" s="204"/>
      <c r="O2107" s="204"/>
      <c r="P2107" s="204"/>
      <c r="T2107" s="217"/>
    </row>
    <row r="2108" spans="2:20">
      <c r="B2108" s="204"/>
      <c r="C2108" s="204"/>
      <c r="D2108" s="204"/>
      <c r="E2108" s="204"/>
      <c r="F2108" s="204"/>
      <c r="G2108" s="204"/>
      <c r="H2108" s="204"/>
      <c r="I2108" s="204"/>
      <c r="J2108" s="204"/>
      <c r="K2108" s="204"/>
      <c r="L2108" s="204"/>
      <c r="M2108" s="204"/>
      <c r="N2108" s="204"/>
      <c r="O2108" s="204"/>
      <c r="P2108" s="204"/>
      <c r="T2108" s="217"/>
    </row>
    <row r="2109" spans="2:20">
      <c r="B2109" s="204"/>
      <c r="C2109" s="204"/>
      <c r="D2109" s="204"/>
      <c r="E2109" s="204"/>
      <c r="F2109" s="204"/>
      <c r="G2109" s="204"/>
      <c r="H2109" s="204"/>
      <c r="I2109" s="204"/>
      <c r="J2109" s="204"/>
      <c r="K2109" s="204"/>
      <c r="L2109" s="204"/>
      <c r="M2109" s="204"/>
      <c r="N2109" s="204"/>
      <c r="O2109" s="204"/>
      <c r="P2109" s="204"/>
      <c r="T2109" s="217"/>
    </row>
    <row r="2110" spans="2:20">
      <c r="B2110" s="204"/>
      <c r="C2110" s="204"/>
      <c r="D2110" s="204"/>
      <c r="E2110" s="204"/>
      <c r="F2110" s="204"/>
      <c r="G2110" s="204"/>
      <c r="H2110" s="204"/>
      <c r="I2110" s="204"/>
      <c r="J2110" s="204"/>
      <c r="K2110" s="204"/>
      <c r="L2110" s="204"/>
      <c r="M2110" s="204"/>
      <c r="N2110" s="204"/>
      <c r="O2110" s="204"/>
      <c r="P2110" s="204"/>
      <c r="T2110" s="217"/>
    </row>
    <row r="2111" spans="2:20">
      <c r="B2111" s="204"/>
      <c r="C2111" s="204"/>
      <c r="D2111" s="204"/>
      <c r="E2111" s="204"/>
      <c r="F2111" s="204"/>
      <c r="G2111" s="204"/>
      <c r="H2111" s="204"/>
      <c r="I2111" s="204"/>
      <c r="J2111" s="204"/>
      <c r="K2111" s="204"/>
      <c r="L2111" s="204"/>
      <c r="M2111" s="204"/>
      <c r="N2111" s="204"/>
      <c r="O2111" s="204"/>
      <c r="P2111" s="204"/>
      <c r="T2111" s="217"/>
    </row>
    <row r="2112" spans="2:20">
      <c r="B2112" s="204"/>
      <c r="C2112" s="204"/>
      <c r="D2112" s="204"/>
      <c r="E2112" s="204"/>
      <c r="F2112" s="204"/>
      <c r="G2112" s="204"/>
      <c r="H2112" s="204"/>
      <c r="I2112" s="204"/>
      <c r="J2112" s="204"/>
      <c r="K2112" s="204"/>
      <c r="L2112" s="204"/>
      <c r="M2112" s="204"/>
      <c r="N2112" s="204"/>
      <c r="O2112" s="204"/>
      <c r="P2112" s="204"/>
      <c r="T2112" s="217"/>
    </row>
    <row r="2113" spans="2:20">
      <c r="B2113" s="204"/>
      <c r="C2113" s="204"/>
      <c r="D2113" s="204"/>
      <c r="E2113" s="204"/>
      <c r="F2113" s="204"/>
      <c r="G2113" s="204"/>
      <c r="H2113" s="204"/>
      <c r="I2113" s="204"/>
      <c r="J2113" s="204"/>
      <c r="K2113" s="204"/>
      <c r="L2113" s="204"/>
      <c r="M2113" s="204"/>
      <c r="N2113" s="204"/>
      <c r="O2113" s="204"/>
      <c r="P2113" s="204"/>
      <c r="T2113" s="217"/>
    </row>
    <row r="2114" spans="2:20">
      <c r="B2114" s="204"/>
      <c r="C2114" s="204"/>
      <c r="D2114" s="204"/>
      <c r="E2114" s="204"/>
      <c r="F2114" s="204"/>
      <c r="G2114" s="204"/>
      <c r="H2114" s="204"/>
      <c r="I2114" s="204"/>
      <c r="J2114" s="204"/>
      <c r="K2114" s="204"/>
      <c r="L2114" s="204"/>
      <c r="M2114" s="204"/>
      <c r="N2114" s="204"/>
      <c r="O2114" s="204"/>
      <c r="P2114" s="204"/>
      <c r="T2114" s="217"/>
    </row>
    <row r="2115" spans="2:20">
      <c r="B2115" s="204"/>
      <c r="C2115" s="204"/>
      <c r="D2115" s="204"/>
      <c r="E2115" s="204"/>
      <c r="F2115" s="204"/>
      <c r="G2115" s="204"/>
      <c r="H2115" s="204"/>
      <c r="I2115" s="204"/>
      <c r="J2115" s="204"/>
      <c r="K2115" s="204"/>
      <c r="L2115" s="204"/>
      <c r="M2115" s="204"/>
      <c r="N2115" s="204"/>
      <c r="O2115" s="204"/>
      <c r="P2115" s="204"/>
      <c r="T2115" s="217"/>
    </row>
    <row r="2116" spans="2:20">
      <c r="B2116" s="204"/>
      <c r="C2116" s="204"/>
      <c r="D2116" s="204"/>
      <c r="E2116" s="204"/>
      <c r="F2116" s="204"/>
      <c r="G2116" s="204"/>
      <c r="H2116" s="204"/>
      <c r="I2116" s="204"/>
      <c r="J2116" s="204"/>
      <c r="K2116" s="204"/>
      <c r="L2116" s="204"/>
      <c r="M2116" s="204"/>
      <c r="N2116" s="204"/>
      <c r="O2116" s="204"/>
      <c r="P2116" s="204"/>
      <c r="T2116" s="217"/>
    </row>
    <row r="2117" spans="2:20">
      <c r="B2117" s="204"/>
      <c r="C2117" s="204"/>
      <c r="D2117" s="204"/>
      <c r="E2117" s="204"/>
      <c r="F2117" s="204"/>
      <c r="G2117" s="204"/>
      <c r="H2117" s="204"/>
      <c r="I2117" s="204"/>
      <c r="J2117" s="204"/>
      <c r="K2117" s="204"/>
      <c r="L2117" s="204"/>
      <c r="M2117" s="204"/>
      <c r="N2117" s="204"/>
      <c r="O2117" s="204"/>
      <c r="P2117" s="204"/>
      <c r="T2117" s="217"/>
    </row>
    <row r="2118" spans="2:20">
      <c r="B2118" s="204"/>
      <c r="C2118" s="204"/>
      <c r="D2118" s="204"/>
      <c r="E2118" s="204"/>
      <c r="F2118" s="204"/>
      <c r="G2118" s="204"/>
      <c r="H2118" s="204"/>
      <c r="I2118" s="204"/>
      <c r="J2118" s="204"/>
      <c r="K2118" s="204"/>
      <c r="L2118" s="204"/>
      <c r="M2118" s="204"/>
      <c r="N2118" s="204"/>
      <c r="O2118" s="204"/>
      <c r="P2118" s="204"/>
      <c r="T2118" s="217"/>
    </row>
    <row r="2119" spans="2:20">
      <c r="B2119" s="204"/>
      <c r="C2119" s="204"/>
      <c r="D2119" s="204"/>
      <c r="E2119" s="204"/>
      <c r="F2119" s="204"/>
      <c r="G2119" s="204"/>
      <c r="H2119" s="204"/>
      <c r="I2119" s="204"/>
      <c r="J2119" s="204"/>
      <c r="K2119" s="204"/>
      <c r="L2119" s="204"/>
      <c r="M2119" s="204"/>
      <c r="N2119" s="204"/>
      <c r="O2119" s="204"/>
      <c r="P2119" s="204"/>
      <c r="T2119" s="217"/>
    </row>
    <row r="2120" spans="2:20">
      <c r="B2120" s="204"/>
      <c r="C2120" s="204"/>
      <c r="D2120" s="204"/>
      <c r="E2120" s="204"/>
      <c r="F2120" s="204"/>
      <c r="G2120" s="204"/>
      <c r="H2120" s="204"/>
      <c r="I2120" s="204"/>
      <c r="J2120" s="204"/>
      <c r="K2120" s="204"/>
      <c r="L2120" s="204"/>
      <c r="M2120" s="204"/>
      <c r="N2120" s="204"/>
      <c r="O2120" s="204"/>
      <c r="P2120" s="204"/>
      <c r="T2120" s="217"/>
    </row>
    <row r="2121" spans="2:20">
      <c r="B2121" s="204"/>
      <c r="C2121" s="204"/>
      <c r="D2121" s="204"/>
      <c r="E2121" s="204"/>
      <c r="F2121" s="204"/>
      <c r="G2121" s="204"/>
      <c r="H2121" s="204"/>
      <c r="I2121" s="204"/>
      <c r="J2121" s="204"/>
      <c r="K2121" s="204"/>
      <c r="L2121" s="204"/>
      <c r="M2121" s="204"/>
      <c r="N2121" s="204"/>
      <c r="O2121" s="204"/>
      <c r="P2121" s="204"/>
      <c r="T2121" s="217"/>
    </row>
    <row r="2122" spans="2:20">
      <c r="B2122" s="204"/>
      <c r="C2122" s="204"/>
      <c r="D2122" s="204"/>
      <c r="E2122" s="204"/>
      <c r="F2122" s="204"/>
      <c r="G2122" s="204"/>
      <c r="H2122" s="204"/>
      <c r="I2122" s="204"/>
      <c r="J2122" s="204"/>
      <c r="K2122" s="204"/>
      <c r="L2122" s="204"/>
      <c r="M2122" s="204"/>
      <c r="N2122" s="204"/>
      <c r="O2122" s="204"/>
      <c r="P2122" s="204"/>
      <c r="T2122" s="217"/>
    </row>
    <row r="2123" spans="2:20">
      <c r="B2123" s="204"/>
      <c r="C2123" s="204"/>
      <c r="D2123" s="204"/>
      <c r="E2123" s="204"/>
      <c r="F2123" s="204"/>
      <c r="G2123" s="204"/>
      <c r="H2123" s="204"/>
      <c r="I2123" s="204"/>
      <c r="J2123" s="204"/>
      <c r="K2123" s="204"/>
      <c r="L2123" s="204"/>
      <c r="M2123" s="204"/>
      <c r="N2123" s="204"/>
      <c r="O2123" s="204"/>
      <c r="P2123" s="204"/>
      <c r="T2123" s="217"/>
    </row>
    <row r="2124" spans="2:20">
      <c r="B2124" s="204"/>
      <c r="C2124" s="204"/>
      <c r="D2124" s="204"/>
      <c r="E2124" s="204"/>
      <c r="F2124" s="204"/>
      <c r="G2124" s="204"/>
      <c r="H2124" s="204"/>
      <c r="I2124" s="204"/>
      <c r="J2124" s="204"/>
      <c r="K2124" s="204"/>
      <c r="L2124" s="204"/>
      <c r="M2124" s="204"/>
      <c r="N2124" s="204"/>
      <c r="O2124" s="204"/>
      <c r="P2124" s="204"/>
      <c r="T2124" s="217"/>
    </row>
    <row r="2125" spans="2:20">
      <c r="B2125" s="204"/>
      <c r="C2125" s="204"/>
      <c r="D2125" s="204"/>
      <c r="E2125" s="204"/>
      <c r="F2125" s="204"/>
      <c r="G2125" s="204"/>
      <c r="H2125" s="204"/>
      <c r="I2125" s="204"/>
      <c r="J2125" s="204"/>
      <c r="K2125" s="204"/>
      <c r="L2125" s="204"/>
      <c r="M2125" s="204"/>
      <c r="N2125" s="204"/>
      <c r="O2125" s="204"/>
      <c r="P2125" s="204"/>
      <c r="T2125" s="217"/>
    </row>
    <row r="2126" spans="2:20">
      <c r="B2126" s="204"/>
      <c r="C2126" s="204"/>
      <c r="D2126" s="204"/>
      <c r="E2126" s="204"/>
      <c r="F2126" s="204"/>
      <c r="G2126" s="204"/>
      <c r="H2126" s="204"/>
      <c r="I2126" s="204"/>
      <c r="J2126" s="204"/>
      <c r="K2126" s="204"/>
      <c r="L2126" s="204"/>
      <c r="M2126" s="204"/>
      <c r="N2126" s="204"/>
      <c r="O2126" s="204"/>
      <c r="P2126" s="204"/>
      <c r="T2126" s="217"/>
    </row>
    <row r="2127" spans="2:20">
      <c r="B2127" s="204"/>
      <c r="C2127" s="204"/>
      <c r="D2127" s="204"/>
      <c r="E2127" s="204"/>
      <c r="F2127" s="204"/>
      <c r="G2127" s="204"/>
      <c r="H2127" s="204"/>
      <c r="I2127" s="204"/>
      <c r="J2127" s="204"/>
      <c r="K2127" s="204"/>
      <c r="L2127" s="204"/>
      <c r="M2127" s="204"/>
      <c r="N2127" s="204"/>
      <c r="O2127" s="204"/>
      <c r="P2127" s="204"/>
      <c r="T2127" s="217"/>
    </row>
    <row r="2128" spans="2:20">
      <c r="B2128" s="204"/>
      <c r="C2128" s="204"/>
      <c r="D2128" s="204"/>
      <c r="E2128" s="204"/>
      <c r="F2128" s="204"/>
      <c r="G2128" s="204"/>
      <c r="H2128" s="204"/>
      <c r="I2128" s="204"/>
      <c r="J2128" s="204"/>
      <c r="K2128" s="204"/>
      <c r="L2128" s="204"/>
      <c r="M2128" s="204"/>
      <c r="N2128" s="204"/>
      <c r="O2128" s="204"/>
      <c r="P2128" s="204"/>
      <c r="T2128" s="217"/>
    </row>
    <row r="2129" spans="2:20">
      <c r="B2129" s="204"/>
      <c r="C2129" s="204"/>
      <c r="D2129" s="204"/>
      <c r="E2129" s="204"/>
      <c r="F2129" s="204"/>
      <c r="G2129" s="204"/>
      <c r="H2129" s="204"/>
      <c r="I2129" s="204"/>
      <c r="J2129" s="204"/>
      <c r="K2129" s="204"/>
      <c r="L2129" s="204"/>
      <c r="M2129" s="204"/>
      <c r="N2129" s="204"/>
      <c r="O2129" s="204"/>
      <c r="P2129" s="204"/>
      <c r="T2129" s="217"/>
    </row>
    <row r="2130" spans="2:20">
      <c r="B2130" s="204"/>
      <c r="C2130" s="204"/>
      <c r="D2130" s="204"/>
      <c r="E2130" s="204"/>
      <c r="F2130" s="204"/>
      <c r="G2130" s="204"/>
      <c r="H2130" s="204"/>
      <c r="I2130" s="204"/>
      <c r="J2130" s="204"/>
      <c r="K2130" s="204"/>
      <c r="L2130" s="204"/>
      <c r="M2130" s="204"/>
      <c r="N2130" s="204"/>
      <c r="O2130" s="204"/>
      <c r="P2130" s="204"/>
      <c r="T2130" s="217"/>
    </row>
    <row r="2131" spans="2:20">
      <c r="B2131" s="204"/>
      <c r="C2131" s="204"/>
      <c r="D2131" s="204"/>
      <c r="E2131" s="204"/>
      <c r="F2131" s="204"/>
      <c r="G2131" s="204"/>
      <c r="H2131" s="204"/>
      <c r="I2131" s="204"/>
      <c r="J2131" s="204"/>
      <c r="K2131" s="204"/>
      <c r="L2131" s="204"/>
      <c r="M2131" s="204"/>
      <c r="N2131" s="204"/>
      <c r="O2131" s="204"/>
      <c r="P2131" s="204"/>
      <c r="T2131" s="217"/>
    </row>
    <row r="2132" spans="2:20">
      <c r="B2132" s="204"/>
      <c r="C2132" s="204"/>
      <c r="D2132" s="204"/>
      <c r="E2132" s="204"/>
      <c r="F2132" s="204"/>
      <c r="G2132" s="204"/>
      <c r="H2132" s="204"/>
      <c r="I2132" s="204"/>
      <c r="J2132" s="204"/>
      <c r="K2132" s="204"/>
      <c r="L2132" s="204"/>
      <c r="M2132" s="204"/>
      <c r="N2132" s="204"/>
      <c r="O2132" s="204"/>
      <c r="P2132" s="204"/>
      <c r="T2132" s="217"/>
    </row>
    <row r="2133" spans="2:20">
      <c r="B2133" s="204"/>
      <c r="C2133" s="204"/>
      <c r="D2133" s="204"/>
      <c r="E2133" s="204"/>
      <c r="F2133" s="204"/>
      <c r="G2133" s="204"/>
      <c r="H2133" s="204"/>
      <c r="I2133" s="204"/>
      <c r="J2133" s="204"/>
      <c r="K2133" s="204"/>
      <c r="L2133" s="204"/>
      <c r="M2133" s="204"/>
      <c r="N2133" s="204"/>
      <c r="O2133" s="204"/>
      <c r="P2133" s="204"/>
      <c r="T2133" s="217"/>
    </row>
    <row r="2134" spans="2:20">
      <c r="B2134" s="204"/>
      <c r="C2134" s="204"/>
      <c r="D2134" s="204"/>
      <c r="E2134" s="204"/>
      <c r="F2134" s="204"/>
      <c r="G2134" s="204"/>
      <c r="H2134" s="204"/>
      <c r="I2134" s="204"/>
      <c r="J2134" s="204"/>
      <c r="K2134" s="204"/>
      <c r="L2134" s="204"/>
      <c r="M2134" s="204"/>
      <c r="N2134" s="204"/>
      <c r="O2134" s="204"/>
      <c r="P2134" s="204"/>
      <c r="T2134" s="217"/>
    </row>
    <row r="2135" spans="2:20">
      <c r="B2135" s="204"/>
      <c r="C2135" s="204"/>
      <c r="D2135" s="204"/>
      <c r="E2135" s="204"/>
      <c r="F2135" s="204"/>
      <c r="G2135" s="204"/>
      <c r="H2135" s="204"/>
      <c r="I2135" s="204"/>
      <c r="J2135" s="204"/>
      <c r="K2135" s="204"/>
      <c r="L2135" s="204"/>
      <c r="M2135" s="204"/>
      <c r="N2135" s="204"/>
      <c r="O2135" s="204"/>
      <c r="P2135" s="204"/>
      <c r="T2135" s="217"/>
    </row>
    <row r="2136" spans="2:20">
      <c r="B2136" s="204"/>
      <c r="C2136" s="204"/>
      <c r="D2136" s="204"/>
      <c r="E2136" s="204"/>
      <c r="F2136" s="204"/>
      <c r="G2136" s="204"/>
      <c r="H2136" s="204"/>
      <c r="I2136" s="204"/>
      <c r="J2136" s="204"/>
      <c r="K2136" s="204"/>
      <c r="L2136" s="204"/>
      <c r="M2136" s="204"/>
      <c r="N2136" s="204"/>
      <c r="O2136" s="204"/>
      <c r="P2136" s="204"/>
      <c r="T2136" s="217"/>
    </row>
    <row r="2137" spans="2:20">
      <c r="B2137" s="204"/>
      <c r="C2137" s="204"/>
      <c r="D2137" s="204"/>
      <c r="E2137" s="204"/>
      <c r="F2137" s="204"/>
      <c r="G2137" s="204"/>
      <c r="H2137" s="204"/>
      <c r="I2137" s="204"/>
      <c r="J2137" s="204"/>
      <c r="K2137" s="204"/>
      <c r="L2137" s="204"/>
      <c r="M2137" s="204"/>
      <c r="N2137" s="204"/>
      <c r="O2137" s="204"/>
      <c r="P2137" s="204"/>
      <c r="T2137" s="217"/>
    </row>
    <row r="2138" spans="2:20">
      <c r="B2138" s="204"/>
      <c r="C2138" s="204"/>
      <c r="D2138" s="204"/>
      <c r="E2138" s="204"/>
      <c r="F2138" s="204"/>
      <c r="G2138" s="204"/>
      <c r="H2138" s="204"/>
      <c r="I2138" s="204"/>
      <c r="J2138" s="204"/>
      <c r="K2138" s="204"/>
      <c r="L2138" s="204"/>
      <c r="M2138" s="204"/>
      <c r="N2138" s="204"/>
      <c r="O2138" s="204"/>
      <c r="P2138" s="204"/>
      <c r="T2138" s="217"/>
    </row>
    <row r="2139" spans="2:20">
      <c r="B2139" s="204"/>
      <c r="C2139" s="204"/>
      <c r="D2139" s="204"/>
      <c r="E2139" s="204"/>
      <c r="F2139" s="204"/>
      <c r="G2139" s="204"/>
      <c r="H2139" s="204"/>
      <c r="I2139" s="204"/>
      <c r="J2139" s="204"/>
      <c r="K2139" s="204"/>
      <c r="L2139" s="204"/>
      <c r="M2139" s="204"/>
      <c r="N2139" s="204"/>
      <c r="O2139" s="204"/>
      <c r="P2139" s="204"/>
      <c r="T2139" s="217"/>
    </row>
    <row r="2140" spans="2:20">
      <c r="B2140" s="204"/>
      <c r="C2140" s="204"/>
      <c r="D2140" s="204"/>
      <c r="E2140" s="204"/>
      <c r="F2140" s="204"/>
      <c r="G2140" s="204"/>
      <c r="H2140" s="204"/>
      <c r="I2140" s="204"/>
      <c r="J2140" s="204"/>
      <c r="K2140" s="204"/>
      <c r="L2140" s="204"/>
      <c r="M2140" s="204"/>
      <c r="N2140" s="204"/>
      <c r="O2140" s="204"/>
      <c r="P2140" s="204"/>
      <c r="T2140" s="217"/>
    </row>
    <row r="2141" spans="2:20">
      <c r="B2141" s="204"/>
      <c r="C2141" s="204"/>
      <c r="D2141" s="204"/>
      <c r="E2141" s="204"/>
      <c r="F2141" s="204"/>
      <c r="G2141" s="204"/>
      <c r="H2141" s="204"/>
      <c r="I2141" s="204"/>
      <c r="J2141" s="204"/>
      <c r="K2141" s="204"/>
      <c r="L2141" s="204"/>
      <c r="M2141" s="204"/>
      <c r="N2141" s="204"/>
      <c r="O2141" s="204"/>
      <c r="P2141" s="204"/>
      <c r="T2141" s="217"/>
    </row>
    <row r="2142" spans="2:20">
      <c r="B2142" s="204"/>
      <c r="C2142" s="204"/>
      <c r="D2142" s="204"/>
      <c r="E2142" s="204"/>
      <c r="F2142" s="204"/>
      <c r="G2142" s="204"/>
      <c r="H2142" s="204"/>
      <c r="I2142" s="204"/>
      <c r="J2142" s="204"/>
      <c r="K2142" s="204"/>
      <c r="L2142" s="204"/>
      <c r="M2142" s="204"/>
      <c r="N2142" s="204"/>
      <c r="O2142" s="204"/>
      <c r="P2142" s="204"/>
      <c r="T2142" s="217"/>
    </row>
    <row r="2143" spans="2:20">
      <c r="B2143" s="204"/>
      <c r="C2143" s="204"/>
      <c r="D2143" s="204"/>
      <c r="E2143" s="204"/>
      <c r="F2143" s="204"/>
      <c r="G2143" s="204"/>
      <c r="H2143" s="204"/>
      <c r="I2143" s="204"/>
      <c r="J2143" s="204"/>
      <c r="K2143" s="204"/>
      <c r="L2143" s="204"/>
      <c r="M2143" s="204"/>
      <c r="N2143" s="204"/>
      <c r="O2143" s="204"/>
      <c r="P2143" s="204"/>
      <c r="T2143" s="217"/>
    </row>
    <row r="2144" spans="2:20">
      <c r="B2144" s="204"/>
      <c r="C2144" s="204"/>
      <c r="D2144" s="204"/>
      <c r="E2144" s="204"/>
      <c r="F2144" s="204"/>
      <c r="G2144" s="204"/>
      <c r="H2144" s="204"/>
      <c r="I2144" s="204"/>
      <c r="J2144" s="204"/>
      <c r="K2144" s="204"/>
      <c r="L2144" s="204"/>
      <c r="M2144" s="204"/>
      <c r="N2144" s="204"/>
      <c r="O2144" s="204"/>
      <c r="P2144" s="204"/>
      <c r="T2144" s="217"/>
    </row>
    <row r="2145" spans="2:20">
      <c r="B2145" s="204"/>
      <c r="C2145" s="204"/>
      <c r="D2145" s="204"/>
      <c r="E2145" s="204"/>
      <c r="F2145" s="204"/>
      <c r="G2145" s="204"/>
      <c r="H2145" s="204"/>
      <c r="I2145" s="204"/>
      <c r="J2145" s="204"/>
      <c r="K2145" s="204"/>
      <c r="L2145" s="204"/>
      <c r="M2145" s="204"/>
      <c r="N2145" s="204"/>
      <c r="O2145" s="204"/>
      <c r="P2145" s="204"/>
      <c r="T2145" s="217"/>
    </row>
    <row r="2146" spans="2:20">
      <c r="B2146" s="204"/>
      <c r="C2146" s="204"/>
      <c r="D2146" s="204"/>
      <c r="E2146" s="204"/>
      <c r="F2146" s="204"/>
      <c r="G2146" s="204"/>
      <c r="H2146" s="204"/>
      <c r="I2146" s="204"/>
      <c r="J2146" s="204"/>
      <c r="K2146" s="204"/>
      <c r="L2146" s="204"/>
      <c r="M2146" s="204"/>
      <c r="N2146" s="204"/>
      <c r="O2146" s="204"/>
      <c r="P2146" s="204"/>
      <c r="T2146" s="217"/>
    </row>
    <row r="2147" spans="2:20">
      <c r="B2147" s="204"/>
      <c r="C2147" s="204"/>
      <c r="D2147" s="204"/>
      <c r="E2147" s="204"/>
      <c r="F2147" s="204"/>
      <c r="G2147" s="204"/>
      <c r="H2147" s="204"/>
      <c r="I2147" s="204"/>
      <c r="J2147" s="204"/>
      <c r="K2147" s="204"/>
      <c r="L2147" s="204"/>
      <c r="M2147" s="204"/>
      <c r="N2147" s="204"/>
      <c r="O2147" s="204"/>
      <c r="P2147" s="204"/>
      <c r="T2147" s="217"/>
    </row>
    <row r="2148" spans="2:20">
      <c r="B2148" s="204"/>
      <c r="C2148" s="204"/>
      <c r="D2148" s="204"/>
      <c r="E2148" s="204"/>
      <c r="F2148" s="204"/>
      <c r="G2148" s="204"/>
      <c r="H2148" s="204"/>
      <c r="I2148" s="204"/>
      <c r="J2148" s="204"/>
      <c r="K2148" s="204"/>
      <c r="L2148" s="204"/>
      <c r="M2148" s="204"/>
      <c r="N2148" s="204"/>
      <c r="O2148" s="204"/>
      <c r="P2148" s="204"/>
      <c r="T2148" s="217"/>
    </row>
    <row r="2149" spans="2:20">
      <c r="B2149" s="204"/>
      <c r="C2149" s="204"/>
      <c r="D2149" s="204"/>
      <c r="E2149" s="204"/>
      <c r="F2149" s="204"/>
      <c r="G2149" s="204"/>
      <c r="H2149" s="204"/>
      <c r="I2149" s="204"/>
      <c r="J2149" s="204"/>
      <c r="K2149" s="204"/>
      <c r="L2149" s="204"/>
      <c r="M2149" s="204"/>
      <c r="N2149" s="204"/>
      <c r="O2149" s="204"/>
      <c r="P2149" s="204"/>
      <c r="T2149" s="217"/>
    </row>
    <row r="2150" spans="2:20">
      <c r="B2150" s="204"/>
      <c r="C2150" s="204"/>
      <c r="D2150" s="204"/>
      <c r="E2150" s="204"/>
      <c r="F2150" s="204"/>
      <c r="G2150" s="204"/>
      <c r="H2150" s="204"/>
      <c r="I2150" s="204"/>
      <c r="J2150" s="204"/>
      <c r="K2150" s="204"/>
      <c r="L2150" s="204"/>
      <c r="M2150" s="204"/>
      <c r="N2150" s="204"/>
      <c r="O2150" s="204"/>
      <c r="P2150" s="204"/>
      <c r="T2150" s="217"/>
    </row>
    <row r="2151" spans="2:20">
      <c r="B2151" s="204"/>
      <c r="C2151" s="204"/>
      <c r="D2151" s="204"/>
      <c r="E2151" s="204"/>
      <c r="F2151" s="204"/>
      <c r="G2151" s="204"/>
      <c r="H2151" s="204"/>
      <c r="I2151" s="204"/>
      <c r="J2151" s="204"/>
      <c r="K2151" s="204"/>
      <c r="L2151" s="204"/>
      <c r="M2151" s="204"/>
      <c r="N2151" s="204"/>
      <c r="O2151" s="204"/>
      <c r="P2151" s="204"/>
      <c r="T2151" s="217"/>
    </row>
    <row r="2152" spans="2:20">
      <c r="B2152" s="204"/>
      <c r="C2152" s="204"/>
      <c r="D2152" s="204"/>
      <c r="E2152" s="204"/>
      <c r="F2152" s="204"/>
      <c r="G2152" s="204"/>
      <c r="H2152" s="204"/>
      <c r="I2152" s="204"/>
      <c r="J2152" s="204"/>
      <c r="K2152" s="204"/>
      <c r="L2152" s="204"/>
      <c r="M2152" s="204"/>
      <c r="N2152" s="204"/>
      <c r="O2152" s="204"/>
      <c r="P2152" s="204"/>
      <c r="T2152" s="217"/>
    </row>
    <row r="2153" spans="2:20">
      <c r="B2153" s="204"/>
      <c r="C2153" s="204"/>
      <c r="D2153" s="204"/>
      <c r="E2153" s="204"/>
      <c r="F2153" s="204"/>
      <c r="G2153" s="204"/>
      <c r="H2153" s="204"/>
      <c r="I2153" s="204"/>
      <c r="J2153" s="204"/>
      <c r="K2153" s="204"/>
      <c r="L2153" s="204"/>
      <c r="M2153" s="204"/>
      <c r="N2153" s="204"/>
      <c r="O2153" s="204"/>
      <c r="P2153" s="204"/>
      <c r="T2153" s="217"/>
    </row>
    <row r="2154" spans="2:20">
      <c r="B2154" s="204"/>
      <c r="C2154" s="204"/>
      <c r="D2154" s="204"/>
      <c r="E2154" s="204"/>
      <c r="F2154" s="204"/>
      <c r="G2154" s="204"/>
      <c r="H2154" s="204"/>
      <c r="I2154" s="204"/>
      <c r="J2154" s="204"/>
      <c r="K2154" s="204"/>
      <c r="L2154" s="204"/>
      <c r="M2154" s="204"/>
      <c r="N2154" s="204"/>
      <c r="O2154" s="204"/>
      <c r="P2154" s="204"/>
      <c r="T2154" s="217"/>
    </row>
    <row r="2155" spans="2:20">
      <c r="B2155" s="204"/>
      <c r="C2155" s="204"/>
      <c r="D2155" s="204"/>
      <c r="E2155" s="204"/>
      <c r="F2155" s="204"/>
      <c r="G2155" s="204"/>
      <c r="H2155" s="204"/>
      <c r="I2155" s="204"/>
      <c r="J2155" s="204"/>
      <c r="K2155" s="204"/>
      <c r="L2155" s="204"/>
      <c r="M2155" s="204"/>
      <c r="N2155" s="204"/>
      <c r="O2155" s="204"/>
      <c r="P2155" s="204"/>
      <c r="T2155" s="217"/>
    </row>
    <row r="2156" spans="2:20">
      <c r="B2156" s="204"/>
      <c r="C2156" s="204"/>
      <c r="D2156" s="204"/>
      <c r="E2156" s="204"/>
      <c r="F2156" s="204"/>
      <c r="G2156" s="204"/>
      <c r="H2156" s="204"/>
      <c r="I2156" s="204"/>
      <c r="J2156" s="204"/>
      <c r="K2156" s="204"/>
      <c r="L2156" s="204"/>
      <c r="M2156" s="204"/>
      <c r="N2156" s="204"/>
      <c r="O2156" s="204"/>
      <c r="P2156" s="204"/>
      <c r="T2156" s="217"/>
    </row>
    <row r="2157" spans="2:20">
      <c r="B2157" s="204"/>
      <c r="C2157" s="204"/>
      <c r="D2157" s="204"/>
      <c r="E2157" s="204"/>
      <c r="F2157" s="204"/>
      <c r="G2157" s="204"/>
      <c r="H2157" s="204"/>
      <c r="I2157" s="204"/>
      <c r="J2157" s="204"/>
      <c r="K2157" s="204"/>
      <c r="L2157" s="204"/>
      <c r="M2157" s="204"/>
      <c r="N2157" s="204"/>
      <c r="O2157" s="204"/>
      <c r="P2157" s="204"/>
      <c r="T2157" s="217"/>
    </row>
    <row r="2158" spans="2:20">
      <c r="B2158" s="204"/>
      <c r="C2158" s="204"/>
      <c r="D2158" s="204"/>
      <c r="E2158" s="204"/>
      <c r="F2158" s="204"/>
      <c r="G2158" s="204"/>
      <c r="H2158" s="204"/>
      <c r="I2158" s="204"/>
      <c r="J2158" s="204"/>
      <c r="K2158" s="204"/>
      <c r="L2158" s="204"/>
      <c r="M2158" s="204"/>
      <c r="N2158" s="204"/>
      <c r="O2158" s="204"/>
      <c r="P2158" s="204"/>
      <c r="T2158" s="217"/>
    </row>
    <row r="2159" spans="2:20">
      <c r="B2159" s="204"/>
      <c r="C2159" s="204"/>
      <c r="D2159" s="204"/>
      <c r="E2159" s="204"/>
      <c r="F2159" s="204"/>
      <c r="G2159" s="204"/>
      <c r="H2159" s="204"/>
      <c r="I2159" s="204"/>
      <c r="J2159" s="204"/>
      <c r="K2159" s="204"/>
      <c r="L2159" s="204"/>
      <c r="M2159" s="204"/>
      <c r="N2159" s="204"/>
      <c r="O2159" s="204"/>
      <c r="P2159" s="204"/>
      <c r="T2159" s="217"/>
    </row>
    <row r="2160" spans="2:20">
      <c r="B2160" s="204"/>
      <c r="C2160" s="204"/>
      <c r="D2160" s="204"/>
      <c r="E2160" s="204"/>
      <c r="F2160" s="204"/>
      <c r="G2160" s="204"/>
      <c r="H2160" s="204"/>
      <c r="I2160" s="204"/>
      <c r="J2160" s="204"/>
      <c r="K2160" s="204"/>
      <c r="L2160" s="204"/>
      <c r="M2160" s="204"/>
      <c r="N2160" s="204"/>
      <c r="O2160" s="204"/>
      <c r="P2160" s="204"/>
      <c r="T2160" s="217"/>
    </row>
    <row r="2161" spans="2:20">
      <c r="B2161" s="204"/>
      <c r="C2161" s="204"/>
      <c r="D2161" s="204"/>
      <c r="E2161" s="204"/>
      <c r="F2161" s="204"/>
      <c r="G2161" s="204"/>
      <c r="H2161" s="204"/>
      <c r="I2161" s="204"/>
      <c r="J2161" s="204"/>
      <c r="K2161" s="204"/>
      <c r="L2161" s="204"/>
      <c r="M2161" s="204"/>
      <c r="N2161" s="204"/>
      <c r="O2161" s="204"/>
      <c r="P2161" s="204"/>
      <c r="T2161" s="217"/>
    </row>
    <row r="2162" spans="2:20">
      <c r="B2162" s="204"/>
      <c r="C2162" s="204"/>
      <c r="D2162" s="204"/>
      <c r="E2162" s="204"/>
      <c r="F2162" s="204"/>
      <c r="G2162" s="204"/>
      <c r="H2162" s="204"/>
      <c r="I2162" s="204"/>
      <c r="J2162" s="204"/>
      <c r="K2162" s="204"/>
      <c r="L2162" s="204"/>
      <c r="M2162" s="204"/>
      <c r="N2162" s="204"/>
      <c r="O2162" s="204"/>
      <c r="P2162" s="204"/>
      <c r="T2162" s="217"/>
    </row>
    <row r="2163" spans="2:20">
      <c r="B2163" s="204"/>
      <c r="C2163" s="204"/>
      <c r="D2163" s="204"/>
      <c r="E2163" s="204"/>
      <c r="F2163" s="204"/>
      <c r="G2163" s="204"/>
      <c r="H2163" s="204"/>
      <c r="I2163" s="204"/>
      <c r="J2163" s="204"/>
      <c r="K2163" s="204"/>
      <c r="L2163" s="204"/>
      <c r="M2163" s="204"/>
      <c r="N2163" s="204"/>
      <c r="O2163" s="204"/>
      <c r="P2163" s="204"/>
      <c r="T2163" s="217"/>
    </row>
    <row r="2164" spans="2:20">
      <c r="B2164" s="204"/>
      <c r="C2164" s="204"/>
      <c r="D2164" s="204"/>
      <c r="E2164" s="204"/>
      <c r="F2164" s="204"/>
      <c r="G2164" s="204"/>
      <c r="H2164" s="204"/>
      <c r="I2164" s="204"/>
      <c r="J2164" s="204"/>
      <c r="K2164" s="204"/>
      <c r="L2164" s="204"/>
      <c r="M2164" s="204"/>
      <c r="N2164" s="204"/>
      <c r="O2164" s="204"/>
      <c r="P2164" s="204"/>
      <c r="T2164" s="217"/>
    </row>
    <row r="2165" spans="2:20">
      <c r="B2165" s="204"/>
      <c r="C2165" s="204"/>
      <c r="D2165" s="204"/>
      <c r="E2165" s="204"/>
      <c r="F2165" s="204"/>
      <c r="G2165" s="204"/>
      <c r="H2165" s="204"/>
      <c r="I2165" s="204"/>
      <c r="J2165" s="204"/>
      <c r="K2165" s="204"/>
      <c r="L2165" s="204"/>
      <c r="M2165" s="204"/>
      <c r="N2165" s="204"/>
      <c r="O2165" s="204"/>
      <c r="P2165" s="204"/>
      <c r="T2165" s="217"/>
    </row>
    <row r="2166" spans="2:20">
      <c r="B2166" s="204"/>
      <c r="C2166" s="204"/>
      <c r="D2166" s="204"/>
      <c r="E2166" s="204"/>
      <c r="F2166" s="204"/>
      <c r="G2166" s="204"/>
      <c r="H2166" s="204"/>
      <c r="I2166" s="204"/>
      <c r="J2166" s="204"/>
      <c r="K2166" s="204"/>
      <c r="L2166" s="204"/>
      <c r="M2166" s="204"/>
      <c r="N2166" s="204"/>
      <c r="O2166" s="204"/>
      <c r="P2166" s="204"/>
      <c r="T2166" s="217"/>
    </row>
    <row r="2167" spans="2:20">
      <c r="B2167" s="204"/>
      <c r="C2167" s="204"/>
      <c r="D2167" s="204"/>
      <c r="E2167" s="204"/>
      <c r="F2167" s="204"/>
      <c r="G2167" s="204"/>
      <c r="H2167" s="204"/>
      <c r="I2167" s="204"/>
      <c r="J2167" s="204"/>
      <c r="K2167" s="204"/>
      <c r="L2167" s="204"/>
      <c r="M2167" s="204"/>
      <c r="N2167" s="204"/>
      <c r="O2167" s="204"/>
      <c r="P2167" s="204"/>
      <c r="T2167" s="217"/>
    </row>
    <row r="2168" spans="2:20">
      <c r="B2168" s="204"/>
      <c r="C2168" s="204"/>
      <c r="D2168" s="204"/>
      <c r="E2168" s="204"/>
      <c r="F2168" s="204"/>
      <c r="G2168" s="204"/>
      <c r="H2168" s="204"/>
      <c r="I2168" s="204"/>
      <c r="J2168" s="204"/>
      <c r="K2168" s="204"/>
      <c r="L2168" s="204"/>
      <c r="M2168" s="204"/>
      <c r="N2168" s="204"/>
      <c r="O2168" s="204"/>
      <c r="P2168" s="204"/>
      <c r="T2168" s="217"/>
    </row>
    <row r="2169" spans="2:20">
      <c r="B2169" s="204"/>
      <c r="C2169" s="204"/>
      <c r="D2169" s="204"/>
      <c r="E2169" s="204"/>
      <c r="F2169" s="204"/>
      <c r="G2169" s="204"/>
      <c r="H2169" s="204"/>
      <c r="I2169" s="204"/>
      <c r="J2169" s="204"/>
      <c r="K2169" s="204"/>
      <c r="L2169" s="204"/>
      <c r="M2169" s="204"/>
      <c r="N2169" s="204"/>
      <c r="O2169" s="204"/>
      <c r="P2169" s="204"/>
      <c r="T2169" s="217"/>
    </row>
    <row r="2170" spans="2:20">
      <c r="B2170" s="204"/>
      <c r="C2170" s="204"/>
      <c r="D2170" s="204"/>
      <c r="E2170" s="204"/>
      <c r="F2170" s="204"/>
      <c r="G2170" s="204"/>
      <c r="H2170" s="204"/>
      <c r="I2170" s="204"/>
      <c r="J2170" s="204"/>
      <c r="K2170" s="204"/>
      <c r="L2170" s="204"/>
      <c r="M2170" s="204"/>
      <c r="N2170" s="204"/>
      <c r="O2170" s="204"/>
      <c r="P2170" s="204"/>
      <c r="T2170" s="217"/>
    </row>
    <row r="2171" spans="2:20">
      <c r="B2171" s="204"/>
      <c r="C2171" s="204"/>
      <c r="D2171" s="204"/>
      <c r="E2171" s="204"/>
      <c r="F2171" s="204"/>
      <c r="G2171" s="204"/>
      <c r="H2171" s="204"/>
      <c r="I2171" s="204"/>
      <c r="J2171" s="204"/>
      <c r="K2171" s="204"/>
      <c r="L2171" s="204"/>
      <c r="M2171" s="204"/>
      <c r="N2171" s="204"/>
      <c r="O2171" s="204"/>
      <c r="P2171" s="204"/>
      <c r="T2171" s="217"/>
    </row>
    <row r="2172" spans="2:20">
      <c r="B2172" s="204"/>
      <c r="C2172" s="204"/>
      <c r="D2172" s="204"/>
      <c r="E2172" s="204"/>
      <c r="F2172" s="204"/>
      <c r="G2172" s="204"/>
      <c r="H2172" s="204"/>
      <c r="I2172" s="204"/>
      <c r="J2172" s="204"/>
      <c r="K2172" s="204"/>
      <c r="L2172" s="204"/>
      <c r="M2172" s="204"/>
      <c r="N2172" s="204"/>
      <c r="O2172" s="204"/>
      <c r="P2172" s="204"/>
      <c r="T2172" s="217"/>
    </row>
    <row r="2173" spans="2:20">
      <c r="B2173" s="204"/>
      <c r="C2173" s="204"/>
      <c r="D2173" s="204"/>
      <c r="E2173" s="204"/>
      <c r="F2173" s="204"/>
      <c r="G2173" s="204"/>
      <c r="H2173" s="204"/>
      <c r="I2173" s="204"/>
      <c r="J2173" s="204"/>
      <c r="K2173" s="204"/>
      <c r="L2173" s="204"/>
      <c r="M2173" s="204"/>
      <c r="N2173" s="204"/>
      <c r="O2173" s="204"/>
      <c r="P2173" s="204"/>
      <c r="T2173" s="217"/>
    </row>
    <row r="2174" spans="2:20">
      <c r="B2174" s="204"/>
      <c r="C2174" s="204"/>
      <c r="D2174" s="204"/>
      <c r="E2174" s="204"/>
      <c r="F2174" s="204"/>
      <c r="G2174" s="204"/>
      <c r="H2174" s="204"/>
      <c r="I2174" s="204"/>
      <c r="J2174" s="204"/>
      <c r="K2174" s="204"/>
      <c r="L2174" s="204"/>
      <c r="M2174" s="204"/>
      <c r="N2174" s="204"/>
      <c r="O2174" s="204"/>
      <c r="P2174" s="204"/>
      <c r="T2174" s="217"/>
    </row>
    <row r="2175" spans="2:20">
      <c r="B2175" s="204"/>
      <c r="C2175" s="204"/>
      <c r="D2175" s="204"/>
      <c r="E2175" s="204"/>
      <c r="F2175" s="204"/>
      <c r="G2175" s="204"/>
      <c r="H2175" s="204"/>
      <c r="I2175" s="204"/>
      <c r="J2175" s="204"/>
      <c r="K2175" s="204"/>
      <c r="L2175" s="204"/>
      <c r="M2175" s="204"/>
      <c r="N2175" s="204"/>
      <c r="O2175" s="204"/>
      <c r="P2175" s="204"/>
      <c r="T2175" s="217"/>
    </row>
    <row r="2176" spans="2:20">
      <c r="B2176" s="204"/>
      <c r="C2176" s="204"/>
      <c r="D2176" s="204"/>
      <c r="E2176" s="204"/>
      <c r="F2176" s="204"/>
      <c r="G2176" s="204"/>
      <c r="H2176" s="204"/>
      <c r="I2176" s="204"/>
      <c r="J2176" s="204"/>
      <c r="K2176" s="204"/>
      <c r="L2176" s="204"/>
      <c r="M2176" s="204"/>
      <c r="N2176" s="204"/>
      <c r="O2176" s="204"/>
      <c r="P2176" s="204"/>
      <c r="T2176" s="217"/>
    </row>
    <row r="2177" spans="2:20">
      <c r="B2177" s="204"/>
      <c r="C2177" s="204"/>
      <c r="D2177" s="204"/>
      <c r="E2177" s="204"/>
      <c r="F2177" s="204"/>
      <c r="G2177" s="204"/>
      <c r="H2177" s="204"/>
      <c r="I2177" s="204"/>
      <c r="J2177" s="204"/>
      <c r="K2177" s="204"/>
      <c r="L2177" s="204"/>
      <c r="M2177" s="204"/>
      <c r="N2177" s="204"/>
      <c r="O2177" s="204"/>
      <c r="P2177" s="204"/>
      <c r="T2177" s="217"/>
    </row>
    <row r="2178" spans="2:20">
      <c r="B2178" s="204"/>
      <c r="C2178" s="204"/>
      <c r="D2178" s="204"/>
      <c r="E2178" s="204"/>
      <c r="F2178" s="204"/>
      <c r="G2178" s="204"/>
      <c r="H2178" s="204"/>
      <c r="I2178" s="204"/>
      <c r="J2178" s="204"/>
      <c r="K2178" s="204"/>
      <c r="L2178" s="204"/>
      <c r="M2178" s="204"/>
      <c r="N2178" s="204"/>
      <c r="O2178" s="204"/>
      <c r="P2178" s="204"/>
      <c r="T2178" s="217"/>
    </row>
    <row r="2179" spans="2:20">
      <c r="B2179" s="204"/>
      <c r="C2179" s="204"/>
      <c r="D2179" s="204"/>
      <c r="E2179" s="204"/>
      <c r="F2179" s="204"/>
      <c r="G2179" s="204"/>
      <c r="H2179" s="204"/>
      <c r="I2179" s="204"/>
      <c r="J2179" s="204"/>
      <c r="K2179" s="204"/>
      <c r="L2179" s="204"/>
      <c r="M2179" s="204"/>
      <c r="N2179" s="204"/>
      <c r="O2179" s="204"/>
      <c r="P2179" s="204"/>
      <c r="T2179" s="217"/>
    </row>
    <row r="2180" spans="2:20">
      <c r="B2180" s="204"/>
      <c r="C2180" s="204"/>
      <c r="D2180" s="204"/>
      <c r="E2180" s="204"/>
      <c r="F2180" s="204"/>
      <c r="G2180" s="204"/>
      <c r="H2180" s="204"/>
      <c r="I2180" s="204"/>
      <c r="J2180" s="204"/>
      <c r="K2180" s="204"/>
      <c r="L2180" s="204"/>
      <c r="M2180" s="204"/>
      <c r="N2180" s="204"/>
      <c r="O2180" s="204"/>
      <c r="P2180" s="204"/>
      <c r="T2180" s="217"/>
    </row>
    <row r="2181" spans="2:20">
      <c r="B2181" s="204"/>
      <c r="C2181" s="204"/>
      <c r="D2181" s="204"/>
      <c r="E2181" s="204"/>
      <c r="F2181" s="204"/>
      <c r="G2181" s="204"/>
      <c r="H2181" s="204"/>
      <c r="I2181" s="204"/>
      <c r="J2181" s="204"/>
      <c r="K2181" s="204"/>
      <c r="L2181" s="204"/>
      <c r="M2181" s="204"/>
      <c r="N2181" s="204"/>
      <c r="O2181" s="204"/>
      <c r="P2181" s="204"/>
      <c r="T2181" s="217"/>
    </row>
    <row r="2182" spans="2:20">
      <c r="B2182" s="204"/>
      <c r="C2182" s="204"/>
      <c r="D2182" s="204"/>
      <c r="E2182" s="204"/>
      <c r="F2182" s="204"/>
      <c r="G2182" s="204"/>
      <c r="H2182" s="204"/>
      <c r="I2182" s="204"/>
      <c r="J2182" s="204"/>
      <c r="K2182" s="204"/>
      <c r="L2182" s="204"/>
      <c r="M2182" s="204"/>
      <c r="N2182" s="204"/>
      <c r="O2182" s="204"/>
      <c r="P2182" s="204"/>
      <c r="T2182" s="217"/>
    </row>
    <row r="2183" spans="2:20">
      <c r="B2183" s="204"/>
      <c r="C2183" s="204"/>
      <c r="D2183" s="204"/>
      <c r="E2183" s="204"/>
      <c r="F2183" s="204"/>
      <c r="G2183" s="204"/>
      <c r="H2183" s="204"/>
      <c r="I2183" s="204"/>
      <c r="J2183" s="204"/>
      <c r="K2183" s="204"/>
      <c r="L2183" s="204"/>
      <c r="M2183" s="204"/>
      <c r="N2183" s="204"/>
      <c r="O2183" s="204"/>
      <c r="P2183" s="204"/>
      <c r="T2183" s="217"/>
    </row>
    <row r="2184" spans="2:20">
      <c r="B2184" s="204"/>
      <c r="C2184" s="204"/>
      <c r="D2184" s="204"/>
      <c r="E2184" s="204"/>
      <c r="F2184" s="204"/>
      <c r="G2184" s="204"/>
      <c r="H2184" s="204"/>
      <c r="I2184" s="204"/>
      <c r="J2184" s="204"/>
      <c r="K2184" s="204"/>
      <c r="L2184" s="204"/>
      <c r="M2184" s="204"/>
      <c r="N2184" s="204"/>
      <c r="O2184" s="204"/>
      <c r="P2184" s="204"/>
      <c r="T2184" s="217"/>
    </row>
    <row r="2185" spans="2:20">
      <c r="B2185" s="204"/>
      <c r="C2185" s="204"/>
      <c r="D2185" s="204"/>
      <c r="E2185" s="204"/>
      <c r="F2185" s="204"/>
      <c r="G2185" s="204"/>
      <c r="H2185" s="204"/>
      <c r="I2185" s="204"/>
      <c r="J2185" s="204"/>
      <c r="K2185" s="204"/>
      <c r="L2185" s="204"/>
      <c r="M2185" s="204"/>
      <c r="N2185" s="204"/>
      <c r="O2185" s="204"/>
      <c r="P2185" s="204"/>
      <c r="T2185" s="217"/>
    </row>
    <row r="2186" spans="2:20">
      <c r="B2186" s="204"/>
      <c r="C2186" s="204"/>
      <c r="D2186" s="204"/>
      <c r="E2186" s="204"/>
      <c r="F2186" s="204"/>
      <c r="G2186" s="204"/>
      <c r="H2186" s="204"/>
      <c r="I2186" s="204"/>
      <c r="J2186" s="204"/>
      <c r="K2186" s="204"/>
      <c r="L2186" s="204"/>
      <c r="M2186" s="204"/>
      <c r="N2186" s="204"/>
      <c r="O2186" s="204"/>
      <c r="P2186" s="204"/>
      <c r="T2186" s="217"/>
    </row>
    <row r="2187" spans="2:20">
      <c r="B2187" s="204"/>
      <c r="C2187" s="204"/>
      <c r="D2187" s="204"/>
      <c r="E2187" s="204"/>
      <c r="F2187" s="204"/>
      <c r="G2187" s="204"/>
      <c r="H2187" s="204"/>
      <c r="I2187" s="204"/>
      <c r="J2187" s="204"/>
      <c r="K2187" s="204"/>
      <c r="L2187" s="204"/>
      <c r="M2187" s="204"/>
      <c r="N2187" s="204"/>
      <c r="O2187" s="204"/>
      <c r="P2187" s="204"/>
      <c r="T2187" s="217"/>
    </row>
    <row r="2188" spans="2:20">
      <c r="B2188" s="204"/>
      <c r="C2188" s="204"/>
      <c r="D2188" s="204"/>
      <c r="E2188" s="204"/>
      <c r="F2188" s="204"/>
      <c r="G2188" s="204"/>
      <c r="H2188" s="204"/>
      <c r="I2188" s="204"/>
      <c r="J2188" s="204"/>
      <c r="K2188" s="204"/>
      <c r="L2188" s="204"/>
      <c r="M2188" s="204"/>
      <c r="N2188" s="204"/>
      <c r="O2188" s="204"/>
      <c r="P2188" s="204"/>
      <c r="T2188" s="217"/>
    </row>
    <row r="2189" spans="2:20">
      <c r="B2189" s="204"/>
      <c r="C2189" s="204"/>
      <c r="D2189" s="204"/>
      <c r="E2189" s="204"/>
      <c r="F2189" s="204"/>
      <c r="G2189" s="204"/>
      <c r="H2189" s="204"/>
      <c r="I2189" s="204"/>
      <c r="J2189" s="204"/>
      <c r="K2189" s="204"/>
      <c r="L2189" s="204"/>
      <c r="M2189" s="204"/>
      <c r="N2189" s="204"/>
      <c r="O2189" s="204"/>
      <c r="P2189" s="204"/>
      <c r="T2189" s="217"/>
    </row>
    <row r="2190" spans="2:20">
      <c r="B2190" s="204"/>
      <c r="C2190" s="204"/>
      <c r="D2190" s="204"/>
      <c r="E2190" s="204"/>
      <c r="F2190" s="204"/>
      <c r="G2190" s="204"/>
      <c r="H2190" s="204"/>
      <c r="I2190" s="204"/>
      <c r="J2190" s="204"/>
      <c r="K2190" s="204"/>
      <c r="L2190" s="204"/>
      <c r="M2190" s="204"/>
      <c r="N2190" s="204"/>
      <c r="O2190" s="204"/>
      <c r="P2190" s="204"/>
      <c r="T2190" s="217"/>
    </row>
    <row r="2191" spans="2:20">
      <c r="B2191" s="204"/>
      <c r="C2191" s="204"/>
      <c r="D2191" s="204"/>
      <c r="E2191" s="204"/>
      <c r="F2191" s="204"/>
      <c r="G2191" s="204"/>
      <c r="H2191" s="204"/>
      <c r="I2191" s="204"/>
      <c r="J2191" s="204"/>
      <c r="K2191" s="204"/>
      <c r="L2191" s="204"/>
      <c r="M2191" s="204"/>
      <c r="N2191" s="204"/>
      <c r="O2191" s="204"/>
      <c r="P2191" s="204"/>
      <c r="T2191" s="217"/>
    </row>
    <row r="2192" spans="2:20">
      <c r="B2192" s="204"/>
      <c r="C2192" s="204"/>
      <c r="D2192" s="204"/>
      <c r="E2192" s="204"/>
      <c r="F2192" s="204"/>
      <c r="G2192" s="204"/>
      <c r="H2192" s="204"/>
      <c r="I2192" s="204"/>
      <c r="J2192" s="204"/>
      <c r="K2192" s="204"/>
      <c r="L2192" s="204"/>
      <c r="M2192" s="204"/>
      <c r="N2192" s="204"/>
      <c r="O2192" s="204"/>
      <c r="P2192" s="204"/>
      <c r="T2192" s="217"/>
    </row>
    <row r="2193" spans="2:20">
      <c r="B2193" s="204"/>
      <c r="C2193" s="204"/>
      <c r="D2193" s="204"/>
      <c r="E2193" s="204"/>
      <c r="F2193" s="204"/>
      <c r="G2193" s="204"/>
      <c r="H2193" s="204"/>
      <c r="I2193" s="204"/>
      <c r="J2193" s="204"/>
      <c r="K2193" s="204"/>
      <c r="L2193" s="204"/>
      <c r="M2193" s="204"/>
      <c r="N2193" s="204"/>
      <c r="O2193" s="204"/>
      <c r="P2193" s="204"/>
      <c r="T2193" s="217"/>
    </row>
    <row r="2194" spans="2:20">
      <c r="B2194" s="204"/>
      <c r="C2194" s="204"/>
      <c r="D2194" s="204"/>
      <c r="E2194" s="204"/>
      <c r="F2194" s="204"/>
      <c r="G2194" s="204"/>
      <c r="H2194" s="204"/>
      <c r="I2194" s="204"/>
      <c r="J2194" s="204"/>
      <c r="K2194" s="204"/>
      <c r="L2194" s="204"/>
      <c r="M2194" s="204"/>
      <c r="N2194" s="204"/>
      <c r="O2194" s="204"/>
      <c r="P2194" s="204"/>
      <c r="T2194" s="217"/>
    </row>
    <row r="2195" spans="2:20">
      <c r="B2195" s="204"/>
      <c r="C2195" s="204"/>
      <c r="D2195" s="204"/>
      <c r="E2195" s="204"/>
      <c r="F2195" s="204"/>
      <c r="G2195" s="204"/>
      <c r="H2195" s="204"/>
      <c r="I2195" s="204"/>
      <c r="J2195" s="204"/>
      <c r="K2195" s="204"/>
      <c r="L2195" s="204"/>
      <c r="M2195" s="204"/>
      <c r="N2195" s="204"/>
      <c r="O2195" s="204"/>
      <c r="P2195" s="204"/>
      <c r="T2195" s="217"/>
    </row>
    <row r="2196" spans="2:20">
      <c r="B2196" s="204"/>
      <c r="C2196" s="204"/>
      <c r="D2196" s="204"/>
      <c r="E2196" s="204"/>
      <c r="F2196" s="204"/>
      <c r="G2196" s="204"/>
      <c r="H2196" s="204"/>
      <c r="I2196" s="204"/>
      <c r="J2196" s="204"/>
      <c r="K2196" s="204"/>
      <c r="L2196" s="204"/>
      <c r="M2196" s="204"/>
      <c r="N2196" s="204"/>
      <c r="O2196" s="204"/>
      <c r="P2196" s="204"/>
      <c r="T2196" s="217"/>
    </row>
    <row r="2197" spans="2:20">
      <c r="B2197" s="204"/>
      <c r="C2197" s="204"/>
      <c r="D2197" s="204"/>
      <c r="E2197" s="204"/>
      <c r="F2197" s="204"/>
      <c r="G2197" s="204"/>
      <c r="H2197" s="204"/>
      <c r="I2197" s="204"/>
      <c r="J2197" s="204"/>
      <c r="K2197" s="204"/>
      <c r="L2197" s="204"/>
      <c r="M2197" s="204"/>
      <c r="N2197" s="204"/>
      <c r="O2197" s="204"/>
      <c r="P2197" s="204"/>
      <c r="T2197" s="217"/>
    </row>
    <row r="2198" spans="2:20">
      <c r="B2198" s="204"/>
      <c r="C2198" s="204"/>
      <c r="D2198" s="204"/>
      <c r="E2198" s="204"/>
      <c r="F2198" s="204"/>
      <c r="G2198" s="204"/>
      <c r="H2198" s="204"/>
      <c r="I2198" s="204"/>
      <c r="J2198" s="204"/>
      <c r="K2198" s="204"/>
      <c r="L2198" s="204"/>
      <c r="M2198" s="204"/>
      <c r="N2198" s="204"/>
      <c r="O2198" s="204"/>
      <c r="P2198" s="204"/>
      <c r="T2198" s="217"/>
    </row>
    <row r="2199" spans="2:20">
      <c r="B2199" s="204"/>
      <c r="C2199" s="204"/>
      <c r="D2199" s="204"/>
      <c r="E2199" s="204"/>
      <c r="F2199" s="204"/>
      <c r="G2199" s="204"/>
      <c r="H2199" s="204"/>
      <c r="I2199" s="204"/>
      <c r="J2199" s="204"/>
      <c r="K2199" s="204"/>
      <c r="L2199" s="204"/>
      <c r="M2199" s="204"/>
      <c r="N2199" s="204"/>
      <c r="O2199" s="204"/>
      <c r="P2199" s="204"/>
      <c r="T2199" s="217"/>
    </row>
    <row r="2200" spans="2:20">
      <c r="B2200" s="204"/>
      <c r="C2200" s="204"/>
      <c r="D2200" s="204"/>
      <c r="E2200" s="204"/>
      <c r="F2200" s="204"/>
      <c r="G2200" s="204"/>
      <c r="H2200" s="204"/>
      <c r="I2200" s="204"/>
      <c r="J2200" s="204"/>
      <c r="K2200" s="204"/>
      <c r="L2200" s="204"/>
      <c r="M2200" s="204"/>
      <c r="N2200" s="204"/>
      <c r="O2200" s="204"/>
      <c r="P2200" s="204"/>
      <c r="T2200" s="217"/>
    </row>
    <row r="2201" spans="2:20">
      <c r="B2201" s="204"/>
      <c r="C2201" s="204"/>
      <c r="D2201" s="204"/>
      <c r="E2201" s="204"/>
      <c r="F2201" s="204"/>
      <c r="G2201" s="204"/>
      <c r="H2201" s="204"/>
      <c r="I2201" s="204"/>
      <c r="J2201" s="204"/>
      <c r="K2201" s="204"/>
      <c r="L2201" s="204"/>
      <c r="M2201" s="204"/>
      <c r="N2201" s="204"/>
      <c r="O2201" s="204"/>
      <c r="P2201" s="204"/>
      <c r="T2201" s="217"/>
    </row>
    <row r="2202" spans="2:20">
      <c r="B2202" s="204"/>
      <c r="C2202" s="204"/>
      <c r="D2202" s="204"/>
      <c r="E2202" s="204"/>
      <c r="F2202" s="204"/>
      <c r="G2202" s="204"/>
      <c r="H2202" s="204"/>
      <c r="I2202" s="204"/>
      <c r="J2202" s="204"/>
      <c r="K2202" s="204"/>
      <c r="L2202" s="204"/>
      <c r="M2202" s="204"/>
      <c r="N2202" s="204"/>
      <c r="O2202" s="204"/>
      <c r="P2202" s="204"/>
      <c r="T2202" s="217"/>
    </row>
    <row r="2203" spans="2:20">
      <c r="B2203" s="204"/>
      <c r="C2203" s="204"/>
      <c r="D2203" s="204"/>
      <c r="E2203" s="204"/>
      <c r="F2203" s="204"/>
      <c r="G2203" s="204"/>
      <c r="H2203" s="204"/>
      <c r="I2203" s="204"/>
      <c r="J2203" s="204"/>
      <c r="K2203" s="204"/>
      <c r="L2203" s="204"/>
      <c r="M2203" s="204"/>
      <c r="N2203" s="204"/>
      <c r="O2203" s="204"/>
      <c r="P2203" s="204"/>
      <c r="T2203" s="217"/>
    </row>
    <row r="2204" spans="2:20">
      <c r="B2204" s="204"/>
      <c r="C2204" s="204"/>
      <c r="D2204" s="204"/>
      <c r="E2204" s="204"/>
      <c r="F2204" s="204"/>
      <c r="G2204" s="204"/>
      <c r="H2204" s="204"/>
      <c r="I2204" s="204"/>
      <c r="J2204" s="204"/>
      <c r="K2204" s="204"/>
      <c r="L2204" s="204"/>
      <c r="M2204" s="204"/>
      <c r="N2204" s="204"/>
      <c r="O2204" s="204"/>
      <c r="P2204" s="204"/>
      <c r="T2204" s="217"/>
    </row>
    <row r="2205" spans="2:20">
      <c r="B2205" s="204"/>
      <c r="C2205" s="204"/>
      <c r="D2205" s="204"/>
      <c r="E2205" s="204"/>
      <c r="F2205" s="204"/>
      <c r="G2205" s="204"/>
      <c r="H2205" s="204"/>
      <c r="I2205" s="204"/>
      <c r="J2205" s="204"/>
      <c r="K2205" s="204"/>
      <c r="L2205" s="204"/>
      <c r="M2205" s="204"/>
      <c r="N2205" s="204"/>
      <c r="O2205" s="204"/>
      <c r="P2205" s="204"/>
      <c r="T2205" s="217"/>
    </row>
    <row r="2206" spans="2:20">
      <c r="B2206" s="204"/>
      <c r="C2206" s="204"/>
      <c r="D2206" s="204"/>
      <c r="E2206" s="204"/>
      <c r="F2206" s="204"/>
      <c r="G2206" s="204"/>
      <c r="H2206" s="204"/>
      <c r="I2206" s="204"/>
      <c r="J2206" s="204"/>
      <c r="K2206" s="204"/>
      <c r="L2206" s="204"/>
      <c r="M2206" s="204"/>
      <c r="N2206" s="204"/>
      <c r="O2206" s="204"/>
      <c r="P2206" s="204"/>
      <c r="T2206" s="217"/>
    </row>
    <row r="2207" spans="2:20">
      <c r="B2207" s="204"/>
      <c r="C2207" s="204"/>
      <c r="D2207" s="204"/>
      <c r="E2207" s="204"/>
      <c r="F2207" s="204"/>
      <c r="G2207" s="204"/>
      <c r="H2207" s="204"/>
      <c r="I2207" s="204"/>
      <c r="J2207" s="204"/>
      <c r="K2207" s="204"/>
      <c r="L2207" s="204"/>
      <c r="M2207" s="204"/>
      <c r="N2207" s="204"/>
      <c r="O2207" s="204"/>
      <c r="P2207" s="204"/>
      <c r="T2207" s="217"/>
    </row>
    <row r="2208" spans="2:20">
      <c r="B2208" s="204"/>
      <c r="C2208" s="204"/>
      <c r="D2208" s="204"/>
      <c r="E2208" s="204"/>
      <c r="F2208" s="204"/>
      <c r="G2208" s="204"/>
      <c r="H2208" s="204"/>
      <c r="I2208" s="204"/>
      <c r="J2208" s="204"/>
      <c r="K2208" s="204"/>
      <c r="L2208" s="204"/>
      <c r="M2208" s="204"/>
      <c r="N2208" s="204"/>
      <c r="O2208" s="204"/>
      <c r="P2208" s="204"/>
      <c r="T2208" s="217"/>
    </row>
    <row r="2209" spans="2:20">
      <c r="B2209" s="204"/>
      <c r="C2209" s="204"/>
      <c r="D2209" s="204"/>
      <c r="E2209" s="204"/>
      <c r="F2209" s="204"/>
      <c r="G2209" s="204"/>
      <c r="H2209" s="204"/>
      <c r="I2209" s="204"/>
      <c r="J2209" s="204"/>
      <c r="K2209" s="204"/>
      <c r="L2209" s="204"/>
      <c r="M2209" s="204"/>
      <c r="N2209" s="204"/>
      <c r="O2209" s="204"/>
      <c r="P2209" s="204"/>
      <c r="T2209" s="217"/>
    </row>
    <row r="2210" spans="2:20">
      <c r="B2210" s="204"/>
      <c r="C2210" s="204"/>
      <c r="D2210" s="204"/>
      <c r="E2210" s="204"/>
      <c r="F2210" s="204"/>
      <c r="G2210" s="204"/>
      <c r="H2210" s="204"/>
      <c r="I2210" s="204"/>
      <c r="J2210" s="204"/>
      <c r="K2210" s="204"/>
      <c r="L2210" s="204"/>
      <c r="M2210" s="204"/>
      <c r="N2210" s="204"/>
      <c r="O2210" s="204"/>
      <c r="P2210" s="204"/>
      <c r="T2210" s="217"/>
    </row>
    <row r="2211" spans="2:20">
      <c r="B2211" s="204"/>
      <c r="C2211" s="204"/>
      <c r="D2211" s="204"/>
      <c r="E2211" s="204"/>
      <c r="F2211" s="204"/>
      <c r="G2211" s="204"/>
      <c r="H2211" s="204"/>
      <c r="I2211" s="204"/>
      <c r="J2211" s="204"/>
      <c r="K2211" s="204"/>
      <c r="L2211" s="204"/>
      <c r="M2211" s="204"/>
      <c r="N2211" s="204"/>
      <c r="O2211" s="204"/>
      <c r="P2211" s="204"/>
      <c r="T2211" s="217"/>
    </row>
    <row r="2212" spans="2:20">
      <c r="B2212" s="204"/>
      <c r="C2212" s="204"/>
      <c r="D2212" s="204"/>
      <c r="E2212" s="204"/>
      <c r="F2212" s="204"/>
      <c r="G2212" s="204"/>
      <c r="H2212" s="204"/>
      <c r="I2212" s="204"/>
      <c r="J2212" s="204"/>
      <c r="K2212" s="204"/>
      <c r="L2212" s="204"/>
      <c r="M2212" s="204"/>
      <c r="N2212" s="204"/>
      <c r="O2212" s="204"/>
      <c r="P2212" s="204"/>
      <c r="T2212" s="217"/>
    </row>
    <row r="2213" spans="2:20">
      <c r="B2213" s="204"/>
      <c r="C2213" s="204"/>
      <c r="D2213" s="204"/>
      <c r="E2213" s="204"/>
      <c r="F2213" s="204"/>
      <c r="G2213" s="204"/>
      <c r="H2213" s="204"/>
      <c r="I2213" s="204"/>
      <c r="J2213" s="204"/>
      <c r="K2213" s="204"/>
      <c r="L2213" s="204"/>
      <c r="M2213" s="204"/>
      <c r="N2213" s="204"/>
      <c r="O2213" s="204"/>
      <c r="P2213" s="204"/>
      <c r="T2213" s="217"/>
    </row>
    <row r="2214" spans="2:20">
      <c r="B2214" s="204"/>
      <c r="C2214" s="204"/>
      <c r="D2214" s="204"/>
      <c r="E2214" s="204"/>
      <c r="F2214" s="204"/>
      <c r="G2214" s="204"/>
      <c r="H2214" s="204"/>
      <c r="I2214" s="204"/>
      <c r="J2214" s="204"/>
      <c r="K2214" s="204"/>
      <c r="L2214" s="204"/>
      <c r="M2214" s="204"/>
      <c r="N2214" s="204"/>
      <c r="O2214" s="204"/>
      <c r="P2214" s="204"/>
      <c r="T2214" s="217"/>
    </row>
    <row r="2215" spans="2:20">
      <c r="B2215" s="204"/>
      <c r="C2215" s="204"/>
      <c r="D2215" s="204"/>
      <c r="E2215" s="204"/>
      <c r="F2215" s="204"/>
      <c r="G2215" s="204"/>
      <c r="H2215" s="204"/>
      <c r="I2215" s="204"/>
      <c r="J2215" s="204"/>
      <c r="K2215" s="204"/>
      <c r="L2215" s="204"/>
      <c r="M2215" s="204"/>
      <c r="N2215" s="204"/>
      <c r="O2215" s="204"/>
      <c r="P2215" s="204"/>
      <c r="T2215" s="217"/>
    </row>
    <row r="2216" spans="2:20">
      <c r="B2216" s="204"/>
      <c r="C2216" s="204"/>
      <c r="D2216" s="204"/>
      <c r="E2216" s="204"/>
      <c r="F2216" s="204"/>
      <c r="G2216" s="204"/>
      <c r="H2216" s="204"/>
      <c r="I2216" s="204"/>
      <c r="J2216" s="204"/>
      <c r="K2216" s="204"/>
      <c r="L2216" s="204"/>
      <c r="M2216" s="204"/>
      <c r="N2216" s="204"/>
      <c r="O2216" s="204"/>
      <c r="P2216" s="204"/>
      <c r="T2216" s="217"/>
    </row>
    <row r="2217" spans="2:20">
      <c r="B2217" s="204"/>
      <c r="C2217" s="204"/>
      <c r="D2217" s="204"/>
      <c r="E2217" s="204"/>
      <c r="F2217" s="204"/>
      <c r="G2217" s="204"/>
      <c r="H2217" s="204"/>
      <c r="I2217" s="204"/>
      <c r="J2217" s="204"/>
      <c r="K2217" s="204"/>
      <c r="L2217" s="204"/>
      <c r="M2217" s="204"/>
      <c r="N2217" s="204"/>
      <c r="O2217" s="204"/>
      <c r="P2217" s="204"/>
      <c r="T2217" s="217"/>
    </row>
    <row r="2218" spans="2:20">
      <c r="B2218" s="204"/>
      <c r="C2218" s="204"/>
      <c r="D2218" s="204"/>
      <c r="E2218" s="204"/>
      <c r="F2218" s="204"/>
      <c r="G2218" s="204"/>
      <c r="H2218" s="204"/>
      <c r="I2218" s="204"/>
      <c r="J2218" s="204"/>
      <c r="K2218" s="204"/>
      <c r="L2218" s="204"/>
      <c r="M2218" s="204"/>
      <c r="N2218" s="204"/>
      <c r="O2218" s="204"/>
      <c r="P2218" s="204"/>
      <c r="T2218" s="217"/>
    </row>
    <row r="2219" spans="2:20">
      <c r="B2219" s="204"/>
      <c r="C2219" s="204"/>
      <c r="D2219" s="204"/>
      <c r="E2219" s="204"/>
      <c r="F2219" s="204"/>
      <c r="G2219" s="204"/>
      <c r="H2219" s="204"/>
      <c r="I2219" s="204"/>
      <c r="J2219" s="204"/>
      <c r="K2219" s="204"/>
      <c r="L2219" s="204"/>
      <c r="M2219" s="204"/>
      <c r="N2219" s="204"/>
      <c r="O2219" s="204"/>
      <c r="P2219" s="204"/>
      <c r="T2219" s="217"/>
    </row>
    <row r="2220" spans="2:20">
      <c r="B2220" s="204"/>
      <c r="C2220" s="204"/>
      <c r="D2220" s="204"/>
      <c r="E2220" s="204"/>
      <c r="F2220" s="204"/>
      <c r="G2220" s="204"/>
      <c r="H2220" s="204"/>
      <c r="I2220" s="204"/>
      <c r="J2220" s="204"/>
      <c r="K2220" s="204"/>
      <c r="L2220" s="204"/>
      <c r="M2220" s="204"/>
      <c r="N2220" s="204"/>
      <c r="O2220" s="204"/>
      <c r="P2220" s="204"/>
      <c r="T2220" s="217"/>
    </row>
    <row r="2221" spans="2:20">
      <c r="B2221" s="204"/>
      <c r="C2221" s="204"/>
      <c r="D2221" s="204"/>
      <c r="E2221" s="204"/>
      <c r="F2221" s="204"/>
      <c r="G2221" s="204"/>
      <c r="H2221" s="204"/>
      <c r="I2221" s="204"/>
      <c r="J2221" s="204"/>
      <c r="K2221" s="204"/>
      <c r="L2221" s="204"/>
      <c r="M2221" s="204"/>
      <c r="N2221" s="204"/>
      <c r="O2221" s="204"/>
      <c r="P2221" s="204"/>
      <c r="T2221" s="217"/>
    </row>
    <row r="2222" spans="2:20">
      <c r="B2222" s="204"/>
      <c r="C2222" s="204"/>
      <c r="D2222" s="204"/>
      <c r="E2222" s="204"/>
      <c r="F2222" s="204"/>
      <c r="G2222" s="204"/>
      <c r="H2222" s="204"/>
      <c r="I2222" s="204"/>
      <c r="J2222" s="204"/>
      <c r="K2222" s="204"/>
      <c r="L2222" s="204"/>
      <c r="M2222" s="204"/>
      <c r="N2222" s="204"/>
      <c r="O2222" s="204"/>
      <c r="P2222" s="204"/>
      <c r="T2222" s="217"/>
    </row>
    <row r="2223" spans="2:20">
      <c r="B2223" s="204"/>
      <c r="C2223" s="204"/>
      <c r="D2223" s="204"/>
      <c r="E2223" s="204"/>
      <c r="F2223" s="204"/>
      <c r="G2223" s="204"/>
      <c r="H2223" s="204"/>
      <c r="I2223" s="204"/>
      <c r="J2223" s="204"/>
      <c r="K2223" s="204"/>
      <c r="L2223" s="204"/>
      <c r="M2223" s="204"/>
      <c r="N2223" s="204"/>
      <c r="O2223" s="204"/>
      <c r="P2223" s="204"/>
      <c r="T2223" s="217"/>
    </row>
    <row r="2224" spans="2:20">
      <c r="B2224" s="204"/>
      <c r="C2224" s="204"/>
      <c r="D2224" s="204"/>
      <c r="E2224" s="204"/>
      <c r="F2224" s="204"/>
      <c r="G2224" s="204"/>
      <c r="H2224" s="204"/>
      <c r="I2224" s="204"/>
      <c r="J2224" s="204"/>
      <c r="K2224" s="204"/>
      <c r="L2224" s="204"/>
      <c r="M2224" s="204"/>
      <c r="N2224" s="204"/>
      <c r="O2224" s="204"/>
      <c r="P2224" s="204"/>
      <c r="T2224" s="217"/>
    </row>
    <row r="2225" spans="2:20">
      <c r="B2225" s="204"/>
      <c r="C2225" s="204"/>
      <c r="D2225" s="204"/>
      <c r="E2225" s="204"/>
      <c r="F2225" s="204"/>
      <c r="G2225" s="204"/>
      <c r="H2225" s="204"/>
      <c r="I2225" s="204"/>
      <c r="J2225" s="204"/>
      <c r="K2225" s="204"/>
      <c r="L2225" s="204"/>
      <c r="M2225" s="204"/>
      <c r="N2225" s="204"/>
      <c r="O2225" s="204"/>
      <c r="P2225" s="204"/>
      <c r="T2225" s="217"/>
    </row>
    <row r="2226" spans="2:20">
      <c r="B2226" s="204"/>
      <c r="C2226" s="204"/>
      <c r="D2226" s="204"/>
      <c r="E2226" s="204"/>
      <c r="F2226" s="204"/>
      <c r="G2226" s="204"/>
      <c r="H2226" s="204"/>
      <c r="I2226" s="204"/>
      <c r="J2226" s="204"/>
      <c r="K2226" s="204"/>
      <c r="L2226" s="204"/>
      <c r="M2226" s="204"/>
      <c r="N2226" s="204"/>
      <c r="O2226" s="204"/>
      <c r="P2226" s="204"/>
      <c r="T2226" s="217"/>
    </row>
    <row r="2227" spans="2:20">
      <c r="B2227" s="204"/>
      <c r="C2227" s="204"/>
      <c r="D2227" s="204"/>
      <c r="E2227" s="204"/>
      <c r="F2227" s="204"/>
      <c r="G2227" s="204"/>
      <c r="H2227" s="204"/>
      <c r="I2227" s="204"/>
      <c r="J2227" s="204"/>
      <c r="K2227" s="204"/>
      <c r="L2227" s="204"/>
      <c r="M2227" s="204"/>
      <c r="N2227" s="204"/>
      <c r="O2227" s="204"/>
      <c r="P2227" s="204"/>
      <c r="T2227" s="217"/>
    </row>
    <row r="2228" spans="2:20">
      <c r="B2228" s="204"/>
      <c r="C2228" s="204"/>
      <c r="D2228" s="204"/>
      <c r="E2228" s="204"/>
      <c r="F2228" s="204"/>
      <c r="G2228" s="204"/>
      <c r="H2228" s="204"/>
      <c r="I2228" s="204"/>
      <c r="J2228" s="204"/>
      <c r="K2228" s="204"/>
      <c r="L2228" s="204"/>
      <c r="M2228" s="204"/>
      <c r="N2228" s="204"/>
      <c r="O2228" s="204"/>
      <c r="P2228" s="204"/>
      <c r="T2228" s="217"/>
    </row>
    <row r="2229" spans="2:20">
      <c r="B2229" s="204"/>
      <c r="C2229" s="204"/>
      <c r="D2229" s="204"/>
      <c r="E2229" s="204"/>
      <c r="F2229" s="204"/>
      <c r="G2229" s="204"/>
      <c r="H2229" s="204"/>
      <c r="I2229" s="204"/>
      <c r="J2229" s="204"/>
      <c r="K2229" s="204"/>
      <c r="L2229" s="204"/>
      <c r="M2229" s="204"/>
      <c r="N2229" s="204"/>
      <c r="O2229" s="204"/>
      <c r="P2229" s="204"/>
      <c r="T2229" s="217"/>
    </row>
    <row r="2230" spans="2:20">
      <c r="B2230" s="204"/>
      <c r="C2230" s="204"/>
      <c r="D2230" s="204"/>
      <c r="E2230" s="204"/>
      <c r="F2230" s="204"/>
      <c r="G2230" s="204"/>
      <c r="H2230" s="204"/>
      <c r="I2230" s="204"/>
      <c r="J2230" s="204"/>
      <c r="K2230" s="204"/>
      <c r="L2230" s="204"/>
      <c r="M2230" s="204"/>
      <c r="N2230" s="204"/>
      <c r="O2230" s="204"/>
      <c r="P2230" s="204"/>
      <c r="T2230" s="217"/>
    </row>
    <row r="2231" spans="2:20">
      <c r="B2231" s="204"/>
      <c r="C2231" s="204"/>
      <c r="D2231" s="204"/>
      <c r="E2231" s="204"/>
      <c r="F2231" s="204"/>
      <c r="G2231" s="204"/>
      <c r="H2231" s="204"/>
      <c r="I2231" s="204"/>
      <c r="J2231" s="204"/>
      <c r="K2231" s="204"/>
      <c r="L2231" s="204"/>
      <c r="M2231" s="204"/>
      <c r="N2231" s="204"/>
      <c r="O2231" s="204"/>
      <c r="P2231" s="204"/>
      <c r="T2231" s="217"/>
    </row>
    <row r="2232" spans="2:20">
      <c r="B2232" s="204"/>
      <c r="C2232" s="204"/>
      <c r="D2232" s="204"/>
      <c r="E2232" s="204"/>
      <c r="F2232" s="204"/>
      <c r="G2232" s="204"/>
      <c r="H2232" s="204"/>
      <c r="I2232" s="204"/>
      <c r="J2232" s="204"/>
      <c r="K2232" s="204"/>
      <c r="L2232" s="204"/>
      <c r="M2232" s="204"/>
      <c r="N2232" s="204"/>
      <c r="O2232" s="204"/>
      <c r="P2232" s="204"/>
      <c r="T2232" s="217"/>
    </row>
    <row r="2233" spans="2:20">
      <c r="B2233" s="204"/>
      <c r="C2233" s="204"/>
      <c r="D2233" s="204"/>
      <c r="E2233" s="204"/>
      <c r="F2233" s="204"/>
      <c r="G2233" s="204"/>
      <c r="H2233" s="204"/>
      <c r="I2233" s="204"/>
      <c r="J2233" s="204"/>
      <c r="K2233" s="204"/>
      <c r="L2233" s="204"/>
      <c r="M2233" s="204"/>
      <c r="N2233" s="204"/>
      <c r="O2233" s="204"/>
      <c r="P2233" s="204"/>
      <c r="T2233" s="217"/>
    </row>
    <row r="2234" spans="2:20">
      <c r="B2234" s="204"/>
      <c r="C2234" s="204"/>
      <c r="D2234" s="204"/>
      <c r="E2234" s="204"/>
      <c r="F2234" s="204"/>
      <c r="G2234" s="204"/>
      <c r="H2234" s="204"/>
      <c r="I2234" s="204"/>
      <c r="J2234" s="204"/>
      <c r="K2234" s="204"/>
      <c r="L2234" s="204"/>
      <c r="M2234" s="204"/>
      <c r="N2234" s="204"/>
      <c r="O2234" s="204"/>
      <c r="P2234" s="204"/>
      <c r="T2234" s="217"/>
    </row>
    <row r="2235" spans="2:20">
      <c r="B2235" s="204"/>
      <c r="C2235" s="204"/>
      <c r="D2235" s="204"/>
      <c r="E2235" s="204"/>
      <c r="F2235" s="204"/>
      <c r="G2235" s="204"/>
      <c r="H2235" s="204"/>
      <c r="I2235" s="204"/>
      <c r="J2235" s="204"/>
      <c r="K2235" s="204"/>
      <c r="L2235" s="204"/>
      <c r="M2235" s="204"/>
      <c r="N2235" s="204"/>
      <c r="O2235" s="204"/>
      <c r="P2235" s="204"/>
      <c r="T2235" s="217"/>
    </row>
    <row r="2236" spans="2:20">
      <c r="B2236" s="204"/>
      <c r="C2236" s="204"/>
      <c r="D2236" s="204"/>
      <c r="E2236" s="204"/>
      <c r="F2236" s="204"/>
      <c r="G2236" s="204"/>
      <c r="H2236" s="204"/>
      <c r="I2236" s="204"/>
      <c r="J2236" s="204"/>
      <c r="K2236" s="204"/>
      <c r="L2236" s="204"/>
      <c r="M2236" s="204"/>
      <c r="N2236" s="204"/>
      <c r="O2236" s="204"/>
      <c r="P2236" s="204"/>
      <c r="T2236" s="217"/>
    </row>
    <row r="2237" spans="2:20">
      <c r="B2237" s="204"/>
      <c r="C2237" s="204"/>
      <c r="D2237" s="204"/>
      <c r="E2237" s="204"/>
      <c r="F2237" s="204"/>
      <c r="G2237" s="204"/>
      <c r="H2237" s="204"/>
      <c r="I2237" s="204"/>
      <c r="J2237" s="204"/>
      <c r="K2237" s="204"/>
      <c r="L2237" s="204"/>
      <c r="M2237" s="204"/>
      <c r="N2237" s="204"/>
      <c r="O2237" s="204"/>
      <c r="P2237" s="204"/>
      <c r="T2237" s="217"/>
    </row>
    <row r="2238" spans="2:20">
      <c r="B2238" s="204"/>
      <c r="C2238" s="204"/>
      <c r="D2238" s="204"/>
      <c r="E2238" s="204"/>
      <c r="F2238" s="204"/>
      <c r="G2238" s="204"/>
      <c r="H2238" s="204"/>
      <c r="I2238" s="204"/>
      <c r="J2238" s="204"/>
      <c r="K2238" s="204"/>
      <c r="L2238" s="204"/>
      <c r="M2238" s="204"/>
      <c r="N2238" s="204"/>
      <c r="O2238" s="204"/>
      <c r="P2238" s="204"/>
      <c r="T2238" s="217"/>
    </row>
    <row r="2239" spans="2:20">
      <c r="B2239" s="204"/>
      <c r="C2239" s="204"/>
      <c r="D2239" s="204"/>
      <c r="E2239" s="204"/>
      <c r="F2239" s="204"/>
      <c r="G2239" s="204"/>
      <c r="H2239" s="204"/>
      <c r="I2239" s="204"/>
      <c r="J2239" s="204"/>
      <c r="K2239" s="204"/>
      <c r="L2239" s="204"/>
      <c r="M2239" s="204"/>
      <c r="N2239" s="204"/>
      <c r="O2239" s="204"/>
      <c r="P2239" s="204"/>
      <c r="T2239" s="217"/>
    </row>
    <row r="2240" spans="2:20">
      <c r="B2240" s="204"/>
      <c r="C2240" s="204"/>
      <c r="D2240" s="204"/>
      <c r="E2240" s="204"/>
      <c r="F2240" s="204"/>
      <c r="G2240" s="204"/>
      <c r="H2240" s="204"/>
      <c r="I2240" s="204"/>
      <c r="J2240" s="204"/>
      <c r="K2240" s="204"/>
      <c r="L2240" s="204"/>
      <c r="M2240" s="204"/>
      <c r="N2240" s="204"/>
      <c r="O2240" s="204"/>
      <c r="P2240" s="204"/>
      <c r="T2240" s="217"/>
    </row>
    <row r="2241" spans="2:20">
      <c r="B2241" s="204"/>
      <c r="C2241" s="204"/>
      <c r="D2241" s="204"/>
      <c r="E2241" s="204"/>
      <c r="F2241" s="204"/>
      <c r="G2241" s="204"/>
      <c r="H2241" s="204"/>
      <c r="I2241" s="204"/>
      <c r="J2241" s="204"/>
      <c r="K2241" s="204"/>
      <c r="L2241" s="204"/>
      <c r="M2241" s="204"/>
      <c r="N2241" s="204"/>
      <c r="O2241" s="204"/>
      <c r="P2241" s="204"/>
      <c r="T2241" s="217"/>
    </row>
    <row r="2242" spans="2:20">
      <c r="B2242" s="204"/>
      <c r="C2242" s="204"/>
      <c r="D2242" s="204"/>
      <c r="E2242" s="204"/>
      <c r="F2242" s="204"/>
      <c r="G2242" s="204"/>
      <c r="H2242" s="204"/>
      <c r="I2242" s="204"/>
      <c r="J2242" s="204"/>
      <c r="K2242" s="204"/>
      <c r="L2242" s="204"/>
      <c r="M2242" s="204"/>
      <c r="N2242" s="204"/>
      <c r="O2242" s="204"/>
      <c r="P2242" s="204"/>
      <c r="T2242" s="217"/>
    </row>
    <row r="2243" spans="2:20">
      <c r="B2243" s="204"/>
      <c r="C2243" s="204"/>
      <c r="D2243" s="204"/>
      <c r="E2243" s="204"/>
      <c r="F2243" s="204"/>
      <c r="G2243" s="204"/>
      <c r="H2243" s="204"/>
      <c r="I2243" s="204"/>
      <c r="J2243" s="204"/>
      <c r="K2243" s="204"/>
      <c r="L2243" s="204"/>
      <c r="M2243" s="204"/>
      <c r="N2243" s="204"/>
      <c r="O2243" s="204"/>
      <c r="P2243" s="204"/>
      <c r="T2243" s="217"/>
    </row>
    <row r="2244" spans="2:20">
      <c r="B2244" s="204"/>
      <c r="C2244" s="204"/>
      <c r="D2244" s="204"/>
      <c r="E2244" s="204"/>
      <c r="F2244" s="204"/>
      <c r="G2244" s="204"/>
      <c r="H2244" s="204"/>
      <c r="I2244" s="204"/>
      <c r="J2244" s="204"/>
      <c r="K2244" s="204"/>
      <c r="L2244" s="204"/>
      <c r="M2244" s="204"/>
      <c r="N2244" s="204"/>
      <c r="O2244" s="204"/>
      <c r="P2244" s="204"/>
      <c r="T2244" s="217"/>
    </row>
    <row r="2245" spans="2:20">
      <c r="B2245" s="204"/>
      <c r="C2245" s="204"/>
      <c r="D2245" s="204"/>
      <c r="E2245" s="204"/>
      <c r="F2245" s="204"/>
      <c r="G2245" s="204"/>
      <c r="H2245" s="204"/>
      <c r="I2245" s="204"/>
      <c r="J2245" s="204"/>
      <c r="K2245" s="204"/>
      <c r="L2245" s="204"/>
      <c r="M2245" s="204"/>
      <c r="N2245" s="204"/>
      <c r="O2245" s="204"/>
      <c r="P2245" s="204"/>
      <c r="T2245" s="217"/>
    </row>
    <row r="2246" spans="2:20">
      <c r="B2246" s="204"/>
      <c r="C2246" s="204"/>
      <c r="D2246" s="204"/>
      <c r="E2246" s="204"/>
      <c r="F2246" s="204"/>
      <c r="G2246" s="204"/>
      <c r="H2246" s="204"/>
      <c r="I2246" s="204"/>
      <c r="J2246" s="204"/>
      <c r="K2246" s="204"/>
      <c r="L2246" s="204"/>
      <c r="M2246" s="204"/>
      <c r="N2246" s="204"/>
      <c r="O2246" s="204"/>
      <c r="P2246" s="204"/>
      <c r="T2246" s="217"/>
    </row>
    <row r="2247" spans="2:20">
      <c r="B2247" s="204"/>
      <c r="C2247" s="204"/>
      <c r="D2247" s="204"/>
      <c r="E2247" s="204"/>
      <c r="F2247" s="204"/>
      <c r="G2247" s="204"/>
      <c r="H2247" s="204"/>
      <c r="I2247" s="204"/>
      <c r="J2247" s="204"/>
      <c r="K2247" s="204"/>
      <c r="L2247" s="204"/>
      <c r="M2247" s="204"/>
      <c r="N2247" s="204"/>
      <c r="O2247" s="204"/>
      <c r="P2247" s="204"/>
      <c r="T2247" s="217"/>
    </row>
    <row r="2248" spans="2:20">
      <c r="B2248" s="204"/>
      <c r="C2248" s="204"/>
      <c r="D2248" s="204"/>
      <c r="E2248" s="204"/>
      <c r="F2248" s="204"/>
      <c r="G2248" s="204"/>
      <c r="H2248" s="204"/>
      <c r="I2248" s="204"/>
      <c r="J2248" s="204"/>
      <c r="K2248" s="204"/>
      <c r="L2248" s="204"/>
      <c r="M2248" s="204"/>
      <c r="N2248" s="204"/>
      <c r="O2248" s="204"/>
      <c r="P2248" s="204"/>
      <c r="T2248" s="217"/>
    </row>
    <row r="2249" spans="2:20">
      <c r="B2249" s="204"/>
      <c r="C2249" s="204"/>
      <c r="D2249" s="204"/>
      <c r="E2249" s="204"/>
      <c r="F2249" s="204"/>
      <c r="G2249" s="204"/>
      <c r="H2249" s="204"/>
      <c r="I2249" s="204"/>
      <c r="J2249" s="204"/>
      <c r="K2249" s="204"/>
      <c r="L2249" s="204"/>
      <c r="M2249" s="204"/>
      <c r="N2249" s="204"/>
      <c r="O2249" s="204"/>
      <c r="P2249" s="204"/>
      <c r="T2249" s="217"/>
    </row>
    <row r="2250" spans="2:20">
      <c r="B2250" s="204"/>
      <c r="C2250" s="204"/>
      <c r="D2250" s="204"/>
      <c r="E2250" s="204"/>
      <c r="F2250" s="204"/>
      <c r="G2250" s="204"/>
      <c r="H2250" s="204"/>
      <c r="I2250" s="204"/>
      <c r="J2250" s="204"/>
      <c r="K2250" s="204"/>
      <c r="L2250" s="204"/>
      <c r="M2250" s="204"/>
      <c r="N2250" s="204"/>
      <c r="O2250" s="204"/>
      <c r="P2250" s="204"/>
      <c r="T2250" s="217"/>
    </row>
    <row r="2251" spans="2:20">
      <c r="B2251" s="204"/>
      <c r="C2251" s="204"/>
      <c r="D2251" s="204"/>
      <c r="E2251" s="204"/>
      <c r="F2251" s="204"/>
      <c r="G2251" s="204"/>
      <c r="H2251" s="204"/>
      <c r="I2251" s="204"/>
      <c r="J2251" s="204"/>
      <c r="K2251" s="204"/>
      <c r="L2251" s="204"/>
      <c r="M2251" s="204"/>
      <c r="N2251" s="204"/>
      <c r="O2251" s="204"/>
      <c r="P2251" s="204"/>
      <c r="T2251" s="217"/>
    </row>
    <row r="2252" spans="2:20">
      <c r="B2252" s="204"/>
      <c r="C2252" s="204"/>
      <c r="D2252" s="204"/>
      <c r="E2252" s="204"/>
      <c r="F2252" s="204"/>
      <c r="G2252" s="204"/>
      <c r="H2252" s="204"/>
      <c r="I2252" s="204"/>
      <c r="J2252" s="204"/>
      <c r="K2252" s="204"/>
      <c r="L2252" s="204"/>
      <c r="M2252" s="204"/>
      <c r="N2252" s="204"/>
      <c r="O2252" s="204"/>
      <c r="P2252" s="204"/>
      <c r="T2252" s="217"/>
    </row>
    <row r="2253" spans="2:20">
      <c r="B2253" s="204"/>
      <c r="C2253" s="204"/>
      <c r="D2253" s="204"/>
      <c r="E2253" s="204"/>
      <c r="F2253" s="204"/>
      <c r="G2253" s="204"/>
      <c r="H2253" s="204"/>
      <c r="I2253" s="204"/>
      <c r="J2253" s="204"/>
      <c r="K2253" s="204"/>
      <c r="L2253" s="204"/>
      <c r="M2253" s="204"/>
      <c r="N2253" s="204"/>
      <c r="O2253" s="204"/>
      <c r="P2253" s="204"/>
      <c r="T2253" s="217"/>
    </row>
    <row r="2254" spans="2:20">
      <c r="B2254" s="204"/>
      <c r="C2254" s="204"/>
      <c r="D2254" s="204"/>
      <c r="E2254" s="204"/>
      <c r="F2254" s="204"/>
      <c r="G2254" s="204"/>
      <c r="H2254" s="204"/>
      <c r="I2254" s="204"/>
      <c r="J2254" s="204"/>
      <c r="K2254" s="204"/>
      <c r="L2254" s="204"/>
      <c r="M2254" s="204"/>
      <c r="N2254" s="204"/>
      <c r="O2254" s="204"/>
      <c r="P2254" s="204"/>
      <c r="T2254" s="217"/>
    </row>
    <row r="2255" spans="2:20">
      <c r="B2255" s="204"/>
      <c r="C2255" s="204"/>
      <c r="D2255" s="204"/>
      <c r="E2255" s="204"/>
      <c r="F2255" s="204"/>
      <c r="G2255" s="204"/>
      <c r="H2255" s="204"/>
      <c r="I2255" s="204"/>
      <c r="J2255" s="204"/>
      <c r="K2255" s="204"/>
      <c r="L2255" s="204"/>
      <c r="M2255" s="204"/>
      <c r="N2255" s="204"/>
      <c r="O2255" s="204"/>
      <c r="P2255" s="204"/>
      <c r="T2255" s="217"/>
    </row>
    <row r="2256" spans="2:20">
      <c r="B2256" s="204"/>
      <c r="C2256" s="204"/>
      <c r="D2256" s="204"/>
      <c r="E2256" s="204"/>
      <c r="F2256" s="204"/>
      <c r="G2256" s="204"/>
      <c r="H2256" s="204"/>
      <c r="I2256" s="204"/>
      <c r="J2256" s="204"/>
      <c r="K2256" s="204"/>
      <c r="L2256" s="204"/>
      <c r="M2256" s="204"/>
      <c r="N2256" s="204"/>
      <c r="O2256" s="204"/>
      <c r="P2256" s="204"/>
      <c r="T2256" s="217"/>
    </row>
    <row r="2257" spans="2:20">
      <c r="B2257" s="204"/>
      <c r="C2257" s="204"/>
      <c r="D2257" s="204"/>
      <c r="E2257" s="204"/>
      <c r="F2257" s="204"/>
      <c r="G2257" s="204"/>
      <c r="H2257" s="204"/>
      <c r="I2257" s="204"/>
      <c r="J2257" s="204"/>
      <c r="K2257" s="204"/>
      <c r="L2257" s="204"/>
      <c r="M2257" s="204"/>
      <c r="N2257" s="204"/>
      <c r="O2257" s="204"/>
      <c r="P2257" s="204"/>
      <c r="T2257" s="217"/>
    </row>
    <row r="2258" spans="2:20">
      <c r="B2258" s="204"/>
      <c r="C2258" s="204"/>
      <c r="D2258" s="204"/>
      <c r="E2258" s="204"/>
      <c r="F2258" s="204"/>
      <c r="G2258" s="204"/>
      <c r="H2258" s="204"/>
      <c r="I2258" s="204"/>
      <c r="J2258" s="204"/>
      <c r="K2258" s="204"/>
      <c r="L2258" s="204"/>
      <c r="M2258" s="204"/>
      <c r="N2258" s="204"/>
      <c r="O2258" s="204"/>
      <c r="P2258" s="204"/>
      <c r="T2258" s="217"/>
    </row>
    <row r="2259" spans="2:20">
      <c r="B2259" s="204"/>
      <c r="C2259" s="204"/>
      <c r="D2259" s="204"/>
      <c r="E2259" s="204"/>
      <c r="F2259" s="204"/>
      <c r="G2259" s="204"/>
      <c r="H2259" s="204"/>
      <c r="I2259" s="204"/>
      <c r="J2259" s="204"/>
      <c r="K2259" s="204"/>
      <c r="L2259" s="204"/>
      <c r="M2259" s="204"/>
      <c r="N2259" s="204"/>
      <c r="O2259" s="204"/>
      <c r="P2259" s="204"/>
      <c r="T2259" s="217"/>
    </row>
    <row r="2260" spans="2:20">
      <c r="B2260" s="204"/>
      <c r="C2260" s="204"/>
      <c r="D2260" s="204"/>
      <c r="E2260" s="204"/>
      <c r="F2260" s="204"/>
      <c r="G2260" s="204"/>
      <c r="H2260" s="204"/>
      <c r="I2260" s="204"/>
      <c r="J2260" s="204"/>
      <c r="K2260" s="204"/>
      <c r="L2260" s="204"/>
      <c r="M2260" s="204"/>
      <c r="N2260" s="204"/>
      <c r="O2260" s="204"/>
      <c r="P2260" s="204"/>
      <c r="T2260" s="217"/>
    </row>
    <row r="2261" spans="2:20">
      <c r="B2261" s="204"/>
      <c r="C2261" s="204"/>
      <c r="D2261" s="204"/>
      <c r="E2261" s="204"/>
      <c r="F2261" s="204"/>
      <c r="G2261" s="204"/>
      <c r="H2261" s="204"/>
      <c r="I2261" s="204"/>
      <c r="J2261" s="204"/>
      <c r="K2261" s="204"/>
      <c r="L2261" s="204"/>
      <c r="M2261" s="204"/>
      <c r="N2261" s="204"/>
      <c r="O2261" s="204"/>
      <c r="P2261" s="204"/>
      <c r="T2261" s="217"/>
    </row>
    <row r="2262" spans="2:20">
      <c r="B2262" s="204"/>
      <c r="C2262" s="204"/>
      <c r="D2262" s="204"/>
      <c r="E2262" s="204"/>
      <c r="F2262" s="204"/>
      <c r="G2262" s="204"/>
      <c r="H2262" s="204"/>
      <c r="I2262" s="204"/>
      <c r="J2262" s="204"/>
      <c r="K2262" s="204"/>
      <c r="L2262" s="204"/>
      <c r="M2262" s="204"/>
      <c r="N2262" s="204"/>
      <c r="O2262" s="204"/>
      <c r="P2262" s="204"/>
      <c r="T2262" s="217"/>
    </row>
    <row r="2263" spans="2:20">
      <c r="B2263" s="204"/>
      <c r="C2263" s="204"/>
      <c r="D2263" s="204"/>
      <c r="E2263" s="204"/>
      <c r="F2263" s="204"/>
      <c r="G2263" s="204"/>
      <c r="H2263" s="204"/>
      <c r="I2263" s="204"/>
      <c r="J2263" s="204"/>
      <c r="K2263" s="204"/>
      <c r="L2263" s="204"/>
      <c r="M2263" s="204"/>
      <c r="N2263" s="204"/>
      <c r="O2263" s="204"/>
      <c r="P2263" s="204"/>
      <c r="T2263" s="217"/>
    </row>
    <row r="2264" spans="2:20">
      <c r="B2264" s="204"/>
      <c r="C2264" s="204"/>
      <c r="D2264" s="204"/>
      <c r="E2264" s="204"/>
      <c r="F2264" s="204"/>
      <c r="G2264" s="204"/>
      <c r="H2264" s="204"/>
      <c r="I2264" s="204"/>
      <c r="J2264" s="204"/>
      <c r="K2264" s="204"/>
      <c r="L2264" s="204"/>
      <c r="M2264" s="204"/>
      <c r="N2264" s="204"/>
      <c r="O2264" s="204"/>
      <c r="P2264" s="204"/>
      <c r="T2264" s="217"/>
    </row>
    <row r="2265" spans="2:20">
      <c r="B2265" s="204"/>
      <c r="C2265" s="204"/>
      <c r="D2265" s="204"/>
      <c r="E2265" s="204"/>
      <c r="F2265" s="204"/>
      <c r="G2265" s="204"/>
      <c r="H2265" s="204"/>
      <c r="I2265" s="204"/>
      <c r="J2265" s="204"/>
      <c r="K2265" s="204"/>
      <c r="L2265" s="204"/>
      <c r="M2265" s="204"/>
      <c r="N2265" s="204"/>
      <c r="O2265" s="204"/>
      <c r="P2265" s="204"/>
      <c r="T2265" s="217"/>
    </row>
    <row r="2266" spans="2:20">
      <c r="B2266" s="204"/>
      <c r="C2266" s="204"/>
      <c r="D2266" s="204"/>
      <c r="E2266" s="204"/>
      <c r="F2266" s="204"/>
      <c r="G2266" s="204"/>
      <c r="H2266" s="204"/>
      <c r="I2266" s="204"/>
      <c r="J2266" s="204"/>
      <c r="K2266" s="204"/>
      <c r="L2266" s="204"/>
      <c r="M2266" s="204"/>
      <c r="N2266" s="204"/>
      <c r="O2266" s="204"/>
      <c r="P2266" s="204"/>
      <c r="T2266" s="217"/>
    </row>
    <row r="2267" spans="2:20">
      <c r="B2267" s="204"/>
      <c r="C2267" s="204"/>
      <c r="D2267" s="204"/>
      <c r="E2267" s="204"/>
      <c r="F2267" s="204"/>
      <c r="G2267" s="204"/>
      <c r="H2267" s="204"/>
      <c r="I2267" s="204"/>
      <c r="J2267" s="204"/>
      <c r="K2267" s="204"/>
      <c r="L2267" s="204"/>
      <c r="M2267" s="204"/>
      <c r="N2267" s="204"/>
      <c r="O2267" s="204"/>
      <c r="P2267" s="204"/>
      <c r="T2267" s="217"/>
    </row>
    <row r="2268" spans="2:20">
      <c r="B2268" s="204"/>
      <c r="C2268" s="204"/>
      <c r="D2268" s="204"/>
      <c r="E2268" s="204"/>
      <c r="F2268" s="204"/>
      <c r="G2268" s="204"/>
      <c r="H2268" s="204"/>
      <c r="I2268" s="204"/>
      <c r="J2268" s="204"/>
      <c r="K2268" s="204"/>
      <c r="L2268" s="204"/>
      <c r="M2268" s="204"/>
      <c r="N2268" s="204"/>
      <c r="O2268" s="204"/>
      <c r="P2268" s="204"/>
      <c r="T2268" s="217"/>
    </row>
    <row r="2269" spans="2:20">
      <c r="B2269" s="204"/>
      <c r="C2269" s="204"/>
      <c r="D2269" s="204"/>
      <c r="E2269" s="204"/>
      <c r="F2269" s="204"/>
      <c r="G2269" s="204"/>
      <c r="H2269" s="204"/>
      <c r="I2269" s="204"/>
      <c r="J2269" s="204"/>
      <c r="K2269" s="204"/>
      <c r="L2269" s="204"/>
      <c r="M2269" s="204"/>
      <c r="N2269" s="204"/>
      <c r="O2269" s="204"/>
      <c r="P2269" s="204"/>
      <c r="T2269" s="217"/>
    </row>
    <row r="2270" spans="2:20">
      <c r="B2270" s="204"/>
      <c r="C2270" s="204"/>
      <c r="D2270" s="204"/>
      <c r="E2270" s="204"/>
      <c r="F2270" s="204"/>
      <c r="G2270" s="204"/>
      <c r="H2270" s="204"/>
      <c r="I2270" s="204"/>
      <c r="J2270" s="204"/>
      <c r="K2270" s="204"/>
      <c r="L2270" s="204"/>
      <c r="M2270" s="204"/>
      <c r="N2270" s="204"/>
      <c r="O2270" s="204"/>
      <c r="P2270" s="204"/>
      <c r="T2270" s="217"/>
    </row>
    <row r="2271" spans="2:20">
      <c r="B2271" s="204"/>
      <c r="C2271" s="204"/>
      <c r="D2271" s="204"/>
      <c r="E2271" s="204"/>
      <c r="F2271" s="204"/>
      <c r="G2271" s="204"/>
      <c r="H2271" s="204"/>
      <c r="I2271" s="204"/>
      <c r="J2271" s="204"/>
      <c r="K2271" s="204"/>
      <c r="L2271" s="204"/>
      <c r="M2271" s="204"/>
      <c r="N2271" s="204"/>
      <c r="O2271" s="204"/>
      <c r="P2271" s="204"/>
      <c r="T2271" s="217"/>
    </row>
    <row r="2272" spans="2:20">
      <c r="B2272" s="204"/>
      <c r="C2272" s="204"/>
      <c r="D2272" s="204"/>
      <c r="E2272" s="204"/>
      <c r="F2272" s="204"/>
      <c r="G2272" s="204"/>
      <c r="H2272" s="204"/>
      <c r="I2272" s="204"/>
      <c r="J2272" s="204"/>
      <c r="K2272" s="204"/>
      <c r="L2272" s="204"/>
      <c r="M2272" s="204"/>
      <c r="N2272" s="204"/>
      <c r="O2272" s="204"/>
      <c r="P2272" s="204"/>
      <c r="T2272" s="217"/>
    </row>
    <row r="2273" spans="2:20">
      <c r="B2273" s="204"/>
      <c r="C2273" s="204"/>
      <c r="D2273" s="204"/>
      <c r="E2273" s="204"/>
      <c r="F2273" s="204"/>
      <c r="G2273" s="204"/>
      <c r="H2273" s="204"/>
      <c r="I2273" s="204"/>
      <c r="J2273" s="204"/>
      <c r="K2273" s="204"/>
      <c r="L2273" s="204"/>
      <c r="M2273" s="204"/>
      <c r="N2273" s="204"/>
      <c r="O2273" s="204"/>
      <c r="P2273" s="204"/>
      <c r="T2273" s="217"/>
    </row>
    <row r="2274" spans="2:20">
      <c r="B2274" s="204"/>
      <c r="C2274" s="204"/>
      <c r="D2274" s="204"/>
      <c r="E2274" s="204"/>
      <c r="F2274" s="204"/>
      <c r="G2274" s="204"/>
      <c r="H2274" s="204"/>
      <c r="I2274" s="204"/>
      <c r="J2274" s="204"/>
      <c r="K2274" s="204"/>
      <c r="L2274" s="204"/>
      <c r="M2274" s="204"/>
      <c r="N2274" s="204"/>
      <c r="O2274" s="204"/>
      <c r="P2274" s="204"/>
      <c r="T2274" s="217"/>
    </row>
    <row r="2275" spans="2:20">
      <c r="B2275" s="204"/>
      <c r="C2275" s="204"/>
      <c r="D2275" s="204"/>
      <c r="E2275" s="204"/>
      <c r="F2275" s="204"/>
      <c r="G2275" s="204"/>
      <c r="H2275" s="204"/>
      <c r="I2275" s="204"/>
      <c r="J2275" s="204"/>
      <c r="K2275" s="204"/>
      <c r="L2275" s="204"/>
      <c r="M2275" s="204"/>
      <c r="N2275" s="204"/>
      <c r="O2275" s="204"/>
      <c r="P2275" s="204"/>
      <c r="T2275" s="217"/>
    </row>
    <row r="2276" spans="2:20">
      <c r="B2276" s="204"/>
      <c r="C2276" s="204"/>
      <c r="D2276" s="204"/>
      <c r="E2276" s="204"/>
      <c r="F2276" s="204"/>
      <c r="G2276" s="204"/>
      <c r="H2276" s="204"/>
      <c r="I2276" s="204"/>
      <c r="J2276" s="204"/>
      <c r="K2276" s="204"/>
      <c r="L2276" s="204"/>
      <c r="M2276" s="204"/>
      <c r="N2276" s="204"/>
      <c r="O2276" s="204"/>
      <c r="P2276" s="204"/>
      <c r="T2276" s="217"/>
    </row>
    <row r="2277" spans="2:20">
      <c r="B2277" s="204"/>
      <c r="C2277" s="204"/>
      <c r="D2277" s="204"/>
      <c r="E2277" s="204"/>
      <c r="F2277" s="204"/>
      <c r="G2277" s="204"/>
      <c r="H2277" s="204"/>
      <c r="I2277" s="204"/>
      <c r="J2277" s="204"/>
      <c r="K2277" s="204"/>
      <c r="L2277" s="204"/>
      <c r="M2277" s="204"/>
      <c r="N2277" s="204"/>
      <c r="O2277" s="204"/>
      <c r="P2277" s="204"/>
      <c r="T2277" s="217"/>
    </row>
    <row r="2278" spans="2:20">
      <c r="B2278" s="204"/>
      <c r="C2278" s="204"/>
      <c r="D2278" s="204"/>
      <c r="E2278" s="204"/>
      <c r="F2278" s="204"/>
      <c r="G2278" s="204"/>
      <c r="H2278" s="204"/>
      <c r="I2278" s="204"/>
      <c r="J2278" s="204"/>
      <c r="K2278" s="204"/>
      <c r="L2278" s="204"/>
      <c r="M2278" s="204"/>
      <c r="N2278" s="204"/>
      <c r="O2278" s="204"/>
      <c r="P2278" s="204"/>
      <c r="T2278" s="217"/>
    </row>
    <row r="2279" spans="2:20">
      <c r="B2279" s="204"/>
      <c r="C2279" s="204"/>
      <c r="D2279" s="204"/>
      <c r="E2279" s="204"/>
      <c r="F2279" s="204"/>
      <c r="G2279" s="204"/>
      <c r="H2279" s="204"/>
      <c r="I2279" s="204"/>
      <c r="J2279" s="204"/>
      <c r="K2279" s="204"/>
      <c r="L2279" s="204"/>
      <c r="M2279" s="204"/>
      <c r="N2279" s="204"/>
      <c r="O2279" s="204"/>
      <c r="P2279" s="204"/>
      <c r="T2279" s="217"/>
    </row>
    <row r="2280" spans="2:20">
      <c r="B2280" s="204"/>
      <c r="C2280" s="204"/>
      <c r="D2280" s="204"/>
      <c r="E2280" s="204"/>
      <c r="F2280" s="204"/>
      <c r="G2280" s="204"/>
      <c r="H2280" s="204"/>
      <c r="I2280" s="204"/>
      <c r="J2280" s="204"/>
      <c r="K2280" s="204"/>
      <c r="L2280" s="204"/>
      <c r="M2280" s="204"/>
      <c r="N2280" s="204"/>
      <c r="O2280" s="204"/>
      <c r="P2280" s="204"/>
      <c r="T2280" s="217"/>
    </row>
    <row r="2281" spans="2:20">
      <c r="B2281" s="204"/>
      <c r="C2281" s="204"/>
      <c r="D2281" s="204"/>
      <c r="E2281" s="204"/>
      <c r="F2281" s="204"/>
      <c r="G2281" s="204"/>
      <c r="H2281" s="204"/>
      <c r="I2281" s="204"/>
      <c r="J2281" s="204"/>
      <c r="K2281" s="204"/>
      <c r="L2281" s="204"/>
      <c r="M2281" s="204"/>
      <c r="N2281" s="204"/>
      <c r="O2281" s="204"/>
      <c r="P2281" s="204"/>
      <c r="T2281" s="217"/>
    </row>
    <row r="2282" spans="2:20">
      <c r="B2282" s="204"/>
      <c r="C2282" s="204"/>
      <c r="D2282" s="204"/>
      <c r="E2282" s="204"/>
      <c r="F2282" s="204"/>
      <c r="G2282" s="204"/>
      <c r="H2282" s="204"/>
      <c r="I2282" s="204"/>
      <c r="J2282" s="204"/>
      <c r="K2282" s="204"/>
      <c r="L2282" s="204"/>
      <c r="M2282" s="204"/>
      <c r="N2282" s="204"/>
      <c r="O2282" s="204"/>
      <c r="P2282" s="204"/>
      <c r="T2282" s="217"/>
    </row>
    <row r="2283" spans="2:20">
      <c r="B2283" s="204"/>
      <c r="C2283" s="204"/>
      <c r="D2283" s="204"/>
      <c r="E2283" s="204"/>
      <c r="F2283" s="204"/>
      <c r="G2283" s="204"/>
      <c r="H2283" s="204"/>
      <c r="I2283" s="204"/>
      <c r="J2283" s="204"/>
      <c r="K2283" s="204"/>
      <c r="L2283" s="204"/>
      <c r="M2283" s="204"/>
      <c r="N2283" s="204"/>
      <c r="O2283" s="204"/>
      <c r="P2283" s="204"/>
      <c r="T2283" s="217"/>
    </row>
    <row r="2284" spans="2:20">
      <c r="B2284" s="204"/>
      <c r="C2284" s="204"/>
      <c r="D2284" s="204"/>
      <c r="E2284" s="204"/>
      <c r="F2284" s="204"/>
      <c r="G2284" s="204"/>
      <c r="H2284" s="204"/>
      <c r="I2284" s="204"/>
      <c r="J2284" s="204"/>
      <c r="K2284" s="204"/>
      <c r="L2284" s="204"/>
      <c r="M2284" s="204"/>
      <c r="N2284" s="204"/>
      <c r="O2284" s="204"/>
      <c r="P2284" s="204"/>
      <c r="T2284" s="217"/>
    </row>
    <row r="2285" spans="2:20">
      <c r="B2285" s="204"/>
      <c r="C2285" s="204"/>
      <c r="D2285" s="204"/>
      <c r="E2285" s="204"/>
      <c r="F2285" s="204"/>
      <c r="G2285" s="204"/>
      <c r="H2285" s="204"/>
      <c r="I2285" s="204"/>
      <c r="J2285" s="204"/>
      <c r="K2285" s="204"/>
      <c r="L2285" s="204"/>
      <c r="M2285" s="204"/>
      <c r="N2285" s="204"/>
      <c r="O2285" s="204"/>
      <c r="P2285" s="204"/>
      <c r="T2285" s="217"/>
    </row>
    <row r="2286" spans="2:20">
      <c r="B2286" s="204"/>
      <c r="C2286" s="204"/>
      <c r="D2286" s="204"/>
      <c r="E2286" s="204"/>
      <c r="F2286" s="204"/>
      <c r="G2286" s="204"/>
      <c r="H2286" s="204"/>
      <c r="I2286" s="204"/>
      <c r="J2286" s="204"/>
      <c r="K2286" s="204"/>
      <c r="L2286" s="204"/>
      <c r="M2286" s="204"/>
      <c r="N2286" s="204"/>
      <c r="O2286" s="204"/>
      <c r="P2286" s="204"/>
      <c r="T2286" s="217"/>
    </row>
    <row r="2287" spans="2:20">
      <c r="B2287" s="204"/>
      <c r="C2287" s="204"/>
      <c r="D2287" s="204"/>
      <c r="E2287" s="204"/>
      <c r="F2287" s="204"/>
      <c r="G2287" s="204"/>
      <c r="H2287" s="204"/>
      <c r="I2287" s="204"/>
      <c r="J2287" s="204"/>
      <c r="K2287" s="204"/>
      <c r="L2287" s="204"/>
      <c r="M2287" s="204"/>
      <c r="N2287" s="204"/>
      <c r="O2287" s="204"/>
      <c r="P2287" s="204"/>
      <c r="T2287" s="217"/>
    </row>
    <row r="2288" spans="2:20">
      <c r="B2288" s="204"/>
      <c r="C2288" s="204"/>
      <c r="D2288" s="204"/>
      <c r="E2288" s="204"/>
      <c r="F2288" s="204"/>
      <c r="G2288" s="204"/>
      <c r="H2288" s="204"/>
      <c r="I2288" s="204"/>
      <c r="J2288" s="204"/>
      <c r="K2288" s="204"/>
      <c r="L2288" s="204"/>
      <c r="M2288" s="204"/>
      <c r="N2288" s="204"/>
      <c r="O2288" s="204"/>
      <c r="P2288" s="204"/>
      <c r="T2288" s="217"/>
    </row>
    <row r="2289" spans="2:20">
      <c r="B2289" s="204"/>
      <c r="C2289" s="204"/>
      <c r="D2289" s="204"/>
      <c r="E2289" s="204"/>
      <c r="F2289" s="204"/>
      <c r="G2289" s="204"/>
      <c r="H2289" s="204"/>
      <c r="I2289" s="204"/>
      <c r="J2289" s="204"/>
      <c r="K2289" s="204"/>
      <c r="L2289" s="204"/>
      <c r="M2289" s="204"/>
      <c r="N2289" s="204"/>
      <c r="O2289" s="204"/>
      <c r="P2289" s="204"/>
      <c r="T2289" s="217"/>
    </row>
    <row r="2290" spans="2:20">
      <c r="B2290" s="204"/>
      <c r="C2290" s="204"/>
      <c r="D2290" s="204"/>
      <c r="E2290" s="204"/>
      <c r="F2290" s="204"/>
      <c r="G2290" s="204"/>
      <c r="H2290" s="204"/>
      <c r="I2290" s="204"/>
      <c r="J2290" s="204"/>
      <c r="K2290" s="204"/>
      <c r="L2290" s="204"/>
      <c r="M2290" s="204"/>
      <c r="N2290" s="204"/>
      <c r="O2290" s="204"/>
      <c r="P2290" s="204"/>
      <c r="T2290" s="217"/>
    </row>
    <row r="2291" spans="2:20">
      <c r="B2291" s="204"/>
      <c r="C2291" s="204"/>
      <c r="D2291" s="204"/>
      <c r="E2291" s="204"/>
      <c r="F2291" s="204"/>
      <c r="G2291" s="204"/>
      <c r="H2291" s="204"/>
      <c r="I2291" s="204"/>
      <c r="J2291" s="204"/>
      <c r="K2291" s="204"/>
      <c r="L2291" s="204"/>
      <c r="M2291" s="204"/>
      <c r="N2291" s="204"/>
      <c r="O2291" s="204"/>
      <c r="P2291" s="204"/>
      <c r="T2291" s="217"/>
    </row>
    <row r="2292" spans="2:20">
      <c r="B2292" s="204"/>
      <c r="C2292" s="204"/>
      <c r="D2292" s="204"/>
      <c r="E2292" s="204"/>
      <c r="F2292" s="204"/>
      <c r="G2292" s="204"/>
      <c r="H2292" s="204"/>
      <c r="I2292" s="204"/>
      <c r="J2292" s="204"/>
      <c r="K2292" s="204"/>
      <c r="L2292" s="204"/>
      <c r="M2292" s="204"/>
      <c r="N2292" s="204"/>
      <c r="O2292" s="204"/>
      <c r="P2292" s="204"/>
      <c r="T2292" s="217"/>
    </row>
    <row r="2293" spans="2:20">
      <c r="B2293" s="204"/>
      <c r="C2293" s="204"/>
      <c r="D2293" s="204"/>
      <c r="E2293" s="204"/>
      <c r="F2293" s="204"/>
      <c r="G2293" s="204"/>
      <c r="H2293" s="204"/>
      <c r="I2293" s="204"/>
      <c r="J2293" s="204"/>
      <c r="K2293" s="204"/>
      <c r="L2293" s="204"/>
      <c r="M2293" s="204"/>
      <c r="N2293" s="204"/>
      <c r="O2293" s="204"/>
      <c r="P2293" s="204"/>
      <c r="T2293" s="217"/>
    </row>
    <row r="2294" spans="2:20">
      <c r="B2294" s="204"/>
      <c r="C2294" s="204"/>
      <c r="D2294" s="204"/>
      <c r="E2294" s="204"/>
      <c r="F2294" s="204"/>
      <c r="G2294" s="204"/>
      <c r="H2294" s="204"/>
      <c r="I2294" s="204"/>
      <c r="J2294" s="204"/>
      <c r="K2294" s="204"/>
      <c r="L2294" s="204"/>
      <c r="M2294" s="204"/>
      <c r="N2294" s="204"/>
      <c r="O2294" s="204"/>
      <c r="P2294" s="204"/>
      <c r="T2294" s="217"/>
    </row>
    <row r="2295" spans="2:20">
      <c r="B2295" s="204"/>
      <c r="C2295" s="204"/>
      <c r="D2295" s="204"/>
      <c r="E2295" s="204"/>
      <c r="F2295" s="204"/>
      <c r="G2295" s="204"/>
      <c r="H2295" s="204"/>
      <c r="I2295" s="204"/>
      <c r="J2295" s="204"/>
      <c r="K2295" s="204"/>
      <c r="L2295" s="204"/>
      <c r="M2295" s="204"/>
      <c r="N2295" s="204"/>
      <c r="O2295" s="204"/>
      <c r="P2295" s="204"/>
      <c r="T2295" s="217"/>
    </row>
    <row r="2296" spans="2:20">
      <c r="B2296" s="204"/>
      <c r="C2296" s="204"/>
      <c r="D2296" s="204"/>
      <c r="E2296" s="204"/>
      <c r="F2296" s="204"/>
      <c r="G2296" s="204"/>
      <c r="H2296" s="204"/>
      <c r="I2296" s="204"/>
      <c r="J2296" s="204"/>
      <c r="K2296" s="204"/>
      <c r="L2296" s="204"/>
      <c r="M2296" s="204"/>
      <c r="N2296" s="204"/>
      <c r="O2296" s="204"/>
      <c r="P2296" s="204"/>
      <c r="T2296" s="217"/>
    </row>
    <row r="2297" spans="2:20">
      <c r="B2297" s="204"/>
      <c r="C2297" s="204"/>
      <c r="D2297" s="204"/>
      <c r="E2297" s="204"/>
      <c r="F2297" s="204"/>
      <c r="G2297" s="204"/>
      <c r="H2297" s="204"/>
      <c r="I2297" s="204"/>
      <c r="J2297" s="204"/>
      <c r="K2297" s="204"/>
      <c r="L2297" s="204"/>
      <c r="M2297" s="204"/>
      <c r="N2297" s="204"/>
      <c r="O2297" s="204"/>
      <c r="P2297" s="204"/>
      <c r="T2297" s="217"/>
    </row>
    <row r="2298" spans="2:20">
      <c r="B2298" s="204"/>
      <c r="C2298" s="204"/>
      <c r="D2298" s="204"/>
      <c r="E2298" s="204"/>
      <c r="F2298" s="204"/>
      <c r="G2298" s="204"/>
      <c r="H2298" s="204"/>
      <c r="I2298" s="204"/>
      <c r="J2298" s="204"/>
      <c r="K2298" s="204"/>
      <c r="L2298" s="204"/>
      <c r="M2298" s="204"/>
      <c r="N2298" s="204"/>
      <c r="O2298" s="204"/>
      <c r="P2298" s="204"/>
      <c r="T2298" s="217"/>
    </row>
    <row r="2299" spans="2:20">
      <c r="B2299" s="204"/>
      <c r="C2299" s="204"/>
      <c r="D2299" s="204"/>
      <c r="E2299" s="204"/>
      <c r="F2299" s="204"/>
      <c r="G2299" s="204"/>
      <c r="H2299" s="204"/>
      <c r="I2299" s="204"/>
      <c r="J2299" s="204"/>
      <c r="K2299" s="204"/>
      <c r="L2299" s="204"/>
      <c r="M2299" s="204"/>
      <c r="N2299" s="204"/>
      <c r="O2299" s="204"/>
      <c r="P2299" s="204"/>
      <c r="T2299" s="217"/>
    </row>
    <row r="2300" spans="2:20">
      <c r="B2300" s="204"/>
      <c r="C2300" s="204"/>
      <c r="D2300" s="204"/>
      <c r="E2300" s="204"/>
      <c r="F2300" s="204"/>
      <c r="G2300" s="204"/>
      <c r="H2300" s="204"/>
      <c r="I2300" s="204"/>
      <c r="J2300" s="204"/>
      <c r="K2300" s="204"/>
      <c r="L2300" s="204"/>
      <c r="M2300" s="204"/>
      <c r="N2300" s="204"/>
      <c r="O2300" s="204"/>
      <c r="P2300" s="204"/>
      <c r="T2300" s="217"/>
    </row>
    <row r="2301" spans="2:20">
      <c r="B2301" s="204"/>
      <c r="C2301" s="204"/>
      <c r="D2301" s="204"/>
      <c r="E2301" s="204"/>
      <c r="F2301" s="204"/>
      <c r="G2301" s="204"/>
      <c r="H2301" s="204"/>
      <c r="I2301" s="204"/>
      <c r="J2301" s="204"/>
      <c r="K2301" s="204"/>
      <c r="L2301" s="204"/>
      <c r="M2301" s="204"/>
      <c r="N2301" s="204"/>
      <c r="O2301" s="204"/>
      <c r="P2301" s="204"/>
      <c r="T2301" s="217"/>
    </row>
    <row r="2302" spans="2:20">
      <c r="B2302" s="204"/>
      <c r="C2302" s="204"/>
      <c r="D2302" s="204"/>
      <c r="E2302" s="204"/>
      <c r="F2302" s="204"/>
      <c r="G2302" s="204"/>
      <c r="H2302" s="204"/>
      <c r="I2302" s="204"/>
      <c r="J2302" s="204"/>
      <c r="K2302" s="204"/>
      <c r="L2302" s="204"/>
      <c r="M2302" s="204"/>
      <c r="N2302" s="204"/>
      <c r="O2302" s="204"/>
      <c r="P2302" s="204"/>
      <c r="T2302" s="217"/>
    </row>
    <row r="2303" spans="2:20">
      <c r="B2303" s="204"/>
      <c r="C2303" s="204"/>
      <c r="D2303" s="204"/>
      <c r="E2303" s="204"/>
      <c r="F2303" s="204"/>
      <c r="G2303" s="204"/>
      <c r="H2303" s="204"/>
      <c r="I2303" s="204"/>
      <c r="J2303" s="204"/>
      <c r="K2303" s="204"/>
      <c r="L2303" s="204"/>
      <c r="M2303" s="204"/>
      <c r="N2303" s="204"/>
      <c r="O2303" s="204"/>
      <c r="P2303" s="204"/>
      <c r="T2303" s="217"/>
    </row>
    <row r="2304" spans="2:20">
      <c r="B2304" s="204"/>
      <c r="C2304" s="204"/>
      <c r="D2304" s="204"/>
      <c r="E2304" s="204"/>
      <c r="F2304" s="204"/>
      <c r="G2304" s="204"/>
      <c r="H2304" s="204"/>
      <c r="I2304" s="204"/>
      <c r="J2304" s="204"/>
      <c r="K2304" s="204"/>
      <c r="L2304" s="204"/>
      <c r="M2304" s="204"/>
      <c r="N2304" s="204"/>
      <c r="O2304" s="204"/>
      <c r="P2304" s="204"/>
      <c r="T2304" s="217"/>
    </row>
    <row r="2305" spans="2:20">
      <c r="B2305" s="204"/>
      <c r="C2305" s="204"/>
      <c r="D2305" s="204"/>
      <c r="E2305" s="204"/>
      <c r="F2305" s="204"/>
      <c r="G2305" s="204"/>
      <c r="H2305" s="204"/>
      <c r="I2305" s="204"/>
      <c r="J2305" s="204"/>
      <c r="K2305" s="204"/>
      <c r="L2305" s="204"/>
      <c r="M2305" s="204"/>
      <c r="N2305" s="204"/>
      <c r="O2305" s="204"/>
      <c r="P2305" s="204"/>
      <c r="T2305" s="217"/>
    </row>
    <row r="2306" spans="2:20">
      <c r="B2306" s="204"/>
      <c r="C2306" s="204"/>
      <c r="D2306" s="204"/>
      <c r="E2306" s="204"/>
      <c r="F2306" s="204"/>
      <c r="G2306" s="204"/>
      <c r="H2306" s="204"/>
      <c r="I2306" s="204"/>
      <c r="J2306" s="204"/>
      <c r="K2306" s="204"/>
      <c r="L2306" s="204"/>
      <c r="M2306" s="204"/>
      <c r="N2306" s="204"/>
      <c r="O2306" s="204"/>
      <c r="P2306" s="204"/>
      <c r="T2306" s="217"/>
    </row>
    <row r="2307" spans="2:20">
      <c r="B2307" s="204"/>
      <c r="C2307" s="204"/>
      <c r="D2307" s="204"/>
      <c r="E2307" s="204"/>
      <c r="F2307" s="204"/>
      <c r="G2307" s="204"/>
      <c r="H2307" s="204"/>
      <c r="I2307" s="204"/>
      <c r="J2307" s="204"/>
      <c r="K2307" s="204"/>
      <c r="L2307" s="204"/>
      <c r="M2307" s="204"/>
      <c r="N2307" s="204"/>
      <c r="O2307" s="204"/>
      <c r="P2307" s="204"/>
      <c r="T2307" s="217"/>
    </row>
    <row r="2308" spans="2:20">
      <c r="B2308" s="204"/>
      <c r="C2308" s="204"/>
      <c r="D2308" s="204"/>
      <c r="E2308" s="204"/>
      <c r="F2308" s="204"/>
      <c r="G2308" s="204"/>
      <c r="H2308" s="204"/>
      <c r="I2308" s="204"/>
      <c r="J2308" s="204"/>
      <c r="K2308" s="204"/>
      <c r="L2308" s="204"/>
      <c r="M2308" s="204"/>
      <c r="N2308" s="204"/>
      <c r="O2308" s="204"/>
      <c r="P2308" s="204"/>
      <c r="T2308" s="217"/>
    </row>
    <row r="2309" spans="2:20">
      <c r="B2309" s="204"/>
      <c r="C2309" s="204"/>
      <c r="D2309" s="204"/>
      <c r="E2309" s="204"/>
      <c r="F2309" s="204"/>
      <c r="G2309" s="204"/>
      <c r="H2309" s="204"/>
      <c r="I2309" s="204"/>
      <c r="J2309" s="204"/>
      <c r="K2309" s="204"/>
      <c r="L2309" s="204"/>
      <c r="M2309" s="204"/>
      <c r="N2309" s="204"/>
      <c r="O2309" s="204"/>
      <c r="P2309" s="204"/>
      <c r="T2309" s="217"/>
    </row>
    <row r="2310" spans="2:20">
      <c r="B2310" s="204"/>
      <c r="C2310" s="204"/>
      <c r="D2310" s="204"/>
      <c r="E2310" s="204"/>
      <c r="F2310" s="204"/>
      <c r="G2310" s="204"/>
      <c r="H2310" s="204"/>
      <c r="I2310" s="204"/>
      <c r="J2310" s="204"/>
      <c r="K2310" s="204"/>
      <c r="L2310" s="204"/>
      <c r="M2310" s="204"/>
      <c r="N2310" s="204"/>
      <c r="O2310" s="204"/>
      <c r="P2310" s="204"/>
      <c r="T2310" s="217"/>
    </row>
    <row r="2311" spans="2:20">
      <c r="B2311" s="204"/>
      <c r="C2311" s="204"/>
      <c r="D2311" s="204"/>
      <c r="E2311" s="204"/>
      <c r="F2311" s="204"/>
      <c r="G2311" s="204"/>
      <c r="H2311" s="204"/>
      <c r="I2311" s="204"/>
      <c r="J2311" s="204"/>
      <c r="K2311" s="204"/>
      <c r="L2311" s="204"/>
      <c r="M2311" s="204"/>
      <c r="N2311" s="204"/>
      <c r="O2311" s="204"/>
      <c r="P2311" s="204"/>
      <c r="T2311" s="217"/>
    </row>
    <row r="2312" spans="2:20">
      <c r="B2312" s="204"/>
      <c r="C2312" s="204"/>
      <c r="D2312" s="204"/>
      <c r="E2312" s="204"/>
      <c r="F2312" s="204"/>
      <c r="G2312" s="204"/>
      <c r="H2312" s="204"/>
      <c r="I2312" s="204"/>
      <c r="J2312" s="204"/>
      <c r="K2312" s="204"/>
      <c r="L2312" s="204"/>
      <c r="M2312" s="204"/>
      <c r="N2312" s="204"/>
      <c r="O2312" s="204"/>
      <c r="P2312" s="204"/>
      <c r="T2312" s="217"/>
    </row>
    <row r="2313" spans="2:20">
      <c r="B2313" s="204"/>
      <c r="C2313" s="204"/>
      <c r="D2313" s="204"/>
      <c r="E2313" s="204"/>
      <c r="F2313" s="204"/>
      <c r="G2313" s="204"/>
      <c r="H2313" s="204"/>
      <c r="I2313" s="204"/>
      <c r="J2313" s="204"/>
      <c r="K2313" s="204"/>
      <c r="L2313" s="204"/>
      <c r="M2313" s="204"/>
      <c r="N2313" s="204"/>
      <c r="O2313" s="204"/>
      <c r="P2313" s="204"/>
      <c r="T2313" s="217"/>
    </row>
    <row r="2314" spans="2:20">
      <c r="B2314" s="204"/>
      <c r="C2314" s="204"/>
      <c r="D2314" s="204"/>
      <c r="E2314" s="204"/>
      <c r="F2314" s="204"/>
      <c r="G2314" s="204"/>
      <c r="H2314" s="204"/>
      <c r="I2314" s="204"/>
      <c r="J2314" s="204"/>
      <c r="K2314" s="204"/>
      <c r="L2314" s="204"/>
      <c r="M2314" s="204"/>
      <c r="N2314" s="204"/>
      <c r="O2314" s="204"/>
      <c r="P2314" s="204"/>
      <c r="T2314" s="217"/>
    </row>
    <row r="2315" spans="2:20">
      <c r="B2315" s="204"/>
      <c r="C2315" s="204"/>
      <c r="D2315" s="204"/>
      <c r="E2315" s="204"/>
      <c r="F2315" s="204"/>
      <c r="G2315" s="204"/>
      <c r="H2315" s="204"/>
      <c r="I2315" s="204"/>
      <c r="J2315" s="204"/>
      <c r="K2315" s="204"/>
      <c r="L2315" s="204"/>
      <c r="M2315" s="204"/>
      <c r="N2315" s="204"/>
      <c r="O2315" s="204"/>
      <c r="P2315" s="204"/>
      <c r="T2315" s="217"/>
    </row>
    <row r="2316" spans="2:20">
      <c r="B2316" s="204"/>
      <c r="C2316" s="204"/>
      <c r="D2316" s="204"/>
      <c r="E2316" s="204"/>
      <c r="F2316" s="204"/>
      <c r="G2316" s="204"/>
      <c r="H2316" s="204"/>
      <c r="I2316" s="204"/>
      <c r="J2316" s="204"/>
      <c r="K2316" s="204"/>
      <c r="L2316" s="204"/>
      <c r="M2316" s="204"/>
      <c r="N2316" s="204"/>
      <c r="O2316" s="204"/>
      <c r="P2316" s="204"/>
      <c r="T2316" s="217"/>
    </row>
    <row r="2317" spans="2:20">
      <c r="B2317" s="204"/>
      <c r="C2317" s="204"/>
      <c r="D2317" s="204"/>
      <c r="E2317" s="204"/>
      <c r="F2317" s="204"/>
      <c r="G2317" s="204"/>
      <c r="H2317" s="204"/>
      <c r="I2317" s="204"/>
      <c r="J2317" s="204"/>
      <c r="K2317" s="204"/>
      <c r="L2317" s="204"/>
      <c r="M2317" s="204"/>
      <c r="N2317" s="204"/>
      <c r="O2317" s="204"/>
      <c r="P2317" s="204"/>
      <c r="T2317" s="217"/>
    </row>
    <row r="2318" spans="2:20">
      <c r="B2318" s="204"/>
      <c r="C2318" s="204"/>
      <c r="D2318" s="204"/>
      <c r="E2318" s="204"/>
      <c r="F2318" s="204"/>
      <c r="G2318" s="204"/>
      <c r="H2318" s="204"/>
      <c r="I2318" s="204"/>
      <c r="J2318" s="204"/>
      <c r="K2318" s="204"/>
      <c r="L2318" s="204"/>
      <c r="M2318" s="204"/>
      <c r="N2318" s="204"/>
      <c r="O2318" s="204"/>
      <c r="P2318" s="204"/>
      <c r="T2318" s="217"/>
    </row>
    <row r="2319" spans="2:20">
      <c r="B2319" s="204"/>
      <c r="C2319" s="204"/>
      <c r="D2319" s="204"/>
      <c r="E2319" s="204"/>
      <c r="F2319" s="204"/>
      <c r="G2319" s="204"/>
      <c r="H2319" s="204"/>
      <c r="I2319" s="204"/>
      <c r="J2319" s="204"/>
      <c r="K2319" s="204"/>
      <c r="L2319" s="204"/>
      <c r="M2319" s="204"/>
      <c r="N2319" s="204"/>
      <c r="O2319" s="204"/>
      <c r="P2319" s="204"/>
      <c r="T2319" s="217"/>
    </row>
    <row r="2320" spans="2:20">
      <c r="B2320" s="204"/>
      <c r="C2320" s="204"/>
      <c r="D2320" s="204"/>
      <c r="E2320" s="204"/>
      <c r="F2320" s="204"/>
      <c r="G2320" s="204"/>
      <c r="H2320" s="204"/>
      <c r="I2320" s="204"/>
      <c r="J2320" s="204"/>
      <c r="K2320" s="204"/>
      <c r="L2320" s="204"/>
      <c r="M2320" s="204"/>
      <c r="N2320" s="204"/>
      <c r="O2320" s="204"/>
      <c r="P2320" s="204"/>
      <c r="T2320" s="217"/>
    </row>
    <row r="2321" spans="2:20">
      <c r="B2321" s="204"/>
      <c r="C2321" s="204"/>
      <c r="D2321" s="204"/>
      <c r="E2321" s="204"/>
      <c r="F2321" s="204"/>
      <c r="G2321" s="204"/>
      <c r="H2321" s="204"/>
      <c r="I2321" s="204"/>
      <c r="J2321" s="204"/>
      <c r="K2321" s="204"/>
      <c r="L2321" s="204"/>
      <c r="M2321" s="204"/>
      <c r="N2321" s="204"/>
      <c r="O2321" s="204"/>
      <c r="P2321" s="204"/>
      <c r="T2321" s="217"/>
    </row>
    <row r="2322" spans="2:20">
      <c r="B2322" s="204"/>
      <c r="C2322" s="204"/>
      <c r="D2322" s="204"/>
      <c r="E2322" s="204"/>
      <c r="F2322" s="204"/>
      <c r="G2322" s="204"/>
      <c r="H2322" s="204"/>
      <c r="I2322" s="204"/>
      <c r="J2322" s="204"/>
      <c r="K2322" s="204"/>
      <c r="L2322" s="204"/>
      <c r="M2322" s="204"/>
      <c r="N2322" s="204"/>
      <c r="O2322" s="204"/>
      <c r="P2322" s="204"/>
      <c r="T2322" s="217"/>
    </row>
    <row r="2323" spans="2:20">
      <c r="B2323" s="204"/>
      <c r="C2323" s="204"/>
      <c r="D2323" s="204"/>
      <c r="E2323" s="204"/>
      <c r="F2323" s="204"/>
      <c r="G2323" s="204"/>
      <c r="H2323" s="204"/>
      <c r="I2323" s="204"/>
      <c r="J2323" s="204"/>
      <c r="K2323" s="204"/>
      <c r="L2323" s="204"/>
      <c r="M2323" s="204"/>
      <c r="N2323" s="204"/>
      <c r="O2323" s="204"/>
      <c r="P2323" s="204"/>
      <c r="T2323" s="217"/>
    </row>
    <row r="2324" spans="2:20">
      <c r="B2324" s="204"/>
      <c r="C2324" s="204"/>
      <c r="D2324" s="204"/>
      <c r="E2324" s="204"/>
      <c r="F2324" s="204"/>
      <c r="G2324" s="204"/>
      <c r="H2324" s="204"/>
      <c r="I2324" s="204"/>
      <c r="J2324" s="204"/>
      <c r="K2324" s="204"/>
      <c r="L2324" s="204"/>
      <c r="M2324" s="204"/>
      <c r="N2324" s="204"/>
      <c r="O2324" s="204"/>
      <c r="P2324" s="204"/>
      <c r="T2324" s="217"/>
    </row>
    <row r="2325" spans="2:20">
      <c r="B2325" s="204"/>
      <c r="C2325" s="204"/>
      <c r="D2325" s="204"/>
      <c r="E2325" s="204"/>
      <c r="F2325" s="204"/>
      <c r="G2325" s="204"/>
      <c r="H2325" s="204"/>
      <c r="I2325" s="204"/>
      <c r="J2325" s="204"/>
      <c r="K2325" s="204"/>
      <c r="L2325" s="204"/>
      <c r="M2325" s="204"/>
      <c r="N2325" s="204"/>
      <c r="O2325" s="204"/>
      <c r="P2325" s="204"/>
      <c r="T2325" s="217"/>
    </row>
    <row r="2326" spans="2:20">
      <c r="B2326" s="204"/>
      <c r="C2326" s="204"/>
      <c r="D2326" s="204"/>
      <c r="E2326" s="204"/>
      <c r="F2326" s="204"/>
      <c r="G2326" s="204"/>
      <c r="H2326" s="204"/>
      <c r="I2326" s="204"/>
      <c r="J2326" s="204"/>
      <c r="K2326" s="204"/>
      <c r="L2326" s="204"/>
      <c r="M2326" s="204"/>
      <c r="N2326" s="204"/>
      <c r="O2326" s="204"/>
      <c r="P2326" s="204"/>
      <c r="T2326" s="217"/>
    </row>
    <row r="2327" spans="2:20">
      <c r="B2327" s="204"/>
      <c r="C2327" s="204"/>
      <c r="D2327" s="204"/>
      <c r="E2327" s="204"/>
      <c r="F2327" s="204"/>
      <c r="G2327" s="204"/>
      <c r="H2327" s="204"/>
      <c r="I2327" s="204"/>
      <c r="J2327" s="204"/>
      <c r="K2327" s="204"/>
      <c r="L2327" s="204"/>
      <c r="M2327" s="204"/>
      <c r="N2327" s="204"/>
      <c r="O2327" s="204"/>
      <c r="P2327" s="204"/>
      <c r="T2327" s="217"/>
    </row>
    <row r="2328" spans="2:20">
      <c r="B2328" s="204"/>
      <c r="C2328" s="204"/>
      <c r="D2328" s="204"/>
      <c r="E2328" s="204"/>
      <c r="F2328" s="204"/>
      <c r="G2328" s="204"/>
      <c r="H2328" s="204"/>
      <c r="I2328" s="204"/>
      <c r="J2328" s="204"/>
      <c r="K2328" s="204"/>
      <c r="L2328" s="204"/>
      <c r="M2328" s="204"/>
      <c r="N2328" s="204"/>
      <c r="O2328" s="204"/>
      <c r="P2328" s="204"/>
      <c r="T2328" s="217"/>
    </row>
    <row r="2329" spans="2:20">
      <c r="B2329" s="204"/>
      <c r="C2329" s="204"/>
      <c r="D2329" s="204"/>
      <c r="E2329" s="204"/>
      <c r="F2329" s="204"/>
      <c r="G2329" s="204"/>
      <c r="H2329" s="204"/>
      <c r="I2329" s="204"/>
      <c r="J2329" s="204"/>
      <c r="K2329" s="204"/>
      <c r="L2329" s="204"/>
      <c r="M2329" s="204"/>
      <c r="N2329" s="204"/>
      <c r="O2329" s="204"/>
      <c r="P2329" s="204"/>
      <c r="T2329" s="217"/>
    </row>
    <row r="2330" spans="2:20">
      <c r="B2330" s="204"/>
      <c r="C2330" s="204"/>
      <c r="D2330" s="204"/>
      <c r="E2330" s="204"/>
      <c r="F2330" s="204"/>
      <c r="G2330" s="204"/>
      <c r="H2330" s="204"/>
      <c r="I2330" s="204"/>
      <c r="J2330" s="204"/>
      <c r="K2330" s="204"/>
      <c r="L2330" s="204"/>
      <c r="M2330" s="204"/>
      <c r="N2330" s="204"/>
      <c r="O2330" s="204"/>
      <c r="P2330" s="204"/>
      <c r="T2330" s="217"/>
    </row>
    <row r="2331" spans="2:20">
      <c r="B2331" s="204"/>
      <c r="C2331" s="204"/>
      <c r="D2331" s="204"/>
      <c r="E2331" s="204"/>
      <c r="F2331" s="204"/>
      <c r="G2331" s="204"/>
      <c r="H2331" s="204"/>
      <c r="I2331" s="204"/>
      <c r="J2331" s="204"/>
      <c r="K2331" s="204"/>
      <c r="L2331" s="204"/>
      <c r="M2331" s="204"/>
      <c r="N2331" s="204"/>
      <c r="O2331" s="204"/>
      <c r="P2331" s="204"/>
      <c r="T2331" s="217"/>
    </row>
    <row r="2332" spans="2:20">
      <c r="B2332" s="204"/>
      <c r="C2332" s="204"/>
      <c r="D2332" s="204"/>
      <c r="E2332" s="204"/>
      <c r="F2332" s="204"/>
      <c r="G2332" s="204"/>
      <c r="H2332" s="204"/>
      <c r="I2332" s="204"/>
      <c r="J2332" s="204"/>
      <c r="K2332" s="204"/>
      <c r="L2332" s="204"/>
      <c r="M2332" s="204"/>
      <c r="N2332" s="204"/>
      <c r="O2332" s="204"/>
      <c r="P2332" s="204"/>
      <c r="T2332" s="217"/>
    </row>
    <row r="2333" spans="2:20">
      <c r="B2333" s="204"/>
      <c r="C2333" s="204"/>
      <c r="D2333" s="204"/>
      <c r="E2333" s="204"/>
      <c r="F2333" s="204"/>
      <c r="G2333" s="204"/>
      <c r="H2333" s="204"/>
      <c r="I2333" s="204"/>
      <c r="J2333" s="204"/>
      <c r="K2333" s="204"/>
      <c r="L2333" s="204"/>
      <c r="M2333" s="204"/>
      <c r="N2333" s="204"/>
      <c r="O2333" s="204"/>
      <c r="P2333" s="204"/>
      <c r="T2333" s="217"/>
    </row>
    <row r="2334" spans="2:20">
      <c r="B2334" s="204"/>
      <c r="C2334" s="204"/>
      <c r="D2334" s="204"/>
      <c r="E2334" s="204"/>
      <c r="F2334" s="204"/>
      <c r="G2334" s="204"/>
      <c r="H2334" s="204"/>
      <c r="I2334" s="204"/>
      <c r="J2334" s="204"/>
      <c r="K2334" s="204"/>
      <c r="L2334" s="204"/>
      <c r="M2334" s="204"/>
      <c r="N2334" s="204"/>
      <c r="O2334" s="204"/>
      <c r="P2334" s="204"/>
      <c r="T2334" s="217"/>
    </row>
    <row r="2335" spans="2:20">
      <c r="B2335" s="204"/>
      <c r="C2335" s="204"/>
      <c r="D2335" s="204"/>
      <c r="E2335" s="204"/>
      <c r="F2335" s="204"/>
      <c r="G2335" s="204"/>
      <c r="H2335" s="204"/>
      <c r="I2335" s="204"/>
      <c r="J2335" s="204"/>
      <c r="K2335" s="204"/>
      <c r="L2335" s="204"/>
      <c r="M2335" s="204"/>
      <c r="N2335" s="204"/>
      <c r="O2335" s="204"/>
      <c r="P2335" s="204"/>
      <c r="T2335" s="217"/>
    </row>
    <row r="2336" spans="2:20">
      <c r="B2336" s="204"/>
      <c r="C2336" s="204"/>
      <c r="D2336" s="204"/>
      <c r="E2336" s="204"/>
      <c r="F2336" s="204"/>
      <c r="G2336" s="204"/>
      <c r="H2336" s="204"/>
      <c r="I2336" s="204"/>
      <c r="J2336" s="204"/>
      <c r="K2336" s="204"/>
      <c r="L2336" s="204"/>
      <c r="M2336" s="204"/>
      <c r="N2336" s="204"/>
      <c r="O2336" s="204"/>
      <c r="P2336" s="204"/>
      <c r="T2336" s="217"/>
    </row>
    <row r="2337" spans="2:20">
      <c r="B2337" s="204"/>
      <c r="C2337" s="204"/>
      <c r="D2337" s="204"/>
      <c r="E2337" s="204"/>
      <c r="F2337" s="204"/>
      <c r="G2337" s="204"/>
      <c r="H2337" s="204"/>
      <c r="I2337" s="204"/>
      <c r="J2337" s="204"/>
      <c r="K2337" s="204"/>
      <c r="L2337" s="204"/>
      <c r="M2337" s="204"/>
      <c r="N2337" s="204"/>
      <c r="O2337" s="204"/>
      <c r="P2337" s="204"/>
      <c r="T2337" s="217"/>
    </row>
    <row r="2338" spans="2:20">
      <c r="B2338" s="204"/>
      <c r="C2338" s="204"/>
      <c r="D2338" s="204"/>
      <c r="E2338" s="204"/>
      <c r="F2338" s="204"/>
      <c r="G2338" s="204"/>
      <c r="H2338" s="204"/>
      <c r="I2338" s="204"/>
      <c r="J2338" s="204"/>
      <c r="K2338" s="204"/>
      <c r="L2338" s="204"/>
      <c r="M2338" s="204"/>
      <c r="N2338" s="204"/>
      <c r="O2338" s="204"/>
      <c r="P2338" s="204"/>
      <c r="T2338" s="217"/>
    </row>
    <row r="2339" spans="2:20">
      <c r="B2339" s="204"/>
      <c r="C2339" s="204"/>
      <c r="D2339" s="204"/>
      <c r="E2339" s="204"/>
      <c r="F2339" s="204"/>
      <c r="G2339" s="204"/>
      <c r="H2339" s="204"/>
      <c r="I2339" s="204"/>
      <c r="J2339" s="204"/>
      <c r="K2339" s="204"/>
      <c r="L2339" s="204"/>
      <c r="M2339" s="204"/>
      <c r="N2339" s="204"/>
      <c r="O2339" s="204"/>
      <c r="P2339" s="204"/>
      <c r="T2339" s="217"/>
    </row>
    <row r="2340" spans="2:20">
      <c r="B2340" s="204"/>
      <c r="C2340" s="204"/>
      <c r="D2340" s="204"/>
      <c r="E2340" s="204"/>
      <c r="F2340" s="204"/>
      <c r="G2340" s="204"/>
      <c r="H2340" s="204"/>
      <c r="I2340" s="204"/>
      <c r="J2340" s="204"/>
      <c r="K2340" s="204"/>
      <c r="L2340" s="204"/>
      <c r="M2340" s="204"/>
      <c r="N2340" s="204"/>
      <c r="O2340" s="204"/>
      <c r="P2340" s="204"/>
      <c r="T2340" s="217"/>
    </row>
    <row r="2341" spans="2:20">
      <c r="B2341" s="204"/>
      <c r="C2341" s="204"/>
      <c r="D2341" s="204"/>
      <c r="E2341" s="204"/>
      <c r="F2341" s="204"/>
      <c r="G2341" s="204"/>
      <c r="H2341" s="204"/>
      <c r="I2341" s="204"/>
      <c r="J2341" s="204"/>
      <c r="K2341" s="204"/>
      <c r="L2341" s="204"/>
      <c r="M2341" s="204"/>
      <c r="N2341" s="204"/>
      <c r="O2341" s="204"/>
      <c r="P2341" s="204"/>
      <c r="T2341" s="217"/>
    </row>
    <row r="2342" spans="2:20">
      <c r="B2342" s="204"/>
      <c r="C2342" s="204"/>
      <c r="D2342" s="204"/>
      <c r="E2342" s="204"/>
      <c r="F2342" s="204"/>
      <c r="G2342" s="204"/>
      <c r="H2342" s="204"/>
      <c r="I2342" s="204"/>
      <c r="J2342" s="204"/>
      <c r="K2342" s="204"/>
      <c r="L2342" s="204"/>
      <c r="M2342" s="204"/>
      <c r="N2342" s="204"/>
      <c r="O2342" s="204"/>
      <c r="P2342" s="204"/>
      <c r="T2342" s="217"/>
    </row>
    <row r="2343" spans="2:20">
      <c r="B2343" s="204"/>
      <c r="C2343" s="204"/>
      <c r="D2343" s="204"/>
      <c r="E2343" s="204"/>
      <c r="F2343" s="204"/>
      <c r="G2343" s="204"/>
      <c r="H2343" s="204"/>
      <c r="I2343" s="204"/>
      <c r="J2343" s="204"/>
      <c r="K2343" s="204"/>
      <c r="L2343" s="204"/>
      <c r="M2343" s="204"/>
      <c r="N2343" s="204"/>
      <c r="O2343" s="204"/>
      <c r="P2343" s="204"/>
      <c r="T2343" s="217"/>
    </row>
    <row r="2344" spans="2:20">
      <c r="B2344" s="204"/>
      <c r="C2344" s="204"/>
      <c r="D2344" s="204"/>
      <c r="E2344" s="204"/>
      <c r="F2344" s="204"/>
      <c r="G2344" s="204"/>
      <c r="H2344" s="204"/>
      <c r="I2344" s="204"/>
      <c r="J2344" s="204"/>
      <c r="K2344" s="204"/>
      <c r="L2344" s="204"/>
      <c r="M2344" s="204"/>
      <c r="N2344" s="204"/>
      <c r="O2344" s="204"/>
      <c r="P2344" s="204"/>
      <c r="T2344" s="217"/>
    </row>
    <row r="2345" spans="2:20">
      <c r="B2345" s="204"/>
      <c r="C2345" s="204"/>
      <c r="D2345" s="204"/>
      <c r="E2345" s="204"/>
      <c r="F2345" s="204"/>
      <c r="G2345" s="204"/>
      <c r="H2345" s="204"/>
      <c r="I2345" s="204"/>
      <c r="J2345" s="204"/>
      <c r="K2345" s="204"/>
      <c r="L2345" s="204"/>
      <c r="M2345" s="204"/>
      <c r="N2345" s="204"/>
      <c r="O2345" s="204"/>
      <c r="P2345" s="204"/>
      <c r="T2345" s="217"/>
    </row>
    <row r="2346" spans="2:20">
      <c r="B2346" s="204"/>
      <c r="C2346" s="204"/>
      <c r="D2346" s="204"/>
      <c r="E2346" s="204"/>
      <c r="F2346" s="204"/>
      <c r="G2346" s="204"/>
      <c r="H2346" s="204"/>
      <c r="I2346" s="204"/>
      <c r="J2346" s="204"/>
      <c r="K2346" s="204"/>
      <c r="L2346" s="204"/>
      <c r="M2346" s="204"/>
      <c r="N2346" s="204"/>
      <c r="O2346" s="204"/>
      <c r="P2346" s="204"/>
      <c r="T2346" s="217"/>
    </row>
    <row r="2347" spans="2:20">
      <c r="B2347" s="204"/>
      <c r="C2347" s="204"/>
      <c r="D2347" s="204"/>
      <c r="E2347" s="204"/>
      <c r="F2347" s="204"/>
      <c r="G2347" s="204"/>
      <c r="H2347" s="204"/>
      <c r="I2347" s="204"/>
      <c r="J2347" s="204"/>
      <c r="K2347" s="204"/>
      <c r="L2347" s="204"/>
      <c r="M2347" s="204"/>
      <c r="N2347" s="204"/>
      <c r="O2347" s="204"/>
      <c r="P2347" s="204"/>
      <c r="T2347" s="217"/>
    </row>
    <row r="2348" spans="2:20">
      <c r="B2348" s="204"/>
      <c r="C2348" s="204"/>
      <c r="D2348" s="204"/>
      <c r="E2348" s="204"/>
      <c r="F2348" s="204"/>
      <c r="G2348" s="204"/>
      <c r="H2348" s="204"/>
      <c r="I2348" s="204"/>
      <c r="J2348" s="204"/>
      <c r="K2348" s="204"/>
      <c r="L2348" s="204"/>
      <c r="M2348" s="204"/>
      <c r="N2348" s="204"/>
      <c r="O2348" s="204"/>
      <c r="P2348" s="204"/>
      <c r="T2348" s="217"/>
    </row>
    <row r="2349" spans="2:20">
      <c r="B2349" s="204"/>
      <c r="C2349" s="204"/>
      <c r="D2349" s="204"/>
      <c r="E2349" s="204"/>
      <c r="F2349" s="204"/>
      <c r="G2349" s="204"/>
      <c r="H2349" s="204"/>
      <c r="I2349" s="204"/>
      <c r="J2349" s="204"/>
      <c r="K2349" s="204"/>
      <c r="L2349" s="204"/>
      <c r="M2349" s="204"/>
      <c r="N2349" s="204"/>
      <c r="O2349" s="204"/>
      <c r="P2349" s="204"/>
      <c r="T2349" s="217"/>
    </row>
    <row r="2350" spans="2:20">
      <c r="B2350" s="204"/>
      <c r="C2350" s="204"/>
      <c r="D2350" s="204"/>
      <c r="E2350" s="204"/>
      <c r="F2350" s="204"/>
      <c r="G2350" s="204"/>
      <c r="H2350" s="204"/>
      <c r="I2350" s="204"/>
      <c r="J2350" s="204"/>
      <c r="K2350" s="204"/>
      <c r="L2350" s="204"/>
      <c r="M2350" s="204"/>
      <c r="N2350" s="204"/>
      <c r="O2350" s="204"/>
      <c r="P2350" s="204"/>
      <c r="T2350" s="217"/>
    </row>
    <row r="2351" spans="2:20">
      <c r="B2351" s="204"/>
      <c r="C2351" s="204"/>
      <c r="D2351" s="204"/>
      <c r="E2351" s="204"/>
      <c r="F2351" s="204"/>
      <c r="G2351" s="204"/>
      <c r="H2351" s="204"/>
      <c r="I2351" s="204"/>
      <c r="J2351" s="204"/>
      <c r="K2351" s="204"/>
      <c r="L2351" s="204"/>
      <c r="M2351" s="204"/>
      <c r="N2351" s="204"/>
      <c r="O2351" s="204"/>
      <c r="P2351" s="204"/>
      <c r="T2351" s="217"/>
    </row>
    <row r="2352" spans="2:20">
      <c r="B2352" s="204"/>
      <c r="C2352" s="204"/>
      <c r="D2352" s="204"/>
      <c r="E2352" s="204"/>
      <c r="F2352" s="204"/>
      <c r="G2352" s="204"/>
      <c r="H2352" s="204"/>
      <c r="I2352" s="204"/>
      <c r="J2352" s="204"/>
      <c r="K2352" s="204"/>
      <c r="L2352" s="204"/>
      <c r="M2352" s="204"/>
      <c r="N2352" s="204"/>
      <c r="O2352" s="204"/>
      <c r="P2352" s="204"/>
      <c r="T2352" s="217"/>
    </row>
    <row r="2353" spans="2:20">
      <c r="B2353" s="204"/>
      <c r="C2353" s="204"/>
      <c r="D2353" s="204"/>
      <c r="E2353" s="204"/>
      <c r="F2353" s="204"/>
      <c r="G2353" s="204"/>
      <c r="H2353" s="204"/>
      <c r="I2353" s="204"/>
      <c r="J2353" s="204"/>
      <c r="K2353" s="204"/>
      <c r="L2353" s="204"/>
      <c r="M2353" s="204"/>
      <c r="N2353" s="204"/>
      <c r="O2353" s="204"/>
      <c r="P2353" s="204"/>
      <c r="T2353" s="217"/>
    </row>
    <row r="2354" spans="2:20">
      <c r="B2354" s="204"/>
      <c r="C2354" s="204"/>
      <c r="D2354" s="204"/>
      <c r="E2354" s="204"/>
      <c r="F2354" s="204"/>
      <c r="G2354" s="204"/>
      <c r="H2354" s="204"/>
      <c r="I2354" s="204"/>
      <c r="J2354" s="204"/>
      <c r="K2354" s="204"/>
      <c r="L2354" s="204"/>
      <c r="M2354" s="204"/>
      <c r="N2354" s="204"/>
      <c r="O2354" s="204"/>
      <c r="P2354" s="204"/>
      <c r="T2354" s="217"/>
    </row>
    <row r="2355" spans="2:20">
      <c r="B2355" s="204"/>
      <c r="C2355" s="204"/>
      <c r="D2355" s="204"/>
      <c r="E2355" s="204"/>
      <c r="F2355" s="204"/>
      <c r="G2355" s="204"/>
      <c r="H2355" s="204"/>
      <c r="I2355" s="204"/>
      <c r="J2355" s="204"/>
      <c r="K2355" s="204"/>
      <c r="L2355" s="204"/>
      <c r="M2355" s="204"/>
      <c r="N2355" s="204"/>
      <c r="O2355" s="204"/>
      <c r="P2355" s="204"/>
      <c r="T2355" s="217"/>
    </row>
    <row r="2356" spans="2:20">
      <c r="B2356" s="204"/>
      <c r="C2356" s="204"/>
      <c r="D2356" s="204"/>
      <c r="E2356" s="204"/>
      <c r="F2356" s="204"/>
      <c r="G2356" s="204"/>
      <c r="H2356" s="204"/>
      <c r="I2356" s="204"/>
      <c r="J2356" s="204"/>
      <c r="K2356" s="204"/>
      <c r="L2356" s="204"/>
      <c r="M2356" s="204"/>
      <c r="N2356" s="204"/>
      <c r="O2356" s="204"/>
      <c r="P2356" s="204"/>
      <c r="T2356" s="217"/>
    </row>
    <row r="2357" spans="2:20">
      <c r="B2357" s="204"/>
      <c r="C2357" s="204"/>
      <c r="D2357" s="204"/>
      <c r="E2357" s="204"/>
      <c r="F2357" s="204"/>
      <c r="G2357" s="204"/>
      <c r="H2357" s="204"/>
      <c r="I2357" s="204"/>
      <c r="J2357" s="204"/>
      <c r="K2357" s="204"/>
      <c r="L2357" s="204"/>
      <c r="M2357" s="204"/>
      <c r="N2357" s="204"/>
      <c r="O2357" s="204"/>
      <c r="P2357" s="204"/>
      <c r="T2357" s="217"/>
    </row>
    <row r="2358" spans="2:20">
      <c r="B2358" s="204"/>
      <c r="C2358" s="204"/>
      <c r="D2358" s="204"/>
      <c r="E2358" s="204"/>
      <c r="F2358" s="204"/>
      <c r="G2358" s="204"/>
      <c r="H2358" s="204"/>
      <c r="I2358" s="204"/>
      <c r="J2358" s="204"/>
      <c r="K2358" s="204"/>
      <c r="L2358" s="204"/>
      <c r="M2358" s="204"/>
      <c r="N2358" s="204"/>
      <c r="O2358" s="204"/>
      <c r="P2358" s="204"/>
      <c r="T2358" s="217"/>
    </row>
    <row r="2359" spans="2:20">
      <c r="B2359" s="204"/>
      <c r="C2359" s="204"/>
      <c r="D2359" s="204"/>
      <c r="E2359" s="204"/>
      <c r="F2359" s="204"/>
      <c r="G2359" s="204"/>
      <c r="H2359" s="204"/>
      <c r="I2359" s="204"/>
      <c r="J2359" s="204"/>
      <c r="K2359" s="204"/>
      <c r="L2359" s="204"/>
      <c r="M2359" s="204"/>
      <c r="N2359" s="204"/>
      <c r="O2359" s="204"/>
      <c r="P2359" s="204"/>
      <c r="T2359" s="217"/>
    </row>
    <row r="2360" spans="2:20">
      <c r="B2360" s="204"/>
      <c r="C2360" s="204"/>
      <c r="D2360" s="204"/>
      <c r="E2360" s="204"/>
      <c r="F2360" s="204"/>
      <c r="G2360" s="204"/>
      <c r="H2360" s="204"/>
      <c r="I2360" s="204"/>
      <c r="J2360" s="204"/>
      <c r="K2360" s="204"/>
      <c r="L2360" s="204"/>
      <c r="M2360" s="204"/>
      <c r="N2360" s="204"/>
      <c r="O2360" s="204"/>
      <c r="P2360" s="204"/>
      <c r="T2360" s="217"/>
    </row>
    <row r="2361" spans="2:20">
      <c r="B2361" s="204"/>
      <c r="C2361" s="204"/>
      <c r="D2361" s="204"/>
      <c r="E2361" s="204"/>
      <c r="F2361" s="204"/>
      <c r="G2361" s="204"/>
      <c r="H2361" s="204"/>
      <c r="I2361" s="204"/>
      <c r="J2361" s="204"/>
      <c r="K2361" s="204"/>
      <c r="L2361" s="204"/>
      <c r="M2361" s="204"/>
      <c r="N2361" s="204"/>
      <c r="O2361" s="204"/>
      <c r="P2361" s="204"/>
      <c r="T2361" s="217"/>
    </row>
    <row r="2362" spans="2:20">
      <c r="B2362" s="204"/>
      <c r="C2362" s="204"/>
      <c r="D2362" s="204"/>
      <c r="E2362" s="204"/>
      <c r="F2362" s="204"/>
      <c r="G2362" s="204"/>
      <c r="H2362" s="204"/>
      <c r="I2362" s="204"/>
      <c r="J2362" s="204"/>
      <c r="K2362" s="204"/>
      <c r="L2362" s="204"/>
      <c r="M2362" s="204"/>
      <c r="N2362" s="204"/>
      <c r="O2362" s="204"/>
      <c r="P2362" s="204"/>
      <c r="T2362" s="217"/>
    </row>
    <row r="2363" spans="2:20">
      <c r="B2363" s="204"/>
      <c r="C2363" s="204"/>
      <c r="D2363" s="204"/>
      <c r="E2363" s="204"/>
      <c r="F2363" s="204"/>
      <c r="G2363" s="204"/>
      <c r="H2363" s="204"/>
      <c r="I2363" s="204"/>
      <c r="J2363" s="204"/>
      <c r="K2363" s="204"/>
      <c r="L2363" s="204"/>
      <c r="M2363" s="204"/>
      <c r="N2363" s="204"/>
      <c r="O2363" s="204"/>
      <c r="P2363" s="204"/>
      <c r="T2363" s="217"/>
    </row>
    <row r="2364" spans="2:20">
      <c r="B2364" s="204"/>
      <c r="C2364" s="204"/>
      <c r="D2364" s="204"/>
      <c r="E2364" s="204"/>
      <c r="F2364" s="204"/>
      <c r="G2364" s="204"/>
      <c r="H2364" s="204"/>
      <c r="I2364" s="204"/>
      <c r="J2364" s="204"/>
      <c r="K2364" s="204"/>
      <c r="L2364" s="204"/>
      <c r="M2364" s="204"/>
      <c r="N2364" s="204"/>
      <c r="O2364" s="204"/>
      <c r="P2364" s="204"/>
      <c r="T2364" s="217"/>
    </row>
    <row r="2365" spans="2:20">
      <c r="B2365" s="204"/>
      <c r="C2365" s="204"/>
      <c r="D2365" s="204"/>
      <c r="E2365" s="204"/>
      <c r="F2365" s="204"/>
      <c r="G2365" s="204"/>
      <c r="H2365" s="204"/>
      <c r="I2365" s="204"/>
      <c r="J2365" s="204"/>
      <c r="K2365" s="204"/>
      <c r="L2365" s="204"/>
      <c r="M2365" s="204"/>
      <c r="N2365" s="204"/>
      <c r="O2365" s="204"/>
      <c r="P2365" s="204"/>
      <c r="T2365" s="217"/>
    </row>
    <row r="2366" spans="2:20">
      <c r="B2366" s="204"/>
      <c r="C2366" s="204"/>
      <c r="D2366" s="204"/>
      <c r="E2366" s="204"/>
      <c r="F2366" s="204"/>
      <c r="G2366" s="204"/>
      <c r="H2366" s="204"/>
      <c r="I2366" s="204"/>
      <c r="J2366" s="204"/>
      <c r="K2366" s="204"/>
      <c r="L2366" s="204"/>
      <c r="M2366" s="204"/>
      <c r="N2366" s="204"/>
      <c r="O2366" s="204"/>
      <c r="P2366" s="204"/>
      <c r="T2366" s="217"/>
    </row>
    <row r="2367" spans="2:20">
      <c r="B2367" s="204"/>
      <c r="C2367" s="204"/>
      <c r="D2367" s="204"/>
      <c r="E2367" s="204"/>
      <c r="F2367" s="204"/>
      <c r="G2367" s="204"/>
      <c r="H2367" s="204"/>
      <c r="I2367" s="204"/>
      <c r="J2367" s="204"/>
      <c r="K2367" s="204"/>
      <c r="L2367" s="204"/>
      <c r="M2367" s="204"/>
      <c r="N2367" s="204"/>
      <c r="O2367" s="204"/>
      <c r="P2367" s="204"/>
      <c r="T2367" s="217"/>
    </row>
    <row r="2368" spans="2:20">
      <c r="B2368" s="204"/>
      <c r="C2368" s="204"/>
      <c r="D2368" s="204"/>
      <c r="E2368" s="204"/>
      <c r="F2368" s="204"/>
      <c r="G2368" s="204"/>
      <c r="H2368" s="204"/>
      <c r="I2368" s="204"/>
      <c r="J2368" s="204"/>
      <c r="K2368" s="204"/>
      <c r="L2368" s="204"/>
      <c r="M2368" s="204"/>
      <c r="N2368" s="204"/>
      <c r="O2368" s="204"/>
      <c r="P2368" s="204"/>
      <c r="T2368" s="217"/>
    </row>
    <row r="2369" spans="2:20">
      <c r="B2369" s="204"/>
      <c r="C2369" s="204"/>
      <c r="D2369" s="204"/>
      <c r="E2369" s="204"/>
      <c r="F2369" s="204"/>
      <c r="G2369" s="204"/>
      <c r="H2369" s="204"/>
      <c r="I2369" s="204"/>
      <c r="J2369" s="204"/>
      <c r="K2369" s="204"/>
      <c r="L2369" s="204"/>
      <c r="M2369" s="204"/>
      <c r="N2369" s="204"/>
      <c r="O2369" s="204"/>
      <c r="P2369" s="204"/>
      <c r="T2369" s="217"/>
    </row>
    <row r="2370" spans="2:20">
      <c r="B2370" s="204"/>
      <c r="C2370" s="204"/>
      <c r="D2370" s="204"/>
      <c r="E2370" s="204"/>
      <c r="F2370" s="204"/>
      <c r="G2370" s="204"/>
      <c r="H2370" s="204"/>
      <c r="I2370" s="204"/>
      <c r="J2370" s="204"/>
      <c r="K2370" s="204"/>
      <c r="L2370" s="204"/>
      <c r="M2370" s="204"/>
      <c r="N2370" s="204"/>
      <c r="O2370" s="204"/>
      <c r="P2370" s="204"/>
      <c r="T2370" s="217"/>
    </row>
    <row r="2371" spans="2:20">
      <c r="B2371" s="204"/>
      <c r="C2371" s="204"/>
      <c r="D2371" s="204"/>
      <c r="E2371" s="204"/>
      <c r="F2371" s="204"/>
      <c r="G2371" s="204"/>
      <c r="H2371" s="204"/>
      <c r="I2371" s="204"/>
      <c r="J2371" s="204"/>
      <c r="K2371" s="204"/>
      <c r="L2371" s="204"/>
      <c r="M2371" s="204"/>
      <c r="N2371" s="204"/>
      <c r="O2371" s="204"/>
      <c r="P2371" s="204"/>
      <c r="T2371" s="217"/>
    </row>
    <row r="2372" spans="2:20">
      <c r="B2372" s="204"/>
      <c r="C2372" s="204"/>
      <c r="D2372" s="204"/>
      <c r="E2372" s="204"/>
      <c r="F2372" s="204"/>
      <c r="G2372" s="204"/>
      <c r="H2372" s="204"/>
      <c r="I2372" s="204"/>
      <c r="J2372" s="204"/>
      <c r="K2372" s="204"/>
      <c r="L2372" s="204"/>
      <c r="M2372" s="204"/>
      <c r="N2372" s="204"/>
      <c r="O2372" s="204"/>
      <c r="P2372" s="204"/>
      <c r="T2372" s="217"/>
    </row>
    <row r="2373" spans="2:20">
      <c r="B2373" s="204"/>
      <c r="C2373" s="204"/>
      <c r="D2373" s="204"/>
      <c r="E2373" s="204"/>
      <c r="F2373" s="204"/>
      <c r="G2373" s="204"/>
      <c r="H2373" s="204"/>
      <c r="I2373" s="204"/>
      <c r="J2373" s="204"/>
      <c r="K2373" s="204"/>
      <c r="L2373" s="204"/>
      <c r="M2373" s="204"/>
      <c r="N2373" s="204"/>
      <c r="O2373" s="204"/>
      <c r="P2373" s="204"/>
      <c r="T2373" s="217"/>
    </row>
    <row r="2374" spans="2:20">
      <c r="B2374" s="204"/>
      <c r="C2374" s="204"/>
      <c r="D2374" s="204"/>
      <c r="E2374" s="204"/>
      <c r="F2374" s="204"/>
      <c r="G2374" s="204"/>
      <c r="H2374" s="204"/>
      <c r="I2374" s="204"/>
      <c r="J2374" s="204"/>
      <c r="K2374" s="204"/>
      <c r="L2374" s="204"/>
      <c r="M2374" s="204"/>
      <c r="N2374" s="204"/>
      <c r="O2374" s="204"/>
      <c r="P2374" s="204"/>
      <c r="T2374" s="217"/>
    </row>
    <row r="2375" spans="2:20">
      <c r="B2375" s="204"/>
      <c r="C2375" s="204"/>
      <c r="D2375" s="204"/>
      <c r="E2375" s="204"/>
      <c r="F2375" s="204"/>
      <c r="G2375" s="204"/>
      <c r="H2375" s="204"/>
      <c r="I2375" s="204"/>
      <c r="J2375" s="204"/>
      <c r="K2375" s="204"/>
      <c r="L2375" s="204"/>
      <c r="M2375" s="204"/>
      <c r="N2375" s="204"/>
      <c r="O2375" s="204"/>
      <c r="P2375" s="204"/>
      <c r="T2375" s="217"/>
    </row>
    <row r="2376" spans="2:20">
      <c r="B2376" s="204"/>
      <c r="C2376" s="204"/>
      <c r="D2376" s="204"/>
      <c r="E2376" s="204"/>
      <c r="F2376" s="204"/>
      <c r="G2376" s="204"/>
      <c r="H2376" s="204"/>
      <c r="I2376" s="204"/>
      <c r="J2376" s="204"/>
      <c r="K2376" s="204"/>
      <c r="L2376" s="204"/>
      <c r="M2376" s="204"/>
      <c r="N2376" s="204"/>
      <c r="O2376" s="204"/>
      <c r="P2376" s="204"/>
      <c r="T2376" s="217"/>
    </row>
    <row r="2377" spans="2:20">
      <c r="B2377" s="204"/>
      <c r="C2377" s="204"/>
      <c r="D2377" s="204"/>
      <c r="E2377" s="204"/>
      <c r="F2377" s="204"/>
      <c r="G2377" s="204"/>
      <c r="H2377" s="204"/>
      <c r="I2377" s="204"/>
      <c r="J2377" s="204"/>
      <c r="K2377" s="204"/>
      <c r="L2377" s="204"/>
      <c r="M2377" s="204"/>
      <c r="N2377" s="204"/>
      <c r="O2377" s="204"/>
      <c r="P2377" s="204"/>
      <c r="T2377" s="217"/>
    </row>
    <row r="2378" spans="2:20">
      <c r="B2378" s="204"/>
      <c r="C2378" s="204"/>
      <c r="D2378" s="204"/>
      <c r="E2378" s="204"/>
      <c r="F2378" s="204"/>
      <c r="G2378" s="204"/>
      <c r="H2378" s="204"/>
      <c r="I2378" s="204"/>
      <c r="J2378" s="204"/>
      <c r="K2378" s="204"/>
      <c r="L2378" s="204"/>
      <c r="M2378" s="204"/>
      <c r="N2378" s="204"/>
      <c r="O2378" s="204"/>
      <c r="P2378" s="204"/>
      <c r="T2378" s="217"/>
    </row>
    <row r="2379" spans="2:20">
      <c r="B2379" s="204"/>
      <c r="C2379" s="204"/>
      <c r="D2379" s="204"/>
      <c r="E2379" s="204"/>
      <c r="F2379" s="204"/>
      <c r="G2379" s="204"/>
      <c r="H2379" s="204"/>
      <c r="I2379" s="204"/>
      <c r="J2379" s="204"/>
      <c r="K2379" s="204"/>
      <c r="L2379" s="204"/>
      <c r="M2379" s="204"/>
      <c r="N2379" s="204"/>
      <c r="O2379" s="204"/>
      <c r="P2379" s="204"/>
      <c r="T2379" s="217"/>
    </row>
    <row r="2380" spans="2:20">
      <c r="B2380" s="204"/>
      <c r="C2380" s="204"/>
      <c r="D2380" s="204"/>
      <c r="E2380" s="204"/>
      <c r="F2380" s="204"/>
      <c r="G2380" s="204"/>
      <c r="H2380" s="204"/>
      <c r="I2380" s="204"/>
      <c r="J2380" s="204"/>
      <c r="K2380" s="204"/>
      <c r="L2380" s="204"/>
      <c r="M2380" s="204"/>
      <c r="N2380" s="204"/>
      <c r="O2380" s="204"/>
      <c r="P2380" s="204"/>
      <c r="T2380" s="217"/>
    </row>
    <row r="2381" spans="2:20">
      <c r="B2381" s="204"/>
      <c r="C2381" s="204"/>
      <c r="D2381" s="204"/>
      <c r="E2381" s="204"/>
      <c r="F2381" s="204"/>
      <c r="G2381" s="204"/>
      <c r="H2381" s="204"/>
      <c r="I2381" s="204"/>
      <c r="J2381" s="204"/>
      <c r="K2381" s="204"/>
      <c r="L2381" s="204"/>
      <c r="M2381" s="204"/>
      <c r="N2381" s="204"/>
      <c r="O2381" s="204"/>
      <c r="P2381" s="204"/>
      <c r="T2381" s="217"/>
    </row>
    <row r="2382" spans="2:20">
      <c r="B2382" s="204"/>
      <c r="C2382" s="204"/>
      <c r="D2382" s="204"/>
      <c r="E2382" s="204"/>
      <c r="F2382" s="204"/>
      <c r="G2382" s="204"/>
      <c r="H2382" s="204"/>
      <c r="I2382" s="204"/>
      <c r="J2382" s="204"/>
      <c r="K2382" s="204"/>
      <c r="L2382" s="204"/>
      <c r="M2382" s="204"/>
      <c r="N2382" s="204"/>
      <c r="O2382" s="204"/>
      <c r="P2382" s="204"/>
      <c r="T2382" s="217"/>
    </row>
    <row r="2383" spans="2:20">
      <c r="B2383" s="204"/>
      <c r="C2383" s="204"/>
      <c r="D2383" s="204"/>
      <c r="E2383" s="204"/>
      <c r="F2383" s="204"/>
      <c r="G2383" s="204"/>
      <c r="H2383" s="204"/>
      <c r="I2383" s="204"/>
      <c r="J2383" s="204"/>
      <c r="K2383" s="204"/>
      <c r="L2383" s="204"/>
      <c r="M2383" s="204"/>
      <c r="N2383" s="204"/>
      <c r="O2383" s="204"/>
      <c r="P2383" s="204"/>
      <c r="T2383" s="217"/>
    </row>
    <row r="2384" spans="2:20">
      <c r="B2384" s="204"/>
      <c r="C2384" s="204"/>
      <c r="D2384" s="204"/>
      <c r="E2384" s="204"/>
      <c r="F2384" s="204"/>
      <c r="G2384" s="204"/>
      <c r="H2384" s="204"/>
      <c r="I2384" s="204"/>
      <c r="J2384" s="204"/>
      <c r="K2384" s="204"/>
      <c r="L2384" s="204"/>
      <c r="M2384" s="204"/>
      <c r="N2384" s="204"/>
      <c r="O2384" s="204"/>
      <c r="P2384" s="204"/>
      <c r="T2384" s="217"/>
    </row>
    <row r="2385" spans="2:20">
      <c r="B2385" s="204"/>
      <c r="C2385" s="204"/>
      <c r="D2385" s="204"/>
      <c r="E2385" s="204"/>
      <c r="F2385" s="204"/>
      <c r="G2385" s="204"/>
      <c r="H2385" s="204"/>
      <c r="I2385" s="204"/>
      <c r="J2385" s="204"/>
      <c r="K2385" s="204"/>
      <c r="L2385" s="204"/>
      <c r="M2385" s="204"/>
      <c r="N2385" s="204"/>
      <c r="O2385" s="204"/>
      <c r="P2385" s="204"/>
      <c r="T2385" s="217"/>
    </row>
    <row r="2386" spans="2:20">
      <c r="B2386" s="204"/>
      <c r="C2386" s="204"/>
      <c r="D2386" s="204"/>
      <c r="E2386" s="204"/>
      <c r="F2386" s="204"/>
      <c r="G2386" s="204"/>
      <c r="H2386" s="204"/>
      <c r="I2386" s="204"/>
      <c r="J2386" s="204"/>
      <c r="K2386" s="204"/>
      <c r="L2386" s="204"/>
      <c r="M2386" s="204"/>
      <c r="N2386" s="204"/>
      <c r="O2386" s="204"/>
      <c r="P2386" s="204"/>
      <c r="T2386" s="217"/>
    </row>
    <row r="2387" spans="2:20">
      <c r="B2387" s="204"/>
      <c r="C2387" s="204"/>
      <c r="D2387" s="204"/>
      <c r="E2387" s="204"/>
      <c r="F2387" s="204"/>
      <c r="G2387" s="204"/>
      <c r="H2387" s="204"/>
      <c r="I2387" s="204"/>
      <c r="J2387" s="204"/>
      <c r="K2387" s="204"/>
      <c r="L2387" s="204"/>
      <c r="M2387" s="204"/>
      <c r="N2387" s="204"/>
      <c r="O2387" s="204"/>
      <c r="P2387" s="204"/>
      <c r="T2387" s="217"/>
    </row>
    <row r="2388" spans="2:20">
      <c r="B2388" s="204"/>
      <c r="C2388" s="204"/>
      <c r="D2388" s="204"/>
      <c r="E2388" s="204"/>
      <c r="F2388" s="204"/>
      <c r="G2388" s="204"/>
      <c r="H2388" s="204"/>
      <c r="I2388" s="204"/>
      <c r="J2388" s="204"/>
      <c r="K2388" s="204"/>
      <c r="L2388" s="204"/>
      <c r="M2388" s="204"/>
      <c r="N2388" s="204"/>
      <c r="O2388" s="204"/>
      <c r="P2388" s="204"/>
      <c r="T2388" s="217"/>
    </row>
    <row r="2389" spans="2:20">
      <c r="B2389" s="204"/>
      <c r="C2389" s="204"/>
      <c r="D2389" s="204"/>
      <c r="E2389" s="204"/>
      <c r="F2389" s="204"/>
      <c r="G2389" s="204"/>
      <c r="H2389" s="204"/>
      <c r="I2389" s="204"/>
      <c r="J2389" s="204"/>
      <c r="K2389" s="204"/>
      <c r="L2389" s="204"/>
      <c r="M2389" s="204"/>
      <c r="N2389" s="204"/>
      <c r="O2389" s="204"/>
      <c r="P2389" s="204"/>
      <c r="T2389" s="217"/>
    </row>
    <row r="2390" spans="2:20">
      <c r="B2390" s="204"/>
      <c r="C2390" s="204"/>
      <c r="D2390" s="204"/>
      <c r="E2390" s="204"/>
      <c r="F2390" s="204"/>
      <c r="G2390" s="204"/>
      <c r="H2390" s="204"/>
      <c r="I2390" s="204"/>
      <c r="J2390" s="204"/>
      <c r="K2390" s="204"/>
      <c r="L2390" s="204"/>
      <c r="M2390" s="204"/>
      <c r="N2390" s="204"/>
      <c r="O2390" s="204"/>
      <c r="P2390" s="204"/>
      <c r="T2390" s="217"/>
    </row>
    <row r="2391" spans="2:20">
      <c r="B2391" s="204"/>
      <c r="C2391" s="204"/>
      <c r="D2391" s="204"/>
      <c r="E2391" s="204"/>
      <c r="F2391" s="204"/>
      <c r="G2391" s="204"/>
      <c r="H2391" s="204"/>
      <c r="I2391" s="204"/>
      <c r="J2391" s="204"/>
      <c r="K2391" s="204"/>
      <c r="L2391" s="204"/>
      <c r="M2391" s="204"/>
      <c r="N2391" s="204"/>
      <c r="O2391" s="204"/>
      <c r="P2391" s="204"/>
      <c r="T2391" s="217"/>
    </row>
    <row r="2392" spans="2:20">
      <c r="B2392" s="204"/>
      <c r="C2392" s="204"/>
      <c r="D2392" s="204"/>
      <c r="E2392" s="204"/>
      <c r="F2392" s="204"/>
      <c r="G2392" s="204"/>
      <c r="H2392" s="204"/>
      <c r="I2392" s="204"/>
      <c r="J2392" s="204"/>
      <c r="K2392" s="204"/>
      <c r="L2392" s="204"/>
      <c r="M2392" s="204"/>
      <c r="N2392" s="204"/>
      <c r="O2392" s="204"/>
      <c r="P2392" s="204"/>
      <c r="T2392" s="217"/>
    </row>
    <row r="2393" spans="2:20">
      <c r="B2393" s="204"/>
      <c r="C2393" s="204"/>
      <c r="D2393" s="204"/>
      <c r="E2393" s="204"/>
      <c r="F2393" s="204"/>
      <c r="G2393" s="204"/>
      <c r="H2393" s="204"/>
      <c r="I2393" s="204"/>
      <c r="J2393" s="204"/>
      <c r="K2393" s="204"/>
      <c r="L2393" s="204"/>
      <c r="M2393" s="204"/>
      <c r="N2393" s="204"/>
      <c r="O2393" s="204"/>
      <c r="P2393" s="204"/>
      <c r="T2393" s="217"/>
    </row>
    <row r="2394" spans="2:20">
      <c r="B2394" s="204"/>
      <c r="C2394" s="204"/>
      <c r="D2394" s="204"/>
      <c r="E2394" s="204"/>
      <c r="F2394" s="204"/>
      <c r="G2394" s="204"/>
      <c r="H2394" s="204"/>
      <c r="I2394" s="204"/>
      <c r="J2394" s="204"/>
      <c r="K2394" s="204"/>
      <c r="L2394" s="204"/>
      <c r="M2394" s="204"/>
      <c r="N2394" s="204"/>
      <c r="O2394" s="204"/>
      <c r="P2394" s="204"/>
      <c r="T2394" s="217"/>
    </row>
    <row r="2395" spans="2:20">
      <c r="B2395" s="204"/>
      <c r="C2395" s="204"/>
      <c r="D2395" s="204"/>
      <c r="E2395" s="204"/>
      <c r="F2395" s="204"/>
      <c r="G2395" s="204"/>
      <c r="H2395" s="204"/>
      <c r="I2395" s="204"/>
      <c r="J2395" s="204"/>
      <c r="K2395" s="204"/>
      <c r="L2395" s="204"/>
      <c r="M2395" s="204"/>
      <c r="N2395" s="204"/>
      <c r="O2395" s="204"/>
      <c r="P2395" s="204"/>
      <c r="T2395" s="217"/>
    </row>
    <row r="2396" spans="2:20">
      <c r="B2396" s="204"/>
      <c r="C2396" s="204"/>
      <c r="D2396" s="204"/>
      <c r="E2396" s="204"/>
      <c r="F2396" s="204"/>
      <c r="G2396" s="204"/>
      <c r="H2396" s="204"/>
      <c r="I2396" s="204"/>
      <c r="J2396" s="204"/>
      <c r="K2396" s="204"/>
      <c r="L2396" s="204"/>
      <c r="M2396" s="204"/>
      <c r="N2396" s="204"/>
      <c r="O2396" s="204"/>
      <c r="P2396" s="204"/>
      <c r="T2396" s="217"/>
    </row>
    <row r="2397" spans="2:20">
      <c r="B2397" s="204"/>
      <c r="C2397" s="204"/>
      <c r="D2397" s="204"/>
      <c r="E2397" s="204"/>
      <c r="F2397" s="204"/>
      <c r="G2397" s="204"/>
      <c r="H2397" s="204"/>
      <c r="I2397" s="204"/>
      <c r="J2397" s="204"/>
      <c r="K2397" s="204"/>
      <c r="L2397" s="204"/>
      <c r="M2397" s="204"/>
      <c r="N2397" s="204"/>
      <c r="O2397" s="204"/>
      <c r="P2397" s="204"/>
      <c r="T2397" s="217"/>
    </row>
    <row r="2398" spans="2:20">
      <c r="B2398" s="204"/>
      <c r="C2398" s="204"/>
      <c r="D2398" s="204"/>
      <c r="E2398" s="204"/>
      <c r="F2398" s="204"/>
      <c r="G2398" s="204"/>
      <c r="H2398" s="204"/>
      <c r="I2398" s="204"/>
      <c r="J2398" s="204"/>
      <c r="K2398" s="204"/>
      <c r="L2398" s="204"/>
      <c r="M2398" s="204"/>
      <c r="N2398" s="204"/>
      <c r="O2398" s="204"/>
      <c r="P2398" s="204"/>
      <c r="T2398" s="217"/>
    </row>
    <row r="2399" spans="2:20">
      <c r="B2399" s="204"/>
      <c r="C2399" s="204"/>
      <c r="D2399" s="204"/>
      <c r="E2399" s="204"/>
      <c r="F2399" s="204"/>
      <c r="G2399" s="204"/>
      <c r="H2399" s="204"/>
      <c r="I2399" s="204"/>
      <c r="J2399" s="204"/>
      <c r="K2399" s="204"/>
      <c r="L2399" s="204"/>
      <c r="M2399" s="204"/>
      <c r="N2399" s="204"/>
      <c r="O2399" s="204"/>
      <c r="P2399" s="204"/>
      <c r="T2399" s="217"/>
    </row>
    <row r="2400" spans="2:20">
      <c r="B2400" s="204"/>
      <c r="C2400" s="204"/>
      <c r="D2400" s="204"/>
      <c r="E2400" s="204"/>
      <c r="F2400" s="204"/>
      <c r="G2400" s="204"/>
      <c r="H2400" s="204"/>
      <c r="I2400" s="204"/>
      <c r="J2400" s="204"/>
      <c r="K2400" s="204"/>
      <c r="L2400" s="204"/>
      <c r="M2400" s="204"/>
      <c r="N2400" s="204"/>
      <c r="O2400" s="204"/>
      <c r="P2400" s="204"/>
      <c r="T2400" s="217"/>
    </row>
    <row r="2401" spans="2:20">
      <c r="B2401" s="204"/>
      <c r="C2401" s="204"/>
      <c r="D2401" s="204"/>
      <c r="E2401" s="204"/>
      <c r="F2401" s="204"/>
      <c r="G2401" s="204"/>
      <c r="H2401" s="204"/>
      <c r="I2401" s="204"/>
      <c r="J2401" s="204"/>
      <c r="K2401" s="204"/>
      <c r="L2401" s="204"/>
      <c r="M2401" s="204"/>
      <c r="N2401" s="204"/>
      <c r="O2401" s="204"/>
      <c r="P2401" s="204"/>
      <c r="T2401" s="217"/>
    </row>
    <row r="2402" spans="2:20">
      <c r="B2402" s="204"/>
      <c r="C2402" s="204"/>
      <c r="D2402" s="204"/>
      <c r="E2402" s="204"/>
      <c r="F2402" s="204"/>
      <c r="G2402" s="204"/>
      <c r="H2402" s="204"/>
      <c r="I2402" s="204"/>
      <c r="J2402" s="204"/>
      <c r="K2402" s="204"/>
      <c r="L2402" s="204"/>
      <c r="M2402" s="204"/>
      <c r="N2402" s="204"/>
      <c r="O2402" s="204"/>
      <c r="P2402" s="204"/>
      <c r="T2402" s="217"/>
    </row>
    <row r="2403" spans="2:20">
      <c r="B2403" s="204"/>
      <c r="C2403" s="204"/>
      <c r="D2403" s="204"/>
      <c r="E2403" s="204"/>
      <c r="F2403" s="204"/>
      <c r="G2403" s="204"/>
      <c r="H2403" s="204"/>
      <c r="I2403" s="204"/>
      <c r="J2403" s="204"/>
      <c r="K2403" s="204"/>
      <c r="L2403" s="204"/>
      <c r="M2403" s="204"/>
      <c r="N2403" s="204"/>
      <c r="O2403" s="204"/>
      <c r="P2403" s="204"/>
      <c r="T2403" s="217"/>
    </row>
    <row r="2404" spans="2:20">
      <c r="B2404" s="204"/>
      <c r="C2404" s="204"/>
      <c r="D2404" s="204"/>
      <c r="E2404" s="204"/>
      <c r="F2404" s="204"/>
      <c r="G2404" s="204"/>
      <c r="H2404" s="204"/>
      <c r="I2404" s="204"/>
      <c r="J2404" s="204"/>
      <c r="K2404" s="204"/>
      <c r="L2404" s="204"/>
      <c r="M2404" s="204"/>
      <c r="N2404" s="204"/>
      <c r="O2404" s="204"/>
      <c r="P2404" s="204"/>
      <c r="T2404" s="217"/>
    </row>
    <row r="2405" spans="2:20">
      <c r="B2405" s="204"/>
      <c r="C2405" s="204"/>
      <c r="D2405" s="204"/>
      <c r="E2405" s="204"/>
      <c r="F2405" s="204"/>
      <c r="G2405" s="204"/>
      <c r="H2405" s="204"/>
      <c r="I2405" s="204"/>
      <c r="J2405" s="204"/>
      <c r="K2405" s="204"/>
      <c r="L2405" s="204"/>
      <c r="M2405" s="204"/>
      <c r="N2405" s="204"/>
      <c r="O2405" s="204"/>
      <c r="P2405" s="204"/>
      <c r="T2405" s="217"/>
    </row>
    <row r="2406" spans="2:20">
      <c r="B2406" s="204"/>
      <c r="C2406" s="204"/>
      <c r="D2406" s="204"/>
      <c r="E2406" s="204"/>
      <c r="F2406" s="204"/>
      <c r="G2406" s="204"/>
      <c r="H2406" s="204"/>
      <c r="I2406" s="204"/>
      <c r="J2406" s="204"/>
      <c r="K2406" s="204"/>
      <c r="L2406" s="204"/>
      <c r="M2406" s="204"/>
      <c r="N2406" s="204"/>
      <c r="O2406" s="204"/>
      <c r="P2406" s="204"/>
      <c r="T2406" s="217"/>
    </row>
    <row r="2407" spans="2:20">
      <c r="B2407" s="204"/>
      <c r="C2407" s="204"/>
      <c r="D2407" s="204"/>
      <c r="E2407" s="204"/>
      <c r="F2407" s="204"/>
      <c r="G2407" s="204"/>
      <c r="H2407" s="204"/>
      <c r="I2407" s="204"/>
      <c r="J2407" s="204"/>
      <c r="K2407" s="204"/>
      <c r="L2407" s="204"/>
      <c r="M2407" s="204"/>
      <c r="N2407" s="204"/>
      <c r="O2407" s="204"/>
      <c r="P2407" s="204"/>
      <c r="T2407" s="217"/>
    </row>
    <row r="2408" spans="2:20">
      <c r="B2408" s="204"/>
      <c r="C2408" s="204"/>
      <c r="D2408" s="204"/>
      <c r="E2408" s="204"/>
      <c r="F2408" s="204"/>
      <c r="G2408" s="204"/>
      <c r="H2408" s="204"/>
      <c r="I2408" s="204"/>
      <c r="J2408" s="204"/>
      <c r="K2408" s="204"/>
      <c r="L2408" s="204"/>
      <c r="M2408" s="204"/>
      <c r="N2408" s="204"/>
      <c r="O2408" s="204"/>
      <c r="P2408" s="204"/>
      <c r="T2408" s="217"/>
    </row>
    <row r="2409" spans="2:20">
      <c r="B2409" s="204"/>
      <c r="C2409" s="204"/>
      <c r="D2409" s="204"/>
      <c r="E2409" s="204"/>
      <c r="F2409" s="204"/>
      <c r="G2409" s="204"/>
      <c r="H2409" s="204"/>
      <c r="I2409" s="204"/>
      <c r="J2409" s="204"/>
      <c r="K2409" s="204"/>
      <c r="L2409" s="204"/>
      <c r="M2409" s="204"/>
      <c r="N2409" s="204"/>
      <c r="O2409" s="204"/>
      <c r="P2409" s="204"/>
      <c r="T2409" s="217"/>
    </row>
    <row r="2410" spans="2:20">
      <c r="B2410" s="204"/>
      <c r="C2410" s="204"/>
      <c r="D2410" s="204"/>
      <c r="E2410" s="204"/>
      <c r="F2410" s="204"/>
      <c r="G2410" s="204"/>
      <c r="H2410" s="204"/>
      <c r="I2410" s="204"/>
      <c r="J2410" s="204"/>
      <c r="K2410" s="204"/>
      <c r="L2410" s="204"/>
      <c r="M2410" s="204"/>
      <c r="N2410" s="204"/>
      <c r="O2410" s="204"/>
      <c r="P2410" s="204"/>
      <c r="T2410" s="217"/>
    </row>
    <row r="2411" spans="2:20">
      <c r="B2411" s="204"/>
      <c r="C2411" s="204"/>
      <c r="D2411" s="204"/>
      <c r="E2411" s="204"/>
      <c r="F2411" s="204"/>
      <c r="G2411" s="204"/>
      <c r="H2411" s="204"/>
      <c r="I2411" s="204"/>
      <c r="J2411" s="204"/>
      <c r="K2411" s="204"/>
      <c r="L2411" s="204"/>
      <c r="M2411" s="204"/>
      <c r="N2411" s="204"/>
      <c r="O2411" s="204"/>
      <c r="P2411" s="204"/>
      <c r="T2411" s="217"/>
    </row>
    <row r="2412" spans="2:20">
      <c r="B2412" s="204"/>
      <c r="C2412" s="204"/>
      <c r="D2412" s="204"/>
      <c r="E2412" s="204"/>
      <c r="F2412" s="204"/>
      <c r="G2412" s="204"/>
      <c r="H2412" s="204"/>
      <c r="I2412" s="204"/>
      <c r="J2412" s="204"/>
      <c r="K2412" s="204"/>
      <c r="L2412" s="204"/>
      <c r="M2412" s="204"/>
      <c r="N2412" s="204"/>
      <c r="O2412" s="204"/>
      <c r="P2412" s="204"/>
      <c r="T2412" s="217"/>
    </row>
    <row r="2413" spans="2:20">
      <c r="B2413" s="204"/>
      <c r="C2413" s="204"/>
      <c r="D2413" s="204"/>
      <c r="E2413" s="204"/>
      <c r="F2413" s="204"/>
      <c r="G2413" s="204"/>
      <c r="H2413" s="204"/>
      <c r="I2413" s="204"/>
      <c r="J2413" s="204"/>
      <c r="K2413" s="204"/>
      <c r="L2413" s="204"/>
      <c r="M2413" s="204"/>
      <c r="N2413" s="204"/>
      <c r="O2413" s="204"/>
      <c r="P2413" s="204"/>
      <c r="T2413" s="217"/>
    </row>
    <row r="2414" spans="2:20">
      <c r="B2414" s="204"/>
      <c r="C2414" s="204"/>
      <c r="D2414" s="204"/>
      <c r="E2414" s="204"/>
      <c r="F2414" s="204"/>
      <c r="G2414" s="204"/>
      <c r="H2414" s="204"/>
      <c r="I2414" s="204"/>
      <c r="J2414" s="204"/>
      <c r="K2414" s="204"/>
      <c r="L2414" s="204"/>
      <c r="M2414" s="204"/>
      <c r="N2414" s="204"/>
      <c r="O2414" s="204"/>
      <c r="P2414" s="204"/>
      <c r="T2414" s="217"/>
    </row>
    <row r="2415" spans="2:20">
      <c r="B2415" s="204"/>
      <c r="C2415" s="204"/>
      <c r="D2415" s="204"/>
      <c r="E2415" s="204"/>
      <c r="F2415" s="204"/>
      <c r="G2415" s="204"/>
      <c r="H2415" s="204"/>
      <c r="I2415" s="204"/>
      <c r="J2415" s="204"/>
      <c r="K2415" s="204"/>
      <c r="L2415" s="204"/>
      <c r="M2415" s="204"/>
      <c r="N2415" s="204"/>
      <c r="O2415" s="204"/>
      <c r="P2415" s="204"/>
      <c r="T2415" s="217"/>
    </row>
    <row r="2416" spans="2:20">
      <c r="B2416" s="204"/>
      <c r="C2416" s="204"/>
      <c r="D2416" s="204"/>
      <c r="E2416" s="204"/>
      <c r="F2416" s="204"/>
      <c r="G2416" s="204"/>
      <c r="H2416" s="204"/>
      <c r="I2416" s="204"/>
      <c r="J2416" s="204"/>
      <c r="K2416" s="204"/>
      <c r="L2416" s="204"/>
      <c r="M2416" s="204"/>
      <c r="N2416" s="204"/>
      <c r="O2416" s="204"/>
      <c r="P2416" s="204"/>
      <c r="T2416" s="217"/>
    </row>
    <row r="2417" spans="2:20">
      <c r="B2417" s="204"/>
      <c r="C2417" s="204"/>
      <c r="D2417" s="204"/>
      <c r="E2417" s="204"/>
      <c r="F2417" s="204"/>
      <c r="G2417" s="204"/>
      <c r="H2417" s="204"/>
      <c r="I2417" s="204"/>
      <c r="J2417" s="204"/>
      <c r="K2417" s="204"/>
      <c r="L2417" s="204"/>
      <c r="M2417" s="204"/>
      <c r="N2417" s="204"/>
      <c r="O2417" s="204"/>
      <c r="P2417" s="204"/>
      <c r="T2417" s="217"/>
    </row>
    <row r="2418" spans="2:20">
      <c r="B2418" s="204"/>
      <c r="C2418" s="204"/>
      <c r="D2418" s="204"/>
      <c r="E2418" s="204"/>
      <c r="F2418" s="204"/>
      <c r="G2418" s="204"/>
      <c r="H2418" s="204"/>
      <c r="I2418" s="204"/>
      <c r="J2418" s="204"/>
      <c r="K2418" s="204"/>
      <c r="L2418" s="204"/>
      <c r="M2418" s="204"/>
      <c r="N2418" s="204"/>
      <c r="O2418" s="204"/>
      <c r="P2418" s="204"/>
      <c r="T2418" s="217"/>
    </row>
    <row r="2419" spans="2:20">
      <c r="B2419" s="204"/>
      <c r="C2419" s="204"/>
      <c r="D2419" s="204"/>
      <c r="E2419" s="204"/>
      <c r="F2419" s="204"/>
      <c r="G2419" s="204"/>
      <c r="H2419" s="204"/>
      <c r="I2419" s="204"/>
      <c r="J2419" s="204"/>
      <c r="K2419" s="204"/>
      <c r="L2419" s="204"/>
      <c r="M2419" s="204"/>
      <c r="N2419" s="204"/>
      <c r="O2419" s="204"/>
      <c r="P2419" s="204"/>
      <c r="T2419" s="217"/>
    </row>
    <row r="2420" spans="2:20">
      <c r="B2420" s="204"/>
      <c r="C2420" s="204"/>
      <c r="D2420" s="204"/>
      <c r="E2420" s="204"/>
      <c r="F2420" s="204"/>
      <c r="G2420" s="204"/>
      <c r="H2420" s="204"/>
      <c r="I2420" s="204"/>
      <c r="J2420" s="204"/>
      <c r="K2420" s="204"/>
      <c r="L2420" s="204"/>
      <c r="M2420" s="204"/>
      <c r="N2420" s="204"/>
      <c r="O2420" s="204"/>
      <c r="P2420" s="204"/>
      <c r="T2420" s="217"/>
    </row>
    <row r="2421" spans="2:20">
      <c r="B2421" s="204"/>
      <c r="C2421" s="204"/>
      <c r="D2421" s="204"/>
      <c r="E2421" s="204"/>
      <c r="F2421" s="204"/>
      <c r="G2421" s="204"/>
      <c r="H2421" s="204"/>
      <c r="I2421" s="204"/>
      <c r="J2421" s="204"/>
      <c r="K2421" s="204"/>
      <c r="L2421" s="204"/>
      <c r="M2421" s="204"/>
      <c r="N2421" s="204"/>
      <c r="O2421" s="204"/>
      <c r="P2421" s="204"/>
      <c r="T2421" s="217"/>
    </row>
    <row r="2422" spans="2:20">
      <c r="B2422" s="204"/>
      <c r="C2422" s="204"/>
      <c r="D2422" s="204"/>
      <c r="E2422" s="204"/>
      <c r="F2422" s="204"/>
      <c r="G2422" s="204"/>
      <c r="H2422" s="204"/>
      <c r="I2422" s="204"/>
      <c r="J2422" s="204"/>
      <c r="K2422" s="204"/>
      <c r="L2422" s="204"/>
      <c r="M2422" s="204"/>
      <c r="N2422" s="204"/>
      <c r="O2422" s="204"/>
      <c r="P2422" s="204"/>
      <c r="T2422" s="217"/>
    </row>
    <row r="2423" spans="2:20">
      <c r="B2423" s="204"/>
      <c r="C2423" s="204"/>
      <c r="D2423" s="204"/>
      <c r="E2423" s="204"/>
      <c r="F2423" s="204"/>
      <c r="G2423" s="204"/>
      <c r="H2423" s="204"/>
      <c r="I2423" s="204"/>
      <c r="J2423" s="204"/>
      <c r="K2423" s="204"/>
      <c r="L2423" s="204"/>
      <c r="M2423" s="204"/>
      <c r="N2423" s="204"/>
      <c r="O2423" s="204"/>
      <c r="P2423" s="204"/>
      <c r="T2423" s="217"/>
    </row>
    <row r="2424" spans="2:20">
      <c r="B2424" s="204"/>
      <c r="C2424" s="204"/>
      <c r="D2424" s="204"/>
      <c r="E2424" s="204"/>
      <c r="F2424" s="204"/>
      <c r="G2424" s="204"/>
      <c r="H2424" s="204"/>
      <c r="I2424" s="204"/>
      <c r="J2424" s="204"/>
      <c r="K2424" s="204"/>
      <c r="L2424" s="204"/>
      <c r="M2424" s="204"/>
      <c r="N2424" s="204"/>
      <c r="O2424" s="204"/>
      <c r="P2424" s="204"/>
      <c r="T2424" s="217"/>
    </row>
    <row r="2425" spans="2:20">
      <c r="B2425" s="204"/>
      <c r="C2425" s="204"/>
      <c r="D2425" s="204"/>
      <c r="E2425" s="204"/>
      <c r="F2425" s="204"/>
      <c r="G2425" s="204"/>
      <c r="H2425" s="204"/>
      <c r="I2425" s="204"/>
      <c r="J2425" s="204"/>
      <c r="K2425" s="204"/>
      <c r="L2425" s="204"/>
      <c r="M2425" s="204"/>
      <c r="N2425" s="204"/>
      <c r="O2425" s="204"/>
      <c r="P2425" s="204"/>
      <c r="T2425" s="217"/>
    </row>
    <row r="2426" spans="2:20">
      <c r="B2426" s="204"/>
      <c r="C2426" s="204"/>
      <c r="D2426" s="204"/>
      <c r="E2426" s="204"/>
      <c r="F2426" s="204"/>
      <c r="G2426" s="204"/>
      <c r="H2426" s="204"/>
      <c r="I2426" s="204"/>
      <c r="J2426" s="204"/>
      <c r="K2426" s="204"/>
      <c r="L2426" s="204"/>
      <c r="M2426" s="204"/>
      <c r="N2426" s="204"/>
      <c r="O2426" s="204"/>
      <c r="P2426" s="204"/>
      <c r="T2426" s="217"/>
    </row>
    <row r="2427" spans="2:20">
      <c r="B2427" s="204"/>
      <c r="C2427" s="204"/>
      <c r="D2427" s="204"/>
      <c r="E2427" s="204"/>
      <c r="F2427" s="204"/>
      <c r="G2427" s="204"/>
      <c r="H2427" s="204"/>
      <c r="I2427" s="204"/>
      <c r="J2427" s="204"/>
      <c r="K2427" s="204"/>
      <c r="L2427" s="204"/>
      <c r="M2427" s="204"/>
      <c r="N2427" s="204"/>
      <c r="O2427" s="204"/>
      <c r="P2427" s="204"/>
      <c r="T2427" s="217"/>
    </row>
    <row r="2428" spans="2:20">
      <c r="B2428" s="204"/>
      <c r="C2428" s="204"/>
      <c r="D2428" s="204"/>
      <c r="E2428" s="204"/>
      <c r="F2428" s="204"/>
      <c r="G2428" s="204"/>
      <c r="H2428" s="204"/>
      <c r="I2428" s="204"/>
      <c r="J2428" s="204"/>
      <c r="K2428" s="204"/>
      <c r="L2428" s="204"/>
      <c r="M2428" s="204"/>
      <c r="N2428" s="204"/>
      <c r="O2428" s="204"/>
      <c r="P2428" s="204"/>
      <c r="T2428" s="217"/>
    </row>
    <row r="2429" spans="2:20">
      <c r="B2429" s="204"/>
      <c r="C2429" s="204"/>
      <c r="D2429" s="204"/>
      <c r="E2429" s="204"/>
      <c r="F2429" s="204"/>
      <c r="G2429" s="204"/>
      <c r="H2429" s="204"/>
      <c r="I2429" s="204"/>
      <c r="J2429" s="204"/>
      <c r="K2429" s="204"/>
      <c r="L2429" s="204"/>
      <c r="M2429" s="204"/>
      <c r="N2429" s="204"/>
      <c r="O2429" s="204"/>
      <c r="P2429" s="204"/>
      <c r="T2429" s="217"/>
    </row>
    <row r="2430" spans="2:20">
      <c r="B2430" s="204"/>
      <c r="C2430" s="204"/>
      <c r="D2430" s="204"/>
      <c r="E2430" s="204"/>
      <c r="F2430" s="204"/>
      <c r="G2430" s="204"/>
      <c r="H2430" s="204"/>
      <c r="I2430" s="204"/>
      <c r="J2430" s="204"/>
      <c r="K2430" s="204"/>
      <c r="L2430" s="204"/>
      <c r="M2430" s="204"/>
      <c r="N2430" s="204"/>
      <c r="O2430" s="204"/>
      <c r="P2430" s="204"/>
      <c r="T2430" s="217"/>
    </row>
    <row r="2431" spans="2:20">
      <c r="B2431" s="204"/>
      <c r="C2431" s="204"/>
      <c r="D2431" s="204"/>
      <c r="E2431" s="204"/>
      <c r="F2431" s="204"/>
      <c r="G2431" s="204"/>
      <c r="H2431" s="204"/>
      <c r="I2431" s="204"/>
      <c r="J2431" s="204"/>
      <c r="K2431" s="204"/>
      <c r="L2431" s="204"/>
      <c r="M2431" s="204"/>
      <c r="N2431" s="204"/>
      <c r="O2431" s="204"/>
      <c r="P2431" s="204"/>
      <c r="T2431" s="217"/>
    </row>
    <row r="2432" spans="2:20">
      <c r="B2432" s="204"/>
      <c r="C2432" s="204"/>
      <c r="D2432" s="204"/>
      <c r="E2432" s="204"/>
      <c r="F2432" s="204"/>
      <c r="G2432" s="204"/>
      <c r="H2432" s="204"/>
      <c r="I2432" s="204"/>
      <c r="J2432" s="204"/>
      <c r="K2432" s="204"/>
      <c r="L2432" s="204"/>
      <c r="M2432" s="204"/>
      <c r="N2432" s="204"/>
      <c r="O2432" s="204"/>
      <c r="P2432" s="204"/>
      <c r="T2432" s="217"/>
    </row>
    <row r="2433" spans="2:20">
      <c r="B2433" s="204"/>
      <c r="C2433" s="204"/>
      <c r="D2433" s="204"/>
      <c r="E2433" s="204"/>
      <c r="F2433" s="204"/>
      <c r="G2433" s="204"/>
      <c r="H2433" s="204"/>
      <c r="I2433" s="204"/>
      <c r="J2433" s="204"/>
      <c r="K2433" s="204"/>
      <c r="L2433" s="204"/>
      <c r="M2433" s="204"/>
      <c r="N2433" s="204"/>
      <c r="O2433" s="204"/>
      <c r="P2433" s="204"/>
      <c r="T2433" s="217"/>
    </row>
    <row r="2434" spans="2:20">
      <c r="B2434" s="204"/>
      <c r="C2434" s="204"/>
      <c r="D2434" s="204"/>
      <c r="E2434" s="204"/>
      <c r="F2434" s="204"/>
      <c r="G2434" s="204"/>
      <c r="H2434" s="204"/>
      <c r="I2434" s="204"/>
      <c r="J2434" s="204"/>
      <c r="K2434" s="204"/>
      <c r="L2434" s="204"/>
      <c r="M2434" s="204"/>
      <c r="N2434" s="204"/>
      <c r="O2434" s="204"/>
      <c r="P2434" s="204"/>
      <c r="T2434" s="217"/>
    </row>
    <row r="2435" spans="2:20">
      <c r="B2435" s="204"/>
      <c r="C2435" s="204"/>
      <c r="D2435" s="204"/>
      <c r="E2435" s="204"/>
      <c r="F2435" s="204"/>
      <c r="G2435" s="204"/>
      <c r="H2435" s="204"/>
      <c r="I2435" s="204"/>
      <c r="J2435" s="204"/>
      <c r="K2435" s="204"/>
      <c r="L2435" s="204"/>
      <c r="M2435" s="204"/>
      <c r="N2435" s="204"/>
      <c r="O2435" s="204"/>
      <c r="P2435" s="204"/>
      <c r="T2435" s="217"/>
    </row>
    <row r="2436" spans="2:20">
      <c r="B2436" s="204"/>
      <c r="C2436" s="204"/>
      <c r="D2436" s="204"/>
      <c r="E2436" s="204"/>
      <c r="F2436" s="204"/>
      <c r="G2436" s="204"/>
      <c r="H2436" s="204"/>
      <c r="I2436" s="204"/>
      <c r="J2436" s="204"/>
      <c r="K2436" s="204"/>
      <c r="L2436" s="204"/>
      <c r="M2436" s="204"/>
      <c r="N2436" s="204"/>
      <c r="O2436" s="204"/>
      <c r="P2436" s="204"/>
      <c r="T2436" s="217"/>
    </row>
    <row r="2437" spans="2:20">
      <c r="B2437" s="204"/>
      <c r="C2437" s="204"/>
      <c r="D2437" s="204"/>
      <c r="E2437" s="204"/>
      <c r="F2437" s="204"/>
      <c r="G2437" s="204"/>
      <c r="H2437" s="204"/>
      <c r="I2437" s="204"/>
      <c r="J2437" s="204"/>
      <c r="K2437" s="204"/>
      <c r="L2437" s="204"/>
      <c r="M2437" s="204"/>
      <c r="N2437" s="204"/>
      <c r="O2437" s="204"/>
      <c r="P2437" s="204"/>
      <c r="T2437" s="217"/>
    </row>
    <row r="2438" spans="2:20">
      <c r="B2438" s="204"/>
      <c r="C2438" s="204"/>
      <c r="D2438" s="204"/>
      <c r="E2438" s="204"/>
      <c r="F2438" s="204"/>
      <c r="G2438" s="204"/>
      <c r="H2438" s="204"/>
      <c r="I2438" s="204"/>
      <c r="J2438" s="204"/>
      <c r="K2438" s="204"/>
      <c r="L2438" s="204"/>
      <c r="M2438" s="204"/>
      <c r="N2438" s="204"/>
      <c r="O2438" s="204"/>
      <c r="P2438" s="204"/>
      <c r="T2438" s="217"/>
    </row>
    <row r="2439" spans="2:20">
      <c r="B2439" s="204"/>
      <c r="C2439" s="204"/>
      <c r="D2439" s="204"/>
      <c r="E2439" s="204"/>
      <c r="F2439" s="204"/>
      <c r="G2439" s="204"/>
      <c r="H2439" s="204"/>
      <c r="I2439" s="204"/>
      <c r="J2439" s="204"/>
      <c r="K2439" s="204"/>
      <c r="L2439" s="204"/>
      <c r="M2439" s="204"/>
      <c r="N2439" s="204"/>
      <c r="O2439" s="204"/>
      <c r="P2439" s="204"/>
      <c r="T2439" s="217"/>
    </row>
    <row r="2440" spans="2:20">
      <c r="B2440" s="204"/>
      <c r="C2440" s="204"/>
      <c r="D2440" s="204"/>
      <c r="E2440" s="204"/>
      <c r="F2440" s="204"/>
      <c r="G2440" s="204"/>
      <c r="H2440" s="204"/>
      <c r="I2440" s="204"/>
      <c r="J2440" s="204"/>
      <c r="K2440" s="204"/>
      <c r="L2440" s="204"/>
      <c r="M2440" s="204"/>
      <c r="N2440" s="204"/>
      <c r="O2440" s="204"/>
      <c r="P2440" s="204"/>
      <c r="T2440" s="217"/>
    </row>
    <row r="2441" spans="2:20">
      <c r="B2441" s="204"/>
      <c r="C2441" s="204"/>
      <c r="D2441" s="204"/>
      <c r="E2441" s="204"/>
      <c r="F2441" s="204"/>
      <c r="G2441" s="204"/>
      <c r="H2441" s="204"/>
      <c r="I2441" s="204"/>
      <c r="J2441" s="204"/>
      <c r="K2441" s="204"/>
      <c r="L2441" s="204"/>
      <c r="M2441" s="204"/>
      <c r="N2441" s="204"/>
      <c r="O2441" s="204"/>
      <c r="P2441" s="204"/>
      <c r="T2441" s="217"/>
    </row>
    <row r="2442" spans="2:20">
      <c r="B2442" s="204"/>
      <c r="C2442" s="204"/>
      <c r="D2442" s="204"/>
      <c r="E2442" s="204"/>
      <c r="F2442" s="204"/>
      <c r="G2442" s="204"/>
      <c r="H2442" s="204"/>
      <c r="I2442" s="204"/>
      <c r="J2442" s="204"/>
      <c r="K2442" s="204"/>
      <c r="L2442" s="204"/>
      <c r="M2442" s="204"/>
      <c r="N2442" s="204"/>
      <c r="O2442" s="204"/>
      <c r="P2442" s="204"/>
      <c r="T2442" s="217"/>
    </row>
    <row r="2443" spans="2:20">
      <c r="B2443" s="204"/>
      <c r="C2443" s="204"/>
      <c r="D2443" s="204"/>
      <c r="E2443" s="204"/>
      <c r="F2443" s="204"/>
      <c r="G2443" s="204"/>
      <c r="H2443" s="204"/>
      <c r="I2443" s="204"/>
      <c r="J2443" s="204"/>
      <c r="K2443" s="204"/>
      <c r="L2443" s="204"/>
      <c r="M2443" s="204"/>
      <c r="N2443" s="204"/>
      <c r="O2443" s="204"/>
      <c r="P2443" s="204"/>
      <c r="T2443" s="217"/>
    </row>
    <row r="2444" spans="2:20">
      <c r="B2444" s="204"/>
      <c r="C2444" s="204"/>
      <c r="D2444" s="204"/>
      <c r="E2444" s="204"/>
      <c r="F2444" s="204"/>
      <c r="G2444" s="204"/>
      <c r="H2444" s="204"/>
      <c r="I2444" s="204"/>
      <c r="J2444" s="204"/>
      <c r="K2444" s="204"/>
      <c r="L2444" s="204"/>
      <c r="M2444" s="204"/>
      <c r="N2444" s="204"/>
      <c r="O2444" s="204"/>
      <c r="P2444" s="204"/>
      <c r="T2444" s="217"/>
    </row>
    <row r="2445" spans="2:20">
      <c r="B2445" s="204"/>
      <c r="C2445" s="204"/>
      <c r="D2445" s="204"/>
      <c r="E2445" s="204"/>
      <c r="F2445" s="204"/>
      <c r="G2445" s="204"/>
      <c r="H2445" s="204"/>
      <c r="I2445" s="204"/>
      <c r="J2445" s="204"/>
      <c r="K2445" s="204"/>
      <c r="L2445" s="204"/>
      <c r="M2445" s="204"/>
      <c r="N2445" s="204"/>
      <c r="O2445" s="204"/>
      <c r="P2445" s="204"/>
      <c r="T2445" s="217"/>
    </row>
    <row r="2446" spans="2:20">
      <c r="B2446" s="204"/>
      <c r="C2446" s="204"/>
      <c r="D2446" s="204"/>
      <c r="E2446" s="204"/>
      <c r="F2446" s="204"/>
      <c r="G2446" s="204"/>
      <c r="H2446" s="204"/>
      <c r="I2446" s="204"/>
      <c r="J2446" s="204"/>
      <c r="K2446" s="204"/>
      <c r="L2446" s="204"/>
      <c r="M2446" s="204"/>
      <c r="N2446" s="204"/>
      <c r="O2446" s="204"/>
      <c r="P2446" s="204"/>
      <c r="T2446" s="217"/>
    </row>
    <row r="2447" spans="2:20">
      <c r="B2447" s="204"/>
      <c r="C2447" s="204"/>
      <c r="D2447" s="204"/>
      <c r="E2447" s="204"/>
      <c r="F2447" s="204"/>
      <c r="G2447" s="204"/>
      <c r="H2447" s="204"/>
      <c r="I2447" s="204"/>
      <c r="J2447" s="204"/>
      <c r="K2447" s="204"/>
      <c r="L2447" s="204"/>
      <c r="M2447" s="204"/>
      <c r="N2447" s="204"/>
      <c r="O2447" s="204"/>
      <c r="P2447" s="204"/>
      <c r="T2447" s="217"/>
    </row>
    <row r="2448" spans="2:20">
      <c r="B2448" s="204"/>
      <c r="C2448" s="204"/>
      <c r="D2448" s="204"/>
      <c r="E2448" s="204"/>
      <c r="F2448" s="204"/>
      <c r="G2448" s="204"/>
      <c r="H2448" s="204"/>
      <c r="I2448" s="204"/>
      <c r="J2448" s="204"/>
      <c r="K2448" s="204"/>
      <c r="L2448" s="204"/>
      <c r="M2448" s="204"/>
      <c r="N2448" s="204"/>
      <c r="O2448" s="204"/>
      <c r="P2448" s="204"/>
      <c r="T2448" s="217"/>
    </row>
    <row r="2449" spans="2:20">
      <c r="B2449" s="204"/>
      <c r="C2449" s="204"/>
      <c r="D2449" s="204"/>
      <c r="E2449" s="204"/>
      <c r="F2449" s="204"/>
      <c r="G2449" s="204"/>
      <c r="H2449" s="204"/>
      <c r="I2449" s="204"/>
      <c r="J2449" s="204"/>
      <c r="K2449" s="204"/>
      <c r="L2449" s="204"/>
      <c r="M2449" s="204"/>
      <c r="N2449" s="204"/>
      <c r="O2449" s="204"/>
      <c r="P2449" s="204"/>
      <c r="T2449" s="217"/>
    </row>
    <row r="2450" spans="2:20">
      <c r="B2450" s="204"/>
      <c r="C2450" s="204"/>
      <c r="D2450" s="204"/>
      <c r="E2450" s="204"/>
      <c r="F2450" s="204"/>
      <c r="G2450" s="204"/>
      <c r="H2450" s="204"/>
      <c r="I2450" s="204"/>
      <c r="J2450" s="204"/>
      <c r="K2450" s="204"/>
      <c r="L2450" s="204"/>
      <c r="M2450" s="204"/>
      <c r="N2450" s="204"/>
      <c r="O2450" s="204"/>
      <c r="P2450" s="204"/>
      <c r="T2450" s="217"/>
    </row>
    <row r="2451" spans="2:20">
      <c r="B2451" s="204"/>
      <c r="C2451" s="204"/>
      <c r="D2451" s="204"/>
      <c r="E2451" s="204"/>
      <c r="F2451" s="204"/>
      <c r="G2451" s="204"/>
      <c r="H2451" s="204"/>
      <c r="I2451" s="204"/>
      <c r="J2451" s="204"/>
      <c r="K2451" s="204"/>
      <c r="L2451" s="204"/>
      <c r="M2451" s="204"/>
      <c r="N2451" s="204"/>
      <c r="O2451" s="204"/>
      <c r="P2451" s="204"/>
      <c r="T2451" s="217"/>
    </row>
    <row r="2452" spans="2:20">
      <c r="B2452" s="204"/>
      <c r="C2452" s="204"/>
      <c r="D2452" s="204"/>
      <c r="E2452" s="204"/>
      <c r="F2452" s="204"/>
      <c r="G2452" s="204"/>
      <c r="H2452" s="204"/>
      <c r="I2452" s="204"/>
      <c r="J2452" s="204"/>
      <c r="K2452" s="204"/>
      <c r="L2452" s="204"/>
      <c r="M2452" s="204"/>
      <c r="N2452" s="204"/>
      <c r="O2452" s="204"/>
      <c r="P2452" s="204"/>
      <c r="T2452" s="217"/>
    </row>
    <row r="2453" spans="2:20">
      <c r="B2453" s="204"/>
      <c r="C2453" s="204"/>
      <c r="D2453" s="204"/>
      <c r="E2453" s="204"/>
      <c r="F2453" s="204"/>
      <c r="G2453" s="204"/>
      <c r="H2453" s="204"/>
      <c r="I2453" s="204"/>
      <c r="J2453" s="204"/>
      <c r="K2453" s="204"/>
      <c r="L2453" s="204"/>
      <c r="M2453" s="204"/>
      <c r="N2453" s="204"/>
      <c r="O2453" s="204"/>
      <c r="P2453" s="204"/>
      <c r="T2453" s="217"/>
    </row>
    <row r="2454" spans="2:20">
      <c r="B2454" s="204"/>
      <c r="C2454" s="204"/>
      <c r="D2454" s="204"/>
      <c r="E2454" s="204"/>
      <c r="F2454" s="204"/>
      <c r="G2454" s="204"/>
      <c r="H2454" s="204"/>
      <c r="I2454" s="204"/>
      <c r="J2454" s="204"/>
      <c r="K2454" s="204"/>
      <c r="L2454" s="204"/>
      <c r="M2454" s="204"/>
      <c r="N2454" s="204"/>
      <c r="O2454" s="204"/>
      <c r="P2454" s="204"/>
      <c r="T2454" s="217"/>
    </row>
    <row r="2455" spans="2:20">
      <c r="B2455" s="204"/>
      <c r="C2455" s="204"/>
      <c r="D2455" s="204"/>
      <c r="E2455" s="204"/>
      <c r="F2455" s="204"/>
      <c r="G2455" s="204"/>
      <c r="H2455" s="204"/>
      <c r="I2455" s="204"/>
      <c r="J2455" s="204"/>
      <c r="K2455" s="204"/>
      <c r="L2455" s="204"/>
      <c r="M2455" s="204"/>
      <c r="N2455" s="204"/>
      <c r="O2455" s="204"/>
      <c r="P2455" s="204"/>
      <c r="T2455" s="217"/>
    </row>
    <row r="2456" spans="2:20">
      <c r="B2456" s="204"/>
      <c r="C2456" s="204"/>
      <c r="D2456" s="204"/>
      <c r="E2456" s="204"/>
      <c r="F2456" s="204"/>
      <c r="G2456" s="204"/>
      <c r="H2456" s="204"/>
      <c r="I2456" s="204"/>
      <c r="J2456" s="204"/>
      <c r="K2456" s="204"/>
      <c r="L2456" s="204"/>
      <c r="M2456" s="204"/>
      <c r="N2456" s="204"/>
      <c r="O2456" s="204"/>
      <c r="P2456" s="204"/>
      <c r="T2456" s="217"/>
    </row>
    <row r="2457" spans="2:20">
      <c r="B2457" s="204"/>
      <c r="C2457" s="204"/>
      <c r="D2457" s="204"/>
      <c r="E2457" s="204"/>
      <c r="F2457" s="204"/>
      <c r="G2457" s="204"/>
      <c r="H2457" s="204"/>
      <c r="I2457" s="204"/>
      <c r="J2457" s="204"/>
      <c r="K2457" s="204"/>
      <c r="L2457" s="204"/>
      <c r="M2457" s="204"/>
      <c r="N2457" s="204"/>
      <c r="O2457" s="204"/>
      <c r="P2457" s="204"/>
      <c r="T2457" s="217"/>
    </row>
    <row r="2458" spans="2:20">
      <c r="B2458" s="204"/>
      <c r="C2458" s="204"/>
      <c r="D2458" s="204"/>
      <c r="E2458" s="204"/>
      <c r="F2458" s="204"/>
      <c r="G2458" s="204"/>
      <c r="H2458" s="204"/>
      <c r="I2458" s="204"/>
      <c r="J2458" s="204"/>
      <c r="K2458" s="204"/>
      <c r="L2458" s="204"/>
      <c r="M2458" s="204"/>
      <c r="N2458" s="204"/>
      <c r="O2458" s="204"/>
      <c r="P2458" s="204"/>
      <c r="T2458" s="217"/>
    </row>
    <row r="2459" spans="2:20">
      <c r="B2459" s="204"/>
      <c r="C2459" s="204"/>
      <c r="D2459" s="204"/>
      <c r="E2459" s="204"/>
      <c r="F2459" s="204"/>
      <c r="G2459" s="204"/>
      <c r="H2459" s="204"/>
      <c r="I2459" s="204"/>
      <c r="J2459" s="204"/>
      <c r="K2459" s="204"/>
      <c r="L2459" s="204"/>
      <c r="M2459" s="204"/>
      <c r="N2459" s="204"/>
      <c r="O2459" s="204"/>
      <c r="P2459" s="204"/>
      <c r="T2459" s="217"/>
    </row>
    <row r="2460" spans="2:20">
      <c r="B2460" s="204"/>
      <c r="C2460" s="204"/>
      <c r="D2460" s="204"/>
      <c r="E2460" s="204"/>
      <c r="F2460" s="204"/>
      <c r="G2460" s="204"/>
      <c r="H2460" s="204"/>
      <c r="I2460" s="204"/>
      <c r="J2460" s="204"/>
      <c r="K2460" s="204"/>
      <c r="L2460" s="204"/>
      <c r="M2460" s="204"/>
      <c r="N2460" s="204"/>
      <c r="O2460" s="204"/>
      <c r="P2460" s="204"/>
      <c r="T2460" s="217"/>
    </row>
    <row r="2461" spans="2:20">
      <c r="B2461" s="204"/>
      <c r="C2461" s="204"/>
      <c r="D2461" s="204"/>
      <c r="E2461" s="204"/>
      <c r="F2461" s="204"/>
      <c r="G2461" s="204"/>
      <c r="H2461" s="204"/>
      <c r="I2461" s="204"/>
      <c r="J2461" s="204"/>
      <c r="K2461" s="204"/>
      <c r="L2461" s="204"/>
      <c r="M2461" s="204"/>
      <c r="N2461" s="204"/>
      <c r="O2461" s="204"/>
      <c r="P2461" s="204"/>
      <c r="T2461" s="217"/>
    </row>
    <row r="2462" spans="2:20">
      <c r="B2462" s="204"/>
      <c r="C2462" s="204"/>
      <c r="D2462" s="204"/>
      <c r="E2462" s="204"/>
      <c r="F2462" s="204"/>
      <c r="G2462" s="204"/>
      <c r="H2462" s="204"/>
      <c r="I2462" s="204"/>
      <c r="J2462" s="204"/>
      <c r="K2462" s="204"/>
      <c r="L2462" s="204"/>
      <c r="M2462" s="204"/>
      <c r="N2462" s="204"/>
      <c r="O2462" s="204"/>
      <c r="P2462" s="204"/>
      <c r="T2462" s="217"/>
    </row>
    <row r="2463" spans="2:20">
      <c r="B2463" s="204"/>
      <c r="C2463" s="204"/>
      <c r="D2463" s="204"/>
      <c r="E2463" s="204"/>
      <c r="F2463" s="204"/>
      <c r="G2463" s="204"/>
      <c r="H2463" s="204"/>
      <c r="I2463" s="204"/>
      <c r="J2463" s="204"/>
      <c r="K2463" s="204"/>
      <c r="L2463" s="204"/>
      <c r="M2463" s="204"/>
      <c r="N2463" s="204"/>
      <c r="O2463" s="204"/>
      <c r="P2463" s="204"/>
      <c r="T2463" s="217"/>
    </row>
    <row r="2464" spans="2:20">
      <c r="B2464" s="204"/>
      <c r="C2464" s="204"/>
      <c r="D2464" s="204"/>
      <c r="E2464" s="204"/>
      <c r="F2464" s="204"/>
      <c r="G2464" s="204"/>
      <c r="H2464" s="204"/>
      <c r="I2464" s="204"/>
      <c r="J2464" s="204"/>
      <c r="K2464" s="204"/>
      <c r="L2464" s="204"/>
      <c r="M2464" s="204"/>
      <c r="N2464" s="204"/>
      <c r="O2464" s="204"/>
      <c r="P2464" s="204"/>
      <c r="T2464" s="217"/>
    </row>
    <row r="2465" spans="2:20">
      <c r="B2465" s="204"/>
      <c r="C2465" s="204"/>
      <c r="D2465" s="204"/>
      <c r="E2465" s="204"/>
      <c r="F2465" s="204"/>
      <c r="G2465" s="204"/>
      <c r="H2465" s="204"/>
      <c r="I2465" s="204"/>
      <c r="J2465" s="204"/>
      <c r="K2465" s="204"/>
      <c r="L2465" s="204"/>
      <c r="M2465" s="204"/>
      <c r="N2465" s="204"/>
      <c r="O2465" s="204"/>
      <c r="P2465" s="204"/>
      <c r="T2465" s="217"/>
    </row>
    <row r="2466" spans="2:20">
      <c r="B2466" s="204"/>
      <c r="C2466" s="204"/>
      <c r="D2466" s="204"/>
      <c r="E2466" s="204"/>
      <c r="F2466" s="204"/>
      <c r="G2466" s="204"/>
      <c r="H2466" s="204"/>
      <c r="I2466" s="204"/>
      <c r="J2466" s="204"/>
      <c r="K2466" s="204"/>
      <c r="L2466" s="204"/>
      <c r="M2466" s="204"/>
      <c r="N2466" s="204"/>
      <c r="O2466" s="204"/>
      <c r="P2466" s="204"/>
      <c r="T2466" s="217"/>
    </row>
    <row r="2467" spans="2:20">
      <c r="B2467" s="204"/>
      <c r="C2467" s="204"/>
      <c r="D2467" s="204"/>
      <c r="E2467" s="204"/>
      <c r="F2467" s="204"/>
      <c r="G2467" s="204"/>
      <c r="H2467" s="204"/>
      <c r="I2467" s="204"/>
      <c r="J2467" s="204"/>
      <c r="K2467" s="204"/>
      <c r="L2467" s="204"/>
      <c r="M2467" s="204"/>
      <c r="N2467" s="204"/>
      <c r="O2467" s="204"/>
      <c r="P2467" s="204"/>
      <c r="T2467" s="217"/>
    </row>
    <row r="2468" spans="2:20">
      <c r="B2468" s="204"/>
      <c r="C2468" s="204"/>
      <c r="D2468" s="204"/>
      <c r="E2468" s="204"/>
      <c r="F2468" s="204"/>
      <c r="G2468" s="204"/>
      <c r="H2468" s="204"/>
      <c r="I2468" s="204"/>
      <c r="J2468" s="204"/>
      <c r="K2468" s="204"/>
      <c r="L2468" s="204"/>
      <c r="M2468" s="204"/>
      <c r="N2468" s="204"/>
      <c r="O2468" s="204"/>
      <c r="P2468" s="204"/>
      <c r="T2468" s="217"/>
    </row>
    <row r="2469" spans="2:20">
      <c r="B2469" s="204"/>
      <c r="C2469" s="204"/>
      <c r="D2469" s="204"/>
      <c r="E2469" s="204"/>
      <c r="F2469" s="204"/>
      <c r="G2469" s="204"/>
      <c r="H2469" s="204"/>
      <c r="I2469" s="204"/>
      <c r="J2469" s="204"/>
      <c r="K2469" s="204"/>
      <c r="L2469" s="204"/>
      <c r="M2469" s="204"/>
      <c r="N2469" s="204"/>
      <c r="O2469" s="204"/>
      <c r="P2469" s="204"/>
      <c r="T2469" s="217"/>
    </row>
    <row r="2470" spans="2:20">
      <c r="B2470" s="204"/>
      <c r="C2470" s="204"/>
      <c r="D2470" s="204"/>
      <c r="E2470" s="204"/>
      <c r="F2470" s="204"/>
      <c r="G2470" s="204"/>
      <c r="H2470" s="204"/>
      <c r="I2470" s="204"/>
      <c r="J2470" s="204"/>
      <c r="K2470" s="204"/>
      <c r="L2470" s="204"/>
      <c r="M2470" s="204"/>
      <c r="N2470" s="204"/>
      <c r="O2470" s="204"/>
      <c r="P2470" s="204"/>
      <c r="T2470" s="217"/>
    </row>
    <row r="2471" spans="2:20">
      <c r="B2471" s="204"/>
      <c r="C2471" s="204"/>
      <c r="D2471" s="204"/>
      <c r="E2471" s="204"/>
      <c r="F2471" s="204"/>
      <c r="G2471" s="204"/>
      <c r="H2471" s="204"/>
      <c r="I2471" s="204"/>
      <c r="J2471" s="204"/>
      <c r="K2471" s="204"/>
      <c r="L2471" s="204"/>
      <c r="M2471" s="204"/>
      <c r="N2471" s="204"/>
      <c r="O2471" s="204"/>
      <c r="P2471" s="204"/>
      <c r="T2471" s="217"/>
    </row>
    <row r="2472" spans="2:20">
      <c r="B2472" s="204"/>
      <c r="C2472" s="204"/>
      <c r="D2472" s="204"/>
      <c r="E2472" s="204"/>
      <c r="F2472" s="204"/>
      <c r="G2472" s="204"/>
      <c r="H2472" s="204"/>
      <c r="I2472" s="204"/>
      <c r="J2472" s="204"/>
      <c r="K2472" s="204"/>
      <c r="L2472" s="204"/>
      <c r="M2472" s="204"/>
      <c r="N2472" s="204"/>
      <c r="O2472" s="204"/>
      <c r="P2472" s="204"/>
      <c r="T2472" s="217"/>
    </row>
    <row r="2473" spans="2:20">
      <c r="B2473" s="204"/>
      <c r="C2473" s="204"/>
      <c r="D2473" s="204"/>
      <c r="E2473" s="204"/>
      <c r="F2473" s="204"/>
      <c r="G2473" s="204"/>
      <c r="H2473" s="204"/>
      <c r="I2473" s="204"/>
      <c r="J2473" s="204"/>
      <c r="K2473" s="204"/>
      <c r="L2473" s="204"/>
      <c r="M2473" s="204"/>
      <c r="N2473" s="204"/>
      <c r="O2473" s="204"/>
      <c r="P2473" s="204"/>
      <c r="T2473" s="217"/>
    </row>
    <row r="2474" spans="2:20">
      <c r="B2474" s="204"/>
      <c r="C2474" s="204"/>
      <c r="D2474" s="204"/>
      <c r="E2474" s="204"/>
      <c r="F2474" s="204"/>
      <c r="G2474" s="204"/>
      <c r="H2474" s="204"/>
      <c r="I2474" s="204"/>
      <c r="J2474" s="204"/>
      <c r="K2474" s="204"/>
      <c r="L2474" s="204"/>
      <c r="M2474" s="204"/>
      <c r="N2474" s="204"/>
      <c r="O2474" s="204"/>
      <c r="P2474" s="204"/>
      <c r="T2474" s="217"/>
    </row>
    <row r="2475" spans="2:20">
      <c r="B2475" s="204"/>
      <c r="C2475" s="204"/>
      <c r="D2475" s="204"/>
      <c r="E2475" s="204"/>
      <c r="F2475" s="204"/>
      <c r="G2475" s="204"/>
      <c r="H2475" s="204"/>
      <c r="I2475" s="204"/>
      <c r="J2475" s="204"/>
      <c r="K2475" s="204"/>
      <c r="L2475" s="204"/>
      <c r="M2475" s="204"/>
      <c r="N2475" s="204"/>
      <c r="O2475" s="204"/>
      <c r="P2475" s="204"/>
      <c r="T2475" s="217"/>
    </row>
    <row r="2476" spans="2:20">
      <c r="B2476" s="204"/>
      <c r="C2476" s="204"/>
      <c r="D2476" s="204"/>
      <c r="E2476" s="204"/>
      <c r="F2476" s="204"/>
      <c r="G2476" s="204"/>
      <c r="H2476" s="204"/>
      <c r="I2476" s="204"/>
      <c r="J2476" s="204"/>
      <c r="K2476" s="204"/>
      <c r="L2476" s="204"/>
      <c r="M2476" s="204"/>
      <c r="N2476" s="204"/>
      <c r="O2476" s="204"/>
      <c r="P2476" s="204"/>
      <c r="T2476" s="217"/>
    </row>
    <row r="2477" spans="2:20">
      <c r="B2477" s="204"/>
      <c r="C2477" s="204"/>
      <c r="D2477" s="204"/>
      <c r="E2477" s="204"/>
      <c r="F2477" s="204"/>
      <c r="G2477" s="204"/>
      <c r="H2477" s="204"/>
      <c r="I2477" s="204"/>
      <c r="J2477" s="204"/>
      <c r="K2477" s="204"/>
      <c r="L2477" s="204"/>
      <c r="M2477" s="204"/>
      <c r="N2477" s="204"/>
      <c r="O2477" s="204"/>
      <c r="P2477" s="204"/>
      <c r="T2477" s="217"/>
    </row>
    <row r="2478" spans="2:20">
      <c r="B2478" s="204"/>
      <c r="C2478" s="204"/>
      <c r="D2478" s="204"/>
      <c r="E2478" s="204"/>
      <c r="F2478" s="204"/>
      <c r="G2478" s="204"/>
      <c r="H2478" s="204"/>
      <c r="I2478" s="204"/>
      <c r="J2478" s="204"/>
      <c r="K2478" s="204"/>
      <c r="L2478" s="204"/>
      <c r="M2478" s="204"/>
      <c r="N2478" s="204"/>
      <c r="O2478" s="204"/>
      <c r="P2478" s="204"/>
      <c r="T2478" s="217"/>
    </row>
    <row r="2479" spans="2:20">
      <c r="B2479" s="204"/>
      <c r="C2479" s="204"/>
      <c r="D2479" s="204"/>
      <c r="E2479" s="204"/>
      <c r="F2479" s="204"/>
      <c r="G2479" s="204"/>
      <c r="H2479" s="204"/>
      <c r="I2479" s="204"/>
      <c r="J2479" s="204"/>
      <c r="K2479" s="204"/>
      <c r="L2479" s="204"/>
      <c r="M2479" s="204"/>
      <c r="N2479" s="204"/>
      <c r="O2479" s="204"/>
      <c r="P2479" s="204"/>
      <c r="T2479" s="217"/>
    </row>
    <row r="2480" spans="2:20">
      <c r="B2480" s="204"/>
      <c r="C2480" s="204"/>
      <c r="D2480" s="204"/>
      <c r="E2480" s="204"/>
      <c r="F2480" s="204"/>
      <c r="G2480" s="204"/>
      <c r="H2480" s="204"/>
      <c r="I2480" s="204"/>
      <c r="J2480" s="204"/>
      <c r="K2480" s="204"/>
      <c r="L2480" s="204"/>
      <c r="M2480" s="204"/>
      <c r="N2480" s="204"/>
      <c r="O2480" s="204"/>
      <c r="P2480" s="204"/>
      <c r="T2480" s="217"/>
    </row>
    <row r="2481" spans="2:20">
      <c r="B2481" s="204"/>
      <c r="C2481" s="204"/>
      <c r="D2481" s="204"/>
      <c r="E2481" s="204"/>
      <c r="F2481" s="204"/>
      <c r="G2481" s="204"/>
      <c r="H2481" s="204"/>
      <c r="I2481" s="204"/>
      <c r="J2481" s="204"/>
      <c r="K2481" s="204"/>
      <c r="L2481" s="204"/>
      <c r="M2481" s="204"/>
      <c r="N2481" s="204"/>
      <c r="O2481" s="204"/>
      <c r="P2481" s="204"/>
      <c r="T2481" s="217"/>
    </row>
    <row r="2482" spans="2:20">
      <c r="B2482" s="204"/>
      <c r="C2482" s="204"/>
      <c r="D2482" s="204"/>
      <c r="E2482" s="204"/>
      <c r="F2482" s="204"/>
      <c r="G2482" s="204"/>
      <c r="H2482" s="204"/>
      <c r="I2482" s="204"/>
      <c r="J2482" s="204"/>
      <c r="K2482" s="204"/>
      <c r="L2482" s="204"/>
      <c r="M2482" s="204"/>
      <c r="N2482" s="204"/>
      <c r="O2482" s="204"/>
      <c r="P2482" s="204"/>
      <c r="T2482" s="217"/>
    </row>
    <row r="2483" spans="2:20">
      <c r="B2483" s="204"/>
      <c r="C2483" s="204"/>
      <c r="D2483" s="204"/>
      <c r="E2483" s="204"/>
      <c r="F2483" s="204"/>
      <c r="G2483" s="204"/>
      <c r="H2483" s="204"/>
      <c r="I2483" s="204"/>
      <c r="J2483" s="204"/>
      <c r="K2483" s="204"/>
      <c r="L2483" s="204"/>
      <c r="M2483" s="204"/>
      <c r="N2483" s="204"/>
      <c r="O2483" s="204"/>
      <c r="P2483" s="204"/>
      <c r="T2483" s="217"/>
    </row>
    <row r="2484" spans="2:20">
      <c r="B2484" s="204"/>
      <c r="C2484" s="204"/>
      <c r="D2484" s="204"/>
      <c r="E2484" s="204"/>
      <c r="F2484" s="204"/>
      <c r="G2484" s="204"/>
      <c r="H2484" s="204"/>
      <c r="I2484" s="204"/>
      <c r="J2484" s="204"/>
      <c r="K2484" s="204"/>
      <c r="L2484" s="204"/>
      <c r="M2484" s="204"/>
      <c r="N2484" s="204"/>
      <c r="O2484" s="204"/>
      <c r="P2484" s="204"/>
      <c r="T2484" s="217"/>
    </row>
    <row r="2485" spans="2:20">
      <c r="B2485" s="204"/>
      <c r="C2485" s="204"/>
      <c r="D2485" s="204"/>
      <c r="E2485" s="204"/>
      <c r="F2485" s="204"/>
      <c r="G2485" s="204"/>
      <c r="H2485" s="204"/>
      <c r="I2485" s="204"/>
      <c r="J2485" s="204"/>
      <c r="K2485" s="204"/>
      <c r="L2485" s="204"/>
      <c r="M2485" s="204"/>
      <c r="N2485" s="204"/>
      <c r="O2485" s="204"/>
      <c r="P2485" s="204"/>
      <c r="T2485" s="217"/>
    </row>
    <row r="2486" spans="2:20">
      <c r="B2486" s="204"/>
      <c r="C2486" s="204"/>
      <c r="D2486" s="204"/>
      <c r="E2486" s="204"/>
      <c r="F2486" s="204"/>
      <c r="G2486" s="204"/>
      <c r="H2486" s="204"/>
      <c r="I2486" s="204"/>
      <c r="J2486" s="204"/>
      <c r="K2486" s="204"/>
      <c r="L2486" s="204"/>
      <c r="M2486" s="204"/>
      <c r="N2486" s="204"/>
      <c r="O2486" s="204"/>
      <c r="P2486" s="204"/>
      <c r="T2486" s="217"/>
    </row>
    <row r="2487" spans="2:20">
      <c r="B2487" s="204"/>
      <c r="C2487" s="204"/>
      <c r="D2487" s="204"/>
      <c r="E2487" s="204"/>
      <c r="F2487" s="204"/>
      <c r="G2487" s="204"/>
      <c r="H2487" s="204"/>
      <c r="I2487" s="204"/>
      <c r="J2487" s="204"/>
      <c r="K2487" s="204"/>
      <c r="L2487" s="204"/>
      <c r="M2487" s="204"/>
      <c r="N2487" s="204"/>
      <c r="O2487" s="204"/>
      <c r="P2487" s="204"/>
      <c r="T2487" s="217"/>
    </row>
    <row r="2488" spans="2:20">
      <c r="B2488" s="204"/>
      <c r="C2488" s="204"/>
      <c r="D2488" s="204"/>
      <c r="E2488" s="204"/>
      <c r="F2488" s="204"/>
      <c r="G2488" s="204"/>
      <c r="H2488" s="204"/>
      <c r="I2488" s="204"/>
      <c r="J2488" s="204"/>
      <c r="K2488" s="204"/>
      <c r="L2488" s="204"/>
      <c r="M2488" s="204"/>
      <c r="N2488" s="204"/>
      <c r="O2488" s="204"/>
      <c r="P2488" s="204"/>
      <c r="T2488" s="217"/>
    </row>
    <row r="2489" spans="2:20">
      <c r="B2489" s="204"/>
      <c r="C2489" s="204"/>
      <c r="D2489" s="204"/>
      <c r="E2489" s="204"/>
      <c r="F2489" s="204"/>
      <c r="G2489" s="204"/>
      <c r="H2489" s="204"/>
      <c r="I2489" s="204"/>
      <c r="J2489" s="204"/>
      <c r="K2489" s="204"/>
      <c r="L2489" s="204"/>
      <c r="M2489" s="204"/>
      <c r="N2489" s="204"/>
      <c r="O2489" s="204"/>
      <c r="P2489" s="204"/>
      <c r="T2489" s="217"/>
    </row>
    <row r="2490" spans="2:20">
      <c r="B2490" s="204"/>
      <c r="C2490" s="204"/>
      <c r="D2490" s="204"/>
      <c r="E2490" s="204"/>
      <c r="F2490" s="204"/>
      <c r="G2490" s="204"/>
      <c r="H2490" s="204"/>
      <c r="I2490" s="204"/>
      <c r="J2490" s="204"/>
      <c r="K2490" s="204"/>
      <c r="L2490" s="204"/>
      <c r="M2490" s="204"/>
      <c r="N2490" s="204"/>
      <c r="O2490" s="204"/>
      <c r="P2490" s="204"/>
      <c r="T2490" s="217"/>
    </row>
    <row r="2491" spans="2:20">
      <c r="B2491" s="204"/>
      <c r="C2491" s="204"/>
      <c r="D2491" s="204"/>
      <c r="E2491" s="204"/>
      <c r="F2491" s="204"/>
      <c r="G2491" s="204"/>
      <c r="H2491" s="204"/>
      <c r="I2491" s="204"/>
      <c r="J2491" s="204"/>
      <c r="K2491" s="204"/>
      <c r="L2491" s="204"/>
      <c r="M2491" s="204"/>
      <c r="N2491" s="204"/>
      <c r="O2491" s="204"/>
      <c r="P2491" s="204"/>
      <c r="T2491" s="217"/>
    </row>
    <row r="2492" spans="2:20">
      <c r="B2492" s="204"/>
      <c r="C2492" s="204"/>
      <c r="D2492" s="204"/>
      <c r="E2492" s="204"/>
      <c r="F2492" s="204"/>
      <c r="G2492" s="204"/>
      <c r="H2492" s="204"/>
      <c r="I2492" s="204"/>
      <c r="J2492" s="204"/>
      <c r="K2492" s="204"/>
      <c r="L2492" s="204"/>
      <c r="M2492" s="204"/>
      <c r="N2492" s="204"/>
      <c r="O2492" s="204"/>
      <c r="P2492" s="204"/>
      <c r="T2492" s="217"/>
    </row>
    <row r="2493" spans="2:20">
      <c r="B2493" s="204"/>
      <c r="C2493" s="204"/>
      <c r="D2493" s="204"/>
      <c r="E2493" s="204"/>
      <c r="F2493" s="204"/>
      <c r="G2493" s="204"/>
      <c r="H2493" s="204"/>
      <c r="I2493" s="204"/>
      <c r="J2493" s="204"/>
      <c r="K2493" s="204"/>
      <c r="L2493" s="204"/>
      <c r="M2493" s="204"/>
      <c r="N2493" s="204"/>
      <c r="O2493" s="204"/>
      <c r="P2493" s="204"/>
      <c r="T2493" s="217"/>
    </row>
    <row r="2494" spans="2:20">
      <c r="B2494" s="204"/>
      <c r="C2494" s="204"/>
      <c r="D2494" s="204"/>
      <c r="E2494" s="204"/>
      <c r="F2494" s="204"/>
      <c r="G2494" s="204"/>
      <c r="H2494" s="204"/>
      <c r="I2494" s="204"/>
      <c r="J2494" s="204"/>
      <c r="K2494" s="204"/>
      <c r="L2494" s="204"/>
      <c r="M2494" s="204"/>
      <c r="N2494" s="204"/>
      <c r="O2494" s="204"/>
      <c r="P2494" s="204"/>
      <c r="T2494" s="217"/>
    </row>
    <row r="2495" spans="2:20">
      <c r="B2495" s="204"/>
      <c r="C2495" s="204"/>
      <c r="D2495" s="204"/>
      <c r="E2495" s="204"/>
      <c r="F2495" s="204"/>
      <c r="G2495" s="204"/>
      <c r="H2495" s="204"/>
      <c r="I2495" s="204"/>
      <c r="J2495" s="204"/>
      <c r="K2495" s="204"/>
      <c r="L2495" s="204"/>
      <c r="M2495" s="204"/>
      <c r="N2495" s="204"/>
      <c r="O2495" s="204"/>
      <c r="P2495" s="204"/>
      <c r="T2495" s="217"/>
    </row>
    <row r="2496" spans="2:20">
      <c r="B2496" s="204"/>
      <c r="C2496" s="204"/>
      <c r="D2496" s="204"/>
      <c r="E2496" s="204"/>
      <c r="F2496" s="204"/>
      <c r="G2496" s="204"/>
      <c r="H2496" s="204"/>
      <c r="I2496" s="204"/>
      <c r="J2496" s="204"/>
      <c r="K2496" s="204"/>
      <c r="L2496" s="204"/>
      <c r="M2496" s="204"/>
      <c r="N2496" s="204"/>
      <c r="O2496" s="204"/>
      <c r="P2496" s="204"/>
      <c r="T2496" s="217"/>
    </row>
    <row r="2497" spans="2:20">
      <c r="B2497" s="204"/>
      <c r="C2497" s="204"/>
      <c r="D2497" s="204"/>
      <c r="E2497" s="204"/>
      <c r="F2497" s="204"/>
      <c r="G2497" s="204"/>
      <c r="H2497" s="204"/>
      <c r="I2497" s="204"/>
      <c r="J2497" s="204"/>
      <c r="K2497" s="204"/>
      <c r="L2497" s="204"/>
      <c r="M2497" s="204"/>
      <c r="N2497" s="204"/>
      <c r="O2497" s="204"/>
      <c r="P2497" s="204"/>
      <c r="T2497" s="217"/>
    </row>
    <row r="2498" spans="2:20">
      <c r="B2498" s="204"/>
      <c r="C2498" s="204"/>
      <c r="D2498" s="204"/>
      <c r="E2498" s="204"/>
      <c r="F2498" s="204"/>
      <c r="G2498" s="204"/>
      <c r="H2498" s="204"/>
      <c r="I2498" s="204"/>
      <c r="J2498" s="204"/>
      <c r="K2498" s="204"/>
      <c r="L2498" s="204"/>
      <c r="M2498" s="204"/>
      <c r="N2498" s="204"/>
      <c r="O2498" s="204"/>
      <c r="P2498" s="204"/>
      <c r="T2498" s="217"/>
    </row>
    <row r="2499" spans="2:20">
      <c r="B2499" s="204"/>
      <c r="C2499" s="204"/>
      <c r="D2499" s="204"/>
      <c r="E2499" s="204"/>
      <c r="F2499" s="204"/>
      <c r="G2499" s="204"/>
      <c r="H2499" s="204"/>
      <c r="I2499" s="204"/>
      <c r="J2499" s="204"/>
      <c r="K2499" s="204"/>
      <c r="L2499" s="204"/>
      <c r="M2499" s="204"/>
      <c r="N2499" s="204"/>
      <c r="O2499" s="204"/>
      <c r="P2499" s="204"/>
      <c r="T2499" s="217"/>
    </row>
    <row r="2500" spans="2:20">
      <c r="B2500" s="204"/>
      <c r="C2500" s="204"/>
      <c r="D2500" s="204"/>
      <c r="E2500" s="204"/>
      <c r="F2500" s="204"/>
      <c r="G2500" s="204"/>
      <c r="H2500" s="204"/>
      <c r="I2500" s="204"/>
      <c r="J2500" s="204"/>
      <c r="K2500" s="204"/>
      <c r="L2500" s="204"/>
      <c r="M2500" s="204"/>
      <c r="N2500" s="204"/>
      <c r="O2500" s="204"/>
      <c r="P2500" s="204"/>
      <c r="T2500" s="217"/>
    </row>
    <row r="2501" spans="2:20">
      <c r="B2501" s="204"/>
      <c r="C2501" s="204"/>
      <c r="D2501" s="204"/>
      <c r="E2501" s="204"/>
      <c r="F2501" s="204"/>
      <c r="G2501" s="204"/>
      <c r="H2501" s="204"/>
      <c r="I2501" s="204"/>
      <c r="J2501" s="204"/>
      <c r="K2501" s="204"/>
      <c r="L2501" s="204"/>
      <c r="M2501" s="204"/>
      <c r="N2501" s="204"/>
      <c r="O2501" s="204"/>
      <c r="P2501" s="204"/>
      <c r="T2501" s="217"/>
    </row>
    <row r="2502" spans="2:20">
      <c r="B2502" s="204"/>
      <c r="C2502" s="204"/>
      <c r="D2502" s="204"/>
      <c r="E2502" s="204"/>
      <c r="F2502" s="204"/>
      <c r="G2502" s="204"/>
      <c r="H2502" s="204"/>
      <c r="I2502" s="204"/>
      <c r="J2502" s="204"/>
      <c r="K2502" s="204"/>
      <c r="L2502" s="204"/>
      <c r="M2502" s="204"/>
      <c r="N2502" s="204"/>
      <c r="O2502" s="204"/>
      <c r="P2502" s="204"/>
      <c r="T2502" s="217"/>
    </row>
    <row r="2503" spans="2:20">
      <c r="B2503" s="204"/>
      <c r="C2503" s="204"/>
      <c r="D2503" s="204"/>
      <c r="E2503" s="204"/>
      <c r="F2503" s="204"/>
      <c r="G2503" s="204"/>
      <c r="H2503" s="204"/>
      <c r="I2503" s="204"/>
      <c r="J2503" s="204"/>
      <c r="K2503" s="204"/>
      <c r="L2503" s="204"/>
      <c r="M2503" s="204"/>
      <c r="N2503" s="204"/>
      <c r="O2503" s="204"/>
      <c r="P2503" s="204"/>
      <c r="T2503" s="217"/>
    </row>
    <row r="2504" spans="2:20">
      <c r="B2504" s="204"/>
      <c r="C2504" s="204"/>
      <c r="D2504" s="204"/>
      <c r="E2504" s="204"/>
      <c r="F2504" s="204"/>
      <c r="G2504" s="204"/>
      <c r="H2504" s="204"/>
      <c r="I2504" s="204"/>
      <c r="J2504" s="204"/>
      <c r="K2504" s="204"/>
      <c r="L2504" s="204"/>
      <c r="M2504" s="204"/>
      <c r="N2504" s="204"/>
      <c r="O2504" s="204"/>
      <c r="P2504" s="204"/>
      <c r="T2504" s="217"/>
    </row>
    <row r="2505" spans="2:20">
      <c r="B2505" s="204"/>
      <c r="C2505" s="204"/>
      <c r="D2505" s="204"/>
      <c r="E2505" s="204"/>
      <c r="F2505" s="204"/>
      <c r="G2505" s="204"/>
      <c r="H2505" s="204"/>
      <c r="I2505" s="204"/>
      <c r="J2505" s="204"/>
      <c r="K2505" s="204"/>
      <c r="L2505" s="204"/>
      <c r="M2505" s="204"/>
      <c r="N2505" s="204"/>
      <c r="O2505" s="204"/>
      <c r="P2505" s="204"/>
      <c r="T2505" s="217"/>
    </row>
    <row r="2506" spans="2:20">
      <c r="B2506" s="204"/>
      <c r="C2506" s="204"/>
      <c r="D2506" s="204"/>
      <c r="E2506" s="204"/>
      <c r="F2506" s="204"/>
      <c r="G2506" s="204"/>
      <c r="H2506" s="204"/>
      <c r="I2506" s="204"/>
      <c r="J2506" s="204"/>
      <c r="K2506" s="204"/>
      <c r="L2506" s="204"/>
      <c r="M2506" s="204"/>
      <c r="N2506" s="204"/>
      <c r="O2506" s="204"/>
      <c r="P2506" s="204"/>
      <c r="T2506" s="217"/>
    </row>
    <row r="2507" spans="2:20">
      <c r="B2507" s="204"/>
      <c r="C2507" s="204"/>
      <c r="D2507" s="204"/>
      <c r="E2507" s="204"/>
      <c r="F2507" s="204"/>
      <c r="G2507" s="204"/>
      <c r="H2507" s="204"/>
      <c r="I2507" s="204"/>
      <c r="J2507" s="204"/>
      <c r="K2507" s="204"/>
      <c r="L2507" s="204"/>
      <c r="M2507" s="204"/>
      <c r="N2507" s="204"/>
      <c r="O2507" s="204"/>
      <c r="P2507" s="204"/>
      <c r="T2507" s="217"/>
    </row>
    <row r="2508" spans="2:20">
      <c r="B2508" s="204"/>
      <c r="C2508" s="204"/>
      <c r="D2508" s="204"/>
      <c r="E2508" s="204"/>
      <c r="F2508" s="204"/>
      <c r="G2508" s="204"/>
      <c r="H2508" s="204"/>
      <c r="I2508" s="204"/>
      <c r="J2508" s="204"/>
      <c r="K2508" s="204"/>
      <c r="L2508" s="204"/>
      <c r="M2508" s="204"/>
      <c r="N2508" s="204"/>
      <c r="O2508" s="204"/>
      <c r="P2508" s="204"/>
      <c r="T2508" s="217"/>
    </row>
    <row r="2509" spans="2:20">
      <c r="B2509" s="204"/>
      <c r="C2509" s="204"/>
      <c r="D2509" s="204"/>
      <c r="E2509" s="204"/>
      <c r="F2509" s="204"/>
      <c r="G2509" s="204"/>
      <c r="H2509" s="204"/>
      <c r="I2509" s="204"/>
      <c r="J2509" s="204"/>
      <c r="K2509" s="204"/>
      <c r="L2509" s="204"/>
      <c r="M2509" s="204"/>
      <c r="N2509" s="204"/>
      <c r="O2509" s="204"/>
      <c r="P2509" s="204"/>
      <c r="T2509" s="217"/>
    </row>
    <row r="2510" spans="2:20">
      <c r="B2510" s="204"/>
      <c r="C2510" s="204"/>
      <c r="D2510" s="204"/>
      <c r="E2510" s="204"/>
      <c r="F2510" s="204"/>
      <c r="G2510" s="204"/>
      <c r="H2510" s="204"/>
      <c r="I2510" s="204"/>
      <c r="J2510" s="204"/>
      <c r="K2510" s="204"/>
      <c r="L2510" s="204"/>
      <c r="M2510" s="204"/>
      <c r="N2510" s="204"/>
      <c r="O2510" s="204"/>
      <c r="P2510" s="204"/>
      <c r="T2510" s="217"/>
    </row>
    <row r="2511" spans="2:20">
      <c r="B2511" s="204"/>
      <c r="C2511" s="204"/>
      <c r="D2511" s="204"/>
      <c r="E2511" s="204"/>
      <c r="F2511" s="204"/>
      <c r="G2511" s="204"/>
      <c r="H2511" s="204"/>
      <c r="I2511" s="204"/>
      <c r="J2511" s="204"/>
      <c r="K2511" s="204"/>
      <c r="L2511" s="204"/>
      <c r="M2511" s="204"/>
      <c r="N2511" s="204"/>
      <c r="O2511" s="204"/>
      <c r="P2511" s="204"/>
      <c r="T2511" s="217"/>
    </row>
    <row r="2512" spans="2:20">
      <c r="B2512" s="204"/>
      <c r="C2512" s="204"/>
      <c r="D2512" s="204"/>
      <c r="E2512" s="204"/>
      <c r="F2512" s="204"/>
      <c r="G2512" s="204"/>
      <c r="H2512" s="204"/>
      <c r="I2512" s="204"/>
      <c r="J2512" s="204"/>
      <c r="K2512" s="204"/>
      <c r="L2512" s="204"/>
      <c r="M2512" s="204"/>
      <c r="N2512" s="204"/>
      <c r="O2512" s="204"/>
      <c r="P2512" s="204"/>
      <c r="T2512" s="217"/>
    </row>
    <row r="2513" spans="2:20">
      <c r="B2513" s="204"/>
      <c r="C2513" s="204"/>
      <c r="D2513" s="204"/>
      <c r="E2513" s="204"/>
      <c r="F2513" s="204"/>
      <c r="G2513" s="204"/>
      <c r="H2513" s="204"/>
      <c r="I2513" s="204"/>
      <c r="J2513" s="204"/>
      <c r="K2513" s="204"/>
      <c r="L2513" s="204"/>
      <c r="M2513" s="204"/>
      <c r="N2513" s="204"/>
      <c r="O2513" s="204"/>
      <c r="P2513" s="204"/>
      <c r="T2513" s="217"/>
    </row>
    <row r="2514" spans="2:20">
      <c r="B2514" s="204"/>
      <c r="C2514" s="204"/>
      <c r="D2514" s="204"/>
      <c r="E2514" s="204"/>
      <c r="F2514" s="204"/>
      <c r="G2514" s="204"/>
      <c r="H2514" s="204"/>
      <c r="I2514" s="204"/>
      <c r="J2514" s="204"/>
      <c r="K2514" s="204"/>
      <c r="L2514" s="204"/>
      <c r="M2514" s="204"/>
      <c r="N2514" s="204"/>
      <c r="O2514" s="204"/>
      <c r="P2514" s="204"/>
      <c r="T2514" s="217"/>
    </row>
    <row r="2515" spans="2:20">
      <c r="B2515" s="204"/>
      <c r="C2515" s="204"/>
      <c r="D2515" s="204"/>
      <c r="E2515" s="204"/>
      <c r="F2515" s="204"/>
      <c r="G2515" s="204"/>
      <c r="H2515" s="204"/>
      <c r="I2515" s="204"/>
      <c r="J2515" s="204"/>
      <c r="K2515" s="204"/>
      <c r="L2515" s="204"/>
      <c r="M2515" s="204"/>
      <c r="N2515" s="204"/>
      <c r="O2515" s="204"/>
      <c r="P2515" s="204"/>
      <c r="T2515" s="217"/>
    </row>
    <row r="2516" spans="2:20">
      <c r="B2516" s="204"/>
      <c r="C2516" s="204"/>
      <c r="D2516" s="204"/>
      <c r="E2516" s="204"/>
      <c r="F2516" s="204"/>
      <c r="G2516" s="204"/>
      <c r="H2516" s="204"/>
      <c r="I2516" s="204"/>
      <c r="J2516" s="204"/>
      <c r="K2516" s="204"/>
      <c r="L2516" s="204"/>
      <c r="M2516" s="204"/>
      <c r="N2516" s="204"/>
      <c r="O2516" s="204"/>
      <c r="P2516" s="204"/>
      <c r="T2516" s="217"/>
    </row>
    <row r="2517" spans="2:20">
      <c r="B2517" s="204"/>
      <c r="C2517" s="204"/>
      <c r="D2517" s="204"/>
      <c r="E2517" s="204"/>
      <c r="F2517" s="204"/>
      <c r="G2517" s="204"/>
      <c r="H2517" s="204"/>
      <c r="I2517" s="204"/>
      <c r="J2517" s="204"/>
      <c r="K2517" s="204"/>
      <c r="L2517" s="204"/>
      <c r="M2517" s="204"/>
      <c r="N2517" s="204"/>
      <c r="O2517" s="204"/>
      <c r="P2517" s="204"/>
      <c r="T2517" s="217"/>
    </row>
    <row r="2518" spans="2:20">
      <c r="B2518" s="204"/>
      <c r="C2518" s="204"/>
      <c r="D2518" s="204"/>
      <c r="E2518" s="204"/>
      <c r="F2518" s="204"/>
      <c r="G2518" s="204"/>
      <c r="H2518" s="204"/>
      <c r="I2518" s="204"/>
      <c r="J2518" s="204"/>
      <c r="K2518" s="204"/>
      <c r="L2518" s="204"/>
      <c r="M2518" s="204"/>
      <c r="N2518" s="204"/>
      <c r="O2518" s="204"/>
      <c r="P2518" s="204"/>
      <c r="T2518" s="217"/>
    </row>
    <row r="2519" spans="2:20">
      <c r="B2519" s="204"/>
      <c r="C2519" s="204"/>
      <c r="D2519" s="204"/>
      <c r="E2519" s="204"/>
      <c r="F2519" s="204"/>
      <c r="G2519" s="204"/>
      <c r="H2519" s="204"/>
      <c r="I2519" s="204"/>
      <c r="J2519" s="204"/>
      <c r="K2519" s="204"/>
      <c r="L2519" s="204"/>
      <c r="M2519" s="204"/>
      <c r="N2519" s="204"/>
      <c r="O2519" s="204"/>
      <c r="P2519" s="204"/>
      <c r="T2519" s="217"/>
    </row>
    <row r="2520" spans="2:20">
      <c r="B2520" s="204"/>
      <c r="C2520" s="204"/>
      <c r="D2520" s="204"/>
      <c r="E2520" s="204"/>
      <c r="F2520" s="204"/>
      <c r="G2520" s="204"/>
      <c r="H2520" s="204"/>
      <c r="I2520" s="204"/>
      <c r="J2520" s="204"/>
      <c r="K2520" s="204"/>
      <c r="L2520" s="204"/>
      <c r="M2520" s="204"/>
      <c r="N2520" s="204"/>
      <c r="O2520" s="204"/>
      <c r="P2520" s="204"/>
      <c r="T2520" s="217"/>
    </row>
    <row r="2521" spans="2:20">
      <c r="B2521" s="204"/>
      <c r="C2521" s="204"/>
      <c r="D2521" s="204"/>
      <c r="E2521" s="204"/>
      <c r="F2521" s="204"/>
      <c r="G2521" s="204"/>
      <c r="H2521" s="204"/>
      <c r="I2521" s="204"/>
      <c r="J2521" s="204"/>
      <c r="K2521" s="204"/>
      <c r="L2521" s="204"/>
      <c r="M2521" s="204"/>
      <c r="N2521" s="204"/>
      <c r="O2521" s="204"/>
      <c r="P2521" s="204"/>
      <c r="T2521" s="217"/>
    </row>
    <row r="2522" spans="2:20">
      <c r="B2522" s="204"/>
      <c r="C2522" s="204"/>
      <c r="D2522" s="204"/>
      <c r="E2522" s="204"/>
      <c r="F2522" s="204"/>
      <c r="G2522" s="204"/>
      <c r="H2522" s="204"/>
      <c r="I2522" s="204"/>
      <c r="J2522" s="204"/>
      <c r="K2522" s="204"/>
      <c r="L2522" s="204"/>
      <c r="M2522" s="204"/>
      <c r="N2522" s="204"/>
      <c r="O2522" s="204"/>
      <c r="P2522" s="204"/>
      <c r="T2522" s="217"/>
    </row>
    <row r="2523" spans="2:20">
      <c r="B2523" s="204"/>
      <c r="C2523" s="204"/>
      <c r="D2523" s="204"/>
      <c r="E2523" s="204"/>
      <c r="F2523" s="204"/>
      <c r="G2523" s="204"/>
      <c r="H2523" s="204"/>
      <c r="I2523" s="204"/>
      <c r="J2523" s="204"/>
      <c r="K2523" s="204"/>
      <c r="L2523" s="204"/>
      <c r="M2523" s="204"/>
      <c r="N2523" s="204"/>
      <c r="O2523" s="204"/>
      <c r="P2523" s="204"/>
      <c r="T2523" s="217"/>
    </row>
    <row r="2524" spans="2:20">
      <c r="B2524" s="204"/>
      <c r="C2524" s="204"/>
      <c r="D2524" s="204"/>
      <c r="E2524" s="204"/>
      <c r="F2524" s="204"/>
      <c r="G2524" s="204"/>
      <c r="H2524" s="204"/>
      <c r="I2524" s="204"/>
      <c r="J2524" s="204"/>
      <c r="K2524" s="204"/>
      <c r="L2524" s="204"/>
      <c r="M2524" s="204"/>
      <c r="N2524" s="204"/>
      <c r="O2524" s="204"/>
      <c r="P2524" s="204"/>
      <c r="T2524" s="217"/>
    </row>
    <row r="2525" spans="2:20">
      <c r="B2525" s="204"/>
      <c r="C2525" s="204"/>
      <c r="D2525" s="204"/>
      <c r="E2525" s="204"/>
      <c r="F2525" s="204"/>
      <c r="G2525" s="204"/>
      <c r="H2525" s="204"/>
      <c r="I2525" s="204"/>
      <c r="J2525" s="204"/>
      <c r="K2525" s="204"/>
      <c r="L2525" s="204"/>
      <c r="M2525" s="204"/>
      <c r="N2525" s="204"/>
      <c r="O2525" s="204"/>
      <c r="P2525" s="204"/>
      <c r="T2525" s="217"/>
    </row>
    <row r="2526" spans="2:20">
      <c r="B2526" s="204"/>
      <c r="C2526" s="204"/>
      <c r="D2526" s="204"/>
      <c r="E2526" s="204"/>
      <c r="F2526" s="204"/>
      <c r="G2526" s="204"/>
      <c r="H2526" s="204"/>
      <c r="I2526" s="204"/>
      <c r="J2526" s="204"/>
      <c r="K2526" s="204"/>
      <c r="L2526" s="204"/>
      <c r="M2526" s="204"/>
      <c r="N2526" s="204"/>
      <c r="O2526" s="204"/>
      <c r="P2526" s="204"/>
      <c r="T2526" s="217"/>
    </row>
    <row r="2527" spans="2:20">
      <c r="B2527" s="204"/>
      <c r="C2527" s="204"/>
      <c r="D2527" s="204"/>
      <c r="E2527" s="204"/>
      <c r="F2527" s="204"/>
      <c r="G2527" s="204"/>
      <c r="H2527" s="204"/>
      <c r="I2527" s="204"/>
      <c r="J2527" s="204"/>
      <c r="K2527" s="204"/>
      <c r="L2527" s="204"/>
      <c r="M2527" s="204"/>
      <c r="N2527" s="204"/>
      <c r="O2527" s="204"/>
      <c r="P2527" s="204"/>
      <c r="T2527" s="217"/>
    </row>
    <row r="2528" spans="2:20">
      <c r="B2528" s="204"/>
      <c r="C2528" s="204"/>
      <c r="D2528" s="204"/>
      <c r="E2528" s="204"/>
      <c r="F2528" s="204"/>
      <c r="G2528" s="204"/>
      <c r="H2528" s="204"/>
      <c r="I2528" s="204"/>
      <c r="J2528" s="204"/>
      <c r="K2528" s="204"/>
      <c r="L2528" s="204"/>
      <c r="M2528" s="204"/>
      <c r="N2528" s="204"/>
      <c r="O2528" s="204"/>
      <c r="P2528" s="204"/>
      <c r="T2528" s="217"/>
    </row>
    <row r="2529" spans="2:20">
      <c r="B2529" s="204"/>
      <c r="C2529" s="204"/>
      <c r="D2529" s="204"/>
      <c r="E2529" s="204"/>
      <c r="F2529" s="204"/>
      <c r="G2529" s="204"/>
      <c r="H2529" s="204"/>
      <c r="I2529" s="204"/>
      <c r="J2529" s="204"/>
      <c r="K2529" s="204"/>
      <c r="L2529" s="204"/>
      <c r="M2529" s="204"/>
      <c r="N2529" s="204"/>
      <c r="O2529" s="204"/>
      <c r="P2529" s="204"/>
      <c r="T2529" s="217"/>
    </row>
    <row r="2530" spans="2:20">
      <c r="B2530" s="204"/>
      <c r="C2530" s="204"/>
      <c r="D2530" s="204"/>
      <c r="E2530" s="204"/>
      <c r="F2530" s="204"/>
      <c r="G2530" s="204"/>
      <c r="H2530" s="204"/>
      <c r="I2530" s="204"/>
      <c r="J2530" s="204"/>
      <c r="K2530" s="204"/>
      <c r="L2530" s="204"/>
      <c r="M2530" s="204"/>
      <c r="N2530" s="204"/>
      <c r="O2530" s="204"/>
      <c r="P2530" s="204"/>
      <c r="T2530" s="217"/>
    </row>
    <row r="2531" spans="2:20">
      <c r="B2531" s="204"/>
      <c r="C2531" s="204"/>
      <c r="D2531" s="204"/>
      <c r="E2531" s="204"/>
      <c r="F2531" s="204"/>
      <c r="G2531" s="204"/>
      <c r="H2531" s="204"/>
      <c r="I2531" s="204"/>
      <c r="J2531" s="204"/>
      <c r="K2531" s="204"/>
      <c r="L2531" s="204"/>
      <c r="M2531" s="204"/>
      <c r="N2531" s="204"/>
      <c r="O2531" s="204"/>
      <c r="P2531" s="204"/>
      <c r="T2531" s="217"/>
    </row>
    <row r="2532" spans="2:20">
      <c r="B2532" s="204"/>
      <c r="C2532" s="204"/>
      <c r="D2532" s="204"/>
      <c r="E2532" s="204"/>
      <c r="F2532" s="204"/>
      <c r="G2532" s="204"/>
      <c r="H2532" s="204"/>
      <c r="I2532" s="204"/>
      <c r="J2532" s="204"/>
      <c r="K2532" s="204"/>
      <c r="L2532" s="204"/>
      <c r="M2532" s="204"/>
      <c r="N2532" s="204"/>
      <c r="O2532" s="204"/>
      <c r="P2532" s="204"/>
      <c r="T2532" s="217"/>
    </row>
    <row r="2533" spans="2:20">
      <c r="B2533" s="204"/>
      <c r="C2533" s="204"/>
      <c r="D2533" s="204"/>
      <c r="E2533" s="204"/>
      <c r="F2533" s="204"/>
      <c r="G2533" s="204"/>
      <c r="H2533" s="204"/>
      <c r="I2533" s="204"/>
      <c r="J2533" s="204"/>
      <c r="K2533" s="204"/>
      <c r="L2533" s="204"/>
      <c r="M2533" s="204"/>
      <c r="N2533" s="204"/>
      <c r="O2533" s="204"/>
      <c r="P2533" s="204"/>
      <c r="T2533" s="217"/>
    </row>
    <row r="2534" spans="2:20">
      <c r="B2534" s="204"/>
      <c r="C2534" s="204"/>
      <c r="D2534" s="204"/>
      <c r="E2534" s="204"/>
      <c r="F2534" s="204"/>
      <c r="G2534" s="204"/>
      <c r="H2534" s="204"/>
      <c r="I2534" s="204"/>
      <c r="J2534" s="204"/>
      <c r="K2534" s="204"/>
      <c r="L2534" s="204"/>
      <c r="M2534" s="204"/>
      <c r="N2534" s="204"/>
      <c r="O2534" s="204"/>
      <c r="P2534" s="204"/>
      <c r="T2534" s="217"/>
    </row>
    <row r="2535" spans="2:20">
      <c r="B2535" s="204"/>
      <c r="C2535" s="204"/>
      <c r="D2535" s="204"/>
      <c r="E2535" s="204"/>
      <c r="F2535" s="204"/>
      <c r="G2535" s="204"/>
      <c r="H2535" s="204"/>
      <c r="I2535" s="204"/>
      <c r="J2535" s="204"/>
      <c r="K2535" s="204"/>
      <c r="L2535" s="204"/>
      <c r="M2535" s="204"/>
      <c r="N2535" s="204"/>
      <c r="O2535" s="204"/>
      <c r="P2535" s="204"/>
      <c r="T2535" s="217"/>
    </row>
    <row r="2536" spans="2:20">
      <c r="B2536" s="204"/>
      <c r="C2536" s="204"/>
      <c r="D2536" s="204"/>
      <c r="E2536" s="204"/>
      <c r="F2536" s="204"/>
      <c r="G2536" s="204"/>
      <c r="H2536" s="204"/>
      <c r="I2536" s="204"/>
      <c r="J2536" s="204"/>
      <c r="K2536" s="204"/>
      <c r="L2536" s="204"/>
      <c r="M2536" s="204"/>
      <c r="N2536" s="204"/>
      <c r="O2536" s="204"/>
      <c r="P2536" s="204"/>
      <c r="T2536" s="217"/>
    </row>
    <row r="2537" spans="2:20">
      <c r="B2537" s="204"/>
      <c r="C2537" s="204"/>
      <c r="D2537" s="204"/>
      <c r="E2537" s="204"/>
      <c r="F2537" s="204"/>
      <c r="G2537" s="204"/>
      <c r="H2537" s="204"/>
      <c r="I2537" s="204"/>
      <c r="J2537" s="204"/>
      <c r="K2537" s="204"/>
      <c r="L2537" s="204"/>
      <c r="M2537" s="204"/>
      <c r="N2537" s="204"/>
      <c r="O2537" s="204"/>
      <c r="P2537" s="204"/>
      <c r="T2537" s="217"/>
    </row>
    <row r="2538" spans="2:20">
      <c r="B2538" s="204"/>
      <c r="C2538" s="204"/>
      <c r="D2538" s="204"/>
      <c r="E2538" s="204"/>
      <c r="F2538" s="204"/>
      <c r="G2538" s="204"/>
      <c r="H2538" s="204"/>
      <c r="I2538" s="204"/>
      <c r="J2538" s="204"/>
      <c r="K2538" s="204"/>
      <c r="L2538" s="204"/>
      <c r="M2538" s="204"/>
      <c r="N2538" s="204"/>
      <c r="O2538" s="204"/>
      <c r="P2538" s="204"/>
      <c r="T2538" s="217"/>
    </row>
    <row r="2539" spans="2:20">
      <c r="B2539" s="204"/>
      <c r="C2539" s="204"/>
      <c r="D2539" s="204"/>
      <c r="E2539" s="204"/>
      <c r="F2539" s="204"/>
      <c r="G2539" s="204"/>
      <c r="H2539" s="204"/>
      <c r="I2539" s="204"/>
      <c r="J2539" s="204"/>
      <c r="K2539" s="204"/>
      <c r="L2539" s="204"/>
      <c r="M2539" s="204"/>
      <c r="N2539" s="204"/>
      <c r="O2539" s="204"/>
      <c r="P2539" s="204"/>
      <c r="T2539" s="217"/>
    </row>
    <row r="2540" spans="2:20">
      <c r="B2540" s="204"/>
      <c r="C2540" s="204"/>
      <c r="D2540" s="204"/>
      <c r="E2540" s="204"/>
      <c r="F2540" s="204"/>
      <c r="G2540" s="204"/>
      <c r="H2540" s="204"/>
      <c r="I2540" s="204"/>
      <c r="J2540" s="204"/>
      <c r="K2540" s="204"/>
      <c r="L2540" s="204"/>
      <c r="M2540" s="204"/>
      <c r="N2540" s="204"/>
      <c r="O2540" s="204"/>
      <c r="P2540" s="204"/>
      <c r="T2540" s="217"/>
    </row>
    <row r="2541" spans="2:20">
      <c r="B2541" s="204"/>
      <c r="C2541" s="204"/>
      <c r="D2541" s="204"/>
      <c r="E2541" s="204"/>
      <c r="F2541" s="204"/>
      <c r="G2541" s="204"/>
      <c r="H2541" s="204"/>
      <c r="I2541" s="204"/>
      <c r="J2541" s="204"/>
      <c r="K2541" s="204"/>
      <c r="L2541" s="204"/>
      <c r="M2541" s="204"/>
      <c r="N2541" s="204"/>
      <c r="O2541" s="204"/>
      <c r="P2541" s="204"/>
      <c r="T2541" s="217"/>
    </row>
    <row r="2542" spans="2:20">
      <c r="B2542" s="204"/>
      <c r="C2542" s="204"/>
      <c r="D2542" s="204"/>
      <c r="E2542" s="204"/>
      <c r="F2542" s="204"/>
      <c r="G2542" s="204"/>
      <c r="H2542" s="204"/>
      <c r="I2542" s="204"/>
      <c r="J2542" s="204"/>
      <c r="K2542" s="204"/>
      <c r="L2542" s="204"/>
      <c r="M2542" s="204"/>
      <c r="N2542" s="204"/>
      <c r="O2542" s="204"/>
      <c r="P2542" s="204"/>
      <c r="T2542" s="217"/>
    </row>
    <row r="2543" spans="2:20">
      <c r="B2543" s="204"/>
      <c r="C2543" s="204"/>
      <c r="D2543" s="204"/>
      <c r="E2543" s="204"/>
      <c r="F2543" s="204"/>
      <c r="G2543" s="204"/>
      <c r="H2543" s="204"/>
      <c r="I2543" s="204"/>
      <c r="J2543" s="204"/>
      <c r="K2543" s="204"/>
      <c r="L2543" s="204"/>
      <c r="M2543" s="204"/>
      <c r="N2543" s="204"/>
      <c r="O2543" s="204"/>
      <c r="P2543" s="204"/>
      <c r="T2543" s="217"/>
    </row>
    <row r="2544" spans="2:20">
      <c r="B2544" s="204"/>
      <c r="C2544" s="204"/>
      <c r="D2544" s="204"/>
      <c r="E2544" s="204"/>
      <c r="F2544" s="204"/>
      <c r="G2544" s="204"/>
      <c r="H2544" s="204"/>
      <c r="I2544" s="204"/>
      <c r="J2544" s="204"/>
      <c r="K2544" s="204"/>
      <c r="L2544" s="204"/>
      <c r="M2544" s="204"/>
      <c r="N2544" s="204"/>
      <c r="O2544" s="204"/>
      <c r="P2544" s="204"/>
      <c r="T2544" s="217"/>
    </row>
    <row r="2545" spans="2:20">
      <c r="B2545" s="204"/>
      <c r="C2545" s="204"/>
      <c r="D2545" s="204"/>
      <c r="E2545" s="204"/>
      <c r="F2545" s="204"/>
      <c r="G2545" s="204"/>
      <c r="H2545" s="204"/>
      <c r="I2545" s="204"/>
      <c r="J2545" s="204"/>
      <c r="K2545" s="204"/>
      <c r="L2545" s="204"/>
      <c r="M2545" s="204"/>
      <c r="N2545" s="204"/>
      <c r="O2545" s="204"/>
      <c r="P2545" s="204"/>
      <c r="T2545" s="217"/>
    </row>
    <row r="2546" spans="2:20">
      <c r="B2546" s="204"/>
      <c r="C2546" s="204"/>
      <c r="D2546" s="204"/>
      <c r="E2546" s="204"/>
      <c r="F2546" s="204"/>
      <c r="G2546" s="204"/>
      <c r="H2546" s="204"/>
      <c r="I2546" s="204"/>
      <c r="J2546" s="204"/>
      <c r="K2546" s="204"/>
      <c r="L2546" s="204"/>
      <c r="M2546" s="204"/>
      <c r="N2546" s="204"/>
      <c r="O2546" s="204"/>
      <c r="P2546" s="204"/>
      <c r="T2546" s="217"/>
    </row>
    <row r="2547" spans="2:20">
      <c r="B2547" s="204"/>
      <c r="C2547" s="204"/>
      <c r="D2547" s="204"/>
      <c r="E2547" s="204"/>
      <c r="F2547" s="204"/>
      <c r="G2547" s="204"/>
      <c r="H2547" s="204"/>
      <c r="I2547" s="204"/>
      <c r="J2547" s="204"/>
      <c r="K2547" s="204"/>
      <c r="L2547" s="204"/>
      <c r="M2547" s="204"/>
      <c r="N2547" s="204"/>
      <c r="O2547" s="204"/>
      <c r="P2547" s="204"/>
      <c r="T2547" s="217"/>
    </row>
    <row r="2548" spans="2:20">
      <c r="B2548" s="204"/>
      <c r="C2548" s="204"/>
      <c r="D2548" s="204"/>
      <c r="E2548" s="204"/>
      <c r="F2548" s="204"/>
      <c r="G2548" s="204"/>
      <c r="H2548" s="204"/>
      <c r="I2548" s="204"/>
      <c r="J2548" s="204"/>
      <c r="K2548" s="204"/>
      <c r="L2548" s="204"/>
      <c r="M2548" s="204"/>
      <c r="N2548" s="204"/>
      <c r="O2548" s="204"/>
      <c r="P2548" s="204"/>
      <c r="T2548" s="217"/>
    </row>
    <row r="2549" spans="2:20">
      <c r="B2549" s="204"/>
      <c r="C2549" s="204"/>
      <c r="D2549" s="204"/>
      <c r="E2549" s="204"/>
      <c r="F2549" s="204"/>
      <c r="G2549" s="204"/>
      <c r="H2549" s="204"/>
      <c r="I2549" s="204"/>
      <c r="J2549" s="204"/>
      <c r="K2549" s="204"/>
      <c r="L2549" s="204"/>
      <c r="M2549" s="204"/>
      <c r="N2549" s="204"/>
      <c r="O2549" s="204"/>
      <c r="P2549" s="204"/>
      <c r="T2549" s="217"/>
    </row>
    <row r="2550" spans="2:20">
      <c r="B2550" s="204"/>
      <c r="C2550" s="204"/>
      <c r="D2550" s="204"/>
      <c r="E2550" s="204"/>
      <c r="F2550" s="204"/>
      <c r="G2550" s="204"/>
      <c r="H2550" s="204"/>
      <c r="I2550" s="204"/>
      <c r="J2550" s="204"/>
      <c r="K2550" s="204"/>
      <c r="L2550" s="204"/>
      <c r="M2550" s="204"/>
      <c r="N2550" s="204"/>
      <c r="O2550" s="204"/>
      <c r="P2550" s="204"/>
      <c r="T2550" s="217"/>
    </row>
    <row r="2551" spans="2:20">
      <c r="B2551" s="204"/>
      <c r="C2551" s="204"/>
      <c r="D2551" s="204"/>
      <c r="E2551" s="204"/>
      <c r="F2551" s="204"/>
      <c r="G2551" s="204"/>
      <c r="H2551" s="204"/>
      <c r="I2551" s="204"/>
      <c r="J2551" s="204"/>
      <c r="K2551" s="204"/>
      <c r="L2551" s="204"/>
      <c r="M2551" s="204"/>
      <c r="N2551" s="204"/>
      <c r="O2551" s="204"/>
      <c r="P2551" s="204"/>
      <c r="T2551" s="217"/>
    </row>
    <row r="2552" spans="2:20">
      <c r="B2552" s="204"/>
      <c r="C2552" s="204"/>
      <c r="D2552" s="204"/>
      <c r="E2552" s="204"/>
      <c r="F2552" s="204"/>
      <c r="G2552" s="204"/>
      <c r="H2552" s="204"/>
      <c r="I2552" s="204"/>
      <c r="J2552" s="204"/>
      <c r="K2552" s="204"/>
      <c r="L2552" s="204"/>
      <c r="M2552" s="204"/>
      <c r="N2552" s="204"/>
      <c r="O2552" s="204"/>
      <c r="P2552" s="204"/>
      <c r="T2552" s="217"/>
    </row>
    <row r="2553" spans="2:20">
      <c r="B2553" s="204"/>
      <c r="C2553" s="204"/>
      <c r="D2553" s="204"/>
      <c r="E2553" s="204"/>
      <c r="F2553" s="204"/>
      <c r="G2553" s="204"/>
      <c r="H2553" s="204"/>
      <c r="I2553" s="204"/>
      <c r="J2553" s="204"/>
      <c r="K2553" s="204"/>
      <c r="L2553" s="204"/>
      <c r="M2553" s="204"/>
      <c r="N2553" s="204"/>
      <c r="O2553" s="204"/>
      <c r="P2553" s="204"/>
      <c r="T2553" s="217"/>
    </row>
    <row r="2554" spans="2:20">
      <c r="B2554" s="204"/>
      <c r="C2554" s="204"/>
      <c r="D2554" s="204"/>
      <c r="E2554" s="204"/>
      <c r="F2554" s="204"/>
      <c r="G2554" s="204"/>
      <c r="H2554" s="204"/>
      <c r="I2554" s="204"/>
      <c r="J2554" s="204"/>
      <c r="K2554" s="204"/>
      <c r="L2554" s="204"/>
      <c r="M2554" s="204"/>
      <c r="N2554" s="204"/>
      <c r="O2554" s="204"/>
      <c r="P2554" s="204"/>
      <c r="T2554" s="217"/>
    </row>
    <row r="2555" spans="2:20">
      <c r="B2555" s="204"/>
      <c r="C2555" s="204"/>
      <c r="D2555" s="204"/>
      <c r="E2555" s="204"/>
      <c r="F2555" s="204"/>
      <c r="G2555" s="204"/>
      <c r="H2555" s="204"/>
      <c r="I2555" s="204"/>
      <c r="J2555" s="204"/>
      <c r="K2555" s="204"/>
      <c r="L2555" s="204"/>
      <c r="M2555" s="204"/>
      <c r="N2555" s="204"/>
      <c r="O2555" s="204"/>
      <c r="P2555" s="204"/>
      <c r="T2555" s="217"/>
    </row>
    <row r="2556" spans="2:20">
      <c r="B2556" s="204"/>
      <c r="C2556" s="204"/>
      <c r="D2556" s="204"/>
      <c r="E2556" s="204"/>
      <c r="F2556" s="204"/>
      <c r="G2556" s="204"/>
      <c r="H2556" s="204"/>
      <c r="I2556" s="204"/>
      <c r="J2556" s="204"/>
      <c r="K2556" s="204"/>
      <c r="L2556" s="204"/>
      <c r="M2556" s="204"/>
      <c r="N2556" s="204"/>
      <c r="O2556" s="204"/>
      <c r="P2556" s="204"/>
      <c r="T2556" s="217"/>
    </row>
    <row r="2557" spans="2:20">
      <c r="B2557" s="204"/>
      <c r="C2557" s="204"/>
      <c r="D2557" s="204"/>
      <c r="E2557" s="204"/>
      <c r="F2557" s="204"/>
      <c r="G2557" s="204"/>
      <c r="H2557" s="204"/>
      <c r="I2557" s="204"/>
      <c r="J2557" s="204"/>
      <c r="K2557" s="204"/>
      <c r="L2557" s="204"/>
      <c r="M2557" s="204"/>
      <c r="N2557" s="204"/>
      <c r="O2557" s="204"/>
      <c r="P2557" s="204"/>
      <c r="T2557" s="217"/>
    </row>
    <row r="2558" spans="2:20">
      <c r="B2558" s="204"/>
      <c r="C2558" s="204"/>
      <c r="D2558" s="204"/>
      <c r="E2558" s="204"/>
      <c r="F2558" s="204"/>
      <c r="G2558" s="204"/>
      <c r="H2558" s="204"/>
      <c r="I2558" s="204"/>
      <c r="J2558" s="204"/>
      <c r="K2558" s="204"/>
      <c r="L2558" s="204"/>
      <c r="M2558" s="204"/>
      <c r="N2558" s="204"/>
      <c r="O2558" s="204"/>
      <c r="P2558" s="204"/>
      <c r="T2558" s="217"/>
    </row>
    <row r="2559" spans="2:20">
      <c r="B2559" s="204"/>
      <c r="C2559" s="204"/>
      <c r="D2559" s="204"/>
      <c r="E2559" s="204"/>
      <c r="F2559" s="204"/>
      <c r="G2559" s="204"/>
      <c r="H2559" s="204"/>
      <c r="I2559" s="204"/>
      <c r="J2559" s="204"/>
      <c r="K2559" s="204"/>
      <c r="L2559" s="204"/>
      <c r="M2559" s="204"/>
      <c r="N2559" s="204"/>
      <c r="O2559" s="204"/>
      <c r="P2559" s="204"/>
      <c r="T2559" s="217"/>
    </row>
    <row r="2560" spans="2:20">
      <c r="B2560" s="204"/>
      <c r="C2560" s="204"/>
      <c r="D2560" s="204"/>
      <c r="E2560" s="204"/>
      <c r="F2560" s="204"/>
      <c r="G2560" s="204"/>
      <c r="H2560" s="204"/>
      <c r="I2560" s="204"/>
      <c r="J2560" s="204"/>
      <c r="K2560" s="204"/>
      <c r="L2560" s="204"/>
      <c r="M2560" s="204"/>
      <c r="N2560" s="204"/>
      <c r="O2560" s="204"/>
      <c r="P2560" s="204"/>
      <c r="T2560" s="217"/>
    </row>
    <row r="2561" spans="2:20">
      <c r="B2561" s="204"/>
      <c r="C2561" s="204"/>
      <c r="D2561" s="204"/>
      <c r="E2561" s="204"/>
      <c r="F2561" s="204"/>
      <c r="G2561" s="204"/>
      <c r="H2561" s="204"/>
      <c r="I2561" s="204"/>
      <c r="J2561" s="204"/>
      <c r="K2561" s="204"/>
      <c r="L2561" s="204"/>
      <c r="M2561" s="204"/>
      <c r="N2561" s="204"/>
      <c r="O2561" s="204"/>
      <c r="P2561" s="204"/>
      <c r="T2561" s="217"/>
    </row>
    <row r="2562" spans="2:20">
      <c r="B2562" s="204"/>
      <c r="C2562" s="204"/>
      <c r="D2562" s="204"/>
      <c r="E2562" s="204"/>
      <c r="F2562" s="204"/>
      <c r="G2562" s="204"/>
      <c r="H2562" s="204"/>
      <c r="I2562" s="204"/>
      <c r="J2562" s="204"/>
      <c r="K2562" s="204"/>
      <c r="L2562" s="204"/>
      <c r="M2562" s="204"/>
      <c r="N2562" s="204"/>
      <c r="O2562" s="204"/>
      <c r="P2562" s="204"/>
      <c r="T2562" s="217"/>
    </row>
    <row r="2563" spans="2:20">
      <c r="B2563" s="204"/>
      <c r="C2563" s="204"/>
      <c r="D2563" s="204"/>
      <c r="E2563" s="204"/>
      <c r="F2563" s="204"/>
      <c r="G2563" s="204"/>
      <c r="H2563" s="204"/>
      <c r="I2563" s="204"/>
      <c r="J2563" s="204"/>
      <c r="K2563" s="204"/>
      <c r="L2563" s="204"/>
      <c r="M2563" s="204"/>
      <c r="N2563" s="204"/>
      <c r="O2563" s="204"/>
      <c r="P2563" s="204"/>
      <c r="T2563" s="217"/>
    </row>
    <row r="2564" spans="2:20">
      <c r="B2564" s="204"/>
      <c r="C2564" s="204"/>
      <c r="D2564" s="204"/>
      <c r="E2564" s="204"/>
      <c r="F2564" s="204"/>
      <c r="G2564" s="204"/>
      <c r="H2564" s="204"/>
      <c r="I2564" s="204"/>
      <c r="J2564" s="204"/>
      <c r="K2564" s="204"/>
      <c r="L2564" s="204"/>
      <c r="M2564" s="204"/>
      <c r="N2564" s="204"/>
      <c r="O2564" s="204"/>
      <c r="P2564" s="204"/>
      <c r="T2564" s="217"/>
    </row>
    <row r="2565" spans="2:20">
      <c r="B2565" s="204"/>
      <c r="C2565" s="204"/>
      <c r="D2565" s="204"/>
      <c r="E2565" s="204"/>
      <c r="F2565" s="204"/>
      <c r="G2565" s="204"/>
      <c r="H2565" s="204"/>
      <c r="I2565" s="204"/>
      <c r="J2565" s="204"/>
      <c r="K2565" s="204"/>
      <c r="L2565" s="204"/>
      <c r="M2565" s="204"/>
      <c r="N2565" s="204"/>
      <c r="O2565" s="204"/>
      <c r="P2565" s="204"/>
      <c r="T2565" s="217"/>
    </row>
    <row r="2566" spans="2:20">
      <c r="B2566" s="204"/>
      <c r="C2566" s="204"/>
      <c r="D2566" s="204"/>
      <c r="E2566" s="204"/>
      <c r="F2566" s="204"/>
      <c r="G2566" s="204"/>
      <c r="H2566" s="204"/>
      <c r="I2566" s="204"/>
      <c r="J2566" s="204"/>
      <c r="K2566" s="204"/>
      <c r="L2566" s="204"/>
      <c r="M2566" s="204"/>
      <c r="N2566" s="204"/>
      <c r="O2566" s="204"/>
      <c r="P2566" s="204"/>
      <c r="T2566" s="217"/>
    </row>
    <row r="2567" spans="2:20">
      <c r="B2567" s="204"/>
      <c r="C2567" s="204"/>
      <c r="D2567" s="204"/>
      <c r="E2567" s="204"/>
      <c r="F2567" s="204"/>
      <c r="G2567" s="204"/>
      <c r="H2567" s="204"/>
      <c r="I2567" s="204"/>
      <c r="J2567" s="204"/>
      <c r="K2567" s="204"/>
      <c r="L2567" s="204"/>
      <c r="M2567" s="204"/>
      <c r="N2567" s="204"/>
      <c r="O2567" s="204"/>
      <c r="P2567" s="204"/>
      <c r="T2567" s="217"/>
    </row>
    <row r="2568" spans="2:20">
      <c r="B2568" s="204"/>
      <c r="C2568" s="204"/>
      <c r="D2568" s="204"/>
      <c r="E2568" s="204"/>
      <c r="F2568" s="204"/>
      <c r="G2568" s="204"/>
      <c r="H2568" s="204"/>
      <c r="I2568" s="204"/>
      <c r="J2568" s="204"/>
      <c r="K2568" s="204"/>
      <c r="L2568" s="204"/>
      <c r="M2568" s="204"/>
      <c r="N2568" s="204"/>
      <c r="O2568" s="204"/>
      <c r="P2568" s="204"/>
      <c r="T2568" s="217"/>
    </row>
    <row r="2569" spans="2:20">
      <c r="B2569" s="204"/>
      <c r="C2569" s="204"/>
      <c r="D2569" s="204"/>
      <c r="E2569" s="204"/>
      <c r="F2569" s="204"/>
      <c r="G2569" s="204"/>
      <c r="H2569" s="204"/>
      <c r="I2569" s="204"/>
      <c r="J2569" s="204"/>
      <c r="K2569" s="204"/>
      <c r="L2569" s="204"/>
      <c r="M2569" s="204"/>
      <c r="N2569" s="204"/>
      <c r="O2569" s="204"/>
      <c r="P2569" s="204"/>
      <c r="T2569" s="217"/>
    </row>
    <row r="2570" spans="2:20">
      <c r="B2570" s="204"/>
      <c r="C2570" s="204"/>
      <c r="D2570" s="204"/>
      <c r="E2570" s="204"/>
      <c r="F2570" s="204"/>
      <c r="G2570" s="204"/>
      <c r="H2570" s="204"/>
      <c r="I2570" s="204"/>
      <c r="J2570" s="204"/>
      <c r="K2570" s="204"/>
      <c r="L2570" s="204"/>
      <c r="M2570" s="204"/>
      <c r="N2570" s="204"/>
      <c r="O2570" s="204"/>
      <c r="P2570" s="204"/>
      <c r="T2570" s="217"/>
    </row>
    <row r="2571" spans="2:20">
      <c r="B2571" s="204"/>
      <c r="C2571" s="204"/>
      <c r="D2571" s="204"/>
      <c r="E2571" s="204"/>
      <c r="F2571" s="204"/>
      <c r="G2571" s="204"/>
      <c r="H2571" s="204"/>
      <c r="I2571" s="204"/>
      <c r="J2571" s="204"/>
      <c r="K2571" s="204"/>
      <c r="L2571" s="204"/>
      <c r="M2571" s="204"/>
      <c r="N2571" s="204"/>
      <c r="O2571" s="204"/>
      <c r="P2571" s="204"/>
      <c r="T2571" s="217"/>
    </row>
    <row r="2572" spans="2:20">
      <c r="B2572" s="204"/>
      <c r="C2572" s="204"/>
      <c r="D2572" s="204"/>
      <c r="E2572" s="204"/>
      <c r="F2572" s="204"/>
      <c r="G2572" s="204"/>
      <c r="H2572" s="204"/>
      <c r="I2572" s="204"/>
      <c r="J2572" s="204"/>
      <c r="K2572" s="204"/>
      <c r="L2572" s="204"/>
      <c r="M2572" s="204"/>
      <c r="N2572" s="204"/>
      <c r="O2572" s="204"/>
      <c r="P2572" s="204"/>
      <c r="T2572" s="217"/>
    </row>
    <row r="2573" spans="2:20">
      <c r="B2573" s="204"/>
      <c r="C2573" s="204"/>
      <c r="D2573" s="204"/>
      <c r="E2573" s="204"/>
      <c r="F2573" s="204"/>
      <c r="G2573" s="204"/>
      <c r="H2573" s="204"/>
      <c r="I2573" s="204"/>
      <c r="J2573" s="204"/>
      <c r="K2573" s="204"/>
      <c r="L2573" s="204"/>
      <c r="M2573" s="204"/>
      <c r="N2573" s="204"/>
      <c r="O2573" s="204"/>
      <c r="P2573" s="204"/>
      <c r="T2573" s="217"/>
    </row>
    <row r="2574" spans="2:20">
      <c r="B2574" s="204"/>
      <c r="C2574" s="204"/>
      <c r="D2574" s="204"/>
      <c r="E2574" s="204"/>
      <c r="F2574" s="204"/>
      <c r="G2574" s="204"/>
      <c r="H2574" s="204"/>
      <c r="I2574" s="204"/>
      <c r="J2574" s="204"/>
      <c r="K2574" s="204"/>
      <c r="L2574" s="204"/>
      <c r="M2574" s="204"/>
      <c r="N2574" s="204"/>
      <c r="O2574" s="204"/>
      <c r="P2574" s="204"/>
      <c r="T2574" s="217"/>
    </row>
    <row r="2575" spans="2:20">
      <c r="B2575" s="204"/>
      <c r="C2575" s="204"/>
      <c r="D2575" s="204"/>
      <c r="E2575" s="204"/>
      <c r="F2575" s="204"/>
      <c r="G2575" s="204"/>
      <c r="H2575" s="204"/>
      <c r="I2575" s="204"/>
      <c r="J2575" s="204"/>
      <c r="K2575" s="204"/>
      <c r="L2575" s="204"/>
      <c r="M2575" s="204"/>
      <c r="N2575" s="204"/>
      <c r="O2575" s="204"/>
      <c r="P2575" s="204"/>
      <c r="T2575" s="217"/>
    </row>
    <row r="2576" spans="2:20">
      <c r="B2576" s="204"/>
      <c r="C2576" s="204"/>
      <c r="D2576" s="204"/>
      <c r="E2576" s="204"/>
      <c r="F2576" s="204"/>
      <c r="G2576" s="204"/>
      <c r="H2576" s="204"/>
      <c r="I2576" s="204"/>
      <c r="J2576" s="204"/>
      <c r="K2576" s="204"/>
      <c r="L2576" s="204"/>
      <c r="M2576" s="204"/>
      <c r="N2576" s="204"/>
      <c r="O2576" s="204"/>
      <c r="P2576" s="204"/>
      <c r="T2576" s="217"/>
    </row>
    <row r="2577" spans="2:20">
      <c r="B2577" s="204"/>
      <c r="C2577" s="204"/>
      <c r="D2577" s="204"/>
      <c r="E2577" s="204"/>
      <c r="F2577" s="204"/>
      <c r="G2577" s="204"/>
      <c r="H2577" s="204"/>
      <c r="I2577" s="204"/>
      <c r="J2577" s="204"/>
      <c r="K2577" s="204"/>
      <c r="L2577" s="204"/>
      <c r="M2577" s="204"/>
      <c r="N2577" s="204"/>
      <c r="O2577" s="204"/>
      <c r="P2577" s="204"/>
      <c r="T2577" s="217"/>
    </row>
    <row r="2578" spans="2:20">
      <c r="B2578" s="204"/>
      <c r="C2578" s="204"/>
      <c r="D2578" s="204"/>
      <c r="E2578" s="204"/>
      <c r="F2578" s="204"/>
      <c r="G2578" s="204"/>
      <c r="H2578" s="204"/>
      <c r="I2578" s="204"/>
      <c r="J2578" s="204"/>
      <c r="K2578" s="204"/>
      <c r="L2578" s="204"/>
      <c r="M2578" s="204"/>
      <c r="N2578" s="204"/>
      <c r="O2578" s="204"/>
      <c r="P2578" s="204"/>
      <c r="T2578" s="217"/>
    </row>
    <row r="2579" spans="2:20">
      <c r="B2579" s="204"/>
      <c r="C2579" s="204"/>
      <c r="D2579" s="204"/>
      <c r="E2579" s="204"/>
      <c r="F2579" s="204"/>
      <c r="G2579" s="204"/>
      <c r="H2579" s="204"/>
      <c r="I2579" s="204"/>
      <c r="J2579" s="204"/>
      <c r="K2579" s="204"/>
      <c r="L2579" s="204"/>
      <c r="M2579" s="204"/>
      <c r="N2579" s="204"/>
      <c r="O2579" s="204"/>
      <c r="P2579" s="204"/>
      <c r="T2579" s="217"/>
    </row>
    <row r="2580" spans="2:20">
      <c r="B2580" s="204"/>
      <c r="C2580" s="204"/>
      <c r="D2580" s="204"/>
      <c r="E2580" s="204"/>
      <c r="F2580" s="204"/>
      <c r="G2580" s="204"/>
      <c r="H2580" s="204"/>
      <c r="I2580" s="204"/>
      <c r="J2580" s="204"/>
      <c r="K2580" s="204"/>
      <c r="L2580" s="204"/>
      <c r="M2580" s="204"/>
      <c r="N2580" s="204"/>
      <c r="O2580" s="204"/>
      <c r="P2580" s="204"/>
      <c r="T2580" s="217"/>
    </row>
    <row r="2581" spans="2:20">
      <c r="B2581" s="204"/>
      <c r="C2581" s="204"/>
      <c r="D2581" s="204"/>
      <c r="E2581" s="204"/>
      <c r="F2581" s="204"/>
      <c r="G2581" s="204"/>
      <c r="H2581" s="204"/>
      <c r="I2581" s="204"/>
      <c r="J2581" s="204"/>
      <c r="K2581" s="204"/>
      <c r="L2581" s="204"/>
      <c r="M2581" s="204"/>
      <c r="N2581" s="204"/>
      <c r="O2581" s="204"/>
      <c r="P2581" s="204"/>
      <c r="T2581" s="217"/>
    </row>
    <row r="2582" spans="2:20">
      <c r="B2582" s="204"/>
      <c r="C2582" s="204"/>
      <c r="D2582" s="204"/>
      <c r="E2582" s="204"/>
      <c r="F2582" s="204"/>
      <c r="G2582" s="204"/>
      <c r="H2582" s="204"/>
      <c r="I2582" s="204"/>
      <c r="J2582" s="204"/>
      <c r="K2582" s="204"/>
      <c r="L2582" s="204"/>
      <c r="M2582" s="204"/>
      <c r="N2582" s="204"/>
      <c r="O2582" s="204"/>
      <c r="P2582" s="204"/>
      <c r="T2582" s="217"/>
    </row>
    <row r="2583" spans="2:20">
      <c r="B2583" s="204"/>
      <c r="C2583" s="204"/>
      <c r="D2583" s="204"/>
      <c r="E2583" s="204"/>
      <c r="F2583" s="204"/>
      <c r="G2583" s="204"/>
      <c r="H2583" s="204"/>
      <c r="I2583" s="204"/>
      <c r="J2583" s="204"/>
      <c r="K2583" s="204"/>
      <c r="L2583" s="204"/>
      <c r="M2583" s="204"/>
      <c r="N2583" s="204"/>
      <c r="O2583" s="204"/>
      <c r="P2583" s="204"/>
      <c r="T2583" s="217"/>
    </row>
    <row r="2584" spans="2:20">
      <c r="B2584" s="204"/>
      <c r="C2584" s="204"/>
      <c r="D2584" s="204"/>
      <c r="E2584" s="204"/>
      <c r="F2584" s="204"/>
      <c r="G2584" s="204"/>
      <c r="H2584" s="204"/>
      <c r="I2584" s="204"/>
      <c r="J2584" s="204"/>
      <c r="K2584" s="204"/>
      <c r="L2584" s="204"/>
      <c r="M2584" s="204"/>
      <c r="N2584" s="204"/>
      <c r="O2584" s="204"/>
      <c r="P2584" s="204"/>
      <c r="T2584" s="217"/>
    </row>
    <row r="2585" spans="2:20">
      <c r="B2585" s="204"/>
      <c r="C2585" s="204"/>
      <c r="D2585" s="204"/>
      <c r="E2585" s="204"/>
      <c r="F2585" s="204"/>
      <c r="G2585" s="204"/>
      <c r="H2585" s="204"/>
      <c r="I2585" s="204"/>
      <c r="J2585" s="204"/>
      <c r="K2585" s="204"/>
      <c r="L2585" s="204"/>
      <c r="M2585" s="204"/>
      <c r="N2585" s="204"/>
      <c r="O2585" s="204"/>
      <c r="P2585" s="204"/>
      <c r="T2585" s="217"/>
    </row>
    <row r="2586" spans="2:20">
      <c r="B2586" s="204"/>
      <c r="C2586" s="204"/>
      <c r="D2586" s="204"/>
      <c r="E2586" s="204"/>
      <c r="F2586" s="204"/>
      <c r="G2586" s="204"/>
      <c r="H2586" s="204"/>
      <c r="I2586" s="204"/>
      <c r="J2586" s="204"/>
      <c r="K2586" s="204"/>
      <c r="L2586" s="204"/>
      <c r="M2586" s="204"/>
      <c r="N2586" s="204"/>
      <c r="O2586" s="204"/>
      <c r="P2586" s="204"/>
      <c r="T2586" s="217"/>
    </row>
    <row r="2587" spans="2:20">
      <c r="B2587" s="204"/>
      <c r="C2587" s="204"/>
      <c r="D2587" s="204"/>
      <c r="E2587" s="204"/>
      <c r="F2587" s="204"/>
      <c r="G2587" s="204"/>
      <c r="H2587" s="204"/>
      <c r="I2587" s="204"/>
      <c r="J2587" s="204"/>
      <c r="K2587" s="204"/>
      <c r="L2587" s="204"/>
      <c r="M2587" s="204"/>
      <c r="N2587" s="204"/>
      <c r="O2587" s="204"/>
      <c r="P2587" s="204"/>
      <c r="T2587" s="217"/>
    </row>
    <row r="2588" spans="2:20">
      <c r="B2588" s="204"/>
      <c r="C2588" s="204"/>
      <c r="D2588" s="204"/>
      <c r="E2588" s="204"/>
      <c r="F2588" s="204"/>
      <c r="G2588" s="204"/>
      <c r="H2588" s="204"/>
      <c r="I2588" s="204"/>
      <c r="J2588" s="204"/>
      <c r="K2588" s="204"/>
      <c r="L2588" s="204"/>
      <c r="M2588" s="204"/>
      <c r="N2588" s="204"/>
      <c r="O2588" s="204"/>
      <c r="P2588" s="204"/>
      <c r="T2588" s="217"/>
    </row>
    <row r="2589" spans="2:20">
      <c r="B2589" s="204"/>
      <c r="C2589" s="204"/>
      <c r="D2589" s="204"/>
      <c r="E2589" s="204"/>
      <c r="F2589" s="204"/>
      <c r="G2589" s="204"/>
      <c r="H2589" s="204"/>
      <c r="I2589" s="204"/>
      <c r="J2589" s="204"/>
      <c r="K2589" s="204"/>
      <c r="L2589" s="204"/>
      <c r="M2589" s="204"/>
      <c r="N2589" s="204"/>
      <c r="O2589" s="204"/>
      <c r="P2589" s="204"/>
      <c r="T2589" s="217"/>
    </row>
    <row r="2590" spans="2:20">
      <c r="B2590" s="204"/>
      <c r="C2590" s="204"/>
      <c r="D2590" s="204"/>
      <c r="E2590" s="204"/>
      <c r="F2590" s="204"/>
      <c r="G2590" s="204"/>
      <c r="H2590" s="204"/>
      <c r="I2590" s="204"/>
      <c r="J2590" s="204"/>
      <c r="K2590" s="204"/>
      <c r="L2590" s="204"/>
      <c r="M2590" s="204"/>
      <c r="N2590" s="204"/>
      <c r="O2590" s="204"/>
      <c r="P2590" s="204"/>
      <c r="T2590" s="217"/>
    </row>
    <row r="2591" spans="2:20">
      <c r="B2591" s="204"/>
      <c r="C2591" s="204"/>
      <c r="D2591" s="204"/>
      <c r="E2591" s="204"/>
      <c r="F2591" s="204"/>
      <c r="G2591" s="204"/>
      <c r="H2591" s="204"/>
      <c r="I2591" s="204"/>
      <c r="J2591" s="204"/>
      <c r="K2591" s="204"/>
      <c r="L2591" s="204"/>
      <c r="M2591" s="204"/>
      <c r="N2591" s="204"/>
      <c r="O2591" s="204"/>
      <c r="P2591" s="204"/>
      <c r="T2591" s="217"/>
    </row>
    <row r="2592" spans="2:20">
      <c r="B2592" s="204"/>
      <c r="C2592" s="204"/>
      <c r="D2592" s="204"/>
      <c r="E2592" s="204"/>
      <c r="F2592" s="204"/>
      <c r="G2592" s="204"/>
      <c r="H2592" s="204"/>
      <c r="I2592" s="204"/>
      <c r="J2592" s="204"/>
      <c r="K2592" s="204"/>
      <c r="L2592" s="204"/>
      <c r="M2592" s="204"/>
      <c r="N2592" s="204"/>
      <c r="O2592" s="204"/>
      <c r="P2592" s="204"/>
      <c r="T2592" s="217"/>
    </row>
    <row r="2593" spans="2:20">
      <c r="B2593" s="204"/>
      <c r="C2593" s="204"/>
      <c r="D2593" s="204"/>
      <c r="E2593" s="204"/>
      <c r="F2593" s="204"/>
      <c r="G2593" s="204"/>
      <c r="H2593" s="204"/>
      <c r="I2593" s="204"/>
      <c r="J2593" s="204"/>
      <c r="K2593" s="204"/>
      <c r="L2593" s="204"/>
      <c r="M2593" s="204"/>
      <c r="N2593" s="204"/>
      <c r="O2593" s="204"/>
      <c r="P2593" s="204"/>
      <c r="T2593" s="217"/>
    </row>
    <row r="2594" spans="2:20">
      <c r="B2594" s="204"/>
      <c r="C2594" s="204"/>
      <c r="D2594" s="204"/>
      <c r="E2594" s="204"/>
      <c r="F2594" s="204"/>
      <c r="G2594" s="204"/>
      <c r="H2594" s="204"/>
      <c r="I2594" s="204"/>
      <c r="J2594" s="204"/>
      <c r="K2594" s="204"/>
      <c r="L2594" s="204"/>
      <c r="M2594" s="204"/>
      <c r="N2594" s="204"/>
      <c r="O2594" s="204"/>
      <c r="P2594" s="204"/>
      <c r="T2594" s="217"/>
    </row>
    <row r="2595" spans="2:20">
      <c r="B2595" s="204"/>
      <c r="C2595" s="204"/>
      <c r="D2595" s="204"/>
      <c r="E2595" s="204"/>
      <c r="F2595" s="204"/>
      <c r="G2595" s="204"/>
      <c r="H2595" s="204"/>
      <c r="I2595" s="204"/>
      <c r="J2595" s="204"/>
      <c r="K2595" s="204"/>
      <c r="L2595" s="204"/>
      <c r="M2595" s="204"/>
      <c r="N2595" s="204"/>
      <c r="O2595" s="204"/>
      <c r="P2595" s="204"/>
      <c r="T2595" s="217"/>
    </row>
    <row r="2596" spans="2:20">
      <c r="B2596" s="204"/>
      <c r="C2596" s="204"/>
      <c r="D2596" s="204"/>
      <c r="E2596" s="204"/>
      <c r="F2596" s="204"/>
      <c r="G2596" s="204"/>
      <c r="H2596" s="204"/>
      <c r="I2596" s="204"/>
      <c r="J2596" s="204"/>
      <c r="K2596" s="204"/>
      <c r="L2596" s="204"/>
      <c r="M2596" s="204"/>
      <c r="N2596" s="204"/>
      <c r="O2596" s="204"/>
      <c r="P2596" s="204"/>
      <c r="T2596" s="217"/>
    </row>
    <row r="2597" spans="2:20">
      <c r="B2597" s="204"/>
      <c r="C2597" s="204"/>
      <c r="D2597" s="204"/>
      <c r="E2597" s="204"/>
      <c r="F2597" s="204"/>
      <c r="G2597" s="204"/>
      <c r="H2597" s="204"/>
      <c r="I2597" s="204"/>
      <c r="J2597" s="204"/>
      <c r="K2597" s="204"/>
      <c r="L2597" s="204"/>
      <c r="M2597" s="204"/>
      <c r="N2597" s="204"/>
      <c r="O2597" s="204"/>
      <c r="P2597" s="204"/>
      <c r="T2597" s="217"/>
    </row>
    <row r="2598" spans="2:20">
      <c r="B2598" s="204"/>
      <c r="C2598" s="204"/>
      <c r="D2598" s="204"/>
      <c r="E2598" s="204"/>
      <c r="F2598" s="204"/>
      <c r="G2598" s="204"/>
      <c r="H2598" s="204"/>
      <c r="I2598" s="204"/>
      <c r="J2598" s="204"/>
      <c r="K2598" s="204"/>
      <c r="L2598" s="204"/>
      <c r="M2598" s="204"/>
      <c r="N2598" s="204"/>
      <c r="O2598" s="204"/>
      <c r="P2598" s="204"/>
      <c r="T2598" s="217"/>
    </row>
    <row r="2599" spans="2:20">
      <c r="B2599" s="204"/>
      <c r="C2599" s="204"/>
      <c r="D2599" s="204"/>
      <c r="E2599" s="204"/>
      <c r="F2599" s="204"/>
      <c r="G2599" s="204"/>
      <c r="H2599" s="204"/>
      <c r="I2599" s="204"/>
      <c r="J2599" s="204"/>
      <c r="K2599" s="204"/>
      <c r="L2599" s="204"/>
      <c r="M2599" s="204"/>
      <c r="N2599" s="204"/>
      <c r="O2599" s="204"/>
      <c r="P2599" s="204"/>
      <c r="T2599" s="217"/>
    </row>
    <row r="2600" spans="2:20">
      <c r="B2600" s="204"/>
      <c r="C2600" s="204"/>
      <c r="D2600" s="204"/>
      <c r="E2600" s="204"/>
      <c r="F2600" s="204"/>
      <c r="G2600" s="204"/>
      <c r="H2600" s="204"/>
      <c r="I2600" s="204"/>
      <c r="J2600" s="204"/>
      <c r="K2600" s="204"/>
      <c r="L2600" s="204"/>
      <c r="M2600" s="204"/>
      <c r="N2600" s="204"/>
      <c r="O2600" s="204"/>
      <c r="P2600" s="204"/>
      <c r="T2600" s="217"/>
    </row>
    <row r="2601" spans="2:20">
      <c r="B2601" s="204"/>
      <c r="C2601" s="204"/>
      <c r="D2601" s="204"/>
      <c r="E2601" s="204"/>
      <c r="F2601" s="204"/>
      <c r="G2601" s="204"/>
      <c r="H2601" s="204"/>
      <c r="I2601" s="204"/>
      <c r="J2601" s="204"/>
      <c r="K2601" s="204"/>
      <c r="L2601" s="204"/>
      <c r="M2601" s="204"/>
      <c r="N2601" s="204"/>
      <c r="O2601" s="204"/>
      <c r="P2601" s="204"/>
      <c r="T2601" s="217"/>
    </row>
    <row r="2602" spans="2:20">
      <c r="B2602" s="204"/>
      <c r="C2602" s="204"/>
      <c r="D2602" s="204"/>
      <c r="E2602" s="204"/>
      <c r="F2602" s="204"/>
      <c r="G2602" s="204"/>
      <c r="H2602" s="204"/>
      <c r="I2602" s="204"/>
      <c r="J2602" s="204"/>
      <c r="K2602" s="204"/>
      <c r="L2602" s="204"/>
      <c r="M2602" s="204"/>
      <c r="N2602" s="204"/>
      <c r="O2602" s="204"/>
      <c r="P2602" s="204"/>
      <c r="T2602" s="217"/>
    </row>
    <row r="2603" spans="2:20">
      <c r="B2603" s="204"/>
      <c r="C2603" s="204"/>
      <c r="D2603" s="204"/>
      <c r="E2603" s="204"/>
      <c r="F2603" s="204"/>
      <c r="G2603" s="204"/>
      <c r="H2603" s="204"/>
      <c r="I2603" s="204"/>
      <c r="J2603" s="204"/>
      <c r="K2603" s="204"/>
      <c r="L2603" s="204"/>
      <c r="M2603" s="204"/>
      <c r="N2603" s="204"/>
      <c r="O2603" s="204"/>
      <c r="P2603" s="204"/>
      <c r="T2603" s="217"/>
    </row>
    <row r="2604" spans="2:20">
      <c r="B2604" s="204"/>
      <c r="C2604" s="204"/>
      <c r="D2604" s="204"/>
      <c r="E2604" s="204"/>
      <c r="F2604" s="204"/>
      <c r="G2604" s="204"/>
      <c r="H2604" s="204"/>
      <c r="I2604" s="204"/>
      <c r="J2604" s="204"/>
      <c r="K2604" s="204"/>
      <c r="L2604" s="204"/>
      <c r="M2604" s="204"/>
      <c r="N2604" s="204"/>
      <c r="O2604" s="204"/>
      <c r="P2604" s="204"/>
      <c r="T2604" s="217"/>
    </row>
    <row r="2605" spans="2:20">
      <c r="B2605" s="204"/>
      <c r="C2605" s="204"/>
      <c r="D2605" s="204"/>
      <c r="E2605" s="204"/>
      <c r="F2605" s="204"/>
      <c r="G2605" s="204"/>
      <c r="H2605" s="204"/>
      <c r="I2605" s="204"/>
      <c r="J2605" s="204"/>
      <c r="K2605" s="204"/>
      <c r="L2605" s="204"/>
      <c r="M2605" s="204"/>
      <c r="N2605" s="204"/>
      <c r="O2605" s="204"/>
      <c r="P2605" s="204"/>
      <c r="T2605" s="217"/>
    </row>
    <row r="2606" spans="2:20">
      <c r="B2606" s="204"/>
      <c r="C2606" s="204"/>
      <c r="D2606" s="204"/>
      <c r="E2606" s="204"/>
      <c r="F2606" s="204"/>
      <c r="G2606" s="204"/>
      <c r="H2606" s="204"/>
      <c r="I2606" s="204"/>
      <c r="J2606" s="204"/>
      <c r="K2606" s="204"/>
      <c r="L2606" s="204"/>
      <c r="M2606" s="204"/>
      <c r="N2606" s="204"/>
      <c r="O2606" s="204"/>
      <c r="P2606" s="204"/>
      <c r="T2606" s="217"/>
    </row>
    <row r="2607" spans="2:20">
      <c r="B2607" s="204"/>
      <c r="C2607" s="204"/>
      <c r="D2607" s="204"/>
      <c r="E2607" s="204"/>
      <c r="F2607" s="204"/>
      <c r="G2607" s="204"/>
      <c r="H2607" s="204"/>
      <c r="I2607" s="204"/>
      <c r="J2607" s="204"/>
      <c r="K2607" s="204"/>
      <c r="L2607" s="204"/>
      <c r="M2607" s="204"/>
      <c r="N2607" s="204"/>
      <c r="O2607" s="204"/>
      <c r="P2607" s="204"/>
      <c r="T2607" s="217"/>
    </row>
    <row r="2608" spans="2:20">
      <c r="B2608" s="204"/>
      <c r="C2608" s="204"/>
      <c r="D2608" s="204"/>
      <c r="E2608" s="204"/>
      <c r="F2608" s="204"/>
      <c r="G2608" s="204"/>
      <c r="H2608" s="204"/>
      <c r="I2608" s="204"/>
      <c r="J2608" s="204"/>
      <c r="K2608" s="204"/>
      <c r="L2608" s="204"/>
      <c r="M2608" s="204"/>
      <c r="N2608" s="204"/>
      <c r="O2608" s="204"/>
      <c r="P2608" s="204"/>
      <c r="T2608" s="217"/>
    </row>
    <row r="2609" spans="2:20">
      <c r="B2609" s="204"/>
      <c r="C2609" s="204"/>
      <c r="D2609" s="204"/>
      <c r="E2609" s="204"/>
      <c r="F2609" s="204"/>
      <c r="G2609" s="204"/>
      <c r="H2609" s="204"/>
      <c r="I2609" s="204"/>
      <c r="J2609" s="204"/>
      <c r="K2609" s="204"/>
      <c r="L2609" s="204"/>
      <c r="M2609" s="204"/>
      <c r="N2609" s="204"/>
      <c r="O2609" s="204"/>
      <c r="P2609" s="204"/>
      <c r="T2609" s="217"/>
    </row>
    <row r="2610" spans="2:20">
      <c r="B2610" s="204"/>
      <c r="C2610" s="204"/>
      <c r="D2610" s="204"/>
      <c r="E2610" s="204"/>
      <c r="F2610" s="204"/>
      <c r="G2610" s="204"/>
      <c r="H2610" s="204"/>
      <c r="I2610" s="204"/>
      <c r="J2610" s="204"/>
      <c r="K2610" s="204"/>
      <c r="L2610" s="204"/>
      <c r="M2610" s="204"/>
      <c r="N2610" s="204"/>
      <c r="O2610" s="204"/>
      <c r="P2610" s="204"/>
      <c r="T2610" s="217"/>
    </row>
    <row r="2611" spans="2:20">
      <c r="B2611" s="204"/>
      <c r="C2611" s="204"/>
      <c r="D2611" s="204"/>
      <c r="E2611" s="204"/>
      <c r="F2611" s="204"/>
      <c r="G2611" s="204"/>
      <c r="H2611" s="204"/>
      <c r="I2611" s="204"/>
      <c r="J2611" s="204"/>
      <c r="K2611" s="204"/>
      <c r="L2611" s="204"/>
      <c r="M2611" s="204"/>
      <c r="N2611" s="204"/>
      <c r="O2611" s="204"/>
      <c r="P2611" s="204"/>
      <c r="T2611" s="217"/>
    </row>
    <row r="2612" spans="2:20">
      <c r="B2612" s="204"/>
      <c r="C2612" s="204"/>
      <c r="D2612" s="204"/>
      <c r="E2612" s="204"/>
      <c r="F2612" s="204"/>
      <c r="G2612" s="204"/>
      <c r="H2612" s="204"/>
      <c r="I2612" s="204"/>
      <c r="J2612" s="204"/>
      <c r="K2612" s="204"/>
      <c r="L2612" s="204"/>
      <c r="M2612" s="204"/>
      <c r="N2612" s="204"/>
      <c r="O2612" s="204"/>
      <c r="P2612" s="204"/>
      <c r="T2612" s="217"/>
    </row>
    <row r="2613" spans="2:20">
      <c r="B2613" s="204"/>
      <c r="C2613" s="204"/>
      <c r="D2613" s="204"/>
      <c r="E2613" s="204"/>
      <c r="F2613" s="204"/>
      <c r="G2613" s="204"/>
      <c r="H2613" s="204"/>
      <c r="I2613" s="204"/>
      <c r="J2613" s="204"/>
      <c r="K2613" s="204"/>
      <c r="L2613" s="204"/>
      <c r="M2613" s="204"/>
      <c r="N2613" s="204"/>
      <c r="O2613" s="204"/>
      <c r="P2613" s="204"/>
      <c r="T2613" s="217"/>
    </row>
    <row r="2614" spans="2:20">
      <c r="B2614" s="204"/>
      <c r="C2614" s="204"/>
      <c r="D2614" s="204"/>
      <c r="E2614" s="204"/>
      <c r="F2614" s="204"/>
      <c r="G2614" s="204"/>
      <c r="H2614" s="204"/>
      <c r="I2614" s="204"/>
      <c r="J2614" s="204"/>
      <c r="K2614" s="204"/>
      <c r="L2614" s="204"/>
      <c r="M2614" s="204"/>
      <c r="N2614" s="204"/>
      <c r="O2614" s="204"/>
      <c r="P2614" s="204"/>
      <c r="T2614" s="217"/>
    </row>
    <row r="2615" spans="2:20">
      <c r="B2615" s="204"/>
      <c r="C2615" s="204"/>
      <c r="D2615" s="204"/>
      <c r="E2615" s="204"/>
      <c r="F2615" s="204"/>
      <c r="G2615" s="204"/>
      <c r="H2615" s="204"/>
      <c r="I2615" s="204"/>
      <c r="J2615" s="204"/>
      <c r="K2615" s="204"/>
      <c r="L2615" s="204"/>
      <c r="M2615" s="204"/>
      <c r="N2615" s="204"/>
      <c r="O2615" s="204"/>
      <c r="P2615" s="204"/>
      <c r="T2615" s="217"/>
    </row>
    <row r="2616" spans="2:20">
      <c r="B2616" s="204"/>
      <c r="C2616" s="204"/>
      <c r="D2616" s="204"/>
      <c r="E2616" s="204"/>
      <c r="F2616" s="204"/>
      <c r="G2616" s="204"/>
      <c r="H2616" s="204"/>
      <c r="I2616" s="204"/>
      <c r="J2616" s="204"/>
      <c r="K2616" s="204"/>
      <c r="L2616" s="204"/>
      <c r="M2616" s="204"/>
      <c r="N2616" s="204"/>
      <c r="O2616" s="204"/>
      <c r="P2616" s="204"/>
      <c r="T2616" s="217"/>
    </row>
    <row r="2617" spans="2:20">
      <c r="B2617" s="204"/>
      <c r="C2617" s="204"/>
      <c r="D2617" s="204"/>
      <c r="E2617" s="204"/>
      <c r="F2617" s="204"/>
      <c r="G2617" s="204"/>
      <c r="H2617" s="204"/>
      <c r="I2617" s="204"/>
      <c r="J2617" s="204"/>
      <c r="K2617" s="204"/>
      <c r="L2617" s="204"/>
      <c r="M2617" s="204"/>
      <c r="N2617" s="204"/>
      <c r="O2617" s="204"/>
      <c r="P2617" s="204"/>
      <c r="T2617" s="217"/>
    </row>
    <row r="2618" spans="2:20">
      <c r="B2618" s="204"/>
      <c r="C2618" s="204"/>
      <c r="D2618" s="204"/>
      <c r="E2618" s="204"/>
      <c r="F2618" s="204"/>
      <c r="G2618" s="204"/>
      <c r="H2618" s="204"/>
      <c r="I2618" s="204"/>
      <c r="J2618" s="204"/>
      <c r="K2618" s="204"/>
      <c r="L2618" s="204"/>
      <c r="M2618" s="204"/>
      <c r="N2618" s="204"/>
      <c r="O2618" s="204"/>
      <c r="P2618" s="204"/>
      <c r="T2618" s="217"/>
    </row>
    <row r="2619" spans="2:20">
      <c r="B2619" s="204"/>
      <c r="C2619" s="204"/>
      <c r="D2619" s="204"/>
      <c r="E2619" s="204"/>
      <c r="F2619" s="204"/>
      <c r="G2619" s="204"/>
      <c r="H2619" s="204"/>
      <c r="I2619" s="204"/>
      <c r="J2619" s="204"/>
      <c r="K2619" s="204"/>
      <c r="L2619" s="204"/>
      <c r="M2619" s="204"/>
      <c r="N2619" s="204"/>
      <c r="O2619" s="204"/>
      <c r="P2619" s="204"/>
      <c r="T2619" s="217"/>
    </row>
    <row r="2620" spans="2:20">
      <c r="B2620" s="204"/>
      <c r="C2620" s="204"/>
      <c r="D2620" s="204"/>
      <c r="E2620" s="204"/>
      <c r="F2620" s="204"/>
      <c r="G2620" s="204"/>
      <c r="H2620" s="204"/>
      <c r="I2620" s="204"/>
      <c r="J2620" s="204"/>
      <c r="K2620" s="204"/>
      <c r="L2620" s="204"/>
      <c r="M2620" s="204"/>
      <c r="N2620" s="204"/>
      <c r="O2620" s="204"/>
      <c r="P2620" s="204"/>
      <c r="T2620" s="217"/>
    </row>
    <row r="2621" spans="2:20">
      <c r="B2621" s="204"/>
      <c r="C2621" s="204"/>
      <c r="D2621" s="204"/>
      <c r="E2621" s="204"/>
      <c r="F2621" s="204"/>
      <c r="G2621" s="204"/>
      <c r="H2621" s="204"/>
      <c r="I2621" s="204"/>
      <c r="J2621" s="204"/>
      <c r="K2621" s="204"/>
      <c r="L2621" s="204"/>
      <c r="M2621" s="204"/>
      <c r="N2621" s="204"/>
      <c r="O2621" s="204"/>
      <c r="P2621" s="204"/>
      <c r="T2621" s="217"/>
    </row>
    <row r="2622" spans="2:20">
      <c r="B2622" s="204"/>
      <c r="C2622" s="204"/>
      <c r="D2622" s="204"/>
      <c r="E2622" s="204"/>
      <c r="F2622" s="204"/>
      <c r="G2622" s="204"/>
      <c r="H2622" s="204"/>
      <c r="I2622" s="204"/>
      <c r="J2622" s="204"/>
      <c r="K2622" s="204"/>
      <c r="L2622" s="204"/>
      <c r="M2622" s="204"/>
      <c r="N2622" s="204"/>
      <c r="O2622" s="204"/>
      <c r="P2622" s="204"/>
      <c r="T2622" s="217"/>
    </row>
    <row r="2623" spans="2:20">
      <c r="B2623" s="204"/>
      <c r="C2623" s="204"/>
      <c r="D2623" s="204"/>
      <c r="E2623" s="204"/>
      <c r="F2623" s="204"/>
      <c r="G2623" s="204"/>
      <c r="H2623" s="204"/>
      <c r="I2623" s="204"/>
      <c r="J2623" s="204"/>
      <c r="K2623" s="204"/>
      <c r="L2623" s="204"/>
      <c r="M2623" s="204"/>
      <c r="N2623" s="204"/>
      <c r="O2623" s="204"/>
      <c r="P2623" s="204"/>
      <c r="T2623" s="217"/>
    </row>
    <row r="2624" spans="2:20">
      <c r="B2624" s="204"/>
      <c r="C2624" s="204"/>
      <c r="D2624" s="204"/>
      <c r="E2624" s="204"/>
      <c r="F2624" s="204"/>
      <c r="G2624" s="204"/>
      <c r="H2624" s="204"/>
      <c r="I2624" s="204"/>
      <c r="J2624" s="204"/>
      <c r="K2624" s="204"/>
      <c r="L2624" s="204"/>
      <c r="M2624" s="204"/>
      <c r="N2624" s="204"/>
      <c r="O2624" s="204"/>
      <c r="P2624" s="204"/>
      <c r="T2624" s="217"/>
    </row>
    <row r="2625" spans="2:20">
      <c r="B2625" s="204"/>
      <c r="C2625" s="204"/>
      <c r="D2625" s="204"/>
      <c r="E2625" s="204"/>
      <c r="F2625" s="204"/>
      <c r="G2625" s="204"/>
      <c r="H2625" s="204"/>
      <c r="I2625" s="204"/>
      <c r="J2625" s="204"/>
      <c r="K2625" s="204"/>
      <c r="L2625" s="204"/>
      <c r="M2625" s="204"/>
      <c r="N2625" s="204"/>
      <c r="O2625" s="204"/>
      <c r="P2625" s="204"/>
      <c r="T2625" s="217"/>
    </row>
    <row r="2626" spans="2:20">
      <c r="B2626" s="204"/>
      <c r="C2626" s="204"/>
      <c r="D2626" s="204"/>
      <c r="E2626" s="204"/>
      <c r="F2626" s="204"/>
      <c r="G2626" s="204"/>
      <c r="H2626" s="204"/>
      <c r="I2626" s="204"/>
      <c r="J2626" s="204"/>
      <c r="K2626" s="204"/>
      <c r="L2626" s="204"/>
      <c r="M2626" s="204"/>
      <c r="N2626" s="204"/>
      <c r="O2626" s="204"/>
      <c r="P2626" s="204"/>
      <c r="T2626" s="217"/>
    </row>
    <row r="2627" spans="2:20">
      <c r="B2627" s="204"/>
      <c r="C2627" s="204"/>
      <c r="D2627" s="204"/>
      <c r="E2627" s="204"/>
      <c r="F2627" s="204"/>
      <c r="G2627" s="204"/>
      <c r="H2627" s="204"/>
      <c r="I2627" s="204"/>
      <c r="J2627" s="204"/>
      <c r="K2627" s="204"/>
      <c r="L2627" s="204"/>
      <c r="M2627" s="204"/>
      <c r="N2627" s="204"/>
      <c r="O2627" s="204"/>
      <c r="P2627" s="204"/>
      <c r="T2627" s="217"/>
    </row>
    <row r="2628" spans="2:20">
      <c r="B2628" s="204"/>
      <c r="C2628" s="204"/>
      <c r="D2628" s="204"/>
      <c r="E2628" s="204"/>
      <c r="F2628" s="204"/>
      <c r="G2628" s="204"/>
      <c r="H2628" s="204"/>
      <c r="I2628" s="204"/>
      <c r="J2628" s="204"/>
      <c r="K2628" s="204"/>
      <c r="L2628" s="204"/>
      <c r="M2628" s="204"/>
      <c r="N2628" s="204"/>
      <c r="O2628" s="204"/>
      <c r="P2628" s="204"/>
      <c r="T2628" s="217"/>
    </row>
    <row r="2629" spans="2:20">
      <c r="B2629" s="204"/>
      <c r="C2629" s="204"/>
      <c r="D2629" s="204"/>
      <c r="E2629" s="204"/>
      <c r="F2629" s="204"/>
      <c r="G2629" s="204"/>
      <c r="H2629" s="204"/>
      <c r="I2629" s="204"/>
      <c r="J2629" s="204"/>
      <c r="K2629" s="204"/>
      <c r="L2629" s="204"/>
      <c r="M2629" s="204"/>
      <c r="N2629" s="204"/>
      <c r="O2629" s="204"/>
      <c r="P2629" s="204"/>
      <c r="T2629" s="217"/>
    </row>
    <row r="2630" spans="2:20">
      <c r="B2630" s="204"/>
      <c r="C2630" s="204"/>
      <c r="D2630" s="204"/>
      <c r="E2630" s="204"/>
      <c r="F2630" s="204"/>
      <c r="G2630" s="204"/>
      <c r="H2630" s="204"/>
      <c r="I2630" s="204"/>
      <c r="J2630" s="204"/>
      <c r="K2630" s="204"/>
      <c r="L2630" s="204"/>
      <c r="M2630" s="204"/>
      <c r="N2630" s="204"/>
      <c r="O2630" s="204"/>
      <c r="P2630" s="204"/>
      <c r="T2630" s="217"/>
    </row>
    <row r="2631" spans="2:20">
      <c r="B2631" s="204"/>
      <c r="C2631" s="204"/>
      <c r="D2631" s="204"/>
      <c r="E2631" s="204"/>
      <c r="F2631" s="204"/>
      <c r="G2631" s="204"/>
      <c r="H2631" s="204"/>
      <c r="I2631" s="204"/>
      <c r="J2631" s="204"/>
      <c r="K2631" s="204"/>
      <c r="L2631" s="204"/>
      <c r="M2631" s="204"/>
      <c r="N2631" s="204"/>
      <c r="O2631" s="204"/>
      <c r="P2631" s="204"/>
      <c r="T2631" s="217"/>
    </row>
    <row r="2632" spans="2:20">
      <c r="B2632" s="204"/>
      <c r="C2632" s="204"/>
      <c r="D2632" s="204"/>
      <c r="E2632" s="204"/>
      <c r="F2632" s="204"/>
      <c r="G2632" s="204"/>
      <c r="H2632" s="204"/>
      <c r="I2632" s="204"/>
      <c r="J2632" s="204"/>
      <c r="K2632" s="204"/>
      <c r="L2632" s="204"/>
      <c r="M2632" s="204"/>
      <c r="N2632" s="204"/>
      <c r="O2632" s="204"/>
      <c r="P2632" s="204"/>
      <c r="T2632" s="217"/>
    </row>
    <row r="2633" spans="2:20">
      <c r="B2633" s="204"/>
      <c r="C2633" s="204"/>
      <c r="D2633" s="204"/>
      <c r="E2633" s="204"/>
      <c r="F2633" s="204"/>
      <c r="G2633" s="204"/>
      <c r="H2633" s="204"/>
      <c r="I2633" s="204"/>
      <c r="J2633" s="204"/>
      <c r="K2633" s="204"/>
      <c r="L2633" s="204"/>
      <c r="M2633" s="204"/>
      <c r="N2633" s="204"/>
      <c r="O2633" s="204"/>
      <c r="P2633" s="204"/>
      <c r="T2633" s="217"/>
    </row>
    <row r="2634" spans="2:20">
      <c r="B2634" s="204"/>
      <c r="C2634" s="204"/>
      <c r="D2634" s="204"/>
      <c r="E2634" s="204"/>
      <c r="F2634" s="204"/>
      <c r="G2634" s="204"/>
      <c r="H2634" s="204"/>
      <c r="I2634" s="204"/>
      <c r="J2634" s="204"/>
      <c r="K2634" s="204"/>
      <c r="L2634" s="204"/>
      <c r="M2634" s="204"/>
      <c r="N2634" s="204"/>
      <c r="O2634" s="204"/>
      <c r="P2634" s="204"/>
      <c r="T2634" s="217"/>
    </row>
    <row r="2635" spans="2:20">
      <c r="B2635" s="204"/>
      <c r="C2635" s="204"/>
      <c r="D2635" s="204"/>
      <c r="E2635" s="204"/>
      <c r="F2635" s="204"/>
      <c r="G2635" s="204"/>
      <c r="H2635" s="204"/>
      <c r="I2635" s="204"/>
      <c r="J2635" s="204"/>
      <c r="K2635" s="204"/>
      <c r="L2635" s="204"/>
      <c r="M2635" s="204"/>
      <c r="N2635" s="204"/>
      <c r="O2635" s="204"/>
      <c r="P2635" s="204"/>
      <c r="T2635" s="217"/>
    </row>
    <row r="2636" spans="2:20">
      <c r="B2636" s="204"/>
      <c r="C2636" s="204"/>
      <c r="D2636" s="204"/>
      <c r="E2636" s="204"/>
      <c r="F2636" s="204"/>
      <c r="G2636" s="204"/>
      <c r="H2636" s="204"/>
      <c r="I2636" s="204"/>
      <c r="J2636" s="204"/>
      <c r="K2636" s="204"/>
      <c r="L2636" s="204"/>
      <c r="M2636" s="204"/>
      <c r="N2636" s="204"/>
      <c r="O2636" s="204"/>
      <c r="P2636" s="204"/>
      <c r="T2636" s="217"/>
    </row>
    <row r="2637" spans="2:20">
      <c r="B2637" s="204"/>
      <c r="C2637" s="204"/>
      <c r="D2637" s="204"/>
      <c r="E2637" s="204"/>
      <c r="F2637" s="204"/>
      <c r="G2637" s="204"/>
      <c r="H2637" s="204"/>
      <c r="I2637" s="204"/>
      <c r="J2637" s="204"/>
      <c r="K2637" s="204"/>
      <c r="L2637" s="204"/>
      <c r="M2637" s="204"/>
      <c r="N2637" s="204"/>
      <c r="O2637" s="204"/>
      <c r="P2637" s="204"/>
      <c r="T2637" s="217"/>
    </row>
    <row r="2638" spans="2:20">
      <c r="B2638" s="204"/>
      <c r="C2638" s="204"/>
      <c r="D2638" s="204"/>
      <c r="E2638" s="204"/>
      <c r="F2638" s="204"/>
      <c r="G2638" s="204"/>
      <c r="H2638" s="204"/>
      <c r="I2638" s="204"/>
      <c r="J2638" s="204"/>
      <c r="K2638" s="204"/>
      <c r="L2638" s="204"/>
      <c r="M2638" s="204"/>
      <c r="N2638" s="204"/>
      <c r="O2638" s="204"/>
      <c r="P2638" s="204"/>
      <c r="T2638" s="217"/>
    </row>
    <row r="2639" spans="2:20">
      <c r="B2639" s="204"/>
      <c r="C2639" s="204"/>
      <c r="D2639" s="204"/>
      <c r="E2639" s="204"/>
      <c r="F2639" s="204"/>
      <c r="G2639" s="204"/>
      <c r="H2639" s="204"/>
      <c r="I2639" s="204"/>
      <c r="J2639" s="204"/>
      <c r="K2639" s="204"/>
      <c r="L2639" s="204"/>
      <c r="M2639" s="204"/>
      <c r="N2639" s="204"/>
      <c r="O2639" s="204"/>
      <c r="P2639" s="204"/>
      <c r="T2639" s="217"/>
    </row>
    <row r="2640" spans="2:20">
      <c r="B2640" s="204"/>
      <c r="C2640" s="204"/>
      <c r="D2640" s="204"/>
      <c r="E2640" s="204"/>
      <c r="F2640" s="204"/>
      <c r="G2640" s="204"/>
      <c r="H2640" s="204"/>
      <c r="I2640" s="204"/>
      <c r="J2640" s="204"/>
      <c r="K2640" s="204"/>
      <c r="L2640" s="204"/>
      <c r="M2640" s="204"/>
      <c r="N2640" s="204"/>
      <c r="O2640" s="204"/>
      <c r="P2640" s="204"/>
      <c r="T2640" s="217"/>
    </row>
    <row r="2641" spans="2:20">
      <c r="B2641" s="204"/>
      <c r="C2641" s="204"/>
      <c r="D2641" s="204"/>
      <c r="E2641" s="204"/>
      <c r="F2641" s="204"/>
      <c r="G2641" s="204"/>
      <c r="H2641" s="204"/>
      <c r="I2641" s="204"/>
      <c r="J2641" s="204"/>
      <c r="K2641" s="204"/>
      <c r="L2641" s="204"/>
      <c r="M2641" s="204"/>
      <c r="N2641" s="204"/>
      <c r="O2641" s="204"/>
      <c r="P2641" s="204"/>
      <c r="T2641" s="217"/>
    </row>
    <row r="2642" spans="2:20">
      <c r="B2642" s="204"/>
      <c r="C2642" s="204"/>
      <c r="D2642" s="204"/>
      <c r="E2642" s="204"/>
      <c r="F2642" s="204"/>
      <c r="G2642" s="204"/>
      <c r="H2642" s="204"/>
      <c r="I2642" s="204"/>
      <c r="J2642" s="204"/>
      <c r="K2642" s="204"/>
      <c r="L2642" s="204"/>
      <c r="M2642" s="204"/>
      <c r="N2642" s="204"/>
      <c r="O2642" s="204"/>
      <c r="P2642" s="204"/>
      <c r="T2642" s="217"/>
    </row>
    <row r="2643" spans="2:20">
      <c r="B2643" s="204"/>
      <c r="C2643" s="204"/>
      <c r="D2643" s="204"/>
      <c r="E2643" s="204"/>
      <c r="F2643" s="204"/>
      <c r="G2643" s="204"/>
      <c r="H2643" s="204"/>
      <c r="I2643" s="204"/>
      <c r="J2643" s="204"/>
      <c r="K2643" s="204"/>
      <c r="L2643" s="204"/>
      <c r="M2643" s="204"/>
      <c r="N2643" s="204"/>
      <c r="O2643" s="204"/>
      <c r="P2643" s="204"/>
      <c r="T2643" s="217"/>
    </row>
    <row r="2644" spans="2:20">
      <c r="B2644" s="204"/>
      <c r="C2644" s="204"/>
      <c r="D2644" s="204"/>
      <c r="E2644" s="204"/>
      <c r="F2644" s="204"/>
      <c r="G2644" s="204"/>
      <c r="H2644" s="204"/>
      <c r="I2644" s="204"/>
      <c r="J2644" s="204"/>
      <c r="K2644" s="204"/>
      <c r="L2644" s="204"/>
      <c r="M2644" s="204"/>
      <c r="N2644" s="204"/>
      <c r="O2644" s="204"/>
      <c r="P2644" s="204"/>
      <c r="T2644" s="217"/>
    </row>
    <row r="2645" spans="2:20">
      <c r="B2645" s="204"/>
      <c r="C2645" s="204"/>
      <c r="D2645" s="204"/>
      <c r="E2645" s="204"/>
      <c r="F2645" s="204"/>
      <c r="G2645" s="204"/>
      <c r="H2645" s="204"/>
      <c r="I2645" s="204"/>
      <c r="J2645" s="204"/>
      <c r="K2645" s="204"/>
      <c r="L2645" s="204"/>
      <c r="M2645" s="204"/>
      <c r="N2645" s="204"/>
      <c r="O2645" s="204"/>
      <c r="P2645" s="204"/>
      <c r="T2645" s="217"/>
    </row>
    <row r="2646" spans="2:20">
      <c r="B2646" s="204"/>
      <c r="C2646" s="204"/>
      <c r="D2646" s="204"/>
      <c r="E2646" s="204"/>
      <c r="F2646" s="204"/>
      <c r="G2646" s="204"/>
      <c r="H2646" s="204"/>
      <c r="I2646" s="204"/>
      <c r="J2646" s="204"/>
      <c r="K2646" s="204"/>
      <c r="L2646" s="204"/>
      <c r="M2646" s="204"/>
      <c r="N2646" s="204"/>
      <c r="O2646" s="204"/>
      <c r="P2646" s="204"/>
      <c r="T2646" s="217"/>
    </row>
    <row r="2647" spans="2:20">
      <c r="B2647" s="204"/>
      <c r="C2647" s="204"/>
      <c r="D2647" s="204"/>
      <c r="E2647" s="204"/>
      <c r="F2647" s="204"/>
      <c r="G2647" s="204"/>
      <c r="H2647" s="204"/>
      <c r="I2647" s="204"/>
      <c r="J2647" s="204"/>
      <c r="K2647" s="204"/>
      <c r="L2647" s="204"/>
      <c r="M2647" s="204"/>
      <c r="N2647" s="204"/>
      <c r="O2647" s="204"/>
      <c r="P2647" s="204"/>
      <c r="T2647" s="217"/>
    </row>
    <row r="2648" spans="2:20">
      <c r="B2648" s="204"/>
      <c r="C2648" s="204"/>
      <c r="D2648" s="204"/>
      <c r="E2648" s="204"/>
      <c r="F2648" s="204"/>
      <c r="G2648" s="204"/>
      <c r="H2648" s="204"/>
      <c r="I2648" s="204"/>
      <c r="J2648" s="204"/>
      <c r="K2648" s="204"/>
      <c r="L2648" s="204"/>
      <c r="M2648" s="204"/>
      <c r="N2648" s="204"/>
      <c r="O2648" s="204"/>
      <c r="P2648" s="204"/>
      <c r="T2648" s="217"/>
    </row>
    <row r="2649" spans="2:20">
      <c r="B2649" s="204"/>
      <c r="C2649" s="204"/>
      <c r="D2649" s="204"/>
      <c r="E2649" s="204"/>
      <c r="F2649" s="204"/>
      <c r="G2649" s="204"/>
      <c r="H2649" s="204"/>
      <c r="I2649" s="204"/>
      <c r="J2649" s="204"/>
      <c r="K2649" s="204"/>
      <c r="L2649" s="204"/>
      <c r="M2649" s="204"/>
      <c r="N2649" s="204"/>
      <c r="O2649" s="204"/>
      <c r="P2649" s="204"/>
      <c r="T2649" s="217"/>
    </row>
    <row r="2650" spans="2:20">
      <c r="B2650" s="204"/>
      <c r="C2650" s="204"/>
      <c r="D2650" s="204"/>
      <c r="E2650" s="204"/>
      <c r="F2650" s="204"/>
      <c r="G2650" s="204"/>
      <c r="H2650" s="204"/>
      <c r="I2650" s="204"/>
      <c r="J2650" s="204"/>
      <c r="K2650" s="204"/>
      <c r="L2650" s="204"/>
      <c r="M2650" s="204"/>
      <c r="N2650" s="204"/>
      <c r="O2650" s="204"/>
      <c r="P2650" s="204"/>
      <c r="T2650" s="217"/>
    </row>
    <row r="2651" spans="2:20">
      <c r="B2651" s="204"/>
      <c r="C2651" s="204"/>
      <c r="D2651" s="204"/>
      <c r="E2651" s="204"/>
      <c r="F2651" s="204"/>
      <c r="G2651" s="204"/>
      <c r="H2651" s="204"/>
      <c r="I2651" s="204"/>
      <c r="J2651" s="204"/>
      <c r="K2651" s="204"/>
      <c r="L2651" s="204"/>
      <c r="M2651" s="204"/>
      <c r="N2651" s="204"/>
      <c r="O2651" s="204"/>
      <c r="P2651" s="204"/>
      <c r="T2651" s="217"/>
    </row>
    <row r="2652" spans="2:20">
      <c r="B2652" s="204"/>
      <c r="C2652" s="204"/>
      <c r="D2652" s="204"/>
      <c r="E2652" s="204"/>
      <c r="F2652" s="204"/>
      <c r="G2652" s="204"/>
      <c r="H2652" s="204"/>
      <c r="I2652" s="204"/>
      <c r="J2652" s="204"/>
      <c r="K2652" s="204"/>
      <c r="L2652" s="204"/>
      <c r="M2652" s="204"/>
      <c r="N2652" s="204"/>
      <c r="O2652" s="204"/>
      <c r="P2652" s="204"/>
      <c r="T2652" s="217"/>
    </row>
    <row r="2653" spans="2:20">
      <c r="B2653" s="204"/>
      <c r="C2653" s="204"/>
      <c r="D2653" s="204"/>
      <c r="E2653" s="204"/>
      <c r="F2653" s="204"/>
      <c r="G2653" s="204"/>
      <c r="H2653" s="204"/>
      <c r="I2653" s="204"/>
      <c r="J2653" s="204"/>
      <c r="K2653" s="204"/>
      <c r="L2653" s="204"/>
      <c r="M2653" s="204"/>
      <c r="N2653" s="204"/>
      <c r="O2653" s="204"/>
      <c r="P2653" s="204"/>
      <c r="T2653" s="217"/>
    </row>
    <row r="2654" spans="2:20">
      <c r="B2654" s="204"/>
      <c r="C2654" s="204"/>
      <c r="D2654" s="204"/>
      <c r="E2654" s="204"/>
      <c r="F2654" s="204"/>
      <c r="G2654" s="204"/>
      <c r="H2654" s="204"/>
      <c r="I2654" s="204"/>
      <c r="J2654" s="204"/>
      <c r="K2654" s="204"/>
      <c r="L2654" s="204"/>
      <c r="M2654" s="204"/>
      <c r="N2654" s="204"/>
      <c r="O2654" s="204"/>
      <c r="P2654" s="204"/>
      <c r="T2654" s="217"/>
    </row>
    <row r="2655" spans="2:20">
      <c r="B2655" s="204"/>
      <c r="C2655" s="204"/>
      <c r="D2655" s="204"/>
      <c r="E2655" s="204"/>
      <c r="F2655" s="204"/>
      <c r="G2655" s="204"/>
      <c r="H2655" s="204"/>
      <c r="I2655" s="204"/>
      <c r="J2655" s="204"/>
      <c r="K2655" s="204"/>
      <c r="L2655" s="204"/>
      <c r="M2655" s="204"/>
      <c r="N2655" s="204"/>
      <c r="O2655" s="204"/>
      <c r="P2655" s="204"/>
      <c r="T2655" s="217"/>
    </row>
    <row r="2656" spans="2:20">
      <c r="B2656" s="204"/>
      <c r="C2656" s="204"/>
      <c r="D2656" s="204"/>
      <c r="E2656" s="204"/>
      <c r="F2656" s="204"/>
      <c r="G2656" s="204"/>
      <c r="H2656" s="204"/>
      <c r="I2656" s="204"/>
      <c r="J2656" s="204"/>
      <c r="K2656" s="204"/>
      <c r="L2656" s="204"/>
      <c r="M2656" s="204"/>
      <c r="N2656" s="204"/>
      <c r="O2656" s="204"/>
      <c r="P2656" s="204"/>
      <c r="T2656" s="217"/>
    </row>
    <row r="2657" spans="2:20">
      <c r="B2657" s="204"/>
      <c r="C2657" s="204"/>
      <c r="D2657" s="204"/>
      <c r="E2657" s="204"/>
      <c r="F2657" s="204"/>
      <c r="G2657" s="204"/>
      <c r="H2657" s="204"/>
      <c r="I2657" s="204"/>
      <c r="J2657" s="204"/>
      <c r="K2657" s="204"/>
      <c r="L2657" s="204"/>
      <c r="M2657" s="204"/>
      <c r="N2657" s="204"/>
      <c r="O2657" s="204"/>
      <c r="P2657" s="204"/>
      <c r="T2657" s="217"/>
    </row>
    <row r="2658" spans="2:20">
      <c r="B2658" s="204"/>
      <c r="C2658" s="204"/>
      <c r="D2658" s="204"/>
      <c r="E2658" s="204"/>
      <c r="F2658" s="204"/>
      <c r="G2658" s="204"/>
      <c r="H2658" s="204"/>
      <c r="I2658" s="204"/>
      <c r="J2658" s="204"/>
      <c r="K2658" s="204"/>
      <c r="L2658" s="204"/>
      <c r="M2658" s="204"/>
      <c r="N2658" s="204"/>
      <c r="O2658" s="204"/>
      <c r="P2658" s="204"/>
      <c r="T2658" s="217"/>
    </row>
    <row r="2659" spans="2:20">
      <c r="B2659" s="204"/>
      <c r="C2659" s="204"/>
      <c r="D2659" s="204"/>
      <c r="E2659" s="204"/>
      <c r="F2659" s="204"/>
      <c r="G2659" s="204"/>
      <c r="H2659" s="204"/>
      <c r="I2659" s="204"/>
      <c r="J2659" s="204"/>
      <c r="K2659" s="204"/>
      <c r="L2659" s="204"/>
      <c r="M2659" s="204"/>
      <c r="N2659" s="204"/>
      <c r="O2659" s="204"/>
      <c r="P2659" s="204"/>
      <c r="T2659" s="217"/>
    </row>
    <row r="2660" spans="2:20">
      <c r="B2660" s="204"/>
      <c r="C2660" s="204"/>
      <c r="D2660" s="204"/>
      <c r="E2660" s="204"/>
      <c r="F2660" s="204"/>
      <c r="G2660" s="204"/>
      <c r="H2660" s="204"/>
      <c r="I2660" s="204"/>
      <c r="J2660" s="204"/>
      <c r="K2660" s="204"/>
      <c r="L2660" s="204"/>
      <c r="M2660" s="204"/>
      <c r="N2660" s="204"/>
      <c r="O2660" s="204"/>
      <c r="P2660" s="204"/>
      <c r="T2660" s="217"/>
    </row>
    <row r="2661" spans="2:20">
      <c r="B2661" s="204"/>
      <c r="C2661" s="204"/>
      <c r="D2661" s="204"/>
      <c r="E2661" s="204"/>
      <c r="F2661" s="204"/>
      <c r="G2661" s="204"/>
      <c r="H2661" s="204"/>
      <c r="I2661" s="204"/>
      <c r="J2661" s="204"/>
      <c r="K2661" s="204"/>
      <c r="L2661" s="204"/>
      <c r="M2661" s="204"/>
      <c r="N2661" s="204"/>
      <c r="O2661" s="204"/>
      <c r="P2661" s="204"/>
      <c r="T2661" s="217"/>
    </row>
    <row r="2662" spans="2:20">
      <c r="B2662" s="204"/>
      <c r="C2662" s="204"/>
      <c r="D2662" s="204"/>
      <c r="E2662" s="204"/>
      <c r="F2662" s="204"/>
      <c r="G2662" s="204"/>
      <c r="H2662" s="204"/>
      <c r="I2662" s="204"/>
      <c r="J2662" s="204"/>
      <c r="K2662" s="204"/>
      <c r="L2662" s="204"/>
      <c r="M2662" s="204"/>
      <c r="N2662" s="204"/>
      <c r="O2662" s="204"/>
      <c r="P2662" s="204"/>
      <c r="T2662" s="217"/>
    </row>
    <row r="2663" spans="2:20">
      <c r="B2663" s="204"/>
      <c r="C2663" s="204"/>
      <c r="D2663" s="204"/>
      <c r="E2663" s="204"/>
      <c r="F2663" s="204"/>
      <c r="G2663" s="204"/>
      <c r="H2663" s="204"/>
      <c r="I2663" s="204"/>
      <c r="J2663" s="204"/>
      <c r="K2663" s="204"/>
      <c r="L2663" s="204"/>
      <c r="M2663" s="204"/>
      <c r="N2663" s="204"/>
      <c r="O2663" s="204"/>
      <c r="P2663" s="204"/>
      <c r="T2663" s="217"/>
    </row>
    <row r="2664" spans="2:20">
      <c r="B2664" s="204"/>
      <c r="C2664" s="204"/>
      <c r="D2664" s="204"/>
      <c r="E2664" s="204"/>
      <c r="F2664" s="204"/>
      <c r="G2664" s="204"/>
      <c r="H2664" s="204"/>
      <c r="I2664" s="204"/>
      <c r="J2664" s="204"/>
      <c r="K2664" s="204"/>
      <c r="L2664" s="204"/>
      <c r="M2664" s="204"/>
      <c r="N2664" s="204"/>
      <c r="O2664" s="204"/>
      <c r="P2664" s="204"/>
      <c r="T2664" s="217"/>
    </row>
    <row r="2665" spans="2:20">
      <c r="B2665" s="204"/>
      <c r="C2665" s="204"/>
      <c r="D2665" s="204"/>
      <c r="E2665" s="204"/>
      <c r="F2665" s="204"/>
      <c r="G2665" s="204"/>
      <c r="H2665" s="204"/>
      <c r="I2665" s="204"/>
      <c r="J2665" s="204"/>
      <c r="K2665" s="204"/>
      <c r="L2665" s="204"/>
      <c r="M2665" s="204"/>
      <c r="N2665" s="204"/>
      <c r="O2665" s="204"/>
      <c r="P2665" s="204"/>
      <c r="T2665" s="217"/>
    </row>
    <row r="2666" spans="2:20">
      <c r="B2666" s="204"/>
      <c r="C2666" s="204"/>
      <c r="D2666" s="204"/>
      <c r="E2666" s="204"/>
      <c r="F2666" s="204"/>
      <c r="G2666" s="204"/>
      <c r="H2666" s="204"/>
      <c r="I2666" s="204"/>
      <c r="J2666" s="204"/>
      <c r="K2666" s="204"/>
      <c r="L2666" s="204"/>
      <c r="M2666" s="204"/>
      <c r="N2666" s="204"/>
      <c r="O2666" s="204"/>
      <c r="P2666" s="204"/>
      <c r="T2666" s="217"/>
    </row>
    <row r="2667" spans="2:20">
      <c r="B2667" s="204"/>
      <c r="C2667" s="204"/>
      <c r="D2667" s="204"/>
      <c r="E2667" s="204"/>
      <c r="F2667" s="204"/>
      <c r="G2667" s="204"/>
      <c r="H2667" s="204"/>
      <c r="I2667" s="204"/>
      <c r="J2667" s="204"/>
      <c r="K2667" s="204"/>
      <c r="L2667" s="204"/>
      <c r="M2667" s="204"/>
      <c r="N2667" s="204"/>
      <c r="O2667" s="204"/>
      <c r="P2667" s="204"/>
      <c r="T2667" s="217"/>
    </row>
    <row r="2668" spans="2:20">
      <c r="B2668" s="204"/>
      <c r="C2668" s="204"/>
      <c r="D2668" s="204"/>
      <c r="E2668" s="204"/>
      <c r="F2668" s="204"/>
      <c r="G2668" s="204"/>
      <c r="H2668" s="204"/>
      <c r="I2668" s="204"/>
      <c r="J2668" s="204"/>
      <c r="K2668" s="204"/>
      <c r="L2668" s="204"/>
      <c r="M2668" s="204"/>
      <c r="N2668" s="204"/>
      <c r="O2668" s="204"/>
      <c r="P2668" s="204"/>
      <c r="T2668" s="217"/>
    </row>
    <row r="2669" spans="2:20">
      <c r="B2669" s="204"/>
      <c r="C2669" s="204"/>
      <c r="D2669" s="204"/>
      <c r="E2669" s="204"/>
      <c r="F2669" s="204"/>
      <c r="G2669" s="204"/>
      <c r="H2669" s="204"/>
      <c r="I2669" s="204"/>
      <c r="J2669" s="204"/>
      <c r="K2669" s="204"/>
      <c r="L2669" s="204"/>
      <c r="M2669" s="204"/>
      <c r="N2669" s="204"/>
      <c r="O2669" s="204"/>
      <c r="P2669" s="204"/>
      <c r="T2669" s="217"/>
    </row>
    <row r="2670" spans="2:20">
      <c r="B2670" s="204"/>
      <c r="C2670" s="204"/>
      <c r="D2670" s="204"/>
      <c r="E2670" s="204"/>
      <c r="F2670" s="204"/>
      <c r="G2670" s="204"/>
      <c r="H2670" s="204"/>
      <c r="I2670" s="204"/>
      <c r="J2670" s="204"/>
      <c r="K2670" s="204"/>
      <c r="L2670" s="204"/>
      <c r="M2670" s="204"/>
      <c r="N2670" s="204"/>
      <c r="O2670" s="204"/>
      <c r="P2670" s="204"/>
      <c r="T2670" s="217"/>
    </row>
    <row r="2671" spans="2:20">
      <c r="B2671" s="204"/>
      <c r="C2671" s="204"/>
      <c r="D2671" s="204"/>
      <c r="E2671" s="204"/>
      <c r="F2671" s="204"/>
      <c r="G2671" s="204"/>
      <c r="H2671" s="204"/>
      <c r="I2671" s="204"/>
      <c r="J2671" s="204"/>
      <c r="K2671" s="204"/>
      <c r="L2671" s="204"/>
      <c r="M2671" s="204"/>
      <c r="N2671" s="204"/>
      <c r="O2671" s="204"/>
      <c r="P2671" s="204"/>
      <c r="T2671" s="217"/>
    </row>
    <row r="2672" spans="2:20">
      <c r="B2672" s="204"/>
      <c r="C2672" s="204"/>
      <c r="D2672" s="204"/>
      <c r="E2672" s="204"/>
      <c r="F2672" s="204"/>
      <c r="G2672" s="204"/>
      <c r="H2672" s="204"/>
      <c r="I2672" s="204"/>
      <c r="J2672" s="204"/>
      <c r="K2672" s="204"/>
      <c r="L2672" s="204"/>
      <c r="M2672" s="204"/>
      <c r="N2672" s="204"/>
      <c r="O2672" s="204"/>
      <c r="P2672" s="204"/>
      <c r="T2672" s="217"/>
    </row>
    <row r="2673" spans="2:20">
      <c r="B2673" s="204"/>
      <c r="C2673" s="204"/>
      <c r="D2673" s="204"/>
      <c r="E2673" s="204"/>
      <c r="F2673" s="204"/>
      <c r="G2673" s="204"/>
      <c r="H2673" s="204"/>
      <c r="I2673" s="204"/>
      <c r="J2673" s="204"/>
      <c r="K2673" s="204"/>
      <c r="L2673" s="204"/>
      <c r="M2673" s="204"/>
      <c r="N2673" s="204"/>
      <c r="O2673" s="204"/>
      <c r="P2673" s="204"/>
      <c r="T2673" s="217"/>
    </row>
    <row r="2674" spans="2:20">
      <c r="B2674" s="204"/>
      <c r="C2674" s="204"/>
      <c r="D2674" s="204"/>
      <c r="E2674" s="204"/>
      <c r="F2674" s="204"/>
      <c r="G2674" s="204"/>
      <c r="H2674" s="204"/>
      <c r="I2674" s="204"/>
      <c r="J2674" s="204"/>
      <c r="K2674" s="204"/>
      <c r="L2674" s="204"/>
      <c r="M2674" s="204"/>
      <c r="N2674" s="204"/>
      <c r="O2674" s="204"/>
      <c r="P2674" s="204"/>
      <c r="T2674" s="217"/>
    </row>
    <row r="2675" spans="2:20">
      <c r="B2675" s="204"/>
      <c r="C2675" s="204"/>
      <c r="D2675" s="204"/>
      <c r="E2675" s="204"/>
      <c r="F2675" s="204"/>
      <c r="G2675" s="204"/>
      <c r="H2675" s="204"/>
      <c r="I2675" s="204"/>
      <c r="J2675" s="204"/>
      <c r="K2675" s="204"/>
      <c r="L2675" s="204"/>
      <c r="M2675" s="204"/>
      <c r="N2675" s="204"/>
      <c r="O2675" s="204"/>
      <c r="P2675" s="204"/>
      <c r="T2675" s="217"/>
    </row>
    <row r="2676" spans="2:20">
      <c r="B2676" s="204"/>
      <c r="C2676" s="204"/>
      <c r="D2676" s="204"/>
      <c r="E2676" s="204"/>
      <c r="F2676" s="204"/>
      <c r="G2676" s="204"/>
      <c r="H2676" s="204"/>
      <c r="I2676" s="204"/>
      <c r="J2676" s="204"/>
      <c r="K2676" s="204"/>
      <c r="L2676" s="204"/>
      <c r="M2676" s="204"/>
      <c r="N2676" s="204"/>
      <c r="O2676" s="204"/>
      <c r="P2676" s="204"/>
      <c r="T2676" s="217"/>
    </row>
    <row r="2677" spans="2:20">
      <c r="B2677" s="204"/>
      <c r="C2677" s="204"/>
      <c r="D2677" s="204"/>
      <c r="E2677" s="204"/>
      <c r="F2677" s="204"/>
      <c r="G2677" s="204"/>
      <c r="H2677" s="204"/>
      <c r="I2677" s="204"/>
      <c r="J2677" s="204"/>
      <c r="K2677" s="204"/>
      <c r="L2677" s="204"/>
      <c r="M2677" s="204"/>
      <c r="N2677" s="204"/>
      <c r="O2677" s="204"/>
      <c r="P2677" s="204"/>
      <c r="T2677" s="217"/>
    </row>
    <row r="2678" spans="2:20">
      <c r="B2678" s="204"/>
      <c r="C2678" s="204"/>
      <c r="D2678" s="204"/>
      <c r="E2678" s="204"/>
      <c r="F2678" s="204"/>
      <c r="G2678" s="204"/>
      <c r="H2678" s="204"/>
      <c r="I2678" s="204"/>
      <c r="J2678" s="204"/>
      <c r="K2678" s="204"/>
      <c r="L2678" s="204"/>
      <c r="M2678" s="204"/>
      <c r="N2678" s="204"/>
      <c r="O2678" s="204"/>
      <c r="P2678" s="204"/>
      <c r="T2678" s="217"/>
    </row>
    <row r="2679" spans="2:20">
      <c r="B2679" s="204"/>
      <c r="C2679" s="204"/>
      <c r="D2679" s="204"/>
      <c r="E2679" s="204"/>
      <c r="F2679" s="204"/>
      <c r="G2679" s="204"/>
      <c r="H2679" s="204"/>
      <c r="I2679" s="204"/>
      <c r="J2679" s="204"/>
      <c r="K2679" s="204"/>
      <c r="L2679" s="204"/>
      <c r="M2679" s="204"/>
      <c r="N2679" s="204"/>
      <c r="O2679" s="204"/>
      <c r="P2679" s="204"/>
      <c r="T2679" s="217"/>
    </row>
    <row r="2680" spans="2:20">
      <c r="B2680" s="204"/>
      <c r="C2680" s="204"/>
      <c r="D2680" s="204"/>
      <c r="E2680" s="204"/>
      <c r="F2680" s="204"/>
      <c r="G2680" s="204"/>
      <c r="H2680" s="204"/>
      <c r="I2680" s="204"/>
      <c r="J2680" s="204"/>
      <c r="K2680" s="204"/>
      <c r="L2680" s="204"/>
      <c r="M2680" s="204"/>
      <c r="N2680" s="204"/>
      <c r="O2680" s="204"/>
      <c r="P2680" s="204"/>
      <c r="T2680" s="217"/>
    </row>
    <row r="2681" spans="2:20">
      <c r="B2681" s="204"/>
      <c r="C2681" s="204"/>
      <c r="D2681" s="204"/>
      <c r="E2681" s="204"/>
      <c r="F2681" s="204"/>
      <c r="G2681" s="204"/>
      <c r="H2681" s="204"/>
      <c r="I2681" s="204"/>
      <c r="J2681" s="204"/>
      <c r="K2681" s="204"/>
      <c r="L2681" s="204"/>
      <c r="M2681" s="204"/>
      <c r="N2681" s="204"/>
      <c r="O2681" s="204"/>
      <c r="P2681" s="204"/>
      <c r="T2681" s="217"/>
    </row>
    <row r="2682" spans="2:20">
      <c r="B2682" s="204"/>
      <c r="C2682" s="204"/>
      <c r="D2682" s="204"/>
      <c r="E2682" s="204"/>
      <c r="F2682" s="204"/>
      <c r="G2682" s="204"/>
      <c r="H2682" s="204"/>
      <c r="I2682" s="204"/>
      <c r="J2682" s="204"/>
      <c r="K2682" s="204"/>
      <c r="L2682" s="204"/>
      <c r="M2682" s="204"/>
      <c r="N2682" s="204"/>
      <c r="O2682" s="204"/>
      <c r="P2682" s="204"/>
      <c r="T2682" s="217"/>
    </row>
    <row r="2683" spans="2:20">
      <c r="B2683" s="204"/>
      <c r="C2683" s="204"/>
      <c r="D2683" s="204"/>
      <c r="E2683" s="204"/>
      <c r="F2683" s="204"/>
      <c r="G2683" s="204"/>
      <c r="H2683" s="204"/>
      <c r="I2683" s="204"/>
      <c r="J2683" s="204"/>
      <c r="K2683" s="204"/>
      <c r="L2683" s="204"/>
      <c r="M2683" s="204"/>
      <c r="N2683" s="204"/>
      <c r="O2683" s="204"/>
      <c r="P2683" s="204"/>
      <c r="T2683" s="217"/>
    </row>
    <row r="2684" spans="2:20">
      <c r="B2684" s="204"/>
      <c r="C2684" s="204"/>
      <c r="D2684" s="204"/>
      <c r="E2684" s="204"/>
      <c r="F2684" s="204"/>
      <c r="G2684" s="204"/>
      <c r="H2684" s="204"/>
      <c r="I2684" s="204"/>
      <c r="J2684" s="204"/>
      <c r="K2684" s="204"/>
      <c r="L2684" s="204"/>
      <c r="M2684" s="204"/>
      <c r="N2684" s="204"/>
      <c r="O2684" s="204"/>
      <c r="P2684" s="204"/>
      <c r="T2684" s="217"/>
    </row>
    <row r="2685" spans="2:20">
      <c r="B2685" s="204"/>
      <c r="C2685" s="204"/>
      <c r="D2685" s="204"/>
      <c r="E2685" s="204"/>
      <c r="F2685" s="204"/>
      <c r="G2685" s="204"/>
      <c r="H2685" s="204"/>
      <c r="I2685" s="204"/>
      <c r="J2685" s="204"/>
      <c r="K2685" s="204"/>
      <c r="L2685" s="204"/>
      <c r="M2685" s="204"/>
      <c r="N2685" s="204"/>
      <c r="O2685" s="204"/>
      <c r="P2685" s="204"/>
      <c r="T2685" s="217"/>
    </row>
    <row r="2686" spans="2:20">
      <c r="B2686" s="204"/>
      <c r="C2686" s="204"/>
      <c r="D2686" s="204"/>
      <c r="E2686" s="204"/>
      <c r="F2686" s="204"/>
      <c r="G2686" s="204"/>
      <c r="H2686" s="204"/>
      <c r="I2686" s="204"/>
      <c r="J2686" s="204"/>
      <c r="K2686" s="204"/>
      <c r="L2686" s="204"/>
      <c r="M2686" s="204"/>
      <c r="N2686" s="204"/>
      <c r="O2686" s="204"/>
      <c r="P2686" s="204"/>
      <c r="T2686" s="217"/>
    </row>
    <row r="2687" spans="2:20">
      <c r="B2687" s="204"/>
      <c r="C2687" s="204"/>
      <c r="D2687" s="204"/>
      <c r="E2687" s="204"/>
      <c r="F2687" s="204"/>
      <c r="G2687" s="204"/>
      <c r="H2687" s="204"/>
      <c r="I2687" s="204"/>
      <c r="J2687" s="204"/>
      <c r="K2687" s="204"/>
      <c r="L2687" s="204"/>
      <c r="M2687" s="204"/>
      <c r="N2687" s="204"/>
      <c r="O2687" s="204"/>
      <c r="P2687" s="204"/>
      <c r="T2687" s="217"/>
    </row>
    <row r="2688" spans="2:20">
      <c r="B2688" s="204"/>
      <c r="C2688" s="204"/>
      <c r="D2688" s="204"/>
      <c r="E2688" s="204"/>
      <c r="F2688" s="204"/>
      <c r="G2688" s="204"/>
      <c r="H2688" s="204"/>
      <c r="I2688" s="204"/>
      <c r="J2688" s="204"/>
      <c r="K2688" s="204"/>
      <c r="L2688" s="204"/>
      <c r="M2688" s="204"/>
      <c r="N2688" s="204"/>
      <c r="O2688" s="204"/>
      <c r="P2688" s="204"/>
      <c r="T2688" s="217"/>
    </row>
    <row r="2689" spans="2:20">
      <c r="B2689" s="204"/>
      <c r="C2689" s="204"/>
      <c r="D2689" s="204"/>
      <c r="E2689" s="204"/>
      <c r="F2689" s="204"/>
      <c r="G2689" s="204"/>
      <c r="H2689" s="204"/>
      <c r="I2689" s="204"/>
      <c r="J2689" s="204"/>
      <c r="K2689" s="204"/>
      <c r="L2689" s="204"/>
      <c r="M2689" s="204"/>
      <c r="N2689" s="204"/>
      <c r="O2689" s="204"/>
      <c r="P2689" s="204"/>
      <c r="T2689" s="217"/>
    </row>
    <row r="2690" spans="2:20">
      <c r="B2690" s="204"/>
      <c r="C2690" s="204"/>
      <c r="D2690" s="204"/>
      <c r="E2690" s="204"/>
      <c r="F2690" s="204"/>
      <c r="G2690" s="204"/>
      <c r="H2690" s="204"/>
      <c r="I2690" s="204"/>
      <c r="J2690" s="204"/>
      <c r="K2690" s="204"/>
      <c r="L2690" s="204"/>
      <c r="M2690" s="204"/>
      <c r="N2690" s="204"/>
      <c r="O2690" s="204"/>
      <c r="P2690" s="204"/>
      <c r="T2690" s="217"/>
    </row>
    <row r="2691" spans="2:20">
      <c r="B2691" s="204"/>
      <c r="C2691" s="204"/>
      <c r="D2691" s="204"/>
      <c r="E2691" s="204"/>
      <c r="F2691" s="204"/>
      <c r="G2691" s="204"/>
      <c r="H2691" s="204"/>
      <c r="I2691" s="204"/>
      <c r="J2691" s="204"/>
      <c r="K2691" s="204"/>
      <c r="L2691" s="204"/>
      <c r="M2691" s="204"/>
      <c r="N2691" s="204"/>
      <c r="O2691" s="204"/>
      <c r="P2691" s="204"/>
      <c r="T2691" s="217"/>
    </row>
    <row r="2692" spans="2:20">
      <c r="B2692" s="204"/>
      <c r="C2692" s="204"/>
      <c r="D2692" s="204"/>
      <c r="E2692" s="204"/>
      <c r="F2692" s="204"/>
      <c r="G2692" s="204"/>
      <c r="H2692" s="204"/>
      <c r="I2692" s="204"/>
      <c r="J2692" s="204"/>
      <c r="K2692" s="204"/>
      <c r="L2692" s="204"/>
      <c r="M2692" s="204"/>
      <c r="N2692" s="204"/>
      <c r="O2692" s="204"/>
      <c r="P2692" s="204"/>
      <c r="T2692" s="217"/>
    </row>
    <row r="2693" spans="2:20">
      <c r="B2693" s="204"/>
      <c r="C2693" s="204"/>
      <c r="D2693" s="204"/>
      <c r="E2693" s="204"/>
      <c r="F2693" s="204"/>
      <c r="G2693" s="204"/>
      <c r="H2693" s="204"/>
      <c r="I2693" s="204"/>
      <c r="J2693" s="204"/>
      <c r="K2693" s="204"/>
      <c r="L2693" s="204"/>
      <c r="M2693" s="204"/>
      <c r="N2693" s="204"/>
      <c r="O2693" s="204"/>
      <c r="P2693" s="204"/>
      <c r="T2693" s="217"/>
    </row>
    <row r="2694" spans="2:20">
      <c r="B2694" s="204"/>
      <c r="C2694" s="204"/>
      <c r="D2694" s="204"/>
      <c r="E2694" s="204"/>
      <c r="F2694" s="204"/>
      <c r="G2694" s="204"/>
      <c r="H2694" s="204"/>
      <c r="I2694" s="204"/>
      <c r="J2694" s="204"/>
      <c r="K2694" s="204"/>
      <c r="L2694" s="204"/>
      <c r="M2694" s="204"/>
      <c r="N2694" s="204"/>
      <c r="O2694" s="204"/>
      <c r="P2694" s="204"/>
      <c r="T2694" s="217"/>
    </row>
    <row r="2695" spans="2:20">
      <c r="B2695" s="204"/>
      <c r="C2695" s="204"/>
      <c r="D2695" s="204"/>
      <c r="E2695" s="204"/>
      <c r="F2695" s="204"/>
      <c r="G2695" s="204"/>
      <c r="H2695" s="204"/>
      <c r="I2695" s="204"/>
      <c r="J2695" s="204"/>
      <c r="K2695" s="204"/>
      <c r="L2695" s="204"/>
      <c r="M2695" s="204"/>
      <c r="N2695" s="204"/>
      <c r="O2695" s="204"/>
      <c r="P2695" s="204"/>
      <c r="T2695" s="217"/>
    </row>
    <row r="2696" spans="2:20">
      <c r="B2696" s="204"/>
      <c r="C2696" s="204"/>
      <c r="D2696" s="204"/>
      <c r="E2696" s="204"/>
      <c r="F2696" s="204"/>
      <c r="G2696" s="204"/>
      <c r="H2696" s="204"/>
      <c r="I2696" s="204"/>
      <c r="J2696" s="204"/>
      <c r="K2696" s="204"/>
      <c r="L2696" s="204"/>
      <c r="M2696" s="204"/>
      <c r="N2696" s="204"/>
      <c r="O2696" s="204"/>
      <c r="P2696" s="204"/>
      <c r="T2696" s="217"/>
    </row>
    <row r="2697" spans="2:20">
      <c r="B2697" s="204"/>
      <c r="C2697" s="204"/>
      <c r="D2697" s="204"/>
      <c r="E2697" s="204"/>
      <c r="F2697" s="204"/>
      <c r="G2697" s="204"/>
      <c r="H2697" s="204"/>
      <c r="I2697" s="204"/>
      <c r="J2697" s="204"/>
      <c r="K2697" s="204"/>
      <c r="L2697" s="204"/>
      <c r="M2697" s="204"/>
      <c r="N2697" s="204"/>
      <c r="O2697" s="204"/>
      <c r="P2697" s="204"/>
      <c r="T2697" s="217"/>
    </row>
    <row r="2698" spans="2:20">
      <c r="B2698" s="204"/>
      <c r="C2698" s="204"/>
      <c r="D2698" s="204"/>
      <c r="E2698" s="204"/>
      <c r="F2698" s="204"/>
      <c r="G2698" s="204"/>
      <c r="H2698" s="204"/>
      <c r="I2698" s="204"/>
      <c r="J2698" s="204"/>
      <c r="K2698" s="204"/>
      <c r="L2698" s="204"/>
      <c r="M2698" s="204"/>
      <c r="N2698" s="204"/>
      <c r="O2698" s="204"/>
      <c r="P2698" s="204"/>
      <c r="T2698" s="217"/>
    </row>
    <row r="2699" spans="2:20">
      <c r="B2699" s="204"/>
      <c r="C2699" s="204"/>
      <c r="D2699" s="204"/>
      <c r="E2699" s="204"/>
      <c r="F2699" s="204"/>
      <c r="G2699" s="204"/>
      <c r="H2699" s="204"/>
      <c r="I2699" s="204"/>
      <c r="J2699" s="204"/>
      <c r="K2699" s="204"/>
      <c r="L2699" s="204"/>
      <c r="M2699" s="204"/>
      <c r="N2699" s="204"/>
      <c r="O2699" s="204"/>
      <c r="P2699" s="204"/>
      <c r="T2699" s="217"/>
    </row>
    <row r="2700" spans="2:20">
      <c r="B2700" s="204"/>
      <c r="C2700" s="204"/>
      <c r="D2700" s="204"/>
      <c r="E2700" s="204"/>
      <c r="F2700" s="204"/>
      <c r="G2700" s="204"/>
      <c r="H2700" s="204"/>
      <c r="I2700" s="204"/>
      <c r="J2700" s="204"/>
      <c r="K2700" s="204"/>
      <c r="L2700" s="204"/>
      <c r="M2700" s="204"/>
      <c r="N2700" s="204"/>
      <c r="O2700" s="204"/>
      <c r="P2700" s="204"/>
      <c r="T2700" s="217"/>
    </row>
    <row r="2701" spans="2:20">
      <c r="B2701" s="204"/>
      <c r="C2701" s="204"/>
      <c r="D2701" s="204"/>
      <c r="E2701" s="204"/>
      <c r="F2701" s="204"/>
      <c r="G2701" s="204"/>
      <c r="H2701" s="204"/>
      <c r="I2701" s="204"/>
      <c r="J2701" s="204"/>
      <c r="K2701" s="204"/>
      <c r="L2701" s="204"/>
      <c r="M2701" s="204"/>
      <c r="N2701" s="204"/>
      <c r="O2701" s="204"/>
      <c r="P2701" s="204"/>
      <c r="T2701" s="217"/>
    </row>
    <row r="2702" spans="2:20">
      <c r="B2702" s="204"/>
      <c r="C2702" s="204"/>
      <c r="D2702" s="204"/>
      <c r="E2702" s="204"/>
      <c r="F2702" s="204"/>
      <c r="G2702" s="204"/>
      <c r="H2702" s="204"/>
      <c r="I2702" s="204"/>
      <c r="J2702" s="204"/>
      <c r="K2702" s="204"/>
      <c r="L2702" s="204"/>
      <c r="M2702" s="204"/>
      <c r="N2702" s="204"/>
      <c r="O2702" s="204"/>
      <c r="P2702" s="204"/>
      <c r="T2702" s="217"/>
    </row>
    <row r="2703" spans="2:20">
      <c r="B2703" s="204"/>
      <c r="C2703" s="204"/>
      <c r="D2703" s="204"/>
      <c r="E2703" s="204"/>
      <c r="F2703" s="204"/>
      <c r="G2703" s="204"/>
      <c r="H2703" s="204"/>
      <c r="I2703" s="204"/>
      <c r="J2703" s="204"/>
      <c r="K2703" s="204"/>
      <c r="L2703" s="204"/>
      <c r="M2703" s="204"/>
      <c r="N2703" s="204"/>
      <c r="O2703" s="204"/>
      <c r="P2703" s="204"/>
      <c r="T2703" s="217"/>
    </row>
    <row r="2704" spans="2:20">
      <c r="B2704" s="204"/>
      <c r="C2704" s="204"/>
      <c r="D2704" s="204"/>
      <c r="E2704" s="204"/>
      <c r="F2704" s="204"/>
      <c r="G2704" s="204"/>
      <c r="H2704" s="204"/>
      <c r="I2704" s="204"/>
      <c r="J2704" s="204"/>
      <c r="K2704" s="204"/>
      <c r="L2704" s="204"/>
      <c r="M2704" s="204"/>
      <c r="N2704" s="204"/>
      <c r="O2704" s="204"/>
      <c r="P2704" s="204"/>
      <c r="T2704" s="217"/>
    </row>
    <row r="2705" spans="2:20">
      <c r="B2705" s="204"/>
      <c r="C2705" s="204"/>
      <c r="D2705" s="204"/>
      <c r="E2705" s="204"/>
      <c r="F2705" s="204"/>
      <c r="G2705" s="204"/>
      <c r="H2705" s="204"/>
      <c r="I2705" s="204"/>
      <c r="J2705" s="204"/>
      <c r="K2705" s="204"/>
      <c r="L2705" s="204"/>
      <c r="M2705" s="204"/>
      <c r="N2705" s="204"/>
      <c r="O2705" s="204"/>
      <c r="P2705" s="204"/>
      <c r="T2705" s="217"/>
    </row>
    <row r="2706" spans="2:20">
      <c r="B2706" s="204"/>
      <c r="C2706" s="204"/>
      <c r="D2706" s="204"/>
      <c r="E2706" s="204"/>
      <c r="F2706" s="204"/>
      <c r="G2706" s="204"/>
      <c r="H2706" s="204"/>
      <c r="I2706" s="204"/>
      <c r="J2706" s="204"/>
      <c r="K2706" s="204"/>
      <c r="L2706" s="204"/>
      <c r="M2706" s="204"/>
      <c r="N2706" s="204"/>
      <c r="O2706" s="204"/>
      <c r="P2706" s="204"/>
      <c r="T2706" s="217"/>
    </row>
    <row r="2707" spans="2:20">
      <c r="B2707" s="204"/>
      <c r="C2707" s="204"/>
      <c r="D2707" s="204"/>
      <c r="E2707" s="204"/>
      <c r="F2707" s="204"/>
      <c r="G2707" s="204"/>
      <c r="H2707" s="204"/>
      <c r="I2707" s="204"/>
      <c r="J2707" s="204"/>
      <c r="K2707" s="204"/>
      <c r="L2707" s="204"/>
      <c r="M2707" s="204"/>
      <c r="N2707" s="204"/>
      <c r="O2707" s="204"/>
      <c r="P2707" s="204"/>
      <c r="T2707" s="217"/>
    </row>
    <row r="2708" spans="2:20">
      <c r="B2708" s="204"/>
      <c r="C2708" s="204"/>
      <c r="D2708" s="204"/>
      <c r="E2708" s="204"/>
      <c r="F2708" s="204"/>
      <c r="G2708" s="204"/>
      <c r="H2708" s="204"/>
      <c r="I2708" s="204"/>
      <c r="J2708" s="204"/>
      <c r="K2708" s="204"/>
      <c r="L2708" s="204"/>
      <c r="M2708" s="204"/>
      <c r="N2708" s="204"/>
      <c r="O2708" s="204"/>
      <c r="P2708" s="204"/>
      <c r="T2708" s="217"/>
    </row>
    <row r="2709" spans="2:20">
      <c r="B2709" s="204"/>
      <c r="C2709" s="204"/>
      <c r="D2709" s="204"/>
      <c r="E2709" s="204"/>
      <c r="F2709" s="204"/>
      <c r="G2709" s="204"/>
      <c r="H2709" s="204"/>
      <c r="I2709" s="204"/>
      <c r="J2709" s="204"/>
      <c r="K2709" s="204"/>
      <c r="L2709" s="204"/>
      <c r="M2709" s="204"/>
      <c r="N2709" s="204"/>
      <c r="O2709" s="204"/>
      <c r="P2709" s="204"/>
      <c r="T2709" s="217"/>
    </row>
    <row r="2710" spans="2:20">
      <c r="B2710" s="204"/>
      <c r="C2710" s="204"/>
      <c r="D2710" s="204"/>
      <c r="E2710" s="204"/>
      <c r="F2710" s="204"/>
      <c r="G2710" s="204"/>
      <c r="H2710" s="204"/>
      <c r="I2710" s="204"/>
      <c r="J2710" s="204"/>
      <c r="K2710" s="204"/>
      <c r="L2710" s="204"/>
      <c r="M2710" s="204"/>
      <c r="N2710" s="204"/>
      <c r="O2710" s="204"/>
      <c r="P2710" s="204"/>
      <c r="T2710" s="217"/>
    </row>
    <row r="2711" spans="2:20">
      <c r="B2711" s="204"/>
      <c r="C2711" s="204"/>
      <c r="D2711" s="204"/>
      <c r="E2711" s="204"/>
      <c r="F2711" s="204"/>
      <c r="G2711" s="204"/>
      <c r="H2711" s="204"/>
      <c r="I2711" s="204"/>
      <c r="J2711" s="204"/>
      <c r="K2711" s="204"/>
      <c r="L2711" s="204"/>
      <c r="M2711" s="204"/>
      <c r="N2711" s="204"/>
      <c r="O2711" s="204"/>
      <c r="P2711" s="204"/>
      <c r="T2711" s="217"/>
    </row>
    <row r="2712" spans="2:20">
      <c r="B2712" s="204"/>
      <c r="C2712" s="204"/>
      <c r="D2712" s="204"/>
      <c r="E2712" s="204"/>
      <c r="F2712" s="204"/>
      <c r="G2712" s="204"/>
      <c r="H2712" s="204"/>
      <c r="I2712" s="204"/>
      <c r="J2712" s="204"/>
      <c r="K2712" s="204"/>
      <c r="L2712" s="204"/>
      <c r="M2712" s="204"/>
      <c r="N2712" s="204"/>
      <c r="O2712" s="204"/>
      <c r="P2712" s="204"/>
      <c r="T2712" s="217"/>
    </row>
    <row r="2713" spans="2:20">
      <c r="B2713" s="204"/>
      <c r="C2713" s="204"/>
      <c r="D2713" s="204"/>
      <c r="E2713" s="204"/>
      <c r="F2713" s="204"/>
      <c r="G2713" s="204"/>
      <c r="H2713" s="204"/>
      <c r="I2713" s="204"/>
      <c r="J2713" s="204"/>
      <c r="K2713" s="204"/>
      <c r="L2713" s="204"/>
      <c r="M2713" s="204"/>
      <c r="N2713" s="204"/>
      <c r="O2713" s="204"/>
      <c r="P2713" s="204"/>
      <c r="T2713" s="217"/>
    </row>
    <row r="2714" spans="2:20">
      <c r="B2714" s="204"/>
      <c r="C2714" s="204"/>
      <c r="D2714" s="204"/>
      <c r="E2714" s="204"/>
      <c r="F2714" s="204"/>
      <c r="G2714" s="204"/>
      <c r="H2714" s="204"/>
      <c r="I2714" s="204"/>
      <c r="J2714" s="204"/>
      <c r="K2714" s="204"/>
      <c r="L2714" s="204"/>
      <c r="M2714" s="204"/>
      <c r="N2714" s="204"/>
      <c r="O2714" s="204"/>
      <c r="P2714" s="204"/>
      <c r="T2714" s="217"/>
    </row>
    <row r="2715" spans="2:20">
      <c r="B2715" s="204"/>
      <c r="C2715" s="204"/>
      <c r="D2715" s="204"/>
      <c r="E2715" s="204"/>
      <c r="F2715" s="204"/>
      <c r="G2715" s="204"/>
      <c r="H2715" s="204"/>
      <c r="I2715" s="204"/>
      <c r="J2715" s="204"/>
      <c r="K2715" s="204"/>
      <c r="L2715" s="204"/>
      <c r="M2715" s="204"/>
      <c r="N2715" s="204"/>
      <c r="O2715" s="204"/>
      <c r="P2715" s="204"/>
      <c r="T2715" s="217"/>
    </row>
    <row r="2716" spans="2:20">
      <c r="B2716" s="204"/>
      <c r="C2716" s="204"/>
      <c r="D2716" s="204"/>
      <c r="E2716" s="204"/>
      <c r="F2716" s="204"/>
      <c r="G2716" s="204"/>
      <c r="H2716" s="204"/>
      <c r="I2716" s="204"/>
      <c r="J2716" s="204"/>
      <c r="K2716" s="204"/>
      <c r="L2716" s="204"/>
      <c r="M2716" s="204"/>
      <c r="N2716" s="204"/>
      <c r="O2716" s="204"/>
      <c r="P2716" s="204"/>
      <c r="T2716" s="217"/>
    </row>
    <row r="2717" spans="2:20">
      <c r="B2717" s="204"/>
      <c r="C2717" s="204"/>
      <c r="D2717" s="204"/>
      <c r="E2717" s="204"/>
      <c r="F2717" s="204"/>
      <c r="G2717" s="204"/>
      <c r="H2717" s="204"/>
      <c r="I2717" s="204"/>
      <c r="J2717" s="204"/>
      <c r="K2717" s="204"/>
      <c r="L2717" s="204"/>
      <c r="M2717" s="204"/>
      <c r="N2717" s="204"/>
      <c r="O2717" s="204"/>
      <c r="P2717" s="204"/>
      <c r="T2717" s="217"/>
    </row>
    <row r="2718" spans="2:20">
      <c r="B2718" s="204"/>
      <c r="C2718" s="204"/>
      <c r="D2718" s="204"/>
      <c r="E2718" s="204"/>
      <c r="F2718" s="204"/>
      <c r="G2718" s="204"/>
      <c r="H2718" s="204"/>
      <c r="I2718" s="204"/>
      <c r="J2718" s="204"/>
      <c r="K2718" s="204"/>
      <c r="L2718" s="204"/>
      <c r="M2718" s="204"/>
      <c r="N2718" s="204"/>
      <c r="O2718" s="204"/>
      <c r="P2718" s="204"/>
      <c r="T2718" s="217"/>
    </row>
    <row r="2719" spans="2:20">
      <c r="B2719" s="204"/>
      <c r="C2719" s="204"/>
      <c r="D2719" s="204"/>
      <c r="E2719" s="204"/>
      <c r="F2719" s="204"/>
      <c r="G2719" s="204"/>
      <c r="H2719" s="204"/>
      <c r="I2719" s="204"/>
      <c r="J2719" s="204"/>
      <c r="K2719" s="204"/>
      <c r="L2719" s="204"/>
      <c r="M2719" s="204"/>
      <c r="N2719" s="204"/>
      <c r="O2719" s="204"/>
      <c r="P2719" s="204"/>
      <c r="T2719" s="217"/>
    </row>
    <row r="2720" spans="2:20">
      <c r="B2720" s="204"/>
      <c r="C2720" s="204"/>
      <c r="D2720" s="204"/>
      <c r="E2720" s="204"/>
      <c r="F2720" s="204"/>
      <c r="G2720" s="204"/>
      <c r="H2720" s="204"/>
      <c r="I2720" s="204"/>
      <c r="J2720" s="204"/>
      <c r="K2720" s="204"/>
      <c r="L2720" s="204"/>
      <c r="M2720" s="204"/>
      <c r="N2720" s="204"/>
      <c r="O2720" s="204"/>
      <c r="P2720" s="204"/>
      <c r="T2720" s="217"/>
    </row>
    <row r="2721" spans="2:20">
      <c r="B2721" s="204"/>
      <c r="C2721" s="204"/>
      <c r="D2721" s="204"/>
      <c r="E2721" s="204"/>
      <c r="F2721" s="204"/>
      <c r="G2721" s="204"/>
      <c r="H2721" s="204"/>
      <c r="I2721" s="204"/>
      <c r="J2721" s="204"/>
      <c r="K2721" s="204"/>
      <c r="L2721" s="204"/>
      <c r="M2721" s="204"/>
      <c r="N2721" s="204"/>
      <c r="O2721" s="204"/>
      <c r="P2721" s="204"/>
      <c r="T2721" s="217"/>
    </row>
    <row r="2722" spans="2:20">
      <c r="B2722" s="204"/>
      <c r="C2722" s="204"/>
      <c r="D2722" s="204"/>
      <c r="E2722" s="204"/>
      <c r="F2722" s="204"/>
      <c r="G2722" s="204"/>
      <c r="H2722" s="204"/>
      <c r="I2722" s="204"/>
      <c r="J2722" s="204"/>
      <c r="K2722" s="204"/>
      <c r="L2722" s="204"/>
      <c r="M2722" s="204"/>
      <c r="N2722" s="204"/>
      <c r="O2722" s="204"/>
      <c r="P2722" s="204"/>
      <c r="T2722" s="217"/>
    </row>
    <row r="2723" spans="2:20">
      <c r="B2723" s="204"/>
      <c r="C2723" s="204"/>
      <c r="D2723" s="204"/>
      <c r="E2723" s="204"/>
      <c r="F2723" s="204"/>
      <c r="G2723" s="204"/>
      <c r="H2723" s="204"/>
      <c r="I2723" s="204"/>
      <c r="J2723" s="204"/>
      <c r="K2723" s="204"/>
      <c r="L2723" s="204"/>
      <c r="M2723" s="204"/>
      <c r="N2723" s="204"/>
      <c r="O2723" s="204"/>
      <c r="P2723" s="204"/>
      <c r="T2723" s="217"/>
    </row>
    <row r="2724" spans="2:20">
      <c r="B2724" s="204"/>
      <c r="C2724" s="204"/>
      <c r="D2724" s="204"/>
      <c r="E2724" s="204"/>
      <c r="F2724" s="204"/>
      <c r="G2724" s="204"/>
      <c r="H2724" s="204"/>
      <c r="I2724" s="204"/>
      <c r="J2724" s="204"/>
      <c r="K2724" s="204"/>
      <c r="L2724" s="204"/>
      <c r="M2724" s="204"/>
      <c r="N2724" s="204"/>
      <c r="O2724" s="204"/>
      <c r="P2724" s="204"/>
      <c r="T2724" s="217"/>
    </row>
    <row r="2725" spans="2:20">
      <c r="B2725" s="204"/>
      <c r="C2725" s="204"/>
      <c r="D2725" s="204"/>
      <c r="E2725" s="204"/>
      <c r="F2725" s="204"/>
      <c r="G2725" s="204"/>
      <c r="H2725" s="204"/>
      <c r="I2725" s="204"/>
      <c r="J2725" s="204"/>
      <c r="K2725" s="204"/>
      <c r="L2725" s="204"/>
      <c r="M2725" s="204"/>
      <c r="N2725" s="204"/>
      <c r="O2725" s="204"/>
      <c r="P2725" s="204"/>
      <c r="T2725" s="217"/>
    </row>
    <row r="2726" spans="2:20">
      <c r="B2726" s="204"/>
      <c r="C2726" s="204"/>
      <c r="D2726" s="204"/>
      <c r="E2726" s="204"/>
      <c r="F2726" s="204"/>
      <c r="G2726" s="204"/>
      <c r="H2726" s="204"/>
      <c r="I2726" s="204"/>
      <c r="J2726" s="204"/>
      <c r="K2726" s="204"/>
      <c r="L2726" s="204"/>
      <c r="M2726" s="204"/>
      <c r="N2726" s="204"/>
      <c r="O2726" s="204"/>
      <c r="P2726" s="204"/>
      <c r="T2726" s="217"/>
    </row>
    <row r="2727" spans="2:20">
      <c r="B2727" s="204"/>
      <c r="C2727" s="204"/>
      <c r="D2727" s="204"/>
      <c r="E2727" s="204"/>
      <c r="F2727" s="204"/>
      <c r="G2727" s="204"/>
      <c r="H2727" s="204"/>
      <c r="I2727" s="204"/>
      <c r="J2727" s="204"/>
      <c r="K2727" s="204"/>
      <c r="L2727" s="204"/>
      <c r="M2727" s="204"/>
      <c r="N2727" s="204"/>
      <c r="O2727" s="204"/>
      <c r="P2727" s="204"/>
      <c r="T2727" s="217"/>
    </row>
    <row r="2728" spans="2:20">
      <c r="B2728" s="204"/>
      <c r="C2728" s="204"/>
      <c r="D2728" s="204"/>
      <c r="E2728" s="204"/>
      <c r="F2728" s="204"/>
      <c r="G2728" s="204"/>
      <c r="H2728" s="204"/>
      <c r="I2728" s="204"/>
      <c r="J2728" s="204"/>
      <c r="K2728" s="204"/>
      <c r="L2728" s="204"/>
      <c r="M2728" s="204"/>
      <c r="N2728" s="204"/>
      <c r="O2728" s="204"/>
      <c r="P2728" s="204"/>
      <c r="T2728" s="217"/>
    </row>
    <row r="2729" spans="2:20">
      <c r="B2729" s="204"/>
      <c r="C2729" s="204"/>
      <c r="D2729" s="204"/>
      <c r="E2729" s="204"/>
      <c r="F2729" s="204"/>
      <c r="G2729" s="204"/>
      <c r="H2729" s="204"/>
      <c r="I2729" s="204"/>
      <c r="J2729" s="204"/>
      <c r="K2729" s="204"/>
      <c r="L2729" s="204"/>
      <c r="M2729" s="204"/>
      <c r="N2729" s="204"/>
      <c r="O2729" s="204"/>
      <c r="P2729" s="204"/>
      <c r="T2729" s="217"/>
    </row>
    <row r="2730" spans="2:20">
      <c r="B2730" s="204"/>
      <c r="C2730" s="204"/>
      <c r="D2730" s="204"/>
      <c r="E2730" s="204"/>
      <c r="F2730" s="204"/>
      <c r="G2730" s="204"/>
      <c r="H2730" s="204"/>
      <c r="I2730" s="204"/>
      <c r="J2730" s="204"/>
      <c r="K2730" s="204"/>
      <c r="L2730" s="204"/>
      <c r="M2730" s="204"/>
      <c r="N2730" s="204"/>
      <c r="O2730" s="204"/>
      <c r="P2730" s="204"/>
      <c r="T2730" s="217"/>
    </row>
    <row r="2731" spans="2:20">
      <c r="B2731" s="204"/>
      <c r="C2731" s="204"/>
      <c r="D2731" s="204"/>
      <c r="E2731" s="204"/>
      <c r="F2731" s="204"/>
      <c r="G2731" s="204"/>
      <c r="H2731" s="204"/>
      <c r="I2731" s="204"/>
      <c r="J2731" s="204"/>
      <c r="K2731" s="204"/>
      <c r="L2731" s="204"/>
      <c r="M2731" s="204"/>
      <c r="N2731" s="204"/>
      <c r="O2731" s="204"/>
      <c r="P2731" s="204"/>
      <c r="T2731" s="217"/>
    </row>
    <row r="2732" spans="2:20">
      <c r="B2732" s="204"/>
      <c r="C2732" s="204"/>
      <c r="D2732" s="204"/>
      <c r="E2732" s="204"/>
      <c r="F2732" s="204"/>
      <c r="G2732" s="204"/>
      <c r="H2732" s="204"/>
      <c r="I2732" s="204"/>
      <c r="J2732" s="204"/>
      <c r="K2732" s="204"/>
      <c r="L2732" s="204"/>
      <c r="M2732" s="204"/>
      <c r="N2732" s="204"/>
      <c r="O2732" s="204"/>
      <c r="P2732" s="204"/>
      <c r="T2732" s="217"/>
    </row>
    <row r="2733" spans="2:20">
      <c r="B2733" s="204"/>
      <c r="C2733" s="204"/>
      <c r="D2733" s="204"/>
      <c r="E2733" s="204"/>
      <c r="F2733" s="204"/>
      <c r="G2733" s="204"/>
      <c r="H2733" s="204"/>
      <c r="I2733" s="204"/>
      <c r="J2733" s="204"/>
      <c r="K2733" s="204"/>
      <c r="L2733" s="204"/>
      <c r="M2733" s="204"/>
      <c r="N2733" s="204"/>
      <c r="O2733" s="204"/>
      <c r="P2733" s="204"/>
      <c r="T2733" s="217"/>
    </row>
    <row r="2734" spans="2:20">
      <c r="B2734" s="204"/>
      <c r="C2734" s="204"/>
      <c r="D2734" s="204"/>
      <c r="E2734" s="204"/>
      <c r="F2734" s="204"/>
      <c r="G2734" s="204"/>
      <c r="H2734" s="204"/>
      <c r="I2734" s="204"/>
      <c r="J2734" s="204"/>
      <c r="K2734" s="204"/>
      <c r="L2734" s="204"/>
      <c r="M2734" s="204"/>
      <c r="N2734" s="204"/>
      <c r="O2734" s="204"/>
      <c r="P2734" s="204"/>
      <c r="T2734" s="217"/>
    </row>
    <row r="2735" spans="2:20">
      <c r="B2735" s="204"/>
      <c r="C2735" s="204"/>
      <c r="D2735" s="204"/>
      <c r="E2735" s="204"/>
      <c r="F2735" s="204"/>
      <c r="G2735" s="204"/>
      <c r="H2735" s="204"/>
      <c r="I2735" s="204"/>
      <c r="J2735" s="204"/>
      <c r="K2735" s="204"/>
      <c r="L2735" s="204"/>
      <c r="M2735" s="204"/>
      <c r="N2735" s="204"/>
      <c r="O2735" s="204"/>
      <c r="P2735" s="204"/>
      <c r="T2735" s="217"/>
    </row>
    <row r="2736" spans="2:20">
      <c r="B2736" s="204"/>
      <c r="C2736" s="204"/>
      <c r="D2736" s="204"/>
      <c r="E2736" s="204"/>
      <c r="F2736" s="204"/>
      <c r="G2736" s="204"/>
      <c r="H2736" s="204"/>
      <c r="I2736" s="204"/>
      <c r="J2736" s="204"/>
      <c r="K2736" s="204"/>
      <c r="L2736" s="204"/>
      <c r="M2736" s="204"/>
      <c r="N2736" s="204"/>
      <c r="O2736" s="204"/>
      <c r="P2736" s="204"/>
      <c r="T2736" s="217"/>
    </row>
    <row r="2737" spans="2:20">
      <c r="B2737" s="204"/>
      <c r="C2737" s="204"/>
      <c r="D2737" s="204"/>
      <c r="E2737" s="204"/>
      <c r="F2737" s="204"/>
      <c r="G2737" s="204"/>
      <c r="H2737" s="204"/>
      <c r="I2737" s="204"/>
      <c r="J2737" s="204"/>
      <c r="K2737" s="204"/>
      <c r="L2737" s="204"/>
      <c r="M2737" s="204"/>
      <c r="N2737" s="204"/>
      <c r="O2737" s="204"/>
      <c r="P2737" s="204"/>
      <c r="T2737" s="217"/>
    </row>
    <row r="2738" spans="2:20">
      <c r="B2738" s="204"/>
      <c r="C2738" s="204"/>
      <c r="D2738" s="204"/>
      <c r="E2738" s="204"/>
      <c r="F2738" s="204"/>
      <c r="G2738" s="204"/>
      <c r="H2738" s="204"/>
      <c r="I2738" s="204"/>
      <c r="J2738" s="204"/>
      <c r="K2738" s="204"/>
      <c r="L2738" s="204"/>
      <c r="M2738" s="204"/>
      <c r="N2738" s="204"/>
      <c r="O2738" s="204"/>
      <c r="P2738" s="204"/>
      <c r="T2738" s="217"/>
    </row>
    <row r="2739" spans="2:20">
      <c r="B2739" s="204"/>
      <c r="C2739" s="204"/>
      <c r="D2739" s="204"/>
      <c r="E2739" s="204"/>
      <c r="F2739" s="204"/>
      <c r="G2739" s="204"/>
      <c r="H2739" s="204"/>
      <c r="I2739" s="204"/>
      <c r="J2739" s="204"/>
      <c r="K2739" s="204"/>
      <c r="L2739" s="204"/>
      <c r="M2739" s="204"/>
      <c r="N2739" s="204"/>
      <c r="O2739" s="204"/>
      <c r="P2739" s="204"/>
      <c r="T2739" s="217"/>
    </row>
    <row r="2740" spans="2:20">
      <c r="B2740" s="204"/>
      <c r="C2740" s="204"/>
      <c r="D2740" s="204"/>
      <c r="E2740" s="204"/>
      <c r="F2740" s="204"/>
      <c r="G2740" s="204"/>
      <c r="H2740" s="204"/>
      <c r="I2740" s="204"/>
      <c r="J2740" s="204"/>
      <c r="K2740" s="204"/>
      <c r="L2740" s="204"/>
      <c r="M2740" s="204"/>
      <c r="N2740" s="204"/>
      <c r="O2740" s="204"/>
      <c r="P2740" s="204"/>
      <c r="T2740" s="217"/>
    </row>
    <row r="2741" spans="2:20">
      <c r="B2741" s="204"/>
      <c r="C2741" s="204"/>
      <c r="D2741" s="204"/>
      <c r="E2741" s="204"/>
      <c r="F2741" s="204"/>
      <c r="G2741" s="204"/>
      <c r="H2741" s="204"/>
      <c r="I2741" s="204"/>
      <c r="J2741" s="204"/>
      <c r="K2741" s="204"/>
      <c r="L2741" s="204"/>
      <c r="M2741" s="204"/>
      <c r="N2741" s="204"/>
      <c r="O2741" s="204"/>
      <c r="P2741" s="204"/>
      <c r="T2741" s="217"/>
    </row>
    <row r="2742" spans="2:20">
      <c r="B2742" s="204"/>
      <c r="C2742" s="204"/>
      <c r="D2742" s="204"/>
      <c r="E2742" s="204"/>
      <c r="F2742" s="204"/>
      <c r="G2742" s="204"/>
      <c r="H2742" s="204"/>
      <c r="I2742" s="204"/>
      <c r="J2742" s="204"/>
      <c r="K2742" s="204"/>
      <c r="L2742" s="204"/>
      <c r="M2742" s="204"/>
      <c r="N2742" s="204"/>
      <c r="O2742" s="204"/>
      <c r="P2742" s="204"/>
      <c r="T2742" s="217"/>
    </row>
    <row r="2743" spans="2:20">
      <c r="B2743" s="204"/>
      <c r="C2743" s="204"/>
      <c r="D2743" s="204"/>
      <c r="E2743" s="204"/>
      <c r="F2743" s="204"/>
      <c r="G2743" s="204"/>
      <c r="H2743" s="204"/>
      <c r="I2743" s="204"/>
      <c r="J2743" s="204"/>
      <c r="K2743" s="204"/>
      <c r="L2743" s="204"/>
      <c r="M2743" s="204"/>
      <c r="N2743" s="204"/>
      <c r="O2743" s="204"/>
      <c r="P2743" s="204"/>
      <c r="T2743" s="217"/>
    </row>
    <row r="2744" spans="2:20">
      <c r="B2744" s="204"/>
      <c r="C2744" s="204"/>
      <c r="D2744" s="204"/>
      <c r="E2744" s="204"/>
      <c r="F2744" s="204"/>
      <c r="G2744" s="204"/>
      <c r="H2744" s="204"/>
      <c r="I2744" s="204"/>
      <c r="J2744" s="204"/>
      <c r="K2744" s="204"/>
      <c r="L2744" s="204"/>
      <c r="M2744" s="204"/>
      <c r="N2744" s="204"/>
      <c r="O2744" s="204"/>
      <c r="P2744" s="204"/>
      <c r="T2744" s="217"/>
    </row>
    <row r="2745" spans="2:20">
      <c r="B2745" s="204"/>
      <c r="C2745" s="204"/>
      <c r="D2745" s="204"/>
      <c r="E2745" s="204"/>
      <c r="F2745" s="204"/>
      <c r="G2745" s="204"/>
      <c r="H2745" s="204"/>
      <c r="I2745" s="204"/>
      <c r="J2745" s="204"/>
      <c r="K2745" s="204"/>
      <c r="L2745" s="204"/>
      <c r="M2745" s="204"/>
      <c r="N2745" s="204"/>
      <c r="O2745" s="204"/>
      <c r="P2745" s="204"/>
      <c r="T2745" s="217"/>
    </row>
    <row r="2746" spans="2:20">
      <c r="B2746" s="204"/>
      <c r="C2746" s="204"/>
      <c r="D2746" s="204"/>
      <c r="E2746" s="204"/>
      <c r="F2746" s="204"/>
      <c r="G2746" s="204"/>
      <c r="H2746" s="204"/>
      <c r="I2746" s="204"/>
      <c r="J2746" s="204"/>
      <c r="K2746" s="204"/>
      <c r="L2746" s="204"/>
      <c r="M2746" s="204"/>
      <c r="N2746" s="204"/>
      <c r="O2746" s="204"/>
      <c r="P2746" s="204"/>
      <c r="T2746" s="217"/>
    </row>
    <row r="2747" spans="2:20">
      <c r="B2747" s="204"/>
      <c r="C2747" s="204"/>
      <c r="D2747" s="204"/>
      <c r="E2747" s="204"/>
      <c r="F2747" s="204"/>
      <c r="G2747" s="204"/>
      <c r="H2747" s="204"/>
      <c r="I2747" s="204"/>
      <c r="J2747" s="204"/>
      <c r="K2747" s="204"/>
      <c r="L2747" s="204"/>
      <c r="M2747" s="204"/>
      <c r="N2747" s="204"/>
      <c r="O2747" s="204"/>
      <c r="P2747" s="204"/>
      <c r="T2747" s="217"/>
    </row>
    <row r="2748" spans="2:20">
      <c r="B2748" s="204"/>
      <c r="C2748" s="204"/>
      <c r="D2748" s="204"/>
      <c r="E2748" s="204"/>
      <c r="F2748" s="204"/>
      <c r="G2748" s="204"/>
      <c r="H2748" s="204"/>
      <c r="I2748" s="204"/>
      <c r="J2748" s="204"/>
      <c r="K2748" s="204"/>
      <c r="L2748" s="204"/>
      <c r="M2748" s="204"/>
      <c r="N2748" s="204"/>
      <c r="O2748" s="204"/>
      <c r="P2748" s="204"/>
      <c r="T2748" s="217"/>
    </row>
    <row r="2749" spans="2:20">
      <c r="B2749" s="204"/>
      <c r="C2749" s="204"/>
      <c r="D2749" s="204"/>
      <c r="E2749" s="204"/>
      <c r="F2749" s="204"/>
      <c r="G2749" s="204"/>
      <c r="H2749" s="204"/>
      <c r="I2749" s="204"/>
      <c r="J2749" s="204"/>
      <c r="K2749" s="204"/>
      <c r="L2749" s="204"/>
      <c r="M2749" s="204"/>
      <c r="N2749" s="204"/>
      <c r="O2749" s="204"/>
      <c r="P2749" s="204"/>
      <c r="T2749" s="217"/>
    </row>
    <row r="2750" spans="2:20">
      <c r="B2750" s="204"/>
      <c r="C2750" s="204"/>
      <c r="D2750" s="204"/>
      <c r="E2750" s="204"/>
      <c r="F2750" s="204"/>
      <c r="G2750" s="204"/>
      <c r="H2750" s="204"/>
      <c r="I2750" s="204"/>
      <c r="J2750" s="204"/>
      <c r="K2750" s="204"/>
      <c r="L2750" s="204"/>
      <c r="M2750" s="204"/>
      <c r="N2750" s="204"/>
      <c r="O2750" s="204"/>
      <c r="P2750" s="204"/>
      <c r="T2750" s="217"/>
    </row>
    <row r="2751" spans="2:20">
      <c r="B2751" s="204"/>
      <c r="C2751" s="204"/>
      <c r="D2751" s="204"/>
      <c r="E2751" s="204"/>
      <c r="F2751" s="204"/>
      <c r="G2751" s="204"/>
      <c r="H2751" s="204"/>
      <c r="I2751" s="204"/>
      <c r="J2751" s="204"/>
      <c r="K2751" s="204"/>
      <c r="L2751" s="204"/>
      <c r="M2751" s="204"/>
      <c r="N2751" s="204"/>
      <c r="O2751" s="204"/>
      <c r="P2751" s="204"/>
      <c r="T2751" s="217"/>
    </row>
    <row r="2752" spans="2:20">
      <c r="B2752" s="204"/>
      <c r="C2752" s="204"/>
      <c r="D2752" s="204"/>
      <c r="E2752" s="204"/>
      <c r="F2752" s="204"/>
      <c r="G2752" s="204"/>
      <c r="H2752" s="204"/>
      <c r="I2752" s="204"/>
      <c r="J2752" s="204"/>
      <c r="K2752" s="204"/>
      <c r="L2752" s="204"/>
      <c r="M2752" s="204"/>
      <c r="N2752" s="204"/>
      <c r="O2752" s="204"/>
      <c r="P2752" s="204"/>
      <c r="T2752" s="217"/>
    </row>
    <row r="2753" spans="2:20">
      <c r="B2753" s="204"/>
      <c r="C2753" s="204"/>
      <c r="D2753" s="204"/>
      <c r="E2753" s="204"/>
      <c r="F2753" s="204"/>
      <c r="G2753" s="204"/>
      <c r="H2753" s="204"/>
      <c r="I2753" s="204"/>
      <c r="J2753" s="204"/>
      <c r="K2753" s="204"/>
      <c r="L2753" s="204"/>
      <c r="M2753" s="204"/>
      <c r="N2753" s="204"/>
      <c r="O2753" s="204"/>
      <c r="P2753" s="204"/>
      <c r="T2753" s="217"/>
    </row>
    <row r="2754" spans="2:20">
      <c r="B2754" s="204"/>
      <c r="C2754" s="204"/>
      <c r="D2754" s="204"/>
      <c r="E2754" s="204"/>
      <c r="F2754" s="204"/>
      <c r="G2754" s="204"/>
      <c r="H2754" s="204"/>
      <c r="I2754" s="204"/>
      <c r="J2754" s="204"/>
      <c r="K2754" s="204"/>
      <c r="L2754" s="204"/>
      <c r="M2754" s="204"/>
      <c r="N2754" s="204"/>
      <c r="O2754" s="204"/>
      <c r="P2754" s="204"/>
      <c r="T2754" s="217"/>
    </row>
    <row r="2755" spans="2:20">
      <c r="B2755" s="204"/>
      <c r="C2755" s="204"/>
      <c r="D2755" s="204"/>
      <c r="E2755" s="204"/>
      <c r="F2755" s="204"/>
      <c r="G2755" s="204"/>
      <c r="H2755" s="204"/>
      <c r="I2755" s="204"/>
      <c r="J2755" s="204"/>
      <c r="K2755" s="204"/>
      <c r="L2755" s="204"/>
      <c r="M2755" s="204"/>
      <c r="N2755" s="204"/>
      <c r="O2755" s="204"/>
      <c r="P2755" s="204"/>
      <c r="T2755" s="217"/>
    </row>
    <row r="2756" spans="2:20">
      <c r="B2756" s="204"/>
      <c r="C2756" s="204"/>
      <c r="D2756" s="204"/>
      <c r="E2756" s="204"/>
      <c r="F2756" s="204"/>
      <c r="G2756" s="204"/>
      <c r="H2756" s="204"/>
      <c r="I2756" s="204"/>
      <c r="J2756" s="204"/>
      <c r="K2756" s="204"/>
      <c r="L2756" s="204"/>
      <c r="M2756" s="204"/>
      <c r="N2756" s="204"/>
      <c r="O2756" s="204"/>
      <c r="P2756" s="204"/>
      <c r="T2756" s="217"/>
    </row>
    <row r="2757" spans="2:20">
      <c r="B2757" s="204"/>
      <c r="C2757" s="204"/>
      <c r="D2757" s="204"/>
      <c r="E2757" s="204"/>
      <c r="F2757" s="204"/>
      <c r="G2757" s="204"/>
      <c r="H2757" s="204"/>
      <c r="I2757" s="204"/>
      <c r="J2757" s="204"/>
      <c r="K2757" s="204"/>
      <c r="L2757" s="204"/>
      <c r="M2757" s="204"/>
      <c r="N2757" s="204"/>
      <c r="O2757" s="204"/>
      <c r="P2757" s="204"/>
      <c r="T2757" s="217"/>
    </row>
    <row r="2758" spans="2:20">
      <c r="B2758" s="204"/>
      <c r="C2758" s="204"/>
      <c r="D2758" s="204"/>
      <c r="E2758" s="204"/>
      <c r="F2758" s="204"/>
      <c r="G2758" s="204"/>
      <c r="H2758" s="204"/>
      <c r="I2758" s="204"/>
      <c r="J2758" s="204"/>
      <c r="K2758" s="204"/>
      <c r="L2758" s="204"/>
      <c r="M2758" s="204"/>
      <c r="N2758" s="204"/>
      <c r="O2758" s="204"/>
      <c r="P2758" s="204"/>
      <c r="T2758" s="217"/>
    </row>
    <row r="2759" spans="2:20">
      <c r="B2759" s="204"/>
      <c r="C2759" s="204"/>
      <c r="D2759" s="204"/>
      <c r="E2759" s="204"/>
      <c r="F2759" s="204"/>
      <c r="G2759" s="204"/>
      <c r="H2759" s="204"/>
      <c r="I2759" s="204"/>
      <c r="J2759" s="204"/>
      <c r="K2759" s="204"/>
      <c r="L2759" s="204"/>
      <c r="M2759" s="204"/>
      <c r="N2759" s="204"/>
      <c r="O2759" s="204"/>
      <c r="P2759" s="204"/>
      <c r="T2759" s="217"/>
    </row>
    <row r="2760" spans="2:20">
      <c r="B2760" s="204"/>
      <c r="C2760" s="204"/>
      <c r="D2760" s="204"/>
      <c r="E2760" s="204"/>
      <c r="F2760" s="204"/>
      <c r="G2760" s="204"/>
      <c r="H2760" s="204"/>
      <c r="I2760" s="204"/>
      <c r="J2760" s="204"/>
      <c r="K2760" s="204"/>
      <c r="L2760" s="204"/>
      <c r="M2760" s="204"/>
      <c r="N2760" s="204"/>
      <c r="O2760" s="204"/>
      <c r="P2760" s="204"/>
      <c r="T2760" s="217"/>
    </row>
    <row r="2761" spans="2:20">
      <c r="B2761" s="204"/>
      <c r="C2761" s="204"/>
      <c r="D2761" s="204"/>
      <c r="E2761" s="204"/>
      <c r="F2761" s="204"/>
      <c r="G2761" s="204"/>
      <c r="H2761" s="204"/>
      <c r="I2761" s="204"/>
      <c r="J2761" s="204"/>
      <c r="K2761" s="204"/>
      <c r="L2761" s="204"/>
      <c r="M2761" s="204"/>
      <c r="N2761" s="204"/>
      <c r="O2761" s="204"/>
      <c r="P2761" s="204"/>
      <c r="T2761" s="217"/>
    </row>
    <row r="2762" spans="2:20">
      <c r="B2762" s="204"/>
      <c r="C2762" s="204"/>
      <c r="D2762" s="204"/>
      <c r="E2762" s="204"/>
      <c r="F2762" s="204"/>
      <c r="G2762" s="204"/>
      <c r="H2762" s="204"/>
      <c r="I2762" s="204"/>
      <c r="J2762" s="204"/>
      <c r="K2762" s="204"/>
      <c r="L2762" s="204"/>
      <c r="M2762" s="204"/>
      <c r="N2762" s="204"/>
      <c r="O2762" s="204"/>
      <c r="P2762" s="204"/>
      <c r="T2762" s="217"/>
    </row>
    <row r="2763" spans="2:20">
      <c r="B2763" s="204"/>
      <c r="C2763" s="204"/>
      <c r="D2763" s="204"/>
      <c r="E2763" s="204"/>
      <c r="F2763" s="204"/>
      <c r="G2763" s="204"/>
      <c r="H2763" s="204"/>
      <c r="I2763" s="204"/>
      <c r="J2763" s="204"/>
      <c r="K2763" s="204"/>
      <c r="L2763" s="204"/>
      <c r="M2763" s="204"/>
      <c r="N2763" s="204"/>
      <c r="O2763" s="204"/>
      <c r="P2763" s="204"/>
      <c r="T2763" s="217"/>
    </row>
    <row r="2764" spans="2:20">
      <c r="B2764" s="204"/>
      <c r="C2764" s="204"/>
      <c r="D2764" s="204"/>
      <c r="E2764" s="204"/>
      <c r="F2764" s="204"/>
      <c r="G2764" s="204"/>
      <c r="H2764" s="204"/>
      <c r="I2764" s="204"/>
      <c r="J2764" s="204"/>
      <c r="K2764" s="204"/>
      <c r="L2764" s="204"/>
      <c r="M2764" s="204"/>
      <c r="N2764" s="204"/>
      <c r="O2764" s="204"/>
      <c r="P2764" s="204"/>
      <c r="T2764" s="217"/>
    </row>
    <row r="2765" spans="2:20">
      <c r="B2765" s="204"/>
      <c r="C2765" s="204"/>
      <c r="D2765" s="204"/>
      <c r="E2765" s="204"/>
      <c r="F2765" s="204"/>
      <c r="G2765" s="204"/>
      <c r="H2765" s="204"/>
      <c r="I2765" s="204"/>
      <c r="J2765" s="204"/>
      <c r="K2765" s="204"/>
      <c r="L2765" s="204"/>
      <c r="M2765" s="204"/>
      <c r="N2765" s="204"/>
      <c r="O2765" s="204"/>
      <c r="P2765" s="204"/>
      <c r="T2765" s="217"/>
    </row>
    <row r="2766" spans="2:20">
      <c r="B2766" s="204"/>
      <c r="C2766" s="204"/>
      <c r="D2766" s="204"/>
      <c r="E2766" s="204"/>
      <c r="F2766" s="204"/>
      <c r="G2766" s="204"/>
      <c r="H2766" s="204"/>
      <c r="I2766" s="204"/>
      <c r="J2766" s="204"/>
      <c r="K2766" s="204"/>
      <c r="L2766" s="204"/>
      <c r="M2766" s="204"/>
      <c r="N2766" s="204"/>
      <c r="O2766" s="204"/>
      <c r="P2766" s="204"/>
      <c r="T2766" s="217"/>
    </row>
    <row r="2767" spans="2:20">
      <c r="B2767" s="204"/>
      <c r="C2767" s="204"/>
      <c r="D2767" s="204"/>
      <c r="E2767" s="204"/>
      <c r="F2767" s="204"/>
      <c r="G2767" s="204"/>
      <c r="H2767" s="204"/>
      <c r="I2767" s="204"/>
      <c r="J2767" s="204"/>
      <c r="K2767" s="204"/>
      <c r="L2767" s="204"/>
      <c r="M2767" s="204"/>
      <c r="N2767" s="204"/>
      <c r="O2767" s="204"/>
      <c r="P2767" s="204"/>
      <c r="T2767" s="217"/>
    </row>
    <row r="2768" spans="2:20">
      <c r="B2768" s="204"/>
      <c r="C2768" s="204"/>
      <c r="D2768" s="204"/>
      <c r="E2768" s="204"/>
      <c r="F2768" s="204"/>
      <c r="G2768" s="204"/>
      <c r="H2768" s="204"/>
      <c r="I2768" s="204"/>
      <c r="J2768" s="204"/>
      <c r="K2768" s="204"/>
      <c r="L2768" s="204"/>
      <c r="M2768" s="204"/>
      <c r="N2768" s="204"/>
      <c r="O2768" s="204"/>
      <c r="P2768" s="204"/>
      <c r="T2768" s="217"/>
    </row>
    <row r="2769" spans="2:20">
      <c r="B2769" s="204"/>
      <c r="C2769" s="204"/>
      <c r="D2769" s="204"/>
      <c r="E2769" s="204"/>
      <c r="F2769" s="204"/>
      <c r="G2769" s="204"/>
      <c r="H2769" s="204"/>
      <c r="I2769" s="204"/>
      <c r="J2769" s="204"/>
      <c r="K2769" s="204"/>
      <c r="L2769" s="204"/>
      <c r="M2769" s="204"/>
      <c r="N2769" s="204"/>
      <c r="O2769" s="204"/>
      <c r="P2769" s="204"/>
      <c r="T2769" s="217"/>
    </row>
    <row r="2770" spans="2:20">
      <c r="B2770" s="204"/>
      <c r="C2770" s="204"/>
      <c r="D2770" s="204"/>
      <c r="E2770" s="204"/>
      <c r="F2770" s="204"/>
      <c r="G2770" s="204"/>
      <c r="H2770" s="204"/>
      <c r="I2770" s="204"/>
      <c r="J2770" s="204"/>
      <c r="K2770" s="204"/>
      <c r="L2770" s="204"/>
      <c r="M2770" s="204"/>
      <c r="N2770" s="204"/>
      <c r="O2770" s="204"/>
      <c r="P2770" s="204"/>
      <c r="T2770" s="217"/>
    </row>
    <row r="2771" spans="2:20">
      <c r="B2771" s="204"/>
      <c r="C2771" s="204"/>
      <c r="D2771" s="204"/>
      <c r="E2771" s="204"/>
      <c r="F2771" s="204"/>
      <c r="G2771" s="204"/>
      <c r="H2771" s="204"/>
      <c r="I2771" s="204"/>
      <c r="J2771" s="204"/>
      <c r="K2771" s="204"/>
      <c r="L2771" s="204"/>
      <c r="M2771" s="204"/>
      <c r="N2771" s="204"/>
      <c r="O2771" s="204"/>
      <c r="P2771" s="204"/>
      <c r="T2771" s="217"/>
    </row>
    <row r="2772" spans="2:20">
      <c r="B2772" s="204"/>
      <c r="C2772" s="204"/>
      <c r="D2772" s="204"/>
      <c r="E2772" s="204"/>
      <c r="F2772" s="204"/>
      <c r="G2772" s="204"/>
      <c r="H2772" s="204"/>
      <c r="I2772" s="204"/>
      <c r="J2772" s="204"/>
      <c r="K2772" s="204"/>
      <c r="L2772" s="204"/>
      <c r="M2772" s="204"/>
      <c r="N2772" s="204"/>
      <c r="O2772" s="204"/>
      <c r="P2772" s="204"/>
      <c r="T2772" s="217"/>
    </row>
    <row r="2773" spans="2:20">
      <c r="B2773" s="204"/>
      <c r="C2773" s="204"/>
      <c r="D2773" s="204"/>
      <c r="E2773" s="204"/>
      <c r="F2773" s="204"/>
      <c r="G2773" s="204"/>
      <c r="H2773" s="204"/>
      <c r="I2773" s="204"/>
      <c r="J2773" s="204"/>
      <c r="K2773" s="204"/>
      <c r="L2773" s="204"/>
      <c r="M2773" s="204"/>
      <c r="N2773" s="204"/>
      <c r="O2773" s="204"/>
      <c r="P2773" s="204"/>
      <c r="T2773" s="217"/>
    </row>
    <row r="2774" spans="2:20">
      <c r="B2774" s="204"/>
      <c r="C2774" s="204"/>
      <c r="D2774" s="204"/>
      <c r="E2774" s="204"/>
      <c r="F2774" s="204"/>
      <c r="G2774" s="204"/>
      <c r="H2774" s="204"/>
      <c r="I2774" s="204"/>
      <c r="J2774" s="204"/>
      <c r="K2774" s="204"/>
      <c r="L2774" s="204"/>
      <c r="M2774" s="204"/>
      <c r="N2774" s="204"/>
      <c r="O2774" s="204"/>
      <c r="P2774" s="204"/>
      <c r="T2774" s="217"/>
    </row>
    <row r="2775" spans="2:20">
      <c r="B2775" s="204"/>
      <c r="C2775" s="204"/>
      <c r="D2775" s="204"/>
      <c r="E2775" s="204"/>
      <c r="F2775" s="204"/>
      <c r="G2775" s="204"/>
      <c r="H2775" s="204"/>
      <c r="I2775" s="204"/>
      <c r="J2775" s="204"/>
      <c r="K2775" s="204"/>
      <c r="L2775" s="204"/>
      <c r="M2775" s="204"/>
      <c r="N2775" s="204"/>
      <c r="O2775" s="204"/>
      <c r="P2775" s="204"/>
      <c r="T2775" s="217"/>
    </row>
    <row r="2776" spans="2:20">
      <c r="B2776" s="204"/>
      <c r="C2776" s="204"/>
      <c r="D2776" s="204"/>
      <c r="E2776" s="204"/>
      <c r="F2776" s="204"/>
      <c r="G2776" s="204"/>
      <c r="H2776" s="204"/>
      <c r="I2776" s="204"/>
      <c r="J2776" s="204"/>
      <c r="K2776" s="204"/>
      <c r="L2776" s="204"/>
      <c r="M2776" s="204"/>
      <c r="N2776" s="204"/>
      <c r="O2776" s="204"/>
      <c r="P2776" s="204"/>
      <c r="T2776" s="217"/>
    </row>
    <row r="2777" spans="2:20">
      <c r="B2777" s="204"/>
      <c r="C2777" s="204"/>
      <c r="D2777" s="204"/>
      <c r="E2777" s="204"/>
      <c r="F2777" s="204"/>
      <c r="G2777" s="204"/>
      <c r="H2777" s="204"/>
      <c r="I2777" s="204"/>
      <c r="J2777" s="204"/>
      <c r="K2777" s="204"/>
      <c r="L2777" s="204"/>
      <c r="M2777" s="204"/>
      <c r="N2777" s="204"/>
      <c r="O2777" s="204"/>
      <c r="P2777" s="204"/>
      <c r="T2777" s="217"/>
    </row>
    <row r="2778" spans="2:20">
      <c r="B2778" s="204"/>
      <c r="C2778" s="204"/>
      <c r="D2778" s="204"/>
      <c r="E2778" s="204"/>
      <c r="F2778" s="204"/>
      <c r="G2778" s="204"/>
      <c r="H2778" s="204"/>
      <c r="I2778" s="204"/>
      <c r="J2778" s="204"/>
      <c r="K2778" s="204"/>
      <c r="L2778" s="204"/>
      <c r="M2778" s="204"/>
      <c r="N2778" s="204"/>
      <c r="O2778" s="204"/>
      <c r="P2778" s="204"/>
      <c r="T2778" s="217"/>
    </row>
    <row r="2779" spans="2:20">
      <c r="B2779" s="204"/>
      <c r="C2779" s="204"/>
      <c r="D2779" s="204"/>
      <c r="E2779" s="204"/>
      <c r="F2779" s="204"/>
      <c r="G2779" s="204"/>
      <c r="H2779" s="204"/>
      <c r="I2779" s="204"/>
      <c r="J2779" s="204"/>
      <c r="K2779" s="204"/>
      <c r="L2779" s="204"/>
      <c r="M2779" s="204"/>
      <c r="N2779" s="204"/>
      <c r="O2779" s="204"/>
      <c r="P2779" s="204"/>
      <c r="T2779" s="217"/>
    </row>
    <row r="2780" spans="2:20">
      <c r="B2780" s="204"/>
      <c r="C2780" s="204"/>
      <c r="D2780" s="204"/>
      <c r="E2780" s="204"/>
      <c r="F2780" s="204"/>
      <c r="G2780" s="204"/>
      <c r="H2780" s="204"/>
      <c r="I2780" s="204"/>
      <c r="J2780" s="204"/>
      <c r="K2780" s="204"/>
      <c r="L2780" s="204"/>
      <c r="M2780" s="204"/>
      <c r="N2780" s="204"/>
      <c r="O2780" s="204"/>
      <c r="P2780" s="204"/>
      <c r="T2780" s="217"/>
    </row>
    <row r="2781" spans="2:20">
      <c r="B2781" s="204"/>
      <c r="C2781" s="204"/>
      <c r="D2781" s="204"/>
      <c r="E2781" s="204"/>
      <c r="F2781" s="204"/>
      <c r="G2781" s="204"/>
      <c r="H2781" s="204"/>
      <c r="I2781" s="204"/>
      <c r="J2781" s="204"/>
      <c r="K2781" s="204"/>
      <c r="L2781" s="204"/>
      <c r="M2781" s="204"/>
      <c r="N2781" s="204"/>
      <c r="O2781" s="204"/>
      <c r="P2781" s="204"/>
      <c r="T2781" s="217"/>
    </row>
    <row r="2782" spans="2:20">
      <c r="B2782" s="204"/>
      <c r="C2782" s="204"/>
      <c r="D2782" s="204"/>
      <c r="E2782" s="204"/>
      <c r="F2782" s="204"/>
      <c r="G2782" s="204"/>
      <c r="H2782" s="204"/>
      <c r="I2782" s="204"/>
      <c r="J2782" s="204"/>
      <c r="K2782" s="204"/>
      <c r="L2782" s="204"/>
      <c r="M2782" s="204"/>
      <c r="N2782" s="204"/>
      <c r="O2782" s="204"/>
      <c r="P2782" s="204"/>
      <c r="T2782" s="217"/>
    </row>
    <row r="2783" spans="2:20">
      <c r="B2783" s="204"/>
      <c r="C2783" s="204"/>
      <c r="D2783" s="204"/>
      <c r="E2783" s="204"/>
      <c r="F2783" s="204"/>
      <c r="G2783" s="204"/>
      <c r="H2783" s="204"/>
      <c r="I2783" s="204"/>
      <c r="J2783" s="204"/>
      <c r="K2783" s="204"/>
      <c r="L2783" s="204"/>
      <c r="M2783" s="204"/>
      <c r="N2783" s="204"/>
      <c r="O2783" s="204"/>
      <c r="P2783" s="204"/>
      <c r="T2783" s="217"/>
    </row>
    <row r="2784" spans="2:20">
      <c r="B2784" s="204"/>
      <c r="C2784" s="204"/>
      <c r="D2784" s="204"/>
      <c r="E2784" s="204"/>
      <c r="F2784" s="204"/>
      <c r="G2784" s="204"/>
      <c r="H2784" s="204"/>
      <c r="I2784" s="204"/>
      <c r="J2784" s="204"/>
      <c r="K2784" s="204"/>
      <c r="L2784" s="204"/>
      <c r="M2784" s="204"/>
      <c r="N2784" s="204"/>
      <c r="O2784" s="204"/>
      <c r="P2784" s="204"/>
      <c r="T2784" s="217"/>
    </row>
    <row r="2785" spans="2:20">
      <c r="B2785" s="204"/>
      <c r="C2785" s="204"/>
      <c r="D2785" s="204"/>
      <c r="E2785" s="204"/>
      <c r="F2785" s="204"/>
      <c r="G2785" s="204"/>
      <c r="H2785" s="204"/>
      <c r="I2785" s="204"/>
      <c r="J2785" s="204"/>
      <c r="K2785" s="204"/>
      <c r="L2785" s="204"/>
      <c r="M2785" s="204"/>
      <c r="N2785" s="204"/>
      <c r="O2785" s="204"/>
      <c r="P2785" s="204"/>
      <c r="T2785" s="217"/>
    </row>
    <row r="2786" spans="2:20">
      <c r="B2786" s="204"/>
      <c r="C2786" s="204"/>
      <c r="D2786" s="204"/>
      <c r="E2786" s="204"/>
      <c r="F2786" s="204"/>
      <c r="G2786" s="204"/>
      <c r="H2786" s="204"/>
      <c r="I2786" s="204"/>
      <c r="J2786" s="204"/>
      <c r="K2786" s="204"/>
      <c r="L2786" s="204"/>
      <c r="M2786" s="204"/>
      <c r="N2786" s="204"/>
      <c r="O2786" s="204"/>
      <c r="P2786" s="204"/>
      <c r="T2786" s="217"/>
    </row>
    <row r="2787" spans="2:20">
      <c r="B2787" s="204"/>
      <c r="C2787" s="204"/>
      <c r="D2787" s="204"/>
      <c r="E2787" s="204"/>
      <c r="F2787" s="204"/>
      <c r="G2787" s="204"/>
      <c r="H2787" s="204"/>
      <c r="I2787" s="204"/>
      <c r="J2787" s="204"/>
      <c r="K2787" s="204"/>
      <c r="L2787" s="204"/>
      <c r="M2787" s="204"/>
      <c r="N2787" s="204"/>
      <c r="O2787" s="204"/>
      <c r="P2787" s="204"/>
      <c r="T2787" s="217"/>
    </row>
    <row r="2788" spans="2:20">
      <c r="B2788" s="204"/>
      <c r="C2788" s="204"/>
      <c r="D2788" s="204"/>
      <c r="E2788" s="204"/>
      <c r="F2788" s="204"/>
      <c r="G2788" s="204"/>
      <c r="H2788" s="204"/>
      <c r="I2788" s="204"/>
      <c r="J2788" s="204"/>
      <c r="K2788" s="204"/>
      <c r="L2788" s="204"/>
      <c r="M2788" s="204"/>
      <c r="N2788" s="204"/>
      <c r="O2788" s="204"/>
      <c r="P2788" s="204"/>
      <c r="T2788" s="217"/>
    </row>
    <row r="2789" spans="2:20">
      <c r="B2789" s="204"/>
      <c r="C2789" s="204"/>
      <c r="D2789" s="204"/>
      <c r="E2789" s="204"/>
      <c r="F2789" s="204"/>
      <c r="G2789" s="204"/>
      <c r="H2789" s="204"/>
      <c r="I2789" s="204"/>
      <c r="J2789" s="204"/>
      <c r="K2789" s="204"/>
      <c r="L2789" s="204"/>
      <c r="M2789" s="204"/>
      <c r="N2789" s="204"/>
      <c r="O2789" s="204"/>
      <c r="P2789" s="204"/>
      <c r="T2789" s="217"/>
    </row>
    <row r="2790" spans="2:20">
      <c r="B2790" s="204"/>
      <c r="C2790" s="204"/>
      <c r="D2790" s="204"/>
      <c r="E2790" s="204"/>
      <c r="F2790" s="204"/>
      <c r="G2790" s="204"/>
      <c r="H2790" s="204"/>
      <c r="I2790" s="204"/>
      <c r="J2790" s="204"/>
      <c r="K2790" s="204"/>
      <c r="L2790" s="204"/>
      <c r="M2790" s="204"/>
      <c r="N2790" s="204"/>
      <c r="O2790" s="204"/>
      <c r="P2790" s="204"/>
      <c r="T2790" s="217"/>
    </row>
    <row r="2791" spans="2:20">
      <c r="B2791" s="204"/>
      <c r="C2791" s="204"/>
      <c r="D2791" s="204"/>
      <c r="E2791" s="204"/>
      <c r="F2791" s="204"/>
      <c r="G2791" s="204"/>
      <c r="H2791" s="204"/>
      <c r="I2791" s="204"/>
      <c r="J2791" s="204"/>
      <c r="K2791" s="204"/>
      <c r="L2791" s="204"/>
      <c r="M2791" s="204"/>
      <c r="N2791" s="204"/>
      <c r="O2791" s="204"/>
      <c r="P2791" s="204"/>
      <c r="T2791" s="217"/>
    </row>
    <row r="2792" spans="2:20">
      <c r="B2792" s="204"/>
      <c r="C2792" s="204"/>
      <c r="D2792" s="204"/>
      <c r="E2792" s="204"/>
      <c r="F2792" s="204"/>
      <c r="G2792" s="204"/>
      <c r="H2792" s="204"/>
      <c r="I2792" s="204"/>
      <c r="J2792" s="204"/>
      <c r="K2792" s="204"/>
      <c r="L2792" s="204"/>
      <c r="M2792" s="204"/>
      <c r="N2792" s="204"/>
      <c r="O2792" s="204"/>
      <c r="P2792" s="204"/>
      <c r="T2792" s="217"/>
    </row>
    <row r="2793" spans="2:20">
      <c r="B2793" s="204"/>
      <c r="C2793" s="204"/>
      <c r="D2793" s="204"/>
      <c r="E2793" s="204"/>
      <c r="F2793" s="204"/>
      <c r="G2793" s="204"/>
      <c r="H2793" s="204"/>
      <c r="I2793" s="204"/>
      <c r="J2793" s="204"/>
      <c r="K2793" s="204"/>
      <c r="L2793" s="204"/>
      <c r="M2793" s="204"/>
      <c r="N2793" s="204"/>
      <c r="O2793" s="204"/>
      <c r="P2793" s="204"/>
      <c r="T2793" s="217"/>
    </row>
    <row r="2794" spans="2:20">
      <c r="B2794" s="204"/>
      <c r="C2794" s="204"/>
      <c r="D2794" s="204"/>
      <c r="E2794" s="204"/>
      <c r="F2794" s="204"/>
      <c r="G2794" s="204"/>
      <c r="H2794" s="204"/>
      <c r="I2794" s="204"/>
      <c r="J2794" s="204"/>
      <c r="K2794" s="204"/>
      <c r="L2794" s="204"/>
      <c r="M2794" s="204"/>
      <c r="N2794" s="204"/>
      <c r="O2794" s="204"/>
      <c r="P2794" s="204"/>
      <c r="T2794" s="217"/>
    </row>
    <row r="2795" spans="2:20">
      <c r="B2795" s="204"/>
      <c r="C2795" s="204"/>
      <c r="D2795" s="204"/>
      <c r="E2795" s="204"/>
      <c r="F2795" s="204"/>
      <c r="G2795" s="204"/>
      <c r="H2795" s="204"/>
      <c r="I2795" s="204"/>
      <c r="J2795" s="204"/>
      <c r="K2795" s="204"/>
      <c r="L2795" s="204"/>
      <c r="M2795" s="204"/>
      <c r="N2795" s="204"/>
      <c r="O2795" s="204"/>
      <c r="P2795" s="204"/>
      <c r="T2795" s="217"/>
    </row>
    <row r="2796" spans="2:20">
      <c r="B2796" s="204"/>
      <c r="C2796" s="204"/>
      <c r="D2796" s="204"/>
      <c r="E2796" s="204"/>
      <c r="F2796" s="204"/>
      <c r="G2796" s="204"/>
      <c r="H2796" s="204"/>
      <c r="I2796" s="204"/>
      <c r="J2796" s="204"/>
      <c r="K2796" s="204"/>
      <c r="L2796" s="204"/>
      <c r="M2796" s="204"/>
      <c r="N2796" s="204"/>
      <c r="O2796" s="204"/>
      <c r="P2796" s="204"/>
      <c r="T2796" s="217"/>
    </row>
    <row r="2797" spans="2:20">
      <c r="B2797" s="204"/>
      <c r="C2797" s="204"/>
      <c r="D2797" s="204"/>
      <c r="E2797" s="204"/>
      <c r="F2797" s="204"/>
      <c r="G2797" s="204"/>
      <c r="H2797" s="204"/>
      <c r="I2797" s="204"/>
      <c r="J2797" s="204"/>
      <c r="K2797" s="204"/>
      <c r="L2797" s="204"/>
      <c r="M2797" s="204"/>
      <c r="N2797" s="204"/>
      <c r="O2797" s="204"/>
      <c r="P2797" s="204"/>
      <c r="T2797" s="217"/>
    </row>
    <row r="2798" spans="2:20">
      <c r="B2798" s="204"/>
      <c r="C2798" s="204"/>
      <c r="D2798" s="204"/>
      <c r="E2798" s="204"/>
      <c r="F2798" s="204"/>
      <c r="G2798" s="204"/>
      <c r="H2798" s="204"/>
      <c r="I2798" s="204"/>
      <c r="J2798" s="204"/>
      <c r="K2798" s="204"/>
      <c r="L2798" s="204"/>
      <c r="M2798" s="204"/>
      <c r="N2798" s="204"/>
      <c r="O2798" s="204"/>
      <c r="P2798" s="204"/>
      <c r="T2798" s="217"/>
    </row>
    <row r="2799" spans="2:20">
      <c r="B2799" s="204"/>
      <c r="C2799" s="204"/>
      <c r="D2799" s="204"/>
      <c r="E2799" s="204"/>
      <c r="F2799" s="204"/>
      <c r="G2799" s="204"/>
      <c r="H2799" s="204"/>
      <c r="I2799" s="204"/>
      <c r="J2799" s="204"/>
      <c r="K2799" s="204"/>
      <c r="L2799" s="204"/>
      <c r="M2799" s="204"/>
      <c r="N2799" s="204"/>
      <c r="O2799" s="204"/>
      <c r="P2799" s="204"/>
      <c r="T2799" s="217"/>
    </row>
    <row r="2800" spans="2:20">
      <c r="B2800" s="204"/>
      <c r="C2800" s="204"/>
      <c r="D2800" s="204"/>
      <c r="E2800" s="204"/>
      <c r="F2800" s="204"/>
      <c r="G2800" s="204"/>
      <c r="H2800" s="204"/>
      <c r="I2800" s="204"/>
      <c r="J2800" s="204"/>
      <c r="K2800" s="204"/>
      <c r="L2800" s="204"/>
      <c r="M2800" s="204"/>
      <c r="N2800" s="204"/>
      <c r="O2800" s="204"/>
      <c r="P2800" s="204"/>
      <c r="T2800" s="217"/>
    </row>
    <row r="2801" spans="2:20">
      <c r="B2801" s="204"/>
      <c r="C2801" s="204"/>
      <c r="D2801" s="204"/>
      <c r="E2801" s="204"/>
      <c r="F2801" s="204"/>
      <c r="G2801" s="204"/>
      <c r="H2801" s="204"/>
      <c r="I2801" s="204"/>
      <c r="J2801" s="204"/>
      <c r="K2801" s="204"/>
      <c r="L2801" s="204"/>
      <c r="M2801" s="204"/>
      <c r="N2801" s="204"/>
      <c r="O2801" s="204"/>
      <c r="P2801" s="204"/>
      <c r="T2801" s="217"/>
    </row>
    <row r="2802" spans="2:20">
      <c r="B2802" s="204"/>
      <c r="C2802" s="204"/>
      <c r="D2802" s="204"/>
      <c r="E2802" s="204"/>
      <c r="F2802" s="204"/>
      <c r="G2802" s="204"/>
      <c r="H2802" s="204"/>
      <c r="I2802" s="204"/>
      <c r="J2802" s="204"/>
      <c r="K2802" s="204"/>
      <c r="L2802" s="204"/>
      <c r="M2802" s="204"/>
      <c r="N2802" s="204"/>
      <c r="O2802" s="204"/>
      <c r="P2802" s="204"/>
      <c r="T2802" s="217"/>
    </row>
    <row r="2803" spans="2:20">
      <c r="B2803" s="204"/>
      <c r="C2803" s="204"/>
      <c r="D2803" s="204"/>
      <c r="E2803" s="204"/>
      <c r="F2803" s="204"/>
      <c r="G2803" s="204"/>
      <c r="H2803" s="204"/>
      <c r="I2803" s="204"/>
      <c r="J2803" s="204"/>
      <c r="K2803" s="204"/>
      <c r="L2803" s="204"/>
      <c r="M2803" s="204"/>
      <c r="N2803" s="204"/>
      <c r="O2803" s="204"/>
      <c r="P2803" s="204"/>
      <c r="T2803" s="217"/>
    </row>
    <row r="2804" spans="2:20">
      <c r="B2804" s="204"/>
      <c r="C2804" s="204"/>
      <c r="D2804" s="204"/>
      <c r="E2804" s="204"/>
      <c r="F2804" s="204"/>
      <c r="G2804" s="204"/>
      <c r="H2804" s="204"/>
      <c r="I2804" s="204"/>
      <c r="J2804" s="204"/>
      <c r="K2804" s="204"/>
      <c r="L2804" s="204"/>
      <c r="M2804" s="204"/>
      <c r="N2804" s="204"/>
      <c r="O2804" s="204"/>
      <c r="P2804" s="204"/>
      <c r="T2804" s="217"/>
    </row>
    <row r="2805" spans="2:20">
      <c r="B2805" s="204"/>
      <c r="C2805" s="204"/>
      <c r="D2805" s="204"/>
      <c r="E2805" s="204"/>
      <c r="F2805" s="204"/>
      <c r="G2805" s="204"/>
      <c r="H2805" s="204"/>
      <c r="I2805" s="204"/>
      <c r="J2805" s="204"/>
      <c r="K2805" s="204"/>
      <c r="L2805" s="204"/>
      <c r="M2805" s="204"/>
      <c r="N2805" s="204"/>
      <c r="O2805" s="204"/>
      <c r="P2805" s="204"/>
      <c r="T2805" s="217"/>
    </row>
    <row r="2806" spans="2:20">
      <c r="B2806" s="204"/>
      <c r="C2806" s="204"/>
      <c r="D2806" s="204"/>
      <c r="E2806" s="204"/>
      <c r="F2806" s="204"/>
      <c r="G2806" s="204"/>
      <c r="H2806" s="204"/>
      <c r="I2806" s="204"/>
      <c r="J2806" s="204"/>
      <c r="K2806" s="204"/>
      <c r="L2806" s="204"/>
      <c r="M2806" s="204"/>
      <c r="N2806" s="204"/>
      <c r="O2806" s="204"/>
      <c r="P2806" s="204"/>
      <c r="T2806" s="217"/>
    </row>
    <row r="2807" spans="2:20">
      <c r="B2807" s="204"/>
      <c r="C2807" s="204"/>
      <c r="D2807" s="204"/>
      <c r="E2807" s="204"/>
      <c r="F2807" s="204"/>
      <c r="G2807" s="204"/>
      <c r="H2807" s="204"/>
      <c r="I2807" s="204"/>
      <c r="J2807" s="204"/>
      <c r="K2807" s="204"/>
      <c r="L2807" s="204"/>
      <c r="M2807" s="204"/>
      <c r="N2807" s="204"/>
      <c r="O2807" s="204"/>
      <c r="P2807" s="204"/>
      <c r="T2807" s="217"/>
    </row>
    <row r="2808" spans="2:20">
      <c r="B2808" s="204"/>
      <c r="C2808" s="204"/>
      <c r="D2808" s="204"/>
      <c r="E2808" s="204"/>
      <c r="F2808" s="204"/>
      <c r="G2808" s="204"/>
      <c r="H2808" s="204"/>
      <c r="I2808" s="204"/>
      <c r="J2808" s="204"/>
      <c r="K2808" s="204"/>
      <c r="L2808" s="204"/>
      <c r="M2808" s="204"/>
      <c r="N2808" s="204"/>
      <c r="O2808" s="204"/>
      <c r="P2808" s="204"/>
      <c r="T2808" s="217"/>
    </row>
    <row r="2809" spans="2:20">
      <c r="B2809" s="204"/>
      <c r="C2809" s="204"/>
      <c r="D2809" s="204"/>
      <c r="E2809" s="204"/>
      <c r="F2809" s="204"/>
      <c r="G2809" s="204"/>
      <c r="H2809" s="204"/>
      <c r="I2809" s="204"/>
      <c r="J2809" s="204"/>
      <c r="K2809" s="204"/>
      <c r="L2809" s="204"/>
      <c r="M2809" s="204"/>
      <c r="N2809" s="204"/>
      <c r="O2809" s="204"/>
      <c r="P2809" s="204"/>
      <c r="T2809" s="217"/>
    </row>
    <row r="2810" spans="2:20">
      <c r="B2810" s="204"/>
      <c r="C2810" s="204"/>
      <c r="D2810" s="204"/>
      <c r="E2810" s="204"/>
      <c r="F2810" s="204"/>
      <c r="G2810" s="204"/>
      <c r="H2810" s="204"/>
      <c r="I2810" s="204"/>
      <c r="J2810" s="204"/>
      <c r="K2810" s="204"/>
      <c r="L2810" s="204"/>
      <c r="M2810" s="204"/>
      <c r="N2810" s="204"/>
      <c r="O2810" s="204"/>
      <c r="P2810" s="204"/>
      <c r="T2810" s="217"/>
    </row>
    <row r="2811" spans="2:20">
      <c r="B2811" s="204"/>
      <c r="C2811" s="204"/>
      <c r="D2811" s="204"/>
      <c r="E2811" s="204"/>
      <c r="F2811" s="204"/>
      <c r="G2811" s="204"/>
      <c r="H2811" s="204"/>
      <c r="I2811" s="204"/>
      <c r="J2811" s="204"/>
      <c r="K2811" s="204"/>
      <c r="L2811" s="204"/>
      <c r="M2811" s="204"/>
      <c r="N2811" s="204"/>
      <c r="O2811" s="204"/>
      <c r="P2811" s="204"/>
      <c r="T2811" s="217"/>
    </row>
    <row r="2812" spans="2:20">
      <c r="B2812" s="204"/>
      <c r="C2812" s="204"/>
      <c r="D2812" s="204"/>
      <c r="E2812" s="204"/>
      <c r="F2812" s="204"/>
      <c r="G2812" s="204"/>
      <c r="H2812" s="204"/>
      <c r="I2812" s="204"/>
      <c r="J2812" s="204"/>
      <c r="K2812" s="204"/>
      <c r="L2812" s="204"/>
      <c r="M2812" s="204"/>
      <c r="N2812" s="204"/>
      <c r="O2812" s="204"/>
      <c r="P2812" s="204"/>
      <c r="T2812" s="217"/>
    </row>
    <row r="2813" spans="2:20">
      <c r="B2813" s="204"/>
      <c r="C2813" s="204"/>
      <c r="D2813" s="204"/>
      <c r="E2813" s="204"/>
      <c r="F2813" s="204"/>
      <c r="G2813" s="204"/>
      <c r="H2813" s="204"/>
      <c r="I2813" s="204"/>
      <c r="J2813" s="204"/>
      <c r="K2813" s="204"/>
      <c r="L2813" s="204"/>
      <c r="M2813" s="204"/>
      <c r="N2813" s="204"/>
      <c r="O2813" s="204"/>
      <c r="P2813" s="204"/>
      <c r="T2813" s="217"/>
    </row>
    <row r="2814" spans="2:20">
      <c r="B2814" s="204"/>
      <c r="C2814" s="204"/>
      <c r="D2814" s="204"/>
      <c r="E2814" s="204"/>
      <c r="F2814" s="204"/>
      <c r="G2814" s="204"/>
      <c r="H2814" s="204"/>
      <c r="I2814" s="204"/>
      <c r="J2814" s="204"/>
      <c r="K2814" s="204"/>
      <c r="L2814" s="204"/>
      <c r="M2814" s="204"/>
      <c r="N2814" s="204"/>
      <c r="O2814" s="204"/>
      <c r="P2814" s="204"/>
      <c r="T2814" s="217"/>
    </row>
    <row r="2815" spans="2:20">
      <c r="B2815" s="204"/>
      <c r="C2815" s="204"/>
      <c r="D2815" s="204"/>
      <c r="E2815" s="204"/>
      <c r="F2815" s="204"/>
      <c r="G2815" s="204"/>
      <c r="H2815" s="204"/>
      <c r="I2815" s="204"/>
      <c r="J2815" s="204"/>
      <c r="K2815" s="204"/>
      <c r="L2815" s="204"/>
      <c r="M2815" s="204"/>
      <c r="N2815" s="204"/>
      <c r="O2815" s="204"/>
      <c r="P2815" s="204"/>
      <c r="T2815" s="217"/>
    </row>
    <row r="2816" spans="2:20">
      <c r="B2816" s="204"/>
      <c r="C2816" s="204"/>
      <c r="D2816" s="204"/>
      <c r="E2816" s="204"/>
      <c r="F2816" s="204"/>
      <c r="G2816" s="204"/>
      <c r="H2816" s="204"/>
      <c r="I2816" s="204"/>
      <c r="J2816" s="204"/>
      <c r="K2816" s="204"/>
      <c r="L2816" s="204"/>
      <c r="M2816" s="204"/>
      <c r="N2816" s="204"/>
      <c r="O2816" s="204"/>
      <c r="P2816" s="204"/>
      <c r="T2816" s="217"/>
    </row>
    <row r="2817" spans="2:20">
      <c r="B2817" s="204"/>
      <c r="C2817" s="204"/>
      <c r="D2817" s="204"/>
      <c r="E2817" s="204"/>
      <c r="F2817" s="204"/>
      <c r="G2817" s="204"/>
      <c r="H2817" s="204"/>
      <c r="I2817" s="204"/>
      <c r="J2817" s="204"/>
      <c r="K2817" s="204"/>
      <c r="L2817" s="204"/>
      <c r="M2817" s="204"/>
      <c r="N2817" s="204"/>
      <c r="O2817" s="204"/>
      <c r="P2817" s="204"/>
      <c r="T2817" s="217"/>
    </row>
    <row r="2818" spans="2:20">
      <c r="B2818" s="204"/>
      <c r="C2818" s="204"/>
      <c r="D2818" s="204"/>
      <c r="E2818" s="204"/>
      <c r="F2818" s="204"/>
      <c r="G2818" s="204"/>
      <c r="H2818" s="204"/>
      <c r="I2818" s="204"/>
      <c r="J2818" s="204"/>
      <c r="K2818" s="204"/>
      <c r="L2818" s="204"/>
      <c r="M2818" s="204"/>
      <c r="N2818" s="204"/>
      <c r="O2818" s="204"/>
      <c r="P2818" s="204"/>
      <c r="T2818" s="217"/>
    </row>
    <row r="2819" spans="2:20">
      <c r="B2819" s="204"/>
      <c r="C2819" s="204"/>
      <c r="D2819" s="204"/>
      <c r="E2819" s="204"/>
      <c r="F2819" s="204"/>
      <c r="G2819" s="204"/>
      <c r="H2819" s="204"/>
      <c r="I2819" s="204"/>
      <c r="J2819" s="204"/>
      <c r="K2819" s="204"/>
      <c r="L2819" s="204"/>
      <c r="M2819" s="204"/>
      <c r="N2819" s="204"/>
      <c r="O2819" s="204"/>
      <c r="P2819" s="204"/>
      <c r="T2819" s="217"/>
    </row>
    <row r="2820" spans="2:20">
      <c r="B2820" s="204"/>
      <c r="C2820" s="204"/>
      <c r="D2820" s="204"/>
      <c r="E2820" s="204"/>
      <c r="F2820" s="204"/>
      <c r="G2820" s="204"/>
      <c r="H2820" s="204"/>
      <c r="I2820" s="204"/>
      <c r="J2820" s="204"/>
      <c r="K2820" s="204"/>
      <c r="L2820" s="204"/>
      <c r="M2820" s="204"/>
      <c r="N2820" s="204"/>
      <c r="O2820" s="204"/>
      <c r="P2820" s="204"/>
      <c r="T2820" s="217"/>
    </row>
    <row r="2821" spans="2:20">
      <c r="B2821" s="204"/>
      <c r="C2821" s="204"/>
      <c r="D2821" s="204"/>
      <c r="E2821" s="204"/>
      <c r="F2821" s="204"/>
      <c r="G2821" s="204"/>
      <c r="H2821" s="204"/>
      <c r="I2821" s="204"/>
      <c r="J2821" s="204"/>
      <c r="K2821" s="204"/>
      <c r="L2821" s="204"/>
      <c r="M2821" s="204"/>
      <c r="N2821" s="204"/>
      <c r="O2821" s="204"/>
      <c r="P2821" s="204"/>
      <c r="T2821" s="217"/>
    </row>
    <row r="2822" spans="2:20">
      <c r="B2822" s="204"/>
      <c r="C2822" s="204"/>
      <c r="D2822" s="204"/>
      <c r="E2822" s="204"/>
      <c r="F2822" s="204"/>
      <c r="G2822" s="204"/>
      <c r="H2822" s="204"/>
      <c r="I2822" s="204"/>
      <c r="J2822" s="204"/>
      <c r="K2822" s="204"/>
      <c r="L2822" s="204"/>
      <c r="M2822" s="204"/>
      <c r="N2822" s="204"/>
      <c r="O2822" s="204"/>
      <c r="P2822" s="204"/>
      <c r="T2822" s="217"/>
    </row>
    <row r="2823" spans="2:20">
      <c r="B2823" s="204"/>
      <c r="C2823" s="204"/>
      <c r="D2823" s="204"/>
      <c r="E2823" s="204"/>
      <c r="F2823" s="204"/>
      <c r="G2823" s="204"/>
      <c r="H2823" s="204"/>
      <c r="I2823" s="204"/>
      <c r="J2823" s="204"/>
      <c r="K2823" s="204"/>
      <c r="L2823" s="204"/>
      <c r="M2823" s="204"/>
      <c r="N2823" s="204"/>
      <c r="O2823" s="204"/>
      <c r="P2823" s="204"/>
      <c r="T2823" s="217"/>
    </row>
    <row r="2824" spans="2:20">
      <c r="B2824" s="204"/>
      <c r="C2824" s="204"/>
      <c r="D2824" s="204"/>
      <c r="E2824" s="204"/>
      <c r="F2824" s="204"/>
      <c r="G2824" s="204"/>
      <c r="H2824" s="204"/>
      <c r="I2824" s="204"/>
      <c r="J2824" s="204"/>
      <c r="K2824" s="204"/>
      <c r="L2824" s="204"/>
      <c r="M2824" s="204"/>
      <c r="N2824" s="204"/>
      <c r="O2824" s="204"/>
      <c r="P2824" s="204"/>
      <c r="T2824" s="217"/>
    </row>
    <row r="2825" spans="2:20">
      <c r="B2825" s="204"/>
      <c r="C2825" s="204"/>
      <c r="D2825" s="204"/>
      <c r="E2825" s="204"/>
      <c r="F2825" s="204"/>
      <c r="G2825" s="204"/>
      <c r="H2825" s="204"/>
      <c r="I2825" s="204"/>
      <c r="J2825" s="204"/>
      <c r="K2825" s="204"/>
      <c r="L2825" s="204"/>
      <c r="M2825" s="204"/>
      <c r="N2825" s="204"/>
      <c r="O2825" s="204"/>
      <c r="P2825" s="204"/>
      <c r="T2825" s="217"/>
    </row>
    <row r="2826" spans="2:20">
      <c r="B2826" s="204"/>
      <c r="C2826" s="204"/>
      <c r="D2826" s="204"/>
      <c r="E2826" s="204"/>
      <c r="F2826" s="204"/>
      <c r="G2826" s="204"/>
      <c r="H2826" s="204"/>
      <c r="I2826" s="204"/>
      <c r="J2826" s="204"/>
      <c r="K2826" s="204"/>
      <c r="L2826" s="204"/>
      <c r="M2826" s="204"/>
      <c r="N2826" s="204"/>
      <c r="O2826" s="204"/>
      <c r="P2826" s="204"/>
      <c r="T2826" s="217"/>
    </row>
    <row r="2827" spans="2:20">
      <c r="B2827" s="204"/>
      <c r="C2827" s="204"/>
      <c r="D2827" s="204"/>
      <c r="E2827" s="204"/>
      <c r="F2827" s="204"/>
      <c r="G2827" s="204"/>
      <c r="H2827" s="204"/>
      <c r="I2827" s="204"/>
      <c r="J2827" s="204"/>
      <c r="K2827" s="204"/>
      <c r="L2827" s="204"/>
      <c r="M2827" s="204"/>
      <c r="N2827" s="204"/>
      <c r="O2827" s="204"/>
      <c r="P2827" s="204"/>
      <c r="T2827" s="217"/>
    </row>
    <row r="2828" spans="2:20">
      <c r="B2828" s="204"/>
      <c r="C2828" s="204"/>
      <c r="D2828" s="204"/>
      <c r="E2828" s="204"/>
      <c r="F2828" s="204"/>
      <c r="G2828" s="204"/>
      <c r="H2828" s="204"/>
      <c r="I2828" s="204"/>
      <c r="J2828" s="204"/>
      <c r="K2828" s="204"/>
      <c r="L2828" s="204"/>
      <c r="M2828" s="204"/>
      <c r="N2828" s="204"/>
      <c r="O2828" s="204"/>
      <c r="P2828" s="204"/>
      <c r="T2828" s="217"/>
    </row>
    <row r="2829" spans="2:20">
      <c r="B2829" s="204"/>
      <c r="C2829" s="204"/>
      <c r="D2829" s="204"/>
      <c r="E2829" s="204"/>
      <c r="F2829" s="204"/>
      <c r="G2829" s="204"/>
      <c r="H2829" s="204"/>
      <c r="I2829" s="204"/>
      <c r="J2829" s="204"/>
      <c r="K2829" s="204"/>
      <c r="L2829" s="204"/>
      <c r="M2829" s="204"/>
      <c r="N2829" s="204"/>
      <c r="O2829" s="204"/>
      <c r="P2829" s="204"/>
      <c r="T2829" s="217"/>
    </row>
    <row r="2830" spans="2:20">
      <c r="B2830" s="204"/>
      <c r="C2830" s="204"/>
      <c r="D2830" s="204"/>
      <c r="E2830" s="204"/>
      <c r="F2830" s="204"/>
      <c r="G2830" s="204"/>
      <c r="H2830" s="204"/>
      <c r="I2830" s="204"/>
      <c r="J2830" s="204"/>
      <c r="K2830" s="204"/>
      <c r="L2830" s="204"/>
      <c r="M2830" s="204"/>
      <c r="N2830" s="204"/>
      <c r="O2830" s="204"/>
      <c r="P2830" s="204"/>
      <c r="T2830" s="217"/>
    </row>
    <row r="2831" spans="2:20">
      <c r="B2831" s="204"/>
      <c r="C2831" s="204"/>
      <c r="D2831" s="204"/>
      <c r="E2831" s="204"/>
      <c r="F2831" s="204"/>
      <c r="G2831" s="204"/>
      <c r="H2831" s="204"/>
      <c r="I2831" s="204"/>
      <c r="J2831" s="204"/>
      <c r="K2831" s="204"/>
      <c r="L2831" s="204"/>
      <c r="M2831" s="204"/>
      <c r="N2831" s="204"/>
      <c r="O2831" s="204"/>
      <c r="P2831" s="204"/>
      <c r="T2831" s="217"/>
    </row>
    <row r="2832" spans="2:20">
      <c r="B2832" s="204"/>
      <c r="C2832" s="204"/>
      <c r="D2832" s="204"/>
      <c r="E2832" s="204"/>
      <c r="F2832" s="204"/>
      <c r="G2832" s="204"/>
      <c r="H2832" s="204"/>
      <c r="I2832" s="204"/>
      <c r="J2832" s="204"/>
      <c r="K2832" s="204"/>
      <c r="L2832" s="204"/>
      <c r="M2832" s="204"/>
      <c r="N2832" s="204"/>
      <c r="O2832" s="204"/>
      <c r="P2832" s="204"/>
      <c r="T2832" s="217"/>
    </row>
    <row r="2833" spans="2:20">
      <c r="B2833" s="204"/>
      <c r="C2833" s="204"/>
      <c r="D2833" s="204"/>
      <c r="E2833" s="204"/>
      <c r="F2833" s="204"/>
      <c r="G2833" s="204"/>
      <c r="H2833" s="204"/>
      <c r="I2833" s="204"/>
      <c r="J2833" s="204"/>
      <c r="K2833" s="204"/>
      <c r="L2833" s="204"/>
      <c r="M2833" s="204"/>
      <c r="N2833" s="204"/>
      <c r="O2833" s="204"/>
      <c r="P2833" s="204"/>
      <c r="T2833" s="217"/>
    </row>
    <row r="2834" spans="2:20">
      <c r="B2834" s="204"/>
      <c r="C2834" s="204"/>
      <c r="D2834" s="204"/>
      <c r="E2834" s="204"/>
      <c r="F2834" s="204"/>
      <c r="G2834" s="204"/>
      <c r="H2834" s="204"/>
      <c r="I2834" s="204"/>
      <c r="J2834" s="204"/>
      <c r="K2834" s="204"/>
      <c r="L2834" s="204"/>
      <c r="M2834" s="204"/>
      <c r="N2834" s="204"/>
      <c r="O2834" s="204"/>
      <c r="P2834" s="204"/>
      <c r="T2834" s="217"/>
    </row>
    <row r="2835" spans="2:20">
      <c r="B2835" s="204"/>
      <c r="C2835" s="204"/>
      <c r="D2835" s="204"/>
      <c r="E2835" s="204"/>
      <c r="F2835" s="204"/>
      <c r="G2835" s="204"/>
      <c r="H2835" s="204"/>
      <c r="I2835" s="204"/>
      <c r="J2835" s="204"/>
      <c r="K2835" s="204"/>
      <c r="L2835" s="204"/>
      <c r="M2835" s="204"/>
      <c r="N2835" s="204"/>
      <c r="O2835" s="204"/>
      <c r="P2835" s="204"/>
      <c r="T2835" s="217"/>
    </row>
    <row r="2836" spans="2:20">
      <c r="B2836" s="204"/>
      <c r="C2836" s="204"/>
      <c r="D2836" s="204"/>
      <c r="E2836" s="204"/>
      <c r="F2836" s="204"/>
      <c r="G2836" s="204"/>
      <c r="H2836" s="204"/>
      <c r="I2836" s="204"/>
      <c r="J2836" s="204"/>
      <c r="K2836" s="204"/>
      <c r="L2836" s="204"/>
      <c r="M2836" s="204"/>
      <c r="N2836" s="204"/>
      <c r="O2836" s="204"/>
      <c r="P2836" s="204"/>
      <c r="T2836" s="217"/>
    </row>
    <row r="2837" spans="2:20">
      <c r="B2837" s="204"/>
      <c r="C2837" s="204"/>
      <c r="D2837" s="204"/>
      <c r="E2837" s="204"/>
      <c r="F2837" s="204"/>
      <c r="G2837" s="204"/>
      <c r="H2837" s="204"/>
      <c r="I2837" s="204"/>
      <c r="J2837" s="204"/>
      <c r="K2837" s="204"/>
      <c r="L2837" s="204"/>
      <c r="M2837" s="204"/>
      <c r="N2837" s="204"/>
      <c r="O2837" s="204"/>
      <c r="P2837" s="204"/>
      <c r="T2837" s="217"/>
    </row>
    <row r="2838" spans="2:20">
      <c r="B2838" s="204"/>
      <c r="C2838" s="204"/>
      <c r="D2838" s="204"/>
      <c r="E2838" s="204"/>
      <c r="F2838" s="204"/>
      <c r="G2838" s="204"/>
      <c r="H2838" s="204"/>
      <c r="I2838" s="204"/>
      <c r="J2838" s="204"/>
      <c r="K2838" s="204"/>
      <c r="L2838" s="204"/>
      <c r="M2838" s="204"/>
      <c r="N2838" s="204"/>
      <c r="O2838" s="204"/>
      <c r="P2838" s="204"/>
      <c r="T2838" s="217"/>
    </row>
    <row r="2839" spans="2:20">
      <c r="B2839" s="204"/>
      <c r="C2839" s="204"/>
      <c r="D2839" s="204"/>
      <c r="E2839" s="204"/>
      <c r="F2839" s="204"/>
      <c r="G2839" s="204"/>
      <c r="H2839" s="204"/>
      <c r="I2839" s="204"/>
      <c r="J2839" s="204"/>
      <c r="K2839" s="204"/>
      <c r="L2839" s="204"/>
      <c r="M2839" s="204"/>
      <c r="N2839" s="204"/>
      <c r="O2839" s="204"/>
      <c r="P2839" s="204"/>
      <c r="T2839" s="217"/>
    </row>
    <row r="2840" spans="2:20">
      <c r="B2840" s="204"/>
      <c r="C2840" s="204"/>
      <c r="D2840" s="204"/>
      <c r="E2840" s="204"/>
      <c r="F2840" s="204"/>
      <c r="G2840" s="204"/>
      <c r="H2840" s="204"/>
      <c r="I2840" s="204"/>
      <c r="J2840" s="204"/>
      <c r="K2840" s="204"/>
      <c r="L2840" s="204"/>
      <c r="M2840" s="204"/>
      <c r="N2840" s="204"/>
      <c r="O2840" s="204"/>
      <c r="P2840" s="204"/>
      <c r="T2840" s="217"/>
    </row>
    <row r="2841" spans="2:20">
      <c r="B2841" s="204"/>
      <c r="C2841" s="204"/>
      <c r="D2841" s="204"/>
      <c r="E2841" s="204"/>
      <c r="F2841" s="204"/>
      <c r="G2841" s="204"/>
      <c r="H2841" s="204"/>
      <c r="I2841" s="204"/>
      <c r="J2841" s="204"/>
      <c r="K2841" s="204"/>
      <c r="L2841" s="204"/>
      <c r="M2841" s="204"/>
      <c r="N2841" s="204"/>
      <c r="O2841" s="204"/>
      <c r="P2841" s="204"/>
      <c r="T2841" s="217"/>
    </row>
    <row r="2842" spans="2:20">
      <c r="B2842" s="204"/>
      <c r="C2842" s="204"/>
      <c r="D2842" s="204"/>
      <c r="E2842" s="204"/>
      <c r="F2842" s="204"/>
      <c r="G2842" s="204"/>
      <c r="H2842" s="204"/>
      <c r="I2842" s="204"/>
      <c r="J2842" s="204"/>
      <c r="K2842" s="204"/>
      <c r="L2842" s="204"/>
      <c r="M2842" s="204"/>
      <c r="N2842" s="204"/>
      <c r="O2842" s="204"/>
      <c r="P2842" s="204"/>
      <c r="T2842" s="217"/>
    </row>
    <row r="2843" spans="2:20">
      <c r="B2843" s="204"/>
      <c r="C2843" s="204"/>
      <c r="D2843" s="204"/>
      <c r="E2843" s="204"/>
      <c r="F2843" s="204"/>
      <c r="G2843" s="204"/>
      <c r="H2843" s="204"/>
      <c r="I2843" s="204"/>
      <c r="J2843" s="204"/>
      <c r="K2843" s="204"/>
      <c r="L2843" s="204"/>
      <c r="M2843" s="204"/>
      <c r="N2843" s="204"/>
      <c r="O2843" s="204"/>
      <c r="P2843" s="204"/>
      <c r="T2843" s="217"/>
    </row>
    <row r="2844" spans="2:20">
      <c r="B2844" s="204"/>
      <c r="C2844" s="204"/>
      <c r="D2844" s="204"/>
      <c r="E2844" s="204"/>
      <c r="F2844" s="204"/>
      <c r="G2844" s="204"/>
      <c r="H2844" s="204"/>
      <c r="I2844" s="204"/>
      <c r="J2844" s="204"/>
      <c r="K2844" s="204"/>
      <c r="L2844" s="204"/>
      <c r="M2844" s="204"/>
      <c r="N2844" s="204"/>
      <c r="O2844" s="204"/>
      <c r="P2844" s="204"/>
      <c r="T2844" s="217"/>
    </row>
    <row r="2845" spans="2:20">
      <c r="B2845" s="204"/>
      <c r="C2845" s="204"/>
      <c r="D2845" s="204"/>
      <c r="E2845" s="204"/>
      <c r="F2845" s="204"/>
      <c r="G2845" s="204"/>
      <c r="H2845" s="204"/>
      <c r="I2845" s="204"/>
      <c r="J2845" s="204"/>
      <c r="K2845" s="204"/>
      <c r="L2845" s="204"/>
      <c r="M2845" s="204"/>
      <c r="N2845" s="204"/>
      <c r="O2845" s="204"/>
      <c r="P2845" s="204"/>
      <c r="T2845" s="217"/>
    </row>
    <row r="2846" spans="2:20">
      <c r="B2846" s="204"/>
      <c r="C2846" s="204"/>
      <c r="D2846" s="204"/>
      <c r="E2846" s="204"/>
      <c r="F2846" s="204"/>
      <c r="G2846" s="204"/>
      <c r="H2846" s="204"/>
      <c r="I2846" s="204"/>
      <c r="J2846" s="204"/>
      <c r="K2846" s="204"/>
      <c r="L2846" s="204"/>
      <c r="M2846" s="204"/>
      <c r="N2846" s="204"/>
      <c r="O2846" s="204"/>
      <c r="P2846" s="204"/>
      <c r="T2846" s="217"/>
    </row>
    <row r="2847" spans="2:20">
      <c r="B2847" s="204"/>
      <c r="C2847" s="204"/>
      <c r="D2847" s="204"/>
      <c r="E2847" s="204"/>
      <c r="F2847" s="204"/>
      <c r="G2847" s="204"/>
      <c r="H2847" s="204"/>
      <c r="I2847" s="204"/>
      <c r="J2847" s="204"/>
      <c r="K2847" s="204"/>
      <c r="L2847" s="204"/>
      <c r="M2847" s="204"/>
      <c r="N2847" s="204"/>
      <c r="O2847" s="204"/>
      <c r="P2847" s="204"/>
      <c r="T2847" s="217"/>
    </row>
    <row r="2848" spans="2:20">
      <c r="B2848" s="204"/>
      <c r="C2848" s="204"/>
      <c r="D2848" s="204"/>
      <c r="E2848" s="204"/>
      <c r="F2848" s="204"/>
      <c r="G2848" s="204"/>
      <c r="H2848" s="204"/>
      <c r="I2848" s="204"/>
      <c r="J2848" s="204"/>
      <c r="K2848" s="204"/>
      <c r="L2848" s="204"/>
      <c r="M2848" s="204"/>
      <c r="N2848" s="204"/>
      <c r="O2848" s="204"/>
      <c r="P2848" s="204"/>
      <c r="T2848" s="217"/>
    </row>
    <row r="2849" spans="2:20">
      <c r="B2849" s="204"/>
      <c r="C2849" s="204"/>
      <c r="D2849" s="204"/>
      <c r="E2849" s="204"/>
      <c r="F2849" s="204"/>
      <c r="G2849" s="204"/>
      <c r="H2849" s="204"/>
      <c r="I2849" s="204"/>
      <c r="J2849" s="204"/>
      <c r="K2849" s="204"/>
      <c r="L2849" s="204"/>
      <c r="M2849" s="204"/>
      <c r="N2849" s="204"/>
      <c r="O2849" s="204"/>
      <c r="P2849" s="204"/>
      <c r="T2849" s="217"/>
    </row>
    <row r="2850" spans="2:20">
      <c r="B2850" s="204"/>
      <c r="C2850" s="204"/>
      <c r="D2850" s="204"/>
      <c r="E2850" s="204"/>
      <c r="F2850" s="204"/>
      <c r="G2850" s="204"/>
      <c r="H2850" s="204"/>
      <c r="I2850" s="204"/>
      <c r="J2850" s="204"/>
      <c r="K2850" s="204"/>
      <c r="L2850" s="204"/>
      <c r="M2850" s="204"/>
      <c r="N2850" s="204"/>
      <c r="O2850" s="204"/>
      <c r="P2850" s="204"/>
      <c r="T2850" s="217"/>
    </row>
    <row r="2851" spans="2:20">
      <c r="B2851" s="204"/>
      <c r="C2851" s="204"/>
      <c r="D2851" s="204"/>
      <c r="E2851" s="204"/>
      <c r="F2851" s="204"/>
      <c r="G2851" s="204"/>
      <c r="H2851" s="204"/>
      <c r="I2851" s="204"/>
      <c r="J2851" s="204"/>
      <c r="K2851" s="204"/>
      <c r="L2851" s="204"/>
      <c r="M2851" s="204"/>
      <c r="N2851" s="204"/>
      <c r="O2851" s="204"/>
      <c r="P2851" s="204"/>
      <c r="T2851" s="217"/>
    </row>
    <row r="2852" spans="2:20">
      <c r="B2852" s="204"/>
      <c r="C2852" s="204"/>
      <c r="D2852" s="204"/>
      <c r="E2852" s="204"/>
      <c r="F2852" s="204"/>
      <c r="G2852" s="204"/>
      <c r="H2852" s="204"/>
      <c r="I2852" s="204"/>
      <c r="J2852" s="204"/>
      <c r="K2852" s="204"/>
      <c r="L2852" s="204"/>
      <c r="M2852" s="204"/>
      <c r="N2852" s="204"/>
      <c r="O2852" s="204"/>
      <c r="P2852" s="204"/>
      <c r="T2852" s="217"/>
    </row>
    <row r="2853" spans="2:20">
      <c r="B2853" s="204"/>
      <c r="C2853" s="204"/>
      <c r="D2853" s="204"/>
      <c r="E2853" s="204"/>
      <c r="F2853" s="204"/>
      <c r="G2853" s="204"/>
      <c r="H2853" s="204"/>
      <c r="I2853" s="204"/>
      <c r="J2853" s="204"/>
      <c r="K2853" s="204"/>
      <c r="L2853" s="204"/>
      <c r="M2853" s="204"/>
      <c r="N2853" s="204"/>
      <c r="O2853" s="204"/>
      <c r="P2853" s="204"/>
      <c r="T2853" s="217"/>
    </row>
    <row r="2854" spans="2:20">
      <c r="B2854" s="204"/>
      <c r="C2854" s="204"/>
      <c r="D2854" s="204"/>
      <c r="E2854" s="204"/>
      <c r="F2854" s="204"/>
      <c r="G2854" s="204"/>
      <c r="H2854" s="204"/>
      <c r="I2854" s="204"/>
      <c r="J2854" s="204"/>
      <c r="K2854" s="204"/>
      <c r="L2854" s="204"/>
      <c r="M2854" s="204"/>
      <c r="N2854" s="204"/>
      <c r="O2854" s="204"/>
      <c r="P2854" s="204"/>
      <c r="T2854" s="217"/>
    </row>
    <row r="2855" spans="2:20">
      <c r="B2855" s="204"/>
      <c r="C2855" s="204"/>
      <c r="D2855" s="204"/>
      <c r="E2855" s="204"/>
      <c r="F2855" s="204"/>
      <c r="G2855" s="204"/>
      <c r="H2855" s="204"/>
      <c r="I2855" s="204"/>
      <c r="J2855" s="204"/>
      <c r="K2855" s="204"/>
      <c r="L2855" s="204"/>
      <c r="M2855" s="204"/>
      <c r="N2855" s="204"/>
      <c r="O2855" s="204"/>
      <c r="P2855" s="204"/>
      <c r="T2855" s="217"/>
    </row>
    <row r="2856" spans="2:20">
      <c r="B2856" s="204"/>
      <c r="C2856" s="204"/>
      <c r="D2856" s="204"/>
      <c r="E2856" s="204"/>
      <c r="F2856" s="204"/>
      <c r="G2856" s="204"/>
      <c r="H2856" s="204"/>
      <c r="I2856" s="204"/>
      <c r="J2856" s="204"/>
      <c r="K2856" s="204"/>
      <c r="L2856" s="204"/>
      <c r="M2856" s="204"/>
      <c r="N2856" s="204"/>
      <c r="O2856" s="204"/>
      <c r="P2856" s="204"/>
      <c r="T2856" s="217"/>
    </row>
    <row r="2857" spans="2:20">
      <c r="B2857" s="204"/>
      <c r="C2857" s="204"/>
      <c r="D2857" s="204"/>
      <c r="E2857" s="204"/>
      <c r="F2857" s="204"/>
      <c r="G2857" s="204"/>
      <c r="H2857" s="204"/>
      <c r="I2857" s="204"/>
      <c r="J2857" s="204"/>
      <c r="K2857" s="204"/>
      <c r="L2857" s="204"/>
      <c r="M2857" s="204"/>
      <c r="N2857" s="204"/>
      <c r="O2857" s="204"/>
      <c r="P2857" s="204"/>
      <c r="T2857" s="217"/>
    </row>
    <row r="2858" spans="2:20">
      <c r="B2858" s="204"/>
      <c r="C2858" s="204"/>
      <c r="D2858" s="204"/>
      <c r="E2858" s="204"/>
      <c r="F2858" s="204"/>
      <c r="G2858" s="204"/>
      <c r="H2858" s="204"/>
      <c r="I2858" s="204"/>
      <c r="J2858" s="204"/>
      <c r="K2858" s="204"/>
      <c r="L2858" s="204"/>
      <c r="M2858" s="204"/>
      <c r="N2858" s="204"/>
      <c r="O2858" s="204"/>
      <c r="P2858" s="204"/>
      <c r="T2858" s="217"/>
    </row>
    <row r="2859" spans="2:20">
      <c r="B2859" s="204"/>
      <c r="C2859" s="204"/>
      <c r="D2859" s="204"/>
      <c r="E2859" s="204"/>
      <c r="F2859" s="204"/>
      <c r="G2859" s="204"/>
      <c r="H2859" s="204"/>
      <c r="I2859" s="204"/>
      <c r="J2859" s="204"/>
      <c r="K2859" s="204"/>
      <c r="L2859" s="204"/>
      <c r="M2859" s="204"/>
      <c r="N2859" s="204"/>
      <c r="O2859" s="204"/>
      <c r="P2859" s="204"/>
      <c r="T2859" s="217"/>
    </row>
    <row r="2860" spans="2:20">
      <c r="B2860" s="204"/>
      <c r="C2860" s="204"/>
      <c r="D2860" s="204"/>
      <c r="E2860" s="204"/>
      <c r="F2860" s="204"/>
      <c r="G2860" s="204"/>
      <c r="H2860" s="204"/>
      <c r="I2860" s="204"/>
      <c r="J2860" s="204"/>
      <c r="K2860" s="204"/>
      <c r="L2860" s="204"/>
      <c r="M2860" s="204"/>
      <c r="N2860" s="204"/>
      <c r="O2860" s="204"/>
      <c r="P2860" s="204"/>
      <c r="T2860" s="217"/>
    </row>
    <row r="2861" spans="2:20">
      <c r="B2861" s="204"/>
      <c r="C2861" s="204"/>
      <c r="D2861" s="204"/>
      <c r="E2861" s="204"/>
      <c r="F2861" s="204"/>
      <c r="G2861" s="204"/>
      <c r="H2861" s="204"/>
      <c r="I2861" s="204"/>
      <c r="J2861" s="204"/>
      <c r="K2861" s="204"/>
      <c r="L2861" s="204"/>
      <c r="M2861" s="204"/>
      <c r="N2861" s="204"/>
      <c r="O2861" s="204"/>
      <c r="P2861" s="204"/>
      <c r="T2861" s="217"/>
    </row>
    <row r="2862" spans="2:20">
      <c r="B2862" s="204"/>
      <c r="C2862" s="204"/>
      <c r="D2862" s="204"/>
      <c r="E2862" s="204"/>
      <c r="F2862" s="204"/>
      <c r="G2862" s="204"/>
      <c r="H2862" s="204"/>
      <c r="I2862" s="204"/>
      <c r="J2862" s="204"/>
      <c r="K2862" s="204"/>
      <c r="L2862" s="204"/>
      <c r="M2862" s="204"/>
      <c r="N2862" s="204"/>
      <c r="O2862" s="204"/>
      <c r="P2862" s="204"/>
      <c r="T2862" s="217"/>
    </row>
    <row r="2863" spans="2:20">
      <c r="B2863" s="204"/>
      <c r="C2863" s="204"/>
      <c r="D2863" s="204"/>
      <c r="E2863" s="204"/>
      <c r="F2863" s="204"/>
      <c r="G2863" s="204"/>
      <c r="H2863" s="204"/>
      <c r="I2863" s="204"/>
      <c r="J2863" s="204"/>
      <c r="K2863" s="204"/>
      <c r="L2863" s="204"/>
      <c r="M2863" s="204"/>
      <c r="N2863" s="204"/>
      <c r="O2863" s="204"/>
      <c r="P2863" s="204"/>
      <c r="T2863" s="217"/>
    </row>
    <row r="2864" spans="2:20">
      <c r="B2864" s="204"/>
      <c r="C2864" s="204"/>
      <c r="D2864" s="204"/>
      <c r="E2864" s="204"/>
      <c r="F2864" s="204"/>
      <c r="G2864" s="204"/>
      <c r="H2864" s="204"/>
      <c r="I2864" s="204"/>
      <c r="J2864" s="204"/>
      <c r="K2864" s="204"/>
      <c r="L2864" s="204"/>
      <c r="M2864" s="204"/>
      <c r="N2864" s="204"/>
      <c r="O2864" s="204"/>
      <c r="P2864" s="204"/>
      <c r="T2864" s="217"/>
    </row>
    <row r="2865" spans="2:20">
      <c r="B2865" s="204"/>
      <c r="C2865" s="204"/>
      <c r="D2865" s="204"/>
      <c r="E2865" s="204"/>
      <c r="F2865" s="204"/>
      <c r="G2865" s="204"/>
      <c r="H2865" s="204"/>
      <c r="I2865" s="204"/>
      <c r="J2865" s="204"/>
      <c r="K2865" s="204"/>
      <c r="L2865" s="204"/>
      <c r="M2865" s="204"/>
      <c r="N2865" s="204"/>
      <c r="O2865" s="204"/>
      <c r="P2865" s="204"/>
      <c r="T2865" s="217"/>
    </row>
    <row r="2866" spans="2:20">
      <c r="B2866" s="204"/>
      <c r="C2866" s="204"/>
      <c r="D2866" s="204"/>
      <c r="E2866" s="204"/>
      <c r="F2866" s="204"/>
      <c r="G2866" s="204"/>
      <c r="H2866" s="204"/>
      <c r="I2866" s="204"/>
      <c r="J2866" s="204"/>
      <c r="K2866" s="204"/>
      <c r="L2866" s="204"/>
      <c r="M2866" s="204"/>
      <c r="N2866" s="204"/>
      <c r="O2866" s="204"/>
      <c r="P2866" s="204"/>
      <c r="T2866" s="217"/>
    </row>
    <row r="2867" spans="2:20">
      <c r="B2867" s="204"/>
      <c r="C2867" s="204"/>
      <c r="D2867" s="204"/>
      <c r="E2867" s="204"/>
      <c r="F2867" s="204"/>
      <c r="G2867" s="204"/>
      <c r="H2867" s="204"/>
      <c r="I2867" s="204"/>
      <c r="J2867" s="204"/>
      <c r="K2867" s="204"/>
      <c r="L2867" s="204"/>
      <c r="M2867" s="204"/>
      <c r="N2867" s="204"/>
      <c r="O2867" s="204"/>
      <c r="P2867" s="204"/>
      <c r="T2867" s="217"/>
    </row>
    <row r="2868" spans="2:20">
      <c r="B2868" s="204"/>
      <c r="C2868" s="204"/>
      <c r="D2868" s="204"/>
      <c r="E2868" s="204"/>
      <c r="F2868" s="204"/>
      <c r="G2868" s="204"/>
      <c r="H2868" s="204"/>
      <c r="I2868" s="204"/>
      <c r="J2868" s="204"/>
      <c r="K2868" s="204"/>
      <c r="L2868" s="204"/>
      <c r="M2868" s="204"/>
      <c r="N2868" s="204"/>
      <c r="O2868" s="204"/>
      <c r="P2868" s="204"/>
      <c r="T2868" s="217"/>
    </row>
    <row r="2869" spans="2:20">
      <c r="B2869" s="204"/>
      <c r="C2869" s="204"/>
      <c r="D2869" s="204"/>
      <c r="E2869" s="204"/>
      <c r="F2869" s="204"/>
      <c r="G2869" s="204"/>
      <c r="H2869" s="204"/>
      <c r="I2869" s="204"/>
      <c r="J2869" s="204"/>
      <c r="K2869" s="204"/>
      <c r="L2869" s="204"/>
      <c r="M2869" s="204"/>
      <c r="N2869" s="204"/>
      <c r="O2869" s="204"/>
      <c r="P2869" s="204"/>
      <c r="T2869" s="217"/>
    </row>
    <row r="2870" spans="2:20">
      <c r="B2870" s="204"/>
      <c r="C2870" s="204"/>
      <c r="D2870" s="204"/>
      <c r="E2870" s="204"/>
      <c r="F2870" s="204"/>
      <c r="G2870" s="204"/>
      <c r="H2870" s="204"/>
      <c r="I2870" s="204"/>
      <c r="J2870" s="204"/>
      <c r="K2870" s="204"/>
      <c r="L2870" s="204"/>
      <c r="M2870" s="204"/>
      <c r="N2870" s="204"/>
      <c r="O2870" s="204"/>
      <c r="P2870" s="204"/>
      <c r="T2870" s="217"/>
    </row>
    <row r="2871" spans="2:20">
      <c r="B2871" s="204"/>
      <c r="C2871" s="204"/>
      <c r="D2871" s="204"/>
      <c r="E2871" s="204"/>
      <c r="F2871" s="204"/>
      <c r="G2871" s="204"/>
      <c r="H2871" s="204"/>
      <c r="I2871" s="204"/>
      <c r="J2871" s="204"/>
      <c r="K2871" s="204"/>
      <c r="L2871" s="204"/>
      <c r="M2871" s="204"/>
      <c r="N2871" s="204"/>
      <c r="O2871" s="204"/>
      <c r="P2871" s="204"/>
      <c r="T2871" s="217"/>
    </row>
    <row r="2872" spans="2:20">
      <c r="B2872" s="204"/>
      <c r="C2872" s="204"/>
      <c r="D2872" s="204"/>
      <c r="E2872" s="204"/>
      <c r="F2872" s="204"/>
      <c r="G2872" s="204"/>
      <c r="H2872" s="204"/>
      <c r="I2872" s="204"/>
      <c r="J2872" s="204"/>
      <c r="K2872" s="204"/>
      <c r="L2872" s="204"/>
      <c r="M2872" s="204"/>
      <c r="N2872" s="204"/>
      <c r="O2872" s="204"/>
      <c r="P2872" s="204"/>
      <c r="T2872" s="217"/>
    </row>
    <row r="2873" spans="2:20">
      <c r="B2873" s="204"/>
      <c r="C2873" s="204"/>
      <c r="D2873" s="204"/>
      <c r="E2873" s="204"/>
      <c r="F2873" s="204"/>
      <c r="G2873" s="204"/>
      <c r="H2873" s="204"/>
      <c r="I2873" s="204"/>
      <c r="J2873" s="204"/>
      <c r="K2873" s="204"/>
      <c r="L2873" s="204"/>
      <c r="M2873" s="204"/>
      <c r="N2873" s="204"/>
      <c r="O2873" s="204"/>
      <c r="P2873" s="204"/>
      <c r="T2873" s="217"/>
    </row>
    <row r="2874" spans="2:20">
      <c r="B2874" s="204"/>
      <c r="C2874" s="204"/>
      <c r="D2874" s="204"/>
      <c r="E2874" s="204"/>
      <c r="F2874" s="204"/>
      <c r="G2874" s="204"/>
      <c r="H2874" s="204"/>
      <c r="I2874" s="204"/>
      <c r="J2874" s="204"/>
      <c r="K2874" s="204"/>
      <c r="L2874" s="204"/>
      <c r="M2874" s="204"/>
      <c r="N2874" s="204"/>
      <c r="O2874" s="204"/>
      <c r="P2874" s="204"/>
      <c r="T2874" s="217"/>
    </row>
    <row r="2875" spans="2:20">
      <c r="B2875" s="204"/>
      <c r="C2875" s="204"/>
      <c r="D2875" s="204"/>
      <c r="E2875" s="204"/>
      <c r="F2875" s="204"/>
      <c r="G2875" s="204"/>
      <c r="H2875" s="204"/>
      <c r="I2875" s="204"/>
      <c r="J2875" s="204"/>
      <c r="K2875" s="204"/>
      <c r="L2875" s="204"/>
      <c r="M2875" s="204"/>
      <c r="N2875" s="204"/>
      <c r="O2875" s="204"/>
      <c r="P2875" s="204"/>
      <c r="T2875" s="217"/>
    </row>
    <row r="2876" spans="2:20">
      <c r="B2876" s="204"/>
      <c r="C2876" s="204"/>
      <c r="D2876" s="204"/>
      <c r="E2876" s="204"/>
      <c r="F2876" s="204"/>
      <c r="G2876" s="204"/>
      <c r="H2876" s="204"/>
      <c r="I2876" s="204"/>
      <c r="J2876" s="204"/>
      <c r="K2876" s="204"/>
      <c r="L2876" s="204"/>
      <c r="M2876" s="204"/>
      <c r="N2876" s="204"/>
      <c r="O2876" s="204"/>
      <c r="P2876" s="204"/>
      <c r="T2876" s="217"/>
    </row>
    <row r="2877" spans="2:20">
      <c r="B2877" s="204"/>
      <c r="C2877" s="204"/>
      <c r="D2877" s="204"/>
      <c r="E2877" s="204"/>
      <c r="F2877" s="204"/>
      <c r="G2877" s="204"/>
      <c r="H2877" s="204"/>
      <c r="I2877" s="204"/>
      <c r="J2877" s="204"/>
      <c r="K2877" s="204"/>
      <c r="L2877" s="204"/>
      <c r="M2877" s="204"/>
      <c r="N2877" s="204"/>
      <c r="O2877" s="204"/>
      <c r="P2877" s="204"/>
      <c r="T2877" s="217"/>
    </row>
    <row r="2878" spans="2:20">
      <c r="B2878" s="204"/>
      <c r="C2878" s="204"/>
      <c r="D2878" s="204"/>
      <c r="E2878" s="204"/>
      <c r="F2878" s="204"/>
      <c r="G2878" s="204"/>
      <c r="H2878" s="204"/>
      <c r="I2878" s="204"/>
      <c r="J2878" s="204"/>
      <c r="K2878" s="204"/>
      <c r="L2878" s="204"/>
      <c r="M2878" s="204"/>
      <c r="N2878" s="204"/>
      <c r="O2878" s="204"/>
      <c r="P2878" s="204"/>
      <c r="T2878" s="217"/>
    </row>
    <row r="2879" spans="2:20">
      <c r="B2879" s="204"/>
      <c r="C2879" s="204"/>
      <c r="D2879" s="204"/>
      <c r="E2879" s="204"/>
      <c r="F2879" s="204"/>
      <c r="G2879" s="204"/>
      <c r="H2879" s="204"/>
      <c r="I2879" s="204"/>
      <c r="J2879" s="204"/>
      <c r="K2879" s="204"/>
      <c r="L2879" s="204"/>
      <c r="M2879" s="204"/>
      <c r="N2879" s="204"/>
      <c r="O2879" s="204"/>
      <c r="P2879" s="204"/>
      <c r="T2879" s="217"/>
    </row>
    <row r="2880" spans="2:20">
      <c r="B2880" s="204"/>
      <c r="C2880" s="204"/>
      <c r="D2880" s="204"/>
      <c r="E2880" s="204"/>
      <c r="F2880" s="204"/>
      <c r="G2880" s="204"/>
      <c r="H2880" s="204"/>
      <c r="I2880" s="204"/>
      <c r="J2880" s="204"/>
      <c r="K2880" s="204"/>
      <c r="L2880" s="204"/>
      <c r="M2880" s="204"/>
      <c r="N2880" s="204"/>
      <c r="O2880" s="204"/>
      <c r="P2880" s="204"/>
      <c r="T2880" s="217"/>
    </row>
    <row r="2881" spans="2:20">
      <c r="B2881" s="204"/>
      <c r="C2881" s="204"/>
      <c r="D2881" s="204"/>
      <c r="E2881" s="204"/>
      <c r="F2881" s="204"/>
      <c r="G2881" s="204"/>
      <c r="H2881" s="204"/>
      <c r="I2881" s="204"/>
      <c r="J2881" s="204"/>
      <c r="K2881" s="204"/>
      <c r="L2881" s="204"/>
      <c r="M2881" s="204"/>
      <c r="N2881" s="204"/>
      <c r="O2881" s="204"/>
      <c r="P2881" s="204"/>
      <c r="T2881" s="217"/>
    </row>
    <row r="2882" spans="2:20">
      <c r="B2882" s="204"/>
      <c r="C2882" s="204"/>
      <c r="D2882" s="204"/>
      <c r="E2882" s="204"/>
      <c r="F2882" s="204"/>
      <c r="G2882" s="204"/>
      <c r="H2882" s="204"/>
      <c r="I2882" s="204"/>
      <c r="J2882" s="204"/>
      <c r="K2882" s="204"/>
      <c r="L2882" s="204"/>
      <c r="M2882" s="204"/>
      <c r="N2882" s="204"/>
      <c r="O2882" s="204"/>
      <c r="P2882" s="204"/>
      <c r="T2882" s="217"/>
    </row>
    <row r="2883" spans="2:20">
      <c r="B2883" s="204"/>
      <c r="C2883" s="204"/>
      <c r="D2883" s="204"/>
      <c r="E2883" s="204"/>
      <c r="F2883" s="204"/>
      <c r="G2883" s="204"/>
      <c r="H2883" s="204"/>
      <c r="I2883" s="204"/>
      <c r="J2883" s="204"/>
      <c r="K2883" s="204"/>
      <c r="L2883" s="204"/>
      <c r="M2883" s="204"/>
      <c r="N2883" s="204"/>
      <c r="O2883" s="204"/>
      <c r="P2883" s="204"/>
      <c r="T2883" s="217"/>
    </row>
    <row r="2884" spans="2:20">
      <c r="B2884" s="204"/>
      <c r="C2884" s="204"/>
      <c r="D2884" s="204"/>
      <c r="E2884" s="204"/>
      <c r="F2884" s="204"/>
      <c r="G2884" s="204"/>
      <c r="H2884" s="204"/>
      <c r="I2884" s="204"/>
      <c r="J2884" s="204"/>
      <c r="K2884" s="204"/>
      <c r="L2884" s="204"/>
      <c r="M2884" s="204"/>
      <c r="N2884" s="204"/>
      <c r="O2884" s="204"/>
      <c r="P2884" s="204"/>
      <c r="T2884" s="217"/>
    </row>
    <row r="2885" spans="2:20">
      <c r="B2885" s="204"/>
      <c r="C2885" s="204"/>
      <c r="D2885" s="204"/>
      <c r="E2885" s="204"/>
      <c r="F2885" s="204"/>
      <c r="G2885" s="204"/>
      <c r="H2885" s="204"/>
      <c r="I2885" s="204"/>
      <c r="J2885" s="204"/>
      <c r="K2885" s="204"/>
      <c r="L2885" s="204"/>
      <c r="M2885" s="204"/>
      <c r="N2885" s="204"/>
      <c r="O2885" s="204"/>
      <c r="P2885" s="204"/>
      <c r="T2885" s="217"/>
    </row>
    <row r="2886" spans="2:20">
      <c r="B2886" s="204"/>
      <c r="C2886" s="204"/>
      <c r="D2886" s="204"/>
      <c r="E2886" s="204"/>
      <c r="F2886" s="204"/>
      <c r="G2886" s="204"/>
      <c r="H2886" s="204"/>
      <c r="I2886" s="204"/>
      <c r="J2886" s="204"/>
      <c r="K2886" s="204"/>
      <c r="L2886" s="204"/>
      <c r="M2886" s="204"/>
      <c r="N2886" s="204"/>
      <c r="O2886" s="204"/>
      <c r="P2886" s="204"/>
      <c r="T2886" s="217"/>
    </row>
    <row r="2887" spans="2:20">
      <c r="B2887" s="204"/>
      <c r="C2887" s="204"/>
      <c r="D2887" s="204"/>
      <c r="E2887" s="204"/>
      <c r="F2887" s="204"/>
      <c r="G2887" s="204"/>
      <c r="H2887" s="204"/>
      <c r="I2887" s="204"/>
      <c r="J2887" s="204"/>
      <c r="K2887" s="204"/>
      <c r="L2887" s="204"/>
      <c r="M2887" s="204"/>
      <c r="N2887" s="204"/>
      <c r="O2887" s="204"/>
      <c r="P2887" s="204"/>
      <c r="T2887" s="217"/>
    </row>
    <row r="2888" spans="2:20">
      <c r="B2888" s="204"/>
      <c r="C2888" s="204"/>
      <c r="D2888" s="204"/>
      <c r="E2888" s="204"/>
      <c r="F2888" s="204"/>
      <c r="G2888" s="204"/>
      <c r="H2888" s="204"/>
      <c r="I2888" s="204"/>
      <c r="J2888" s="204"/>
      <c r="K2888" s="204"/>
      <c r="L2888" s="204"/>
      <c r="M2888" s="204"/>
      <c r="N2888" s="204"/>
      <c r="O2888" s="204"/>
      <c r="P2888" s="204"/>
      <c r="T2888" s="217"/>
    </row>
    <row r="2889" spans="2:20">
      <c r="B2889" s="204"/>
      <c r="C2889" s="204"/>
      <c r="D2889" s="204"/>
      <c r="E2889" s="204"/>
      <c r="F2889" s="204"/>
      <c r="G2889" s="204"/>
      <c r="H2889" s="204"/>
      <c r="I2889" s="204"/>
      <c r="J2889" s="204"/>
      <c r="K2889" s="204"/>
      <c r="L2889" s="204"/>
      <c r="M2889" s="204"/>
      <c r="N2889" s="204"/>
      <c r="O2889" s="204"/>
      <c r="P2889" s="204"/>
      <c r="T2889" s="217"/>
    </row>
    <row r="2890" spans="2:20">
      <c r="B2890" s="204"/>
      <c r="C2890" s="204"/>
      <c r="D2890" s="204"/>
      <c r="E2890" s="204"/>
      <c r="F2890" s="204"/>
      <c r="G2890" s="204"/>
      <c r="H2890" s="204"/>
      <c r="I2890" s="204"/>
      <c r="J2890" s="204"/>
      <c r="K2890" s="204"/>
      <c r="L2890" s="204"/>
      <c r="M2890" s="204"/>
      <c r="N2890" s="204"/>
      <c r="O2890" s="204"/>
      <c r="P2890" s="204"/>
      <c r="T2890" s="217"/>
    </row>
    <row r="2891" spans="2:20">
      <c r="B2891" s="204"/>
      <c r="C2891" s="204"/>
      <c r="D2891" s="204"/>
      <c r="E2891" s="204"/>
      <c r="F2891" s="204"/>
      <c r="G2891" s="204"/>
      <c r="H2891" s="204"/>
      <c r="I2891" s="204"/>
      <c r="J2891" s="204"/>
      <c r="K2891" s="204"/>
      <c r="L2891" s="204"/>
      <c r="M2891" s="204"/>
      <c r="N2891" s="204"/>
      <c r="O2891" s="204"/>
      <c r="P2891" s="204"/>
      <c r="T2891" s="217"/>
    </row>
    <row r="2892" spans="2:20">
      <c r="B2892" s="204"/>
      <c r="C2892" s="204"/>
      <c r="D2892" s="204"/>
      <c r="E2892" s="204"/>
      <c r="F2892" s="204"/>
      <c r="G2892" s="204"/>
      <c r="H2892" s="204"/>
      <c r="I2892" s="204"/>
      <c r="J2892" s="204"/>
      <c r="K2892" s="204"/>
      <c r="L2892" s="204"/>
      <c r="M2892" s="204"/>
      <c r="N2892" s="204"/>
      <c r="O2892" s="204"/>
      <c r="P2892" s="204"/>
      <c r="T2892" s="217"/>
    </row>
    <row r="2893" spans="2:20">
      <c r="B2893" s="204"/>
      <c r="C2893" s="204"/>
      <c r="D2893" s="204"/>
      <c r="E2893" s="204"/>
      <c r="F2893" s="204"/>
      <c r="G2893" s="204"/>
      <c r="H2893" s="204"/>
      <c r="I2893" s="204"/>
      <c r="J2893" s="204"/>
      <c r="K2893" s="204"/>
      <c r="L2893" s="204"/>
      <c r="M2893" s="204"/>
      <c r="N2893" s="204"/>
      <c r="O2893" s="204"/>
      <c r="P2893" s="204"/>
      <c r="T2893" s="217"/>
    </row>
    <row r="2894" spans="2:20">
      <c r="B2894" s="204"/>
      <c r="C2894" s="204"/>
      <c r="D2894" s="204"/>
      <c r="E2894" s="204"/>
      <c r="F2894" s="204"/>
      <c r="G2894" s="204"/>
      <c r="H2894" s="204"/>
      <c r="I2894" s="204"/>
      <c r="J2894" s="204"/>
      <c r="K2894" s="204"/>
      <c r="L2894" s="204"/>
      <c r="M2894" s="204"/>
      <c r="N2894" s="204"/>
      <c r="O2894" s="204"/>
      <c r="P2894" s="204"/>
      <c r="T2894" s="217"/>
    </row>
    <row r="2895" spans="2:20">
      <c r="B2895" s="204"/>
      <c r="C2895" s="204"/>
      <c r="D2895" s="204"/>
      <c r="E2895" s="204"/>
      <c r="F2895" s="204"/>
      <c r="G2895" s="204"/>
      <c r="H2895" s="204"/>
      <c r="I2895" s="204"/>
      <c r="J2895" s="204"/>
      <c r="K2895" s="204"/>
      <c r="L2895" s="204"/>
      <c r="M2895" s="204"/>
      <c r="N2895" s="204"/>
      <c r="O2895" s="204"/>
      <c r="P2895" s="204"/>
      <c r="T2895" s="217"/>
    </row>
    <row r="2896" spans="2:20">
      <c r="B2896" s="204"/>
      <c r="C2896" s="204"/>
      <c r="D2896" s="204"/>
      <c r="E2896" s="204"/>
      <c r="F2896" s="204"/>
      <c r="G2896" s="204"/>
      <c r="H2896" s="204"/>
      <c r="I2896" s="204"/>
      <c r="J2896" s="204"/>
      <c r="K2896" s="204"/>
      <c r="L2896" s="204"/>
      <c r="M2896" s="204"/>
      <c r="N2896" s="204"/>
      <c r="O2896" s="204"/>
      <c r="P2896" s="204"/>
      <c r="T2896" s="217"/>
    </row>
    <row r="2897" spans="2:20">
      <c r="B2897" s="204"/>
      <c r="C2897" s="204"/>
      <c r="D2897" s="204"/>
      <c r="E2897" s="204"/>
      <c r="F2897" s="204"/>
      <c r="G2897" s="204"/>
      <c r="H2897" s="204"/>
      <c r="I2897" s="204"/>
      <c r="J2897" s="204"/>
      <c r="K2897" s="204"/>
      <c r="L2897" s="204"/>
      <c r="M2897" s="204"/>
      <c r="N2897" s="204"/>
      <c r="O2897" s="204"/>
      <c r="P2897" s="204"/>
      <c r="T2897" s="217"/>
    </row>
    <row r="2898" spans="2:20">
      <c r="B2898" s="204"/>
      <c r="C2898" s="204"/>
      <c r="D2898" s="204"/>
      <c r="E2898" s="204"/>
      <c r="F2898" s="204"/>
      <c r="G2898" s="204"/>
      <c r="H2898" s="204"/>
      <c r="I2898" s="204"/>
      <c r="J2898" s="204"/>
      <c r="K2898" s="204"/>
      <c r="L2898" s="204"/>
      <c r="M2898" s="204"/>
      <c r="N2898" s="204"/>
      <c r="O2898" s="204"/>
      <c r="P2898" s="204"/>
      <c r="T2898" s="217"/>
    </row>
    <row r="2899" spans="2:20">
      <c r="B2899" s="204"/>
      <c r="C2899" s="204"/>
      <c r="D2899" s="204"/>
      <c r="E2899" s="204"/>
      <c r="F2899" s="204"/>
      <c r="G2899" s="204"/>
      <c r="H2899" s="204"/>
      <c r="I2899" s="204"/>
      <c r="J2899" s="204"/>
      <c r="K2899" s="204"/>
      <c r="L2899" s="204"/>
      <c r="M2899" s="204"/>
      <c r="N2899" s="204"/>
      <c r="O2899" s="204"/>
      <c r="P2899" s="204"/>
      <c r="T2899" s="217"/>
    </row>
    <row r="2900" spans="2:20">
      <c r="B2900" s="204"/>
      <c r="C2900" s="204"/>
      <c r="D2900" s="204"/>
      <c r="E2900" s="204"/>
      <c r="F2900" s="204"/>
      <c r="G2900" s="204"/>
      <c r="H2900" s="204"/>
      <c r="I2900" s="204"/>
      <c r="J2900" s="204"/>
      <c r="K2900" s="204"/>
      <c r="L2900" s="204"/>
      <c r="M2900" s="204"/>
      <c r="N2900" s="204"/>
      <c r="O2900" s="204"/>
      <c r="P2900" s="204"/>
      <c r="T2900" s="217"/>
    </row>
    <row r="2901" spans="2:20">
      <c r="B2901" s="204"/>
      <c r="C2901" s="204"/>
      <c r="D2901" s="204"/>
      <c r="E2901" s="204"/>
      <c r="F2901" s="204"/>
      <c r="G2901" s="204"/>
      <c r="H2901" s="204"/>
      <c r="I2901" s="204"/>
      <c r="J2901" s="204"/>
      <c r="K2901" s="204"/>
      <c r="L2901" s="204"/>
      <c r="M2901" s="204"/>
      <c r="N2901" s="204"/>
      <c r="O2901" s="204"/>
      <c r="P2901" s="204"/>
      <c r="T2901" s="217"/>
    </row>
    <row r="2902" spans="2:20">
      <c r="B2902" s="204"/>
      <c r="C2902" s="204"/>
      <c r="D2902" s="204"/>
      <c r="E2902" s="204"/>
      <c r="F2902" s="204"/>
      <c r="G2902" s="204"/>
      <c r="H2902" s="204"/>
      <c r="I2902" s="204"/>
      <c r="J2902" s="204"/>
      <c r="K2902" s="204"/>
      <c r="L2902" s="204"/>
      <c r="M2902" s="204"/>
      <c r="N2902" s="204"/>
      <c r="O2902" s="204"/>
      <c r="P2902" s="204"/>
      <c r="T2902" s="217"/>
    </row>
    <row r="2903" spans="2:20">
      <c r="B2903" s="204"/>
      <c r="C2903" s="204"/>
      <c r="D2903" s="204"/>
      <c r="E2903" s="204"/>
      <c r="F2903" s="204"/>
      <c r="G2903" s="204"/>
      <c r="H2903" s="204"/>
      <c r="I2903" s="204"/>
      <c r="J2903" s="204"/>
      <c r="K2903" s="204"/>
      <c r="L2903" s="204"/>
      <c r="M2903" s="204"/>
      <c r="N2903" s="204"/>
      <c r="O2903" s="204"/>
      <c r="P2903" s="204"/>
      <c r="T2903" s="217"/>
    </row>
    <row r="2904" spans="2:20">
      <c r="B2904" s="204"/>
      <c r="C2904" s="204"/>
      <c r="D2904" s="204"/>
      <c r="E2904" s="204"/>
      <c r="F2904" s="204"/>
      <c r="G2904" s="204"/>
      <c r="H2904" s="204"/>
      <c r="I2904" s="204"/>
      <c r="J2904" s="204"/>
      <c r="K2904" s="204"/>
      <c r="L2904" s="204"/>
      <c r="M2904" s="204"/>
      <c r="N2904" s="204"/>
      <c r="O2904" s="204"/>
      <c r="P2904" s="204"/>
      <c r="T2904" s="217"/>
    </row>
    <row r="2905" spans="2:20">
      <c r="B2905" s="204"/>
      <c r="C2905" s="204"/>
      <c r="D2905" s="204"/>
      <c r="E2905" s="204"/>
      <c r="F2905" s="204"/>
      <c r="G2905" s="204"/>
      <c r="H2905" s="204"/>
      <c r="I2905" s="204"/>
      <c r="J2905" s="204"/>
      <c r="K2905" s="204"/>
      <c r="L2905" s="204"/>
      <c r="M2905" s="204"/>
      <c r="N2905" s="204"/>
      <c r="O2905" s="204"/>
      <c r="P2905" s="204"/>
      <c r="T2905" s="217"/>
    </row>
    <row r="2906" spans="2:20">
      <c r="B2906" s="204"/>
      <c r="C2906" s="204"/>
      <c r="D2906" s="204"/>
      <c r="E2906" s="204"/>
      <c r="F2906" s="204"/>
      <c r="G2906" s="204"/>
      <c r="H2906" s="204"/>
      <c r="I2906" s="204"/>
      <c r="J2906" s="204"/>
      <c r="K2906" s="204"/>
      <c r="L2906" s="204"/>
      <c r="M2906" s="204"/>
      <c r="N2906" s="204"/>
      <c r="O2906" s="204"/>
      <c r="P2906" s="204"/>
      <c r="T2906" s="217"/>
    </row>
    <row r="2907" spans="2:20">
      <c r="B2907" s="204"/>
      <c r="C2907" s="204"/>
      <c r="D2907" s="204"/>
      <c r="E2907" s="204"/>
      <c r="F2907" s="204"/>
      <c r="G2907" s="204"/>
      <c r="H2907" s="204"/>
      <c r="I2907" s="204"/>
      <c r="J2907" s="204"/>
      <c r="K2907" s="204"/>
      <c r="L2907" s="204"/>
      <c r="M2907" s="204"/>
      <c r="N2907" s="204"/>
      <c r="O2907" s="204"/>
      <c r="P2907" s="204"/>
      <c r="T2907" s="217"/>
    </row>
    <row r="2908" spans="2:20">
      <c r="B2908" s="204"/>
      <c r="C2908" s="204"/>
      <c r="D2908" s="204"/>
      <c r="E2908" s="204"/>
      <c r="F2908" s="204"/>
      <c r="G2908" s="204"/>
      <c r="H2908" s="204"/>
      <c r="I2908" s="204"/>
      <c r="J2908" s="204"/>
      <c r="K2908" s="204"/>
      <c r="L2908" s="204"/>
      <c r="M2908" s="204"/>
      <c r="N2908" s="204"/>
      <c r="O2908" s="204"/>
      <c r="P2908" s="204"/>
      <c r="T2908" s="217"/>
    </row>
    <row r="2909" spans="2:20">
      <c r="B2909" s="204"/>
      <c r="C2909" s="204"/>
      <c r="D2909" s="204"/>
      <c r="E2909" s="204"/>
      <c r="F2909" s="204"/>
      <c r="G2909" s="204"/>
      <c r="H2909" s="204"/>
      <c r="I2909" s="204"/>
      <c r="J2909" s="204"/>
      <c r="K2909" s="204"/>
      <c r="L2909" s="204"/>
      <c r="M2909" s="204"/>
      <c r="N2909" s="204"/>
      <c r="O2909" s="204"/>
      <c r="P2909" s="204"/>
      <c r="T2909" s="217"/>
    </row>
    <row r="2910" spans="2:20">
      <c r="B2910" s="204"/>
      <c r="C2910" s="204"/>
      <c r="D2910" s="204"/>
      <c r="E2910" s="204"/>
      <c r="F2910" s="204"/>
      <c r="G2910" s="204"/>
      <c r="H2910" s="204"/>
      <c r="I2910" s="204"/>
      <c r="J2910" s="204"/>
      <c r="K2910" s="204"/>
      <c r="L2910" s="204"/>
      <c r="M2910" s="204"/>
      <c r="N2910" s="204"/>
      <c r="O2910" s="204"/>
      <c r="P2910" s="204"/>
      <c r="T2910" s="217"/>
    </row>
    <row r="2911" spans="2:20">
      <c r="B2911" s="204"/>
      <c r="C2911" s="204"/>
      <c r="D2911" s="204"/>
      <c r="E2911" s="204"/>
      <c r="F2911" s="204"/>
      <c r="G2911" s="204"/>
      <c r="H2911" s="204"/>
      <c r="I2911" s="204"/>
      <c r="J2911" s="204"/>
      <c r="K2911" s="204"/>
      <c r="L2911" s="204"/>
      <c r="M2911" s="204"/>
      <c r="N2911" s="204"/>
      <c r="O2911" s="204"/>
      <c r="P2911" s="204"/>
      <c r="T2911" s="217"/>
    </row>
    <row r="2912" spans="2:20">
      <c r="B2912" s="204"/>
      <c r="C2912" s="204"/>
      <c r="D2912" s="204"/>
      <c r="E2912" s="204"/>
      <c r="F2912" s="204"/>
      <c r="G2912" s="204"/>
      <c r="H2912" s="204"/>
      <c r="I2912" s="204"/>
      <c r="J2912" s="204"/>
      <c r="K2912" s="204"/>
      <c r="L2912" s="204"/>
      <c r="M2912" s="204"/>
      <c r="N2912" s="204"/>
      <c r="O2912" s="204"/>
      <c r="P2912" s="204"/>
      <c r="T2912" s="217"/>
    </row>
    <row r="2913" spans="2:20">
      <c r="B2913" s="204"/>
      <c r="C2913" s="204"/>
      <c r="D2913" s="204"/>
      <c r="E2913" s="204"/>
      <c r="F2913" s="204"/>
      <c r="G2913" s="204"/>
      <c r="H2913" s="204"/>
      <c r="I2913" s="204"/>
      <c r="J2913" s="204"/>
      <c r="K2913" s="204"/>
      <c r="L2913" s="204"/>
      <c r="M2913" s="204"/>
      <c r="N2913" s="204"/>
      <c r="O2913" s="204"/>
      <c r="P2913" s="204"/>
      <c r="T2913" s="217"/>
    </row>
    <row r="2914" spans="2:20">
      <c r="B2914" s="204"/>
      <c r="C2914" s="204"/>
      <c r="D2914" s="204"/>
      <c r="E2914" s="204"/>
      <c r="F2914" s="204"/>
      <c r="G2914" s="204"/>
      <c r="H2914" s="204"/>
      <c r="I2914" s="204"/>
      <c r="J2914" s="204"/>
      <c r="K2914" s="204"/>
      <c r="L2914" s="204"/>
      <c r="M2914" s="204"/>
      <c r="N2914" s="204"/>
      <c r="O2914" s="204"/>
      <c r="P2914" s="204"/>
      <c r="T2914" s="217"/>
    </row>
    <row r="2915" spans="2:20">
      <c r="B2915" s="204"/>
      <c r="C2915" s="204"/>
      <c r="D2915" s="204"/>
      <c r="E2915" s="204"/>
      <c r="F2915" s="204"/>
      <c r="G2915" s="204"/>
      <c r="H2915" s="204"/>
      <c r="I2915" s="204"/>
      <c r="J2915" s="204"/>
      <c r="K2915" s="204"/>
      <c r="L2915" s="204"/>
      <c r="M2915" s="204"/>
      <c r="N2915" s="204"/>
      <c r="O2915" s="204"/>
      <c r="P2915" s="204"/>
      <c r="T2915" s="217"/>
    </row>
    <row r="2916" spans="2:20">
      <c r="B2916" s="204"/>
      <c r="C2916" s="204"/>
      <c r="D2916" s="204"/>
      <c r="E2916" s="204"/>
      <c r="F2916" s="204"/>
      <c r="G2916" s="204"/>
      <c r="H2916" s="204"/>
      <c r="I2916" s="204"/>
      <c r="J2916" s="204"/>
      <c r="K2916" s="204"/>
      <c r="L2916" s="204"/>
      <c r="M2916" s="204"/>
      <c r="N2916" s="204"/>
      <c r="O2916" s="204"/>
      <c r="P2916" s="204"/>
      <c r="T2916" s="217"/>
    </row>
    <row r="2917" spans="2:20">
      <c r="B2917" s="204"/>
      <c r="C2917" s="204"/>
      <c r="D2917" s="204"/>
      <c r="E2917" s="204"/>
      <c r="F2917" s="204"/>
      <c r="G2917" s="204"/>
      <c r="H2917" s="204"/>
      <c r="I2917" s="204"/>
      <c r="J2917" s="204"/>
      <c r="K2917" s="204"/>
      <c r="L2917" s="204"/>
      <c r="M2917" s="204"/>
      <c r="N2917" s="204"/>
      <c r="O2917" s="204"/>
      <c r="P2917" s="204"/>
      <c r="T2917" s="217"/>
    </row>
    <row r="2918" spans="2:20">
      <c r="B2918" s="204"/>
      <c r="C2918" s="204"/>
      <c r="D2918" s="204"/>
      <c r="E2918" s="204"/>
      <c r="F2918" s="204"/>
      <c r="G2918" s="204"/>
      <c r="H2918" s="204"/>
      <c r="I2918" s="204"/>
      <c r="J2918" s="204"/>
      <c r="K2918" s="204"/>
      <c r="L2918" s="204"/>
      <c r="M2918" s="204"/>
      <c r="N2918" s="204"/>
      <c r="O2918" s="204"/>
      <c r="P2918" s="204"/>
      <c r="T2918" s="217"/>
    </row>
    <row r="2919" spans="2:20">
      <c r="B2919" s="204"/>
      <c r="C2919" s="204"/>
      <c r="D2919" s="204"/>
      <c r="E2919" s="204"/>
      <c r="F2919" s="204"/>
      <c r="G2919" s="204"/>
      <c r="H2919" s="204"/>
      <c r="I2919" s="204"/>
      <c r="J2919" s="204"/>
      <c r="K2919" s="204"/>
      <c r="L2919" s="204"/>
      <c r="M2919" s="204"/>
      <c r="N2919" s="204"/>
      <c r="O2919" s="204"/>
      <c r="P2919" s="204"/>
      <c r="T2919" s="217"/>
    </row>
    <row r="2920" spans="2:20">
      <c r="B2920" s="204"/>
      <c r="C2920" s="204"/>
      <c r="D2920" s="204"/>
      <c r="E2920" s="204"/>
      <c r="F2920" s="204"/>
      <c r="G2920" s="204"/>
      <c r="H2920" s="204"/>
      <c r="I2920" s="204"/>
      <c r="J2920" s="204"/>
      <c r="K2920" s="204"/>
      <c r="L2920" s="204"/>
      <c r="M2920" s="204"/>
      <c r="N2920" s="204"/>
      <c r="O2920" s="204"/>
      <c r="P2920" s="204"/>
      <c r="T2920" s="217"/>
    </row>
    <row r="2921" spans="2:20">
      <c r="B2921" s="204"/>
      <c r="C2921" s="204"/>
      <c r="D2921" s="204"/>
      <c r="E2921" s="204"/>
      <c r="F2921" s="204"/>
      <c r="G2921" s="204"/>
      <c r="H2921" s="204"/>
      <c r="I2921" s="204"/>
      <c r="J2921" s="204"/>
      <c r="K2921" s="204"/>
      <c r="L2921" s="204"/>
      <c r="M2921" s="204"/>
      <c r="N2921" s="204"/>
      <c r="O2921" s="204"/>
      <c r="P2921" s="204"/>
      <c r="T2921" s="217"/>
    </row>
    <row r="2922" spans="2:20">
      <c r="B2922" s="204"/>
      <c r="C2922" s="204"/>
      <c r="D2922" s="204"/>
      <c r="E2922" s="204"/>
      <c r="F2922" s="204"/>
      <c r="G2922" s="204"/>
      <c r="H2922" s="204"/>
      <c r="I2922" s="204"/>
      <c r="J2922" s="204"/>
      <c r="K2922" s="204"/>
      <c r="L2922" s="204"/>
      <c r="M2922" s="204"/>
      <c r="N2922" s="204"/>
      <c r="O2922" s="204"/>
      <c r="P2922" s="204"/>
      <c r="T2922" s="217"/>
    </row>
    <row r="2923" spans="2:20">
      <c r="B2923" s="204"/>
      <c r="C2923" s="204"/>
      <c r="D2923" s="204"/>
      <c r="E2923" s="204"/>
      <c r="F2923" s="204"/>
      <c r="G2923" s="204"/>
      <c r="H2923" s="204"/>
      <c r="I2923" s="204"/>
      <c r="J2923" s="204"/>
      <c r="K2923" s="204"/>
      <c r="L2923" s="204"/>
      <c r="M2923" s="204"/>
      <c r="N2923" s="204"/>
      <c r="O2923" s="204"/>
      <c r="P2923" s="204"/>
      <c r="T2923" s="217"/>
    </row>
    <row r="2924" spans="2:20">
      <c r="B2924" s="204"/>
      <c r="C2924" s="204"/>
      <c r="D2924" s="204"/>
      <c r="E2924" s="204"/>
      <c r="F2924" s="204"/>
      <c r="G2924" s="204"/>
      <c r="H2924" s="204"/>
      <c r="I2924" s="204"/>
      <c r="J2924" s="204"/>
      <c r="K2924" s="204"/>
      <c r="L2924" s="204"/>
      <c r="M2924" s="204"/>
      <c r="N2924" s="204"/>
      <c r="O2924" s="204"/>
      <c r="P2924" s="204"/>
      <c r="T2924" s="217"/>
    </row>
    <row r="2925" spans="2:20">
      <c r="B2925" s="204"/>
      <c r="C2925" s="204"/>
      <c r="D2925" s="204"/>
      <c r="E2925" s="204"/>
      <c r="F2925" s="204"/>
      <c r="G2925" s="204"/>
      <c r="H2925" s="204"/>
      <c r="I2925" s="204"/>
      <c r="J2925" s="204"/>
      <c r="K2925" s="204"/>
      <c r="L2925" s="204"/>
      <c r="M2925" s="204"/>
      <c r="N2925" s="204"/>
      <c r="O2925" s="204"/>
      <c r="P2925" s="204"/>
      <c r="T2925" s="217"/>
    </row>
    <row r="2926" spans="2:20">
      <c r="B2926" s="204"/>
      <c r="C2926" s="204"/>
      <c r="D2926" s="204"/>
      <c r="E2926" s="204"/>
      <c r="F2926" s="204"/>
      <c r="G2926" s="204"/>
      <c r="H2926" s="204"/>
      <c r="I2926" s="204"/>
      <c r="J2926" s="204"/>
      <c r="K2926" s="204"/>
      <c r="L2926" s="204"/>
      <c r="M2926" s="204"/>
      <c r="N2926" s="204"/>
      <c r="O2926" s="204"/>
      <c r="P2926" s="204"/>
      <c r="T2926" s="217"/>
    </row>
    <row r="2927" spans="2:20">
      <c r="B2927" s="204"/>
      <c r="C2927" s="204"/>
      <c r="D2927" s="204"/>
      <c r="E2927" s="204"/>
      <c r="F2927" s="204"/>
      <c r="G2927" s="204"/>
      <c r="H2927" s="204"/>
      <c r="I2927" s="204"/>
      <c r="J2927" s="204"/>
      <c r="K2927" s="204"/>
      <c r="L2927" s="204"/>
      <c r="M2927" s="204"/>
      <c r="N2927" s="204"/>
      <c r="O2927" s="204"/>
      <c r="P2927" s="204"/>
      <c r="T2927" s="217"/>
    </row>
    <row r="2928" spans="2:20">
      <c r="B2928" s="204"/>
      <c r="C2928" s="204"/>
      <c r="D2928" s="204"/>
      <c r="E2928" s="204"/>
      <c r="F2928" s="204"/>
      <c r="G2928" s="204"/>
      <c r="H2928" s="204"/>
      <c r="I2928" s="204"/>
      <c r="J2928" s="204"/>
      <c r="K2928" s="204"/>
      <c r="L2928" s="204"/>
      <c r="M2928" s="204"/>
      <c r="N2928" s="204"/>
      <c r="O2928" s="204"/>
      <c r="P2928" s="204"/>
      <c r="T2928" s="217"/>
    </row>
    <row r="2929" spans="2:20">
      <c r="B2929" s="204"/>
      <c r="C2929" s="204"/>
      <c r="D2929" s="204"/>
      <c r="E2929" s="204"/>
      <c r="F2929" s="204"/>
      <c r="G2929" s="204"/>
      <c r="H2929" s="204"/>
      <c r="I2929" s="204"/>
      <c r="J2929" s="204"/>
      <c r="K2929" s="204"/>
      <c r="L2929" s="204"/>
      <c r="M2929" s="204"/>
      <c r="N2929" s="204"/>
      <c r="O2929" s="204"/>
      <c r="P2929" s="204"/>
      <c r="T2929" s="217"/>
    </row>
    <row r="2930" spans="2:20">
      <c r="B2930" s="204"/>
      <c r="C2930" s="204"/>
      <c r="D2930" s="204"/>
      <c r="E2930" s="204"/>
      <c r="F2930" s="204"/>
      <c r="G2930" s="204"/>
      <c r="H2930" s="204"/>
      <c r="I2930" s="204"/>
      <c r="J2930" s="204"/>
      <c r="K2930" s="204"/>
      <c r="L2930" s="204"/>
      <c r="M2930" s="204"/>
      <c r="N2930" s="204"/>
      <c r="O2930" s="204"/>
      <c r="P2930" s="204"/>
      <c r="T2930" s="217"/>
    </row>
    <row r="2931" spans="2:20">
      <c r="B2931" s="204"/>
      <c r="C2931" s="204"/>
      <c r="D2931" s="204"/>
      <c r="E2931" s="204"/>
      <c r="F2931" s="204"/>
      <c r="G2931" s="204"/>
      <c r="H2931" s="204"/>
      <c r="I2931" s="204"/>
      <c r="J2931" s="204"/>
      <c r="K2931" s="204"/>
      <c r="L2931" s="204"/>
      <c r="M2931" s="204"/>
      <c r="N2931" s="204"/>
      <c r="O2931" s="204"/>
      <c r="P2931" s="204"/>
      <c r="T2931" s="217"/>
    </row>
    <row r="2932" spans="2:20">
      <c r="B2932" s="204"/>
      <c r="C2932" s="204"/>
      <c r="D2932" s="204"/>
      <c r="E2932" s="204"/>
      <c r="F2932" s="204"/>
      <c r="G2932" s="204"/>
      <c r="H2932" s="204"/>
      <c r="I2932" s="204"/>
      <c r="J2932" s="204"/>
      <c r="K2932" s="204"/>
      <c r="L2932" s="204"/>
      <c r="M2932" s="204"/>
      <c r="N2932" s="204"/>
      <c r="O2932" s="204"/>
      <c r="P2932" s="204"/>
      <c r="T2932" s="217"/>
    </row>
    <row r="2933" spans="2:20">
      <c r="B2933" s="204"/>
      <c r="C2933" s="204"/>
      <c r="D2933" s="204"/>
      <c r="E2933" s="204"/>
      <c r="F2933" s="204"/>
      <c r="G2933" s="204"/>
      <c r="H2933" s="204"/>
      <c r="I2933" s="204"/>
      <c r="J2933" s="204"/>
      <c r="K2933" s="204"/>
      <c r="L2933" s="204"/>
      <c r="M2933" s="204"/>
      <c r="N2933" s="204"/>
      <c r="O2933" s="204"/>
      <c r="P2933" s="204"/>
      <c r="T2933" s="217"/>
    </row>
    <row r="2934" spans="2:20">
      <c r="B2934" s="204"/>
      <c r="C2934" s="204"/>
      <c r="D2934" s="204"/>
      <c r="E2934" s="204"/>
      <c r="F2934" s="204"/>
      <c r="G2934" s="204"/>
      <c r="H2934" s="204"/>
      <c r="I2934" s="204"/>
      <c r="J2934" s="204"/>
      <c r="K2934" s="204"/>
      <c r="L2934" s="204"/>
      <c r="M2934" s="204"/>
      <c r="N2934" s="204"/>
      <c r="O2934" s="204"/>
      <c r="P2934" s="204"/>
      <c r="T2934" s="217"/>
    </row>
    <row r="2935" spans="2:20">
      <c r="B2935" s="204"/>
      <c r="C2935" s="204"/>
      <c r="D2935" s="204"/>
      <c r="E2935" s="204"/>
      <c r="F2935" s="204"/>
      <c r="G2935" s="204"/>
      <c r="H2935" s="204"/>
      <c r="I2935" s="204"/>
      <c r="J2935" s="204"/>
      <c r="K2935" s="204"/>
      <c r="L2935" s="204"/>
      <c r="M2935" s="204"/>
      <c r="N2935" s="204"/>
      <c r="O2935" s="204"/>
      <c r="P2935" s="204"/>
      <c r="T2935" s="217"/>
    </row>
    <row r="2936" spans="2:20">
      <c r="B2936" s="204"/>
      <c r="C2936" s="204"/>
      <c r="D2936" s="204"/>
      <c r="E2936" s="204"/>
      <c r="F2936" s="204"/>
      <c r="G2936" s="204"/>
      <c r="H2936" s="204"/>
      <c r="I2936" s="204"/>
      <c r="J2936" s="204"/>
      <c r="K2936" s="204"/>
      <c r="L2936" s="204"/>
      <c r="M2936" s="204"/>
      <c r="N2936" s="204"/>
      <c r="O2936" s="204"/>
      <c r="P2936" s="204"/>
      <c r="T2936" s="217"/>
    </row>
    <row r="2937" spans="2:20">
      <c r="B2937" s="204"/>
      <c r="C2937" s="204"/>
      <c r="D2937" s="204"/>
      <c r="E2937" s="204"/>
      <c r="F2937" s="204"/>
      <c r="G2937" s="204"/>
      <c r="H2937" s="204"/>
      <c r="I2937" s="204"/>
      <c r="J2937" s="204"/>
      <c r="K2937" s="204"/>
      <c r="L2937" s="204"/>
      <c r="M2937" s="204"/>
      <c r="N2937" s="204"/>
      <c r="O2937" s="204"/>
      <c r="P2937" s="204"/>
      <c r="T2937" s="217"/>
    </row>
    <row r="2938" spans="2:20">
      <c r="B2938" s="204"/>
      <c r="C2938" s="204"/>
      <c r="D2938" s="204"/>
      <c r="E2938" s="204"/>
      <c r="F2938" s="204"/>
      <c r="G2938" s="204"/>
      <c r="H2938" s="204"/>
      <c r="I2938" s="204"/>
      <c r="J2938" s="204"/>
      <c r="K2938" s="204"/>
      <c r="L2938" s="204"/>
      <c r="M2938" s="204"/>
      <c r="N2938" s="204"/>
      <c r="O2938" s="204"/>
      <c r="P2938" s="204"/>
      <c r="T2938" s="217"/>
    </row>
    <row r="2939" spans="2:20">
      <c r="B2939" s="204"/>
      <c r="C2939" s="204"/>
      <c r="D2939" s="204"/>
      <c r="E2939" s="204"/>
      <c r="F2939" s="204"/>
      <c r="G2939" s="204"/>
      <c r="H2939" s="204"/>
      <c r="I2939" s="204"/>
      <c r="J2939" s="204"/>
      <c r="K2939" s="204"/>
      <c r="L2939" s="204"/>
      <c r="M2939" s="204"/>
      <c r="N2939" s="204"/>
      <c r="O2939" s="204"/>
      <c r="P2939" s="204"/>
      <c r="T2939" s="217"/>
    </row>
    <row r="2940" spans="2:20">
      <c r="B2940" s="204"/>
      <c r="C2940" s="204"/>
      <c r="D2940" s="204"/>
      <c r="E2940" s="204"/>
      <c r="F2940" s="204"/>
      <c r="G2940" s="204"/>
      <c r="H2940" s="204"/>
      <c r="I2940" s="204"/>
      <c r="J2940" s="204"/>
      <c r="K2940" s="204"/>
      <c r="L2940" s="204"/>
      <c r="M2940" s="204"/>
      <c r="N2940" s="204"/>
      <c r="O2940" s="204"/>
      <c r="P2940" s="204"/>
      <c r="T2940" s="217"/>
    </row>
    <row r="2941" spans="2:20">
      <c r="B2941" s="204"/>
      <c r="C2941" s="204"/>
      <c r="D2941" s="204"/>
      <c r="E2941" s="204"/>
      <c r="F2941" s="204"/>
      <c r="G2941" s="204"/>
      <c r="H2941" s="204"/>
      <c r="I2941" s="204"/>
      <c r="J2941" s="204"/>
      <c r="K2941" s="204"/>
      <c r="L2941" s="204"/>
      <c r="M2941" s="204"/>
      <c r="N2941" s="204"/>
      <c r="O2941" s="204"/>
      <c r="P2941" s="204"/>
      <c r="T2941" s="217"/>
    </row>
    <row r="2942" spans="2:20">
      <c r="B2942" s="204"/>
      <c r="C2942" s="204"/>
      <c r="D2942" s="204"/>
      <c r="E2942" s="204"/>
      <c r="F2942" s="204"/>
      <c r="G2942" s="204"/>
      <c r="H2942" s="204"/>
      <c r="I2942" s="204"/>
      <c r="J2942" s="204"/>
      <c r="K2942" s="204"/>
      <c r="L2942" s="204"/>
      <c r="M2942" s="204"/>
      <c r="N2942" s="204"/>
      <c r="O2942" s="204"/>
      <c r="P2942" s="204"/>
      <c r="T2942" s="217"/>
    </row>
    <row r="2943" spans="2:20">
      <c r="B2943" s="204"/>
      <c r="C2943" s="204"/>
      <c r="D2943" s="204"/>
      <c r="E2943" s="204"/>
      <c r="F2943" s="204"/>
      <c r="G2943" s="204"/>
      <c r="H2943" s="204"/>
      <c r="I2943" s="204"/>
      <c r="J2943" s="204"/>
      <c r="K2943" s="204"/>
      <c r="L2943" s="204"/>
      <c r="M2943" s="204"/>
      <c r="N2943" s="204"/>
      <c r="O2943" s="204"/>
      <c r="P2943" s="204"/>
      <c r="T2943" s="217"/>
    </row>
    <row r="2944" spans="2:20">
      <c r="B2944" s="204"/>
      <c r="C2944" s="204"/>
      <c r="D2944" s="204"/>
      <c r="E2944" s="204"/>
      <c r="F2944" s="204"/>
      <c r="G2944" s="204"/>
      <c r="H2944" s="204"/>
      <c r="I2944" s="204"/>
      <c r="J2944" s="204"/>
      <c r="K2944" s="204"/>
      <c r="L2944" s="204"/>
      <c r="M2944" s="204"/>
      <c r="N2944" s="204"/>
      <c r="O2944" s="204"/>
      <c r="P2944" s="204"/>
      <c r="T2944" s="217"/>
    </row>
    <row r="2945" spans="2:20">
      <c r="B2945" s="204"/>
      <c r="C2945" s="204"/>
      <c r="D2945" s="204"/>
      <c r="E2945" s="204"/>
      <c r="F2945" s="204"/>
      <c r="G2945" s="204"/>
      <c r="H2945" s="204"/>
      <c r="I2945" s="204"/>
      <c r="J2945" s="204"/>
      <c r="K2945" s="204"/>
      <c r="L2945" s="204"/>
      <c r="M2945" s="204"/>
      <c r="N2945" s="204"/>
      <c r="O2945" s="204"/>
      <c r="P2945" s="204"/>
      <c r="T2945" s="217"/>
    </row>
    <row r="2946" spans="2:20">
      <c r="B2946" s="204"/>
      <c r="C2946" s="204"/>
      <c r="D2946" s="204"/>
      <c r="E2946" s="204"/>
      <c r="F2946" s="204"/>
      <c r="G2946" s="204"/>
      <c r="H2946" s="204"/>
      <c r="I2946" s="204"/>
      <c r="J2946" s="204"/>
      <c r="K2946" s="204"/>
      <c r="L2946" s="204"/>
      <c r="M2946" s="204"/>
      <c r="N2946" s="204"/>
      <c r="O2946" s="204"/>
      <c r="P2946" s="204"/>
      <c r="T2946" s="217"/>
    </row>
    <row r="2947" spans="2:20">
      <c r="B2947" s="204"/>
      <c r="C2947" s="204"/>
      <c r="D2947" s="204"/>
      <c r="E2947" s="204"/>
      <c r="F2947" s="204"/>
      <c r="G2947" s="204"/>
      <c r="H2947" s="204"/>
      <c r="I2947" s="204"/>
      <c r="J2947" s="204"/>
      <c r="K2947" s="204"/>
      <c r="L2947" s="204"/>
      <c r="M2947" s="204"/>
      <c r="N2947" s="204"/>
      <c r="O2947" s="204"/>
      <c r="P2947" s="204"/>
      <c r="T2947" s="217"/>
    </row>
    <row r="2948" spans="2:20">
      <c r="B2948" s="204"/>
      <c r="C2948" s="204"/>
      <c r="D2948" s="204"/>
      <c r="E2948" s="204"/>
      <c r="F2948" s="204"/>
      <c r="G2948" s="204"/>
      <c r="H2948" s="204"/>
      <c r="I2948" s="204"/>
      <c r="J2948" s="204"/>
      <c r="K2948" s="204"/>
      <c r="L2948" s="204"/>
      <c r="M2948" s="204"/>
      <c r="N2948" s="204"/>
      <c r="O2948" s="204"/>
      <c r="P2948" s="204"/>
      <c r="T2948" s="217"/>
    </row>
    <row r="2949" spans="2:20">
      <c r="B2949" s="204"/>
      <c r="C2949" s="204"/>
      <c r="D2949" s="204"/>
      <c r="E2949" s="204"/>
      <c r="F2949" s="204"/>
      <c r="G2949" s="204"/>
      <c r="H2949" s="204"/>
      <c r="I2949" s="204"/>
      <c r="J2949" s="204"/>
      <c r="K2949" s="204"/>
      <c r="L2949" s="204"/>
      <c r="M2949" s="204"/>
      <c r="N2949" s="204"/>
      <c r="O2949" s="204"/>
      <c r="P2949" s="204"/>
      <c r="T2949" s="217"/>
    </row>
    <row r="2950" spans="2:20">
      <c r="B2950" s="204"/>
      <c r="C2950" s="204"/>
      <c r="D2950" s="204"/>
      <c r="E2950" s="204"/>
      <c r="F2950" s="204"/>
      <c r="G2950" s="204"/>
      <c r="H2950" s="204"/>
      <c r="I2950" s="204"/>
      <c r="J2950" s="204"/>
      <c r="K2950" s="204"/>
      <c r="L2950" s="204"/>
      <c r="M2950" s="204"/>
      <c r="N2950" s="204"/>
      <c r="O2950" s="204"/>
      <c r="P2950" s="204"/>
      <c r="T2950" s="217"/>
    </row>
    <row r="2951" spans="2:20">
      <c r="B2951" s="204"/>
      <c r="C2951" s="204"/>
      <c r="D2951" s="204"/>
      <c r="E2951" s="204"/>
      <c r="F2951" s="204"/>
      <c r="G2951" s="204"/>
      <c r="H2951" s="204"/>
      <c r="I2951" s="204"/>
      <c r="J2951" s="204"/>
      <c r="K2951" s="204"/>
      <c r="L2951" s="204"/>
      <c r="M2951" s="204"/>
      <c r="N2951" s="204"/>
      <c r="O2951" s="204"/>
      <c r="P2951" s="204"/>
      <c r="T2951" s="217"/>
    </row>
    <row r="2952" spans="2:20">
      <c r="B2952" s="204"/>
      <c r="C2952" s="204"/>
      <c r="D2952" s="204"/>
      <c r="E2952" s="204"/>
      <c r="F2952" s="204"/>
      <c r="G2952" s="204"/>
      <c r="H2952" s="204"/>
      <c r="I2952" s="204"/>
      <c r="J2952" s="204"/>
      <c r="K2952" s="204"/>
      <c r="L2952" s="204"/>
      <c r="M2952" s="204"/>
      <c r="N2952" s="204"/>
      <c r="O2952" s="204"/>
      <c r="P2952" s="204"/>
      <c r="T2952" s="217"/>
    </row>
    <row r="2953" spans="2:20">
      <c r="B2953" s="204"/>
      <c r="C2953" s="204"/>
      <c r="D2953" s="204"/>
      <c r="E2953" s="204"/>
      <c r="F2953" s="204"/>
      <c r="G2953" s="204"/>
      <c r="H2953" s="204"/>
      <c r="I2953" s="204"/>
      <c r="J2953" s="204"/>
      <c r="K2953" s="204"/>
      <c r="L2953" s="204"/>
      <c r="M2953" s="204"/>
      <c r="N2953" s="204"/>
      <c r="O2953" s="204"/>
      <c r="P2953" s="204"/>
      <c r="T2953" s="217"/>
    </row>
    <row r="2954" spans="2:20">
      <c r="B2954" s="204"/>
      <c r="C2954" s="204"/>
      <c r="D2954" s="204"/>
      <c r="E2954" s="204"/>
      <c r="F2954" s="204"/>
      <c r="G2954" s="204"/>
      <c r="H2954" s="204"/>
      <c r="I2954" s="204"/>
      <c r="J2954" s="204"/>
      <c r="K2954" s="204"/>
      <c r="L2954" s="204"/>
      <c r="M2954" s="204"/>
      <c r="N2954" s="204"/>
      <c r="O2954" s="204"/>
      <c r="P2954" s="204"/>
      <c r="T2954" s="217"/>
    </row>
    <row r="2955" spans="2:20">
      <c r="B2955" s="204"/>
      <c r="C2955" s="204"/>
      <c r="D2955" s="204"/>
      <c r="E2955" s="204"/>
      <c r="F2955" s="204"/>
      <c r="G2955" s="204"/>
      <c r="H2955" s="204"/>
      <c r="I2955" s="204"/>
      <c r="J2955" s="204"/>
      <c r="K2955" s="204"/>
      <c r="L2955" s="204"/>
      <c r="M2955" s="204"/>
      <c r="N2955" s="204"/>
      <c r="O2955" s="204"/>
      <c r="P2955" s="204"/>
      <c r="T2955" s="217"/>
    </row>
    <row r="2956" spans="2:20">
      <c r="B2956" s="204"/>
      <c r="C2956" s="204"/>
      <c r="D2956" s="204"/>
      <c r="E2956" s="204"/>
      <c r="F2956" s="204"/>
      <c r="G2956" s="204"/>
      <c r="H2956" s="204"/>
      <c r="I2956" s="204"/>
      <c r="J2956" s="204"/>
      <c r="K2956" s="204"/>
      <c r="L2956" s="204"/>
      <c r="M2956" s="204"/>
      <c r="N2956" s="204"/>
      <c r="O2956" s="204"/>
      <c r="P2956" s="204"/>
      <c r="T2956" s="217"/>
    </row>
    <row r="2957" spans="2:20">
      <c r="B2957" s="204"/>
      <c r="C2957" s="204"/>
      <c r="D2957" s="204"/>
      <c r="E2957" s="204"/>
      <c r="F2957" s="204"/>
      <c r="G2957" s="204"/>
      <c r="H2957" s="204"/>
      <c r="I2957" s="204"/>
      <c r="J2957" s="204"/>
      <c r="K2957" s="204"/>
      <c r="L2957" s="204"/>
      <c r="M2957" s="204"/>
      <c r="N2957" s="204"/>
      <c r="O2957" s="204"/>
      <c r="P2957" s="204"/>
      <c r="T2957" s="217"/>
    </row>
    <row r="2958" spans="2:20">
      <c r="B2958" s="204"/>
      <c r="C2958" s="204"/>
      <c r="D2958" s="204"/>
      <c r="E2958" s="204"/>
      <c r="F2958" s="204"/>
      <c r="G2958" s="204"/>
      <c r="H2958" s="204"/>
      <c r="I2958" s="204"/>
      <c r="J2958" s="204"/>
      <c r="K2958" s="204"/>
      <c r="L2958" s="204"/>
      <c r="M2958" s="204"/>
      <c r="N2958" s="204"/>
      <c r="O2958" s="204"/>
      <c r="P2958" s="204"/>
      <c r="T2958" s="217"/>
    </row>
    <row r="2959" spans="2:20">
      <c r="B2959" s="204"/>
      <c r="C2959" s="204"/>
      <c r="D2959" s="204"/>
      <c r="E2959" s="204"/>
      <c r="F2959" s="204"/>
      <c r="G2959" s="204"/>
      <c r="H2959" s="204"/>
      <c r="I2959" s="204"/>
      <c r="J2959" s="204"/>
      <c r="K2959" s="204"/>
      <c r="L2959" s="204"/>
      <c r="M2959" s="204"/>
      <c r="N2959" s="204"/>
      <c r="O2959" s="204"/>
      <c r="P2959" s="204"/>
      <c r="T2959" s="217"/>
    </row>
    <row r="2960" spans="2:20">
      <c r="B2960" s="204"/>
      <c r="C2960" s="204"/>
      <c r="D2960" s="204"/>
      <c r="E2960" s="204"/>
      <c r="F2960" s="204"/>
      <c r="G2960" s="204"/>
      <c r="H2960" s="204"/>
      <c r="I2960" s="204"/>
      <c r="J2960" s="204"/>
      <c r="K2960" s="204"/>
      <c r="L2960" s="204"/>
      <c r="M2960" s="204"/>
      <c r="N2960" s="204"/>
      <c r="O2960" s="204"/>
      <c r="P2960" s="204"/>
      <c r="T2960" s="217"/>
    </row>
    <row r="2961" spans="2:20">
      <c r="B2961" s="204"/>
      <c r="C2961" s="204"/>
      <c r="D2961" s="204"/>
      <c r="E2961" s="204"/>
      <c r="F2961" s="204"/>
      <c r="G2961" s="204"/>
      <c r="H2961" s="204"/>
      <c r="I2961" s="204"/>
      <c r="J2961" s="204"/>
      <c r="K2961" s="204"/>
      <c r="L2961" s="204"/>
      <c r="M2961" s="204"/>
      <c r="N2961" s="204"/>
      <c r="O2961" s="204"/>
      <c r="P2961" s="204"/>
      <c r="T2961" s="217"/>
    </row>
    <row r="2962" spans="2:20">
      <c r="B2962" s="204"/>
      <c r="C2962" s="204"/>
      <c r="D2962" s="204"/>
      <c r="E2962" s="204"/>
      <c r="F2962" s="204"/>
      <c r="G2962" s="204"/>
      <c r="H2962" s="204"/>
      <c r="I2962" s="204"/>
      <c r="J2962" s="204"/>
      <c r="K2962" s="204"/>
      <c r="L2962" s="204"/>
      <c r="M2962" s="204"/>
      <c r="N2962" s="204"/>
      <c r="O2962" s="204"/>
      <c r="P2962" s="204"/>
      <c r="T2962" s="217"/>
    </row>
    <row r="2963" spans="2:20">
      <c r="B2963" s="204"/>
      <c r="C2963" s="204"/>
      <c r="D2963" s="204"/>
      <c r="E2963" s="204"/>
      <c r="F2963" s="204"/>
      <c r="G2963" s="204"/>
      <c r="H2963" s="204"/>
      <c r="I2963" s="204"/>
      <c r="J2963" s="204"/>
      <c r="K2963" s="204"/>
      <c r="L2963" s="204"/>
      <c r="M2963" s="204"/>
      <c r="N2963" s="204"/>
      <c r="O2963" s="204"/>
      <c r="P2963" s="204"/>
      <c r="T2963" s="217"/>
    </row>
    <row r="2964" spans="2:20">
      <c r="B2964" s="204"/>
      <c r="C2964" s="204"/>
      <c r="D2964" s="204"/>
      <c r="E2964" s="204"/>
      <c r="F2964" s="204"/>
      <c r="G2964" s="204"/>
      <c r="H2964" s="204"/>
      <c r="I2964" s="204"/>
      <c r="J2964" s="204"/>
      <c r="K2964" s="204"/>
      <c r="L2964" s="204"/>
      <c r="M2964" s="204"/>
      <c r="N2964" s="204"/>
      <c r="O2964" s="204"/>
      <c r="P2964" s="204"/>
      <c r="T2964" s="217"/>
    </row>
    <row r="2965" spans="2:20">
      <c r="B2965" s="204"/>
      <c r="C2965" s="204"/>
      <c r="D2965" s="204"/>
      <c r="E2965" s="204"/>
      <c r="F2965" s="204"/>
      <c r="G2965" s="204"/>
      <c r="H2965" s="204"/>
      <c r="I2965" s="204"/>
      <c r="J2965" s="204"/>
      <c r="K2965" s="204"/>
      <c r="L2965" s="204"/>
      <c r="M2965" s="204"/>
      <c r="N2965" s="204"/>
      <c r="O2965" s="204"/>
      <c r="P2965" s="204"/>
      <c r="T2965" s="217"/>
    </row>
    <row r="2966" spans="2:20">
      <c r="B2966" s="204"/>
      <c r="C2966" s="204"/>
      <c r="D2966" s="204"/>
      <c r="E2966" s="204"/>
      <c r="F2966" s="204"/>
      <c r="G2966" s="204"/>
      <c r="H2966" s="204"/>
      <c r="I2966" s="204"/>
      <c r="J2966" s="204"/>
      <c r="K2966" s="204"/>
      <c r="L2966" s="204"/>
      <c r="M2966" s="204"/>
      <c r="N2966" s="204"/>
      <c r="O2966" s="204"/>
      <c r="P2966" s="204"/>
      <c r="T2966" s="217"/>
    </row>
    <row r="2967" spans="2:20">
      <c r="B2967" s="204"/>
      <c r="C2967" s="204"/>
      <c r="D2967" s="204"/>
      <c r="E2967" s="204"/>
      <c r="F2967" s="204"/>
      <c r="G2967" s="204"/>
      <c r="H2967" s="204"/>
      <c r="I2967" s="204"/>
      <c r="J2967" s="204"/>
      <c r="K2967" s="204"/>
      <c r="L2967" s="204"/>
      <c r="M2967" s="204"/>
      <c r="N2967" s="204"/>
      <c r="O2967" s="204"/>
      <c r="P2967" s="204"/>
      <c r="T2967" s="217"/>
    </row>
    <row r="2968" spans="2:20">
      <c r="B2968" s="204"/>
      <c r="C2968" s="204"/>
      <c r="D2968" s="204"/>
      <c r="E2968" s="204"/>
      <c r="F2968" s="204"/>
      <c r="G2968" s="204"/>
      <c r="H2968" s="204"/>
      <c r="I2968" s="204"/>
      <c r="J2968" s="204"/>
      <c r="K2968" s="204"/>
      <c r="L2968" s="204"/>
      <c r="M2968" s="204"/>
      <c r="N2968" s="204"/>
      <c r="O2968" s="204"/>
      <c r="P2968" s="204"/>
      <c r="T2968" s="217"/>
    </row>
    <row r="2969" spans="2:20">
      <c r="B2969" s="204"/>
      <c r="C2969" s="204"/>
      <c r="D2969" s="204"/>
      <c r="E2969" s="204"/>
      <c r="F2969" s="204"/>
      <c r="G2969" s="204"/>
      <c r="H2969" s="204"/>
      <c r="I2969" s="204"/>
      <c r="J2969" s="204"/>
      <c r="K2969" s="204"/>
      <c r="L2969" s="204"/>
      <c r="M2969" s="204"/>
      <c r="N2969" s="204"/>
      <c r="O2969" s="204"/>
      <c r="P2969" s="204"/>
      <c r="T2969" s="217"/>
    </row>
    <row r="2970" spans="2:20">
      <c r="B2970" s="204"/>
      <c r="C2970" s="204"/>
      <c r="D2970" s="204"/>
      <c r="E2970" s="204"/>
      <c r="F2970" s="204"/>
      <c r="G2970" s="204"/>
      <c r="H2970" s="204"/>
      <c r="I2970" s="204"/>
      <c r="J2970" s="204"/>
      <c r="K2970" s="204"/>
      <c r="L2970" s="204"/>
      <c r="M2970" s="204"/>
      <c r="N2970" s="204"/>
      <c r="O2970" s="204"/>
      <c r="P2970" s="204"/>
      <c r="T2970" s="217"/>
    </row>
    <row r="2971" spans="2:20">
      <c r="B2971" s="204"/>
      <c r="C2971" s="204"/>
      <c r="D2971" s="204"/>
      <c r="E2971" s="204"/>
      <c r="F2971" s="204"/>
      <c r="G2971" s="204"/>
      <c r="H2971" s="204"/>
      <c r="I2971" s="204"/>
      <c r="J2971" s="204"/>
      <c r="K2971" s="204"/>
      <c r="L2971" s="204"/>
      <c r="M2971" s="204"/>
      <c r="N2971" s="204"/>
      <c r="O2971" s="204"/>
      <c r="P2971" s="204"/>
      <c r="T2971" s="217"/>
    </row>
    <row r="2972" spans="2:20">
      <c r="B2972" s="204"/>
      <c r="C2972" s="204"/>
      <c r="D2972" s="204"/>
      <c r="E2972" s="204"/>
      <c r="F2972" s="204"/>
      <c r="G2972" s="204"/>
      <c r="H2972" s="204"/>
      <c r="I2972" s="204"/>
      <c r="J2972" s="204"/>
      <c r="K2972" s="204"/>
      <c r="L2972" s="204"/>
      <c r="M2972" s="204"/>
      <c r="N2972" s="204"/>
      <c r="O2972" s="204"/>
      <c r="P2972" s="204"/>
      <c r="T2972" s="217"/>
    </row>
    <row r="2973" spans="2:20">
      <c r="B2973" s="204"/>
      <c r="C2973" s="204"/>
      <c r="D2973" s="204"/>
      <c r="E2973" s="204"/>
      <c r="F2973" s="204"/>
      <c r="G2973" s="204"/>
      <c r="H2973" s="204"/>
      <c r="I2973" s="204"/>
      <c r="J2973" s="204"/>
      <c r="K2973" s="204"/>
      <c r="L2973" s="204"/>
      <c r="M2973" s="204"/>
      <c r="N2973" s="204"/>
      <c r="O2973" s="204"/>
      <c r="P2973" s="204"/>
      <c r="T2973" s="217"/>
    </row>
    <row r="2974" spans="2:20">
      <c r="B2974" s="204"/>
      <c r="C2974" s="204"/>
      <c r="D2974" s="204"/>
      <c r="E2974" s="204"/>
      <c r="F2974" s="204"/>
      <c r="G2974" s="204"/>
      <c r="H2974" s="204"/>
      <c r="I2974" s="204"/>
      <c r="J2974" s="204"/>
      <c r="K2974" s="204"/>
      <c r="L2974" s="204"/>
      <c r="M2974" s="204"/>
      <c r="N2974" s="204"/>
      <c r="O2974" s="204"/>
      <c r="P2974" s="204"/>
      <c r="T2974" s="217"/>
    </row>
    <row r="2975" spans="2:20">
      <c r="B2975" s="204"/>
      <c r="C2975" s="204"/>
      <c r="D2975" s="204"/>
      <c r="E2975" s="204"/>
      <c r="F2975" s="204"/>
      <c r="G2975" s="204"/>
      <c r="H2975" s="204"/>
      <c r="I2975" s="204"/>
      <c r="J2975" s="204"/>
      <c r="K2975" s="204"/>
      <c r="L2975" s="204"/>
      <c r="M2975" s="204"/>
      <c r="N2975" s="204"/>
      <c r="O2975" s="204"/>
      <c r="P2975" s="204"/>
      <c r="T2975" s="217"/>
    </row>
    <row r="2976" spans="2:20">
      <c r="B2976" s="204"/>
      <c r="C2976" s="204"/>
      <c r="D2976" s="204"/>
      <c r="E2976" s="204"/>
      <c r="F2976" s="204"/>
      <c r="G2976" s="204"/>
      <c r="H2976" s="204"/>
      <c r="I2976" s="204"/>
      <c r="J2976" s="204"/>
      <c r="K2976" s="204"/>
      <c r="L2976" s="204"/>
      <c r="M2976" s="204"/>
      <c r="N2976" s="204"/>
      <c r="O2976" s="204"/>
      <c r="P2976" s="204"/>
      <c r="T2976" s="217"/>
    </row>
    <row r="2977" spans="2:20">
      <c r="B2977" s="204"/>
      <c r="C2977" s="204"/>
      <c r="D2977" s="204"/>
      <c r="E2977" s="204"/>
      <c r="F2977" s="204"/>
      <c r="G2977" s="204"/>
      <c r="H2977" s="204"/>
      <c r="I2977" s="204"/>
      <c r="J2977" s="204"/>
      <c r="K2977" s="204"/>
      <c r="L2977" s="204"/>
      <c r="M2977" s="204"/>
      <c r="N2977" s="204"/>
      <c r="O2977" s="204"/>
      <c r="P2977" s="204"/>
      <c r="T2977" s="217"/>
    </row>
    <row r="2978" spans="2:20">
      <c r="B2978" s="204"/>
      <c r="C2978" s="204"/>
      <c r="D2978" s="204"/>
      <c r="E2978" s="204"/>
      <c r="F2978" s="204"/>
      <c r="G2978" s="204"/>
      <c r="H2978" s="204"/>
      <c r="I2978" s="204"/>
      <c r="J2978" s="204"/>
      <c r="K2978" s="204"/>
      <c r="L2978" s="204"/>
      <c r="M2978" s="204"/>
      <c r="N2978" s="204"/>
      <c r="O2978" s="204"/>
      <c r="P2978" s="204"/>
      <c r="T2978" s="217"/>
    </row>
    <row r="2979" spans="2:20">
      <c r="B2979" s="204"/>
      <c r="C2979" s="204"/>
      <c r="D2979" s="204"/>
      <c r="E2979" s="204"/>
      <c r="F2979" s="204"/>
      <c r="G2979" s="204"/>
      <c r="H2979" s="204"/>
      <c r="I2979" s="204"/>
      <c r="J2979" s="204"/>
      <c r="K2979" s="204"/>
      <c r="L2979" s="204"/>
      <c r="M2979" s="204"/>
      <c r="N2979" s="204"/>
      <c r="O2979" s="204"/>
      <c r="P2979" s="204"/>
      <c r="T2979" s="217"/>
    </row>
    <row r="2980" spans="2:20">
      <c r="B2980" s="204"/>
      <c r="C2980" s="204"/>
      <c r="D2980" s="204"/>
      <c r="E2980" s="204"/>
      <c r="F2980" s="204"/>
      <c r="G2980" s="204"/>
      <c r="H2980" s="204"/>
      <c r="I2980" s="204"/>
      <c r="J2980" s="204"/>
      <c r="K2980" s="204"/>
      <c r="L2980" s="204"/>
      <c r="M2980" s="204"/>
      <c r="N2980" s="204"/>
      <c r="O2980" s="204"/>
      <c r="P2980" s="204"/>
      <c r="T2980" s="217"/>
    </row>
    <row r="2981" spans="2:20">
      <c r="B2981" s="204"/>
      <c r="C2981" s="204"/>
      <c r="D2981" s="204"/>
      <c r="E2981" s="204"/>
      <c r="F2981" s="204"/>
      <c r="G2981" s="204"/>
      <c r="H2981" s="204"/>
      <c r="I2981" s="204"/>
      <c r="J2981" s="204"/>
      <c r="K2981" s="204"/>
      <c r="L2981" s="204"/>
      <c r="M2981" s="204"/>
      <c r="N2981" s="204"/>
      <c r="O2981" s="204"/>
      <c r="P2981" s="204"/>
      <c r="T2981" s="217"/>
    </row>
    <row r="2982" spans="2:20">
      <c r="B2982" s="204"/>
      <c r="C2982" s="204"/>
      <c r="D2982" s="204"/>
      <c r="E2982" s="204"/>
      <c r="F2982" s="204"/>
      <c r="G2982" s="204"/>
      <c r="H2982" s="204"/>
      <c r="I2982" s="204"/>
      <c r="J2982" s="204"/>
      <c r="K2982" s="204"/>
      <c r="L2982" s="204"/>
      <c r="M2982" s="204"/>
      <c r="N2982" s="204"/>
      <c r="O2982" s="204"/>
      <c r="P2982" s="204"/>
      <c r="T2982" s="217"/>
    </row>
    <row r="2983" spans="2:20">
      <c r="B2983" s="204"/>
      <c r="C2983" s="204"/>
      <c r="D2983" s="204"/>
      <c r="E2983" s="204"/>
      <c r="F2983" s="204"/>
      <c r="G2983" s="204"/>
      <c r="H2983" s="204"/>
      <c r="I2983" s="204"/>
      <c r="J2983" s="204"/>
      <c r="K2983" s="204"/>
      <c r="L2983" s="204"/>
      <c r="M2983" s="204"/>
      <c r="N2983" s="204"/>
      <c r="O2983" s="204"/>
      <c r="P2983" s="204"/>
      <c r="T2983" s="217"/>
    </row>
    <row r="2984" spans="2:20">
      <c r="B2984" s="204"/>
      <c r="C2984" s="204"/>
      <c r="D2984" s="204"/>
      <c r="E2984" s="204"/>
      <c r="F2984" s="204"/>
      <c r="G2984" s="204"/>
      <c r="H2984" s="204"/>
      <c r="I2984" s="204"/>
      <c r="J2984" s="204"/>
      <c r="K2984" s="204"/>
      <c r="L2984" s="204"/>
      <c r="M2984" s="204"/>
      <c r="N2984" s="204"/>
      <c r="O2984" s="204"/>
      <c r="P2984" s="204"/>
      <c r="T2984" s="217"/>
    </row>
    <row r="2985" spans="2:20">
      <c r="B2985" s="204"/>
      <c r="C2985" s="204"/>
      <c r="D2985" s="204"/>
      <c r="E2985" s="204"/>
      <c r="F2985" s="204"/>
      <c r="G2985" s="204"/>
      <c r="H2985" s="204"/>
      <c r="I2985" s="204"/>
      <c r="J2985" s="204"/>
      <c r="K2985" s="204"/>
      <c r="L2985" s="204"/>
      <c r="M2985" s="204"/>
      <c r="N2985" s="204"/>
      <c r="O2985" s="204"/>
      <c r="P2985" s="204"/>
      <c r="T2985" s="217"/>
    </row>
    <row r="2986" spans="2:20">
      <c r="B2986" s="204"/>
      <c r="C2986" s="204"/>
      <c r="D2986" s="204"/>
      <c r="E2986" s="204"/>
      <c r="F2986" s="204"/>
      <c r="G2986" s="204"/>
      <c r="H2986" s="204"/>
      <c r="I2986" s="204"/>
      <c r="J2986" s="204"/>
      <c r="K2986" s="204"/>
      <c r="L2986" s="204"/>
      <c r="M2986" s="204"/>
      <c r="N2986" s="204"/>
      <c r="O2986" s="204"/>
      <c r="P2986" s="204"/>
      <c r="T2986" s="217"/>
    </row>
    <row r="2987" spans="2:20">
      <c r="B2987" s="204"/>
      <c r="C2987" s="204"/>
      <c r="D2987" s="204"/>
      <c r="E2987" s="204"/>
      <c r="F2987" s="204"/>
      <c r="G2987" s="204"/>
      <c r="H2987" s="204"/>
      <c r="I2987" s="204"/>
      <c r="J2987" s="204"/>
      <c r="K2987" s="204"/>
      <c r="L2987" s="204"/>
      <c r="M2987" s="204"/>
      <c r="N2987" s="204"/>
      <c r="O2987" s="204"/>
      <c r="P2987" s="204"/>
      <c r="T2987" s="217"/>
    </row>
    <row r="2988" spans="2:20">
      <c r="B2988" s="204"/>
      <c r="C2988" s="204"/>
      <c r="D2988" s="204"/>
      <c r="E2988" s="204"/>
      <c r="F2988" s="204"/>
      <c r="G2988" s="204"/>
      <c r="H2988" s="204"/>
      <c r="I2988" s="204"/>
      <c r="J2988" s="204"/>
      <c r="K2988" s="204"/>
      <c r="L2988" s="204"/>
      <c r="M2988" s="204"/>
      <c r="N2988" s="204"/>
      <c r="O2988" s="204"/>
      <c r="P2988" s="204"/>
      <c r="T2988" s="217"/>
    </row>
    <row r="2989" spans="2:20">
      <c r="B2989" s="204"/>
      <c r="C2989" s="204"/>
      <c r="D2989" s="204"/>
      <c r="E2989" s="204"/>
      <c r="F2989" s="204"/>
      <c r="G2989" s="204"/>
      <c r="H2989" s="204"/>
      <c r="I2989" s="204"/>
      <c r="J2989" s="204"/>
      <c r="K2989" s="204"/>
      <c r="L2989" s="204"/>
      <c r="M2989" s="204"/>
      <c r="N2989" s="204"/>
      <c r="O2989" s="204"/>
      <c r="P2989" s="204"/>
      <c r="T2989" s="217"/>
    </row>
    <row r="2990" spans="2:20">
      <c r="B2990" s="204"/>
      <c r="C2990" s="204"/>
      <c r="D2990" s="204"/>
      <c r="E2990" s="204"/>
      <c r="F2990" s="204"/>
      <c r="G2990" s="204"/>
      <c r="H2990" s="204"/>
      <c r="I2990" s="204"/>
      <c r="J2990" s="204"/>
      <c r="K2990" s="204"/>
      <c r="L2990" s="204"/>
      <c r="M2990" s="204"/>
      <c r="N2990" s="204"/>
      <c r="O2990" s="204"/>
      <c r="P2990" s="204"/>
      <c r="T2990" s="217"/>
    </row>
    <row r="2991" spans="2:20">
      <c r="B2991" s="204"/>
      <c r="C2991" s="204"/>
      <c r="D2991" s="204"/>
      <c r="E2991" s="204"/>
      <c r="F2991" s="204"/>
      <c r="G2991" s="204"/>
      <c r="H2991" s="204"/>
      <c r="I2991" s="204"/>
      <c r="J2991" s="204"/>
      <c r="K2991" s="204"/>
      <c r="L2991" s="204"/>
      <c r="M2991" s="204"/>
      <c r="N2991" s="204"/>
      <c r="O2991" s="204"/>
      <c r="P2991" s="204"/>
      <c r="T2991" s="217"/>
    </row>
    <row r="2992" spans="2:20">
      <c r="B2992" s="204"/>
      <c r="C2992" s="204"/>
      <c r="D2992" s="204"/>
      <c r="E2992" s="204"/>
      <c r="F2992" s="204"/>
      <c r="G2992" s="204"/>
      <c r="H2992" s="204"/>
      <c r="I2992" s="204"/>
      <c r="J2992" s="204"/>
      <c r="K2992" s="204"/>
      <c r="L2992" s="204"/>
      <c r="M2992" s="204"/>
      <c r="N2992" s="204"/>
      <c r="O2992" s="204"/>
      <c r="P2992" s="204"/>
      <c r="T2992" s="217"/>
    </row>
    <row r="2993" spans="2:20">
      <c r="B2993" s="204"/>
      <c r="C2993" s="204"/>
      <c r="D2993" s="204"/>
      <c r="E2993" s="204"/>
      <c r="F2993" s="204"/>
      <c r="G2993" s="204"/>
      <c r="H2993" s="204"/>
      <c r="I2993" s="204"/>
      <c r="J2993" s="204"/>
      <c r="K2993" s="204"/>
      <c r="L2993" s="204"/>
      <c r="M2993" s="204"/>
      <c r="N2993" s="204"/>
      <c r="O2993" s="204"/>
      <c r="P2993" s="204"/>
      <c r="T2993" s="217"/>
    </row>
    <row r="2994" spans="2:20">
      <c r="B2994" s="204"/>
      <c r="C2994" s="204"/>
      <c r="D2994" s="204"/>
      <c r="E2994" s="204"/>
      <c r="F2994" s="204"/>
      <c r="G2994" s="204"/>
      <c r="H2994" s="204"/>
      <c r="I2994" s="204"/>
      <c r="J2994" s="204"/>
      <c r="K2994" s="204"/>
      <c r="L2994" s="204"/>
      <c r="M2994" s="204"/>
      <c r="N2994" s="204"/>
      <c r="O2994" s="204"/>
      <c r="P2994" s="204"/>
      <c r="T2994" s="217"/>
    </row>
    <row r="2995" spans="2:20">
      <c r="B2995" s="204"/>
      <c r="C2995" s="204"/>
      <c r="D2995" s="204"/>
      <c r="E2995" s="204"/>
      <c r="F2995" s="204"/>
      <c r="G2995" s="204"/>
      <c r="H2995" s="204"/>
      <c r="I2995" s="204"/>
      <c r="J2995" s="204"/>
      <c r="K2995" s="204"/>
      <c r="L2995" s="204"/>
      <c r="M2995" s="204"/>
      <c r="N2995" s="204"/>
      <c r="O2995" s="204"/>
      <c r="P2995" s="204"/>
      <c r="T2995" s="217"/>
    </row>
    <row r="2996" spans="2:20">
      <c r="B2996" s="204"/>
      <c r="C2996" s="204"/>
      <c r="D2996" s="204"/>
      <c r="E2996" s="204"/>
      <c r="F2996" s="204"/>
      <c r="G2996" s="204"/>
      <c r="H2996" s="204"/>
      <c r="I2996" s="204"/>
      <c r="J2996" s="204"/>
      <c r="K2996" s="204"/>
      <c r="L2996" s="204"/>
      <c r="M2996" s="204"/>
      <c r="N2996" s="204"/>
      <c r="O2996" s="204"/>
      <c r="P2996" s="204"/>
      <c r="T2996" s="217"/>
    </row>
    <row r="2997" spans="2:20">
      <c r="B2997" s="204"/>
      <c r="C2997" s="204"/>
      <c r="D2997" s="204"/>
      <c r="E2997" s="204"/>
      <c r="F2997" s="204"/>
      <c r="G2997" s="204"/>
      <c r="H2997" s="204"/>
      <c r="I2997" s="204"/>
      <c r="J2997" s="204"/>
      <c r="K2997" s="204"/>
      <c r="L2997" s="204"/>
      <c r="M2997" s="204"/>
      <c r="N2997" s="204"/>
      <c r="O2997" s="204"/>
      <c r="P2997" s="204"/>
      <c r="T2997" s="217"/>
    </row>
    <row r="2998" spans="2:20">
      <c r="B2998" s="204"/>
      <c r="C2998" s="204"/>
      <c r="D2998" s="204"/>
      <c r="E2998" s="204"/>
      <c r="F2998" s="204"/>
      <c r="G2998" s="204"/>
      <c r="H2998" s="204"/>
      <c r="I2998" s="204"/>
      <c r="J2998" s="204"/>
      <c r="K2998" s="204"/>
      <c r="L2998" s="204"/>
      <c r="M2998" s="204"/>
      <c r="N2998" s="204"/>
      <c r="O2998" s="204"/>
      <c r="P2998" s="204"/>
      <c r="T2998" s="217"/>
    </row>
    <row r="2999" spans="2:20">
      <c r="B2999" s="204"/>
      <c r="C2999" s="204"/>
      <c r="D2999" s="204"/>
      <c r="E2999" s="204"/>
      <c r="F2999" s="204"/>
      <c r="G2999" s="204"/>
      <c r="H2999" s="204"/>
      <c r="I2999" s="204"/>
      <c r="J2999" s="204"/>
      <c r="K2999" s="204"/>
      <c r="L2999" s="204"/>
      <c r="M2999" s="204"/>
      <c r="N2999" s="204"/>
      <c r="O2999" s="204"/>
      <c r="P2999" s="204"/>
      <c r="T2999" s="217"/>
    </row>
    <row r="3000" spans="2:20">
      <c r="B3000" s="204"/>
      <c r="C3000" s="204"/>
      <c r="D3000" s="204"/>
      <c r="E3000" s="204"/>
      <c r="F3000" s="204"/>
      <c r="G3000" s="204"/>
      <c r="H3000" s="204"/>
      <c r="I3000" s="204"/>
      <c r="J3000" s="204"/>
      <c r="K3000" s="204"/>
      <c r="L3000" s="204"/>
      <c r="M3000" s="204"/>
      <c r="N3000" s="204"/>
      <c r="O3000" s="204"/>
      <c r="P3000" s="204"/>
      <c r="T3000" s="217"/>
    </row>
    <row r="3001" spans="2:20">
      <c r="B3001" s="204"/>
      <c r="C3001" s="204"/>
      <c r="D3001" s="204"/>
      <c r="E3001" s="204"/>
      <c r="F3001" s="204"/>
      <c r="G3001" s="204"/>
      <c r="H3001" s="204"/>
      <c r="I3001" s="204"/>
      <c r="J3001" s="204"/>
      <c r="K3001" s="204"/>
      <c r="L3001" s="204"/>
      <c r="M3001" s="204"/>
      <c r="N3001" s="204"/>
      <c r="O3001" s="204"/>
      <c r="P3001" s="204"/>
      <c r="T3001" s="217"/>
    </row>
    <row r="3002" spans="2:20">
      <c r="B3002" s="204"/>
      <c r="C3002" s="204"/>
      <c r="D3002" s="204"/>
      <c r="E3002" s="204"/>
      <c r="F3002" s="204"/>
      <c r="G3002" s="204"/>
      <c r="H3002" s="204"/>
      <c r="I3002" s="204"/>
      <c r="J3002" s="204"/>
      <c r="K3002" s="204"/>
      <c r="L3002" s="204"/>
      <c r="M3002" s="204"/>
      <c r="N3002" s="204"/>
      <c r="O3002" s="204"/>
      <c r="P3002" s="204"/>
      <c r="T3002" s="217"/>
    </row>
    <row r="3003" spans="2:20">
      <c r="B3003" s="204"/>
      <c r="C3003" s="204"/>
      <c r="D3003" s="204"/>
      <c r="E3003" s="204"/>
      <c r="F3003" s="204"/>
      <c r="G3003" s="204"/>
      <c r="H3003" s="204"/>
      <c r="I3003" s="204"/>
      <c r="J3003" s="204"/>
      <c r="K3003" s="204"/>
      <c r="L3003" s="204"/>
      <c r="M3003" s="204"/>
      <c r="N3003" s="204"/>
      <c r="O3003" s="204"/>
      <c r="P3003" s="204"/>
      <c r="T3003" s="217"/>
    </row>
    <row r="3004" spans="2:20">
      <c r="B3004" s="204"/>
      <c r="C3004" s="204"/>
      <c r="D3004" s="204"/>
      <c r="E3004" s="204"/>
      <c r="F3004" s="204"/>
      <c r="G3004" s="204"/>
      <c r="H3004" s="204"/>
      <c r="I3004" s="204"/>
      <c r="J3004" s="204"/>
      <c r="K3004" s="204"/>
      <c r="L3004" s="204"/>
      <c r="M3004" s="204"/>
      <c r="N3004" s="204"/>
      <c r="O3004" s="204"/>
      <c r="P3004" s="204"/>
      <c r="T3004" s="217"/>
    </row>
    <row r="3005" spans="2:20">
      <c r="B3005" s="204"/>
      <c r="C3005" s="204"/>
      <c r="D3005" s="204"/>
      <c r="E3005" s="204"/>
      <c r="F3005" s="204"/>
      <c r="G3005" s="204"/>
      <c r="H3005" s="204"/>
      <c r="I3005" s="204"/>
      <c r="J3005" s="204"/>
      <c r="K3005" s="204"/>
      <c r="L3005" s="204"/>
      <c r="M3005" s="204"/>
      <c r="N3005" s="204"/>
      <c r="O3005" s="204"/>
      <c r="P3005" s="204"/>
      <c r="T3005" s="217"/>
    </row>
    <row r="3006" spans="2:20">
      <c r="B3006" s="204"/>
      <c r="C3006" s="204"/>
      <c r="D3006" s="204"/>
      <c r="E3006" s="204"/>
      <c r="F3006" s="204"/>
      <c r="G3006" s="204"/>
      <c r="H3006" s="204"/>
      <c r="I3006" s="204"/>
      <c r="J3006" s="204"/>
      <c r="K3006" s="204"/>
      <c r="L3006" s="204"/>
      <c r="M3006" s="204"/>
      <c r="N3006" s="204"/>
      <c r="O3006" s="204"/>
      <c r="P3006" s="204"/>
      <c r="T3006" s="217"/>
    </row>
    <row r="3007" spans="2:20">
      <c r="B3007" s="204"/>
      <c r="C3007" s="204"/>
      <c r="D3007" s="204"/>
      <c r="E3007" s="204"/>
      <c r="F3007" s="204"/>
      <c r="G3007" s="204"/>
      <c r="H3007" s="204"/>
      <c r="I3007" s="204"/>
      <c r="J3007" s="204"/>
      <c r="K3007" s="204"/>
      <c r="L3007" s="204"/>
      <c r="M3007" s="204"/>
      <c r="N3007" s="204"/>
      <c r="O3007" s="204"/>
      <c r="P3007" s="204"/>
      <c r="T3007" s="217"/>
    </row>
    <row r="3008" spans="2:20">
      <c r="B3008" s="204"/>
      <c r="C3008" s="204"/>
      <c r="D3008" s="204"/>
      <c r="E3008" s="204"/>
      <c r="F3008" s="204"/>
      <c r="G3008" s="204"/>
      <c r="H3008" s="204"/>
      <c r="I3008" s="204"/>
      <c r="J3008" s="204"/>
      <c r="K3008" s="204"/>
      <c r="L3008" s="204"/>
      <c r="M3008" s="204"/>
      <c r="N3008" s="204"/>
      <c r="O3008" s="204"/>
      <c r="P3008" s="204"/>
      <c r="T3008" s="217"/>
    </row>
    <row r="3009" spans="2:20">
      <c r="B3009" s="204"/>
      <c r="C3009" s="204"/>
      <c r="D3009" s="204"/>
      <c r="E3009" s="204"/>
      <c r="F3009" s="204"/>
      <c r="G3009" s="204"/>
      <c r="H3009" s="204"/>
      <c r="I3009" s="204"/>
      <c r="J3009" s="204"/>
      <c r="K3009" s="204"/>
      <c r="L3009" s="204"/>
      <c r="M3009" s="204"/>
      <c r="N3009" s="204"/>
      <c r="O3009" s="204"/>
      <c r="P3009" s="204"/>
      <c r="T3009" s="217"/>
    </row>
    <row r="3010" spans="2:20">
      <c r="B3010" s="204"/>
      <c r="C3010" s="204"/>
      <c r="D3010" s="204"/>
      <c r="E3010" s="204"/>
      <c r="F3010" s="204"/>
      <c r="G3010" s="204"/>
      <c r="H3010" s="204"/>
      <c r="I3010" s="204"/>
      <c r="J3010" s="204"/>
      <c r="K3010" s="204"/>
      <c r="L3010" s="204"/>
      <c r="M3010" s="204"/>
      <c r="N3010" s="204"/>
      <c r="O3010" s="204"/>
      <c r="P3010" s="204"/>
      <c r="T3010" s="217"/>
    </row>
    <row r="3011" spans="2:20">
      <c r="B3011" s="204"/>
      <c r="C3011" s="204"/>
      <c r="D3011" s="204"/>
      <c r="E3011" s="204"/>
      <c r="F3011" s="204"/>
      <c r="G3011" s="204"/>
      <c r="H3011" s="204"/>
      <c r="I3011" s="204"/>
      <c r="J3011" s="204"/>
      <c r="K3011" s="204"/>
      <c r="L3011" s="204"/>
      <c r="M3011" s="204"/>
      <c r="N3011" s="204"/>
      <c r="O3011" s="204"/>
      <c r="P3011" s="204"/>
      <c r="T3011" s="217"/>
    </row>
    <row r="3012" spans="2:20">
      <c r="B3012" s="204"/>
      <c r="C3012" s="204"/>
      <c r="D3012" s="204"/>
      <c r="E3012" s="204"/>
      <c r="F3012" s="204"/>
      <c r="G3012" s="204"/>
      <c r="H3012" s="204"/>
      <c r="I3012" s="204"/>
      <c r="J3012" s="204"/>
      <c r="K3012" s="204"/>
      <c r="L3012" s="204"/>
      <c r="M3012" s="204"/>
      <c r="N3012" s="204"/>
      <c r="O3012" s="204"/>
      <c r="P3012" s="204"/>
      <c r="T3012" s="217"/>
    </row>
    <row r="3013" spans="2:20">
      <c r="B3013" s="204"/>
      <c r="C3013" s="204"/>
      <c r="D3013" s="204"/>
      <c r="E3013" s="204"/>
      <c r="F3013" s="204"/>
      <c r="G3013" s="204"/>
      <c r="H3013" s="204"/>
      <c r="I3013" s="204"/>
      <c r="J3013" s="204"/>
      <c r="K3013" s="204"/>
      <c r="L3013" s="204"/>
      <c r="M3013" s="204"/>
      <c r="N3013" s="204"/>
      <c r="O3013" s="204"/>
      <c r="P3013" s="204"/>
      <c r="T3013" s="217"/>
    </row>
    <row r="3014" spans="2:20">
      <c r="B3014" s="204"/>
      <c r="C3014" s="204"/>
      <c r="D3014" s="204"/>
      <c r="E3014" s="204"/>
      <c r="F3014" s="204"/>
      <c r="G3014" s="204"/>
      <c r="H3014" s="204"/>
      <c r="I3014" s="204"/>
      <c r="J3014" s="204"/>
      <c r="K3014" s="204"/>
      <c r="L3014" s="204"/>
      <c r="M3014" s="204"/>
      <c r="N3014" s="204"/>
      <c r="O3014" s="204"/>
      <c r="P3014" s="204"/>
      <c r="T3014" s="217"/>
    </row>
    <row r="3015" spans="2:20">
      <c r="B3015" s="204"/>
      <c r="C3015" s="204"/>
      <c r="D3015" s="204"/>
      <c r="E3015" s="204"/>
      <c r="F3015" s="204"/>
      <c r="G3015" s="204"/>
      <c r="H3015" s="204"/>
      <c r="I3015" s="204"/>
      <c r="J3015" s="204"/>
      <c r="K3015" s="204"/>
      <c r="L3015" s="204"/>
      <c r="M3015" s="204"/>
      <c r="N3015" s="204"/>
      <c r="O3015" s="204"/>
      <c r="P3015" s="204"/>
      <c r="T3015" s="217"/>
    </row>
    <row r="3016" spans="2:20">
      <c r="B3016" s="204"/>
      <c r="C3016" s="204"/>
      <c r="D3016" s="204"/>
      <c r="E3016" s="204"/>
      <c r="F3016" s="204"/>
      <c r="G3016" s="204"/>
      <c r="H3016" s="204"/>
      <c r="I3016" s="204"/>
      <c r="J3016" s="204"/>
      <c r="K3016" s="204"/>
      <c r="L3016" s="204"/>
      <c r="M3016" s="204"/>
      <c r="N3016" s="204"/>
      <c r="O3016" s="204"/>
      <c r="P3016" s="204"/>
      <c r="T3016" s="217"/>
    </row>
    <row r="3017" spans="2:20">
      <c r="B3017" s="204"/>
      <c r="C3017" s="204"/>
      <c r="D3017" s="204"/>
      <c r="E3017" s="204"/>
      <c r="F3017" s="204"/>
      <c r="G3017" s="204"/>
      <c r="H3017" s="204"/>
      <c r="I3017" s="204"/>
      <c r="J3017" s="204"/>
      <c r="K3017" s="204"/>
      <c r="L3017" s="204"/>
      <c r="M3017" s="204"/>
      <c r="N3017" s="204"/>
      <c r="O3017" s="204"/>
      <c r="P3017" s="204"/>
      <c r="T3017" s="217"/>
    </row>
    <row r="3018" spans="2:20">
      <c r="B3018" s="204"/>
      <c r="C3018" s="204"/>
      <c r="D3018" s="204"/>
      <c r="E3018" s="204"/>
      <c r="F3018" s="204"/>
      <c r="G3018" s="204"/>
      <c r="H3018" s="204"/>
      <c r="I3018" s="204"/>
      <c r="J3018" s="204"/>
      <c r="K3018" s="204"/>
      <c r="L3018" s="204"/>
      <c r="M3018" s="204"/>
      <c r="N3018" s="204"/>
      <c r="O3018" s="204"/>
      <c r="P3018" s="204"/>
      <c r="T3018" s="217"/>
    </row>
    <row r="3019" spans="2:20">
      <c r="B3019" s="204"/>
      <c r="C3019" s="204"/>
      <c r="D3019" s="204"/>
      <c r="E3019" s="204"/>
      <c r="F3019" s="204"/>
      <c r="G3019" s="204"/>
      <c r="H3019" s="204"/>
      <c r="I3019" s="204"/>
      <c r="J3019" s="204"/>
      <c r="K3019" s="204"/>
      <c r="L3019" s="204"/>
      <c r="M3019" s="204"/>
      <c r="N3019" s="204"/>
      <c r="O3019" s="204"/>
      <c r="P3019" s="204"/>
      <c r="T3019" s="217"/>
    </row>
    <row r="3020" spans="2:20">
      <c r="B3020" s="204"/>
      <c r="C3020" s="204"/>
      <c r="D3020" s="204"/>
      <c r="E3020" s="204"/>
      <c r="F3020" s="204"/>
      <c r="G3020" s="204"/>
      <c r="H3020" s="204"/>
      <c r="I3020" s="204"/>
      <c r="J3020" s="204"/>
      <c r="K3020" s="204"/>
      <c r="L3020" s="204"/>
      <c r="M3020" s="204"/>
      <c r="N3020" s="204"/>
      <c r="O3020" s="204"/>
      <c r="P3020" s="204"/>
      <c r="T3020" s="217"/>
    </row>
    <row r="3021" spans="2:20">
      <c r="B3021" s="204"/>
      <c r="C3021" s="204"/>
      <c r="D3021" s="204"/>
      <c r="E3021" s="204"/>
      <c r="F3021" s="204"/>
      <c r="G3021" s="204"/>
      <c r="H3021" s="204"/>
      <c r="I3021" s="204"/>
      <c r="J3021" s="204"/>
      <c r="K3021" s="204"/>
      <c r="L3021" s="204"/>
      <c r="M3021" s="204"/>
      <c r="N3021" s="204"/>
      <c r="O3021" s="204"/>
      <c r="P3021" s="204"/>
      <c r="T3021" s="217"/>
    </row>
    <row r="3022" spans="2:20">
      <c r="B3022" s="204"/>
      <c r="C3022" s="204"/>
      <c r="D3022" s="204"/>
      <c r="E3022" s="204"/>
      <c r="F3022" s="204"/>
      <c r="G3022" s="204"/>
      <c r="H3022" s="204"/>
      <c r="I3022" s="204"/>
      <c r="J3022" s="204"/>
      <c r="K3022" s="204"/>
      <c r="L3022" s="204"/>
      <c r="M3022" s="204"/>
      <c r="N3022" s="204"/>
      <c r="O3022" s="204"/>
      <c r="P3022" s="204"/>
      <c r="T3022" s="217"/>
    </row>
    <row r="3023" spans="2:20">
      <c r="B3023" s="204"/>
      <c r="C3023" s="204"/>
      <c r="D3023" s="204"/>
      <c r="E3023" s="204"/>
      <c r="F3023" s="204"/>
      <c r="G3023" s="204"/>
      <c r="H3023" s="204"/>
      <c r="I3023" s="204"/>
      <c r="J3023" s="204"/>
      <c r="K3023" s="204"/>
      <c r="L3023" s="204"/>
      <c r="M3023" s="204"/>
      <c r="N3023" s="204"/>
      <c r="O3023" s="204"/>
      <c r="P3023" s="204"/>
      <c r="T3023" s="217"/>
    </row>
    <row r="3024" spans="2:20">
      <c r="B3024" s="204"/>
      <c r="C3024" s="204"/>
      <c r="D3024" s="204"/>
      <c r="E3024" s="204"/>
      <c r="F3024" s="204"/>
      <c r="G3024" s="204"/>
      <c r="H3024" s="204"/>
      <c r="I3024" s="204"/>
      <c r="J3024" s="204"/>
      <c r="K3024" s="204"/>
      <c r="L3024" s="204"/>
      <c r="M3024" s="204"/>
      <c r="N3024" s="204"/>
      <c r="O3024" s="204"/>
      <c r="P3024" s="204"/>
      <c r="T3024" s="217"/>
    </row>
    <row r="3025" spans="2:20">
      <c r="B3025" s="204"/>
      <c r="C3025" s="204"/>
      <c r="D3025" s="204"/>
      <c r="E3025" s="204"/>
      <c r="F3025" s="204"/>
      <c r="G3025" s="204"/>
      <c r="H3025" s="204"/>
      <c r="I3025" s="204"/>
      <c r="J3025" s="204"/>
      <c r="K3025" s="204"/>
      <c r="L3025" s="204"/>
      <c r="M3025" s="204"/>
      <c r="N3025" s="204"/>
      <c r="O3025" s="204"/>
      <c r="P3025" s="204"/>
      <c r="T3025" s="217"/>
    </row>
    <row r="3026" spans="2:20">
      <c r="B3026" s="204"/>
      <c r="C3026" s="204"/>
      <c r="D3026" s="204"/>
      <c r="E3026" s="204"/>
      <c r="F3026" s="204"/>
      <c r="G3026" s="204"/>
      <c r="H3026" s="204"/>
      <c r="I3026" s="204"/>
      <c r="J3026" s="204"/>
      <c r="K3026" s="204"/>
      <c r="L3026" s="204"/>
      <c r="M3026" s="204"/>
      <c r="N3026" s="204"/>
      <c r="O3026" s="204"/>
      <c r="P3026" s="204"/>
      <c r="T3026" s="217"/>
    </row>
    <row r="3027" spans="2:20">
      <c r="B3027" s="204"/>
      <c r="C3027" s="204"/>
      <c r="D3027" s="204"/>
      <c r="E3027" s="204"/>
      <c r="F3027" s="204"/>
      <c r="G3027" s="204"/>
      <c r="H3027" s="204"/>
      <c r="I3027" s="204"/>
      <c r="J3027" s="204"/>
      <c r="K3027" s="204"/>
      <c r="L3027" s="204"/>
      <c r="M3027" s="204"/>
      <c r="N3027" s="204"/>
      <c r="O3027" s="204"/>
      <c r="P3027" s="204"/>
      <c r="T3027" s="217"/>
    </row>
    <row r="3028" spans="2:20">
      <c r="B3028" s="204"/>
      <c r="C3028" s="204"/>
      <c r="D3028" s="204"/>
      <c r="E3028" s="204"/>
      <c r="F3028" s="204"/>
      <c r="G3028" s="204"/>
      <c r="H3028" s="204"/>
      <c r="I3028" s="204"/>
      <c r="J3028" s="204"/>
      <c r="K3028" s="204"/>
      <c r="L3028" s="204"/>
      <c r="M3028" s="204"/>
      <c r="N3028" s="204"/>
      <c r="O3028" s="204"/>
      <c r="P3028" s="204"/>
      <c r="T3028" s="217"/>
    </row>
    <row r="3029" spans="2:20">
      <c r="B3029" s="204"/>
      <c r="C3029" s="204"/>
      <c r="D3029" s="204"/>
      <c r="E3029" s="204"/>
      <c r="F3029" s="204"/>
      <c r="G3029" s="204"/>
      <c r="H3029" s="204"/>
      <c r="I3029" s="204"/>
      <c r="J3029" s="204"/>
      <c r="K3029" s="204"/>
      <c r="L3029" s="204"/>
      <c r="M3029" s="204"/>
      <c r="N3029" s="204"/>
      <c r="O3029" s="204"/>
      <c r="P3029" s="204"/>
      <c r="T3029" s="217"/>
    </row>
    <row r="3030" spans="2:20">
      <c r="B3030" s="204"/>
      <c r="C3030" s="204"/>
      <c r="D3030" s="204"/>
      <c r="E3030" s="204"/>
      <c r="F3030" s="204"/>
      <c r="G3030" s="204"/>
      <c r="H3030" s="204"/>
      <c r="I3030" s="204"/>
      <c r="J3030" s="204"/>
      <c r="K3030" s="204"/>
      <c r="L3030" s="204"/>
      <c r="M3030" s="204"/>
      <c r="N3030" s="204"/>
      <c r="O3030" s="204"/>
      <c r="P3030" s="204"/>
      <c r="T3030" s="217"/>
    </row>
    <row r="3031" spans="2:20">
      <c r="B3031" s="204"/>
      <c r="C3031" s="204"/>
      <c r="D3031" s="204"/>
      <c r="E3031" s="204"/>
      <c r="F3031" s="204"/>
      <c r="G3031" s="204"/>
      <c r="H3031" s="204"/>
      <c r="I3031" s="204"/>
      <c r="J3031" s="204"/>
      <c r="K3031" s="204"/>
      <c r="L3031" s="204"/>
      <c r="M3031" s="204"/>
      <c r="N3031" s="204"/>
      <c r="O3031" s="204"/>
      <c r="P3031" s="204"/>
      <c r="T3031" s="217"/>
    </row>
    <row r="3032" spans="2:20">
      <c r="B3032" s="204"/>
      <c r="C3032" s="204"/>
      <c r="D3032" s="204"/>
      <c r="E3032" s="204"/>
      <c r="F3032" s="204"/>
      <c r="G3032" s="204"/>
      <c r="H3032" s="204"/>
      <c r="I3032" s="204"/>
      <c r="J3032" s="204"/>
      <c r="K3032" s="204"/>
      <c r="L3032" s="204"/>
      <c r="M3032" s="204"/>
      <c r="N3032" s="204"/>
      <c r="O3032" s="204"/>
      <c r="P3032" s="204"/>
      <c r="T3032" s="217"/>
    </row>
    <row r="3033" spans="2:20">
      <c r="B3033" s="204"/>
      <c r="C3033" s="204"/>
      <c r="D3033" s="204"/>
      <c r="E3033" s="204"/>
      <c r="F3033" s="204"/>
      <c r="G3033" s="204"/>
      <c r="H3033" s="204"/>
      <c r="I3033" s="204"/>
      <c r="J3033" s="204"/>
      <c r="K3033" s="204"/>
      <c r="L3033" s="204"/>
      <c r="M3033" s="204"/>
      <c r="N3033" s="204"/>
      <c r="O3033" s="204"/>
      <c r="P3033" s="204"/>
      <c r="T3033" s="217"/>
    </row>
    <row r="3034" spans="2:20">
      <c r="B3034" s="204"/>
      <c r="C3034" s="204"/>
      <c r="D3034" s="204"/>
      <c r="E3034" s="204"/>
      <c r="F3034" s="204"/>
      <c r="G3034" s="204"/>
      <c r="H3034" s="204"/>
      <c r="I3034" s="204"/>
      <c r="J3034" s="204"/>
      <c r="K3034" s="204"/>
      <c r="L3034" s="204"/>
      <c r="M3034" s="204"/>
      <c r="N3034" s="204"/>
      <c r="O3034" s="204"/>
      <c r="P3034" s="204"/>
      <c r="T3034" s="217"/>
    </row>
    <row r="3035" spans="2:20">
      <c r="B3035" s="204"/>
      <c r="C3035" s="204"/>
      <c r="D3035" s="204"/>
      <c r="E3035" s="204"/>
      <c r="F3035" s="204"/>
      <c r="G3035" s="204"/>
      <c r="H3035" s="204"/>
      <c r="I3035" s="204"/>
      <c r="J3035" s="204"/>
      <c r="K3035" s="204"/>
      <c r="L3035" s="204"/>
      <c r="M3035" s="204"/>
      <c r="N3035" s="204"/>
      <c r="O3035" s="204"/>
      <c r="P3035" s="204"/>
      <c r="T3035" s="217"/>
    </row>
    <row r="3036" spans="2:20">
      <c r="B3036" s="204"/>
      <c r="C3036" s="204"/>
      <c r="D3036" s="204"/>
      <c r="E3036" s="204"/>
      <c r="F3036" s="204"/>
      <c r="G3036" s="204"/>
      <c r="H3036" s="204"/>
      <c r="I3036" s="204"/>
      <c r="J3036" s="204"/>
      <c r="K3036" s="204"/>
      <c r="L3036" s="204"/>
      <c r="M3036" s="204"/>
      <c r="N3036" s="204"/>
      <c r="O3036" s="204"/>
      <c r="P3036" s="204"/>
      <c r="T3036" s="217"/>
    </row>
    <row r="3037" spans="2:20">
      <c r="B3037" s="204"/>
      <c r="C3037" s="204"/>
      <c r="D3037" s="204"/>
      <c r="E3037" s="204"/>
      <c r="F3037" s="204"/>
      <c r="G3037" s="204"/>
      <c r="H3037" s="204"/>
      <c r="I3037" s="204"/>
      <c r="J3037" s="204"/>
      <c r="K3037" s="204"/>
      <c r="L3037" s="204"/>
      <c r="M3037" s="204"/>
      <c r="N3037" s="204"/>
      <c r="O3037" s="204"/>
      <c r="P3037" s="204"/>
      <c r="T3037" s="217"/>
    </row>
    <row r="3038" spans="2:20">
      <c r="B3038" s="204"/>
      <c r="C3038" s="204"/>
      <c r="D3038" s="204"/>
      <c r="E3038" s="204"/>
      <c r="F3038" s="204"/>
      <c r="G3038" s="204"/>
      <c r="H3038" s="204"/>
      <c r="I3038" s="204"/>
      <c r="J3038" s="204"/>
      <c r="K3038" s="204"/>
      <c r="L3038" s="204"/>
      <c r="M3038" s="204"/>
      <c r="N3038" s="204"/>
      <c r="O3038" s="204"/>
      <c r="P3038" s="204"/>
      <c r="T3038" s="217"/>
    </row>
    <row r="3039" spans="2:20">
      <c r="B3039" s="204"/>
      <c r="C3039" s="204"/>
      <c r="D3039" s="204"/>
      <c r="E3039" s="204"/>
      <c r="F3039" s="204"/>
      <c r="G3039" s="204"/>
      <c r="H3039" s="204"/>
      <c r="I3039" s="204"/>
      <c r="J3039" s="204"/>
      <c r="K3039" s="204"/>
      <c r="L3039" s="204"/>
      <c r="M3039" s="204"/>
      <c r="N3039" s="204"/>
      <c r="O3039" s="204"/>
      <c r="P3039" s="204"/>
      <c r="T3039" s="217"/>
    </row>
    <row r="3040" spans="2:20">
      <c r="B3040" s="204"/>
      <c r="C3040" s="204"/>
      <c r="D3040" s="204"/>
      <c r="E3040" s="204"/>
      <c r="F3040" s="204"/>
      <c r="G3040" s="204"/>
      <c r="H3040" s="204"/>
      <c r="I3040" s="204"/>
      <c r="J3040" s="204"/>
      <c r="K3040" s="204"/>
      <c r="L3040" s="204"/>
      <c r="M3040" s="204"/>
      <c r="N3040" s="204"/>
      <c r="O3040" s="204"/>
      <c r="P3040" s="204"/>
      <c r="T3040" s="217"/>
    </row>
    <row r="3041" spans="2:20">
      <c r="B3041" s="204"/>
      <c r="C3041" s="204"/>
      <c r="D3041" s="204"/>
      <c r="E3041" s="204"/>
      <c r="F3041" s="204"/>
      <c r="G3041" s="204"/>
      <c r="H3041" s="204"/>
      <c r="I3041" s="204"/>
      <c r="J3041" s="204"/>
      <c r="K3041" s="204"/>
      <c r="L3041" s="204"/>
      <c r="M3041" s="204"/>
      <c r="N3041" s="204"/>
      <c r="O3041" s="204"/>
      <c r="P3041" s="204"/>
      <c r="T3041" s="217"/>
    </row>
    <row r="3042" spans="2:20">
      <c r="B3042" s="204"/>
      <c r="C3042" s="204"/>
      <c r="D3042" s="204"/>
      <c r="E3042" s="204"/>
      <c r="F3042" s="204"/>
      <c r="G3042" s="204"/>
      <c r="H3042" s="204"/>
      <c r="I3042" s="204"/>
      <c r="J3042" s="204"/>
      <c r="K3042" s="204"/>
      <c r="L3042" s="204"/>
      <c r="M3042" s="204"/>
      <c r="N3042" s="204"/>
      <c r="O3042" s="204"/>
      <c r="P3042" s="204"/>
      <c r="T3042" s="217"/>
    </row>
    <row r="3043" spans="2:20">
      <c r="B3043" s="204"/>
      <c r="C3043" s="204"/>
      <c r="D3043" s="204"/>
      <c r="E3043" s="204"/>
      <c r="F3043" s="204"/>
      <c r="G3043" s="204"/>
      <c r="H3043" s="204"/>
      <c r="I3043" s="204"/>
      <c r="J3043" s="204"/>
      <c r="K3043" s="204"/>
      <c r="L3043" s="204"/>
      <c r="M3043" s="204"/>
      <c r="N3043" s="204"/>
      <c r="O3043" s="204"/>
      <c r="P3043" s="204"/>
      <c r="T3043" s="217"/>
    </row>
    <row r="3044" spans="2:20">
      <c r="B3044" s="204"/>
      <c r="C3044" s="204"/>
      <c r="D3044" s="204"/>
      <c r="E3044" s="204"/>
      <c r="F3044" s="204"/>
      <c r="G3044" s="204"/>
      <c r="H3044" s="204"/>
      <c r="I3044" s="204"/>
      <c r="J3044" s="204"/>
      <c r="K3044" s="204"/>
      <c r="L3044" s="204"/>
      <c r="M3044" s="204"/>
      <c r="N3044" s="204"/>
      <c r="O3044" s="204"/>
      <c r="P3044" s="204"/>
      <c r="T3044" s="217"/>
    </row>
    <row r="3045" spans="2:20">
      <c r="B3045" s="204"/>
      <c r="C3045" s="204"/>
      <c r="D3045" s="204"/>
      <c r="E3045" s="204"/>
      <c r="F3045" s="204"/>
      <c r="G3045" s="204"/>
      <c r="H3045" s="204"/>
      <c r="I3045" s="204"/>
      <c r="J3045" s="204"/>
      <c r="K3045" s="204"/>
      <c r="L3045" s="204"/>
      <c r="M3045" s="204"/>
      <c r="N3045" s="204"/>
      <c r="O3045" s="204"/>
      <c r="P3045" s="204"/>
      <c r="T3045" s="217"/>
    </row>
    <row r="3046" spans="2:20">
      <c r="B3046" s="204"/>
      <c r="C3046" s="204"/>
      <c r="D3046" s="204"/>
      <c r="E3046" s="204"/>
      <c r="F3046" s="204"/>
      <c r="G3046" s="204"/>
      <c r="H3046" s="204"/>
      <c r="I3046" s="204"/>
      <c r="J3046" s="204"/>
      <c r="K3046" s="204"/>
      <c r="L3046" s="204"/>
      <c r="M3046" s="204"/>
      <c r="N3046" s="204"/>
      <c r="O3046" s="204"/>
      <c r="P3046" s="204"/>
      <c r="T3046" s="217"/>
    </row>
    <row r="3047" spans="2:20">
      <c r="B3047" s="204"/>
      <c r="C3047" s="204"/>
      <c r="D3047" s="204"/>
      <c r="E3047" s="204"/>
      <c r="F3047" s="204"/>
      <c r="G3047" s="204"/>
      <c r="H3047" s="204"/>
      <c r="I3047" s="204"/>
      <c r="J3047" s="204"/>
      <c r="K3047" s="204"/>
      <c r="L3047" s="204"/>
      <c r="M3047" s="204"/>
      <c r="N3047" s="204"/>
      <c r="O3047" s="204"/>
      <c r="P3047" s="204"/>
      <c r="T3047" s="217"/>
    </row>
    <row r="3048" spans="2:20">
      <c r="B3048" s="204"/>
      <c r="C3048" s="204"/>
      <c r="D3048" s="204"/>
      <c r="E3048" s="204"/>
      <c r="F3048" s="204"/>
      <c r="G3048" s="204"/>
      <c r="H3048" s="204"/>
      <c r="I3048" s="204"/>
      <c r="J3048" s="204"/>
      <c r="K3048" s="204"/>
      <c r="L3048" s="204"/>
      <c r="M3048" s="204"/>
      <c r="N3048" s="204"/>
      <c r="O3048" s="204"/>
      <c r="P3048" s="204"/>
      <c r="T3048" s="217"/>
    </row>
    <row r="3049" spans="2:20">
      <c r="B3049" s="204"/>
      <c r="C3049" s="204"/>
      <c r="D3049" s="204"/>
      <c r="E3049" s="204"/>
      <c r="F3049" s="204"/>
      <c r="G3049" s="204"/>
      <c r="H3049" s="204"/>
      <c r="I3049" s="204"/>
      <c r="J3049" s="204"/>
      <c r="K3049" s="204"/>
      <c r="L3049" s="204"/>
      <c r="M3049" s="204"/>
      <c r="N3049" s="204"/>
      <c r="O3049" s="204"/>
      <c r="P3049" s="204"/>
      <c r="T3049" s="217"/>
    </row>
    <row r="3050" spans="2:20">
      <c r="B3050" s="204"/>
      <c r="C3050" s="204"/>
      <c r="D3050" s="204"/>
      <c r="E3050" s="204"/>
      <c r="F3050" s="204"/>
      <c r="G3050" s="204"/>
      <c r="H3050" s="204"/>
      <c r="I3050" s="204"/>
      <c r="J3050" s="204"/>
      <c r="K3050" s="204"/>
      <c r="L3050" s="204"/>
      <c r="M3050" s="204"/>
      <c r="N3050" s="204"/>
      <c r="O3050" s="204"/>
      <c r="P3050" s="204"/>
      <c r="T3050" s="217"/>
    </row>
    <row r="3051" spans="2:20">
      <c r="B3051" s="204"/>
      <c r="C3051" s="204"/>
      <c r="D3051" s="204"/>
      <c r="E3051" s="204"/>
      <c r="F3051" s="204"/>
      <c r="G3051" s="204"/>
      <c r="H3051" s="204"/>
      <c r="I3051" s="204"/>
      <c r="J3051" s="204"/>
      <c r="K3051" s="204"/>
      <c r="L3051" s="204"/>
      <c r="M3051" s="204"/>
      <c r="N3051" s="204"/>
      <c r="O3051" s="204"/>
      <c r="P3051" s="204"/>
      <c r="T3051" s="217"/>
    </row>
    <row r="3052" spans="2:20">
      <c r="B3052" s="204"/>
      <c r="C3052" s="204"/>
      <c r="D3052" s="204"/>
      <c r="E3052" s="204"/>
      <c r="F3052" s="204"/>
      <c r="G3052" s="204"/>
      <c r="H3052" s="204"/>
      <c r="I3052" s="204"/>
      <c r="J3052" s="204"/>
      <c r="K3052" s="204"/>
      <c r="L3052" s="204"/>
      <c r="M3052" s="204"/>
      <c r="N3052" s="204"/>
      <c r="O3052" s="204"/>
      <c r="P3052" s="204"/>
      <c r="T3052" s="217"/>
    </row>
    <row r="3053" spans="2:20">
      <c r="B3053" s="204"/>
      <c r="C3053" s="204"/>
      <c r="D3053" s="204"/>
      <c r="E3053" s="204"/>
      <c r="F3053" s="204"/>
      <c r="G3053" s="204"/>
      <c r="H3053" s="204"/>
      <c r="I3053" s="204"/>
      <c r="J3053" s="204"/>
      <c r="K3053" s="204"/>
      <c r="L3053" s="204"/>
      <c r="M3053" s="204"/>
      <c r="N3053" s="204"/>
      <c r="O3053" s="204"/>
      <c r="P3053" s="204"/>
      <c r="T3053" s="217"/>
    </row>
    <row r="3054" spans="2:20">
      <c r="B3054" s="204"/>
      <c r="C3054" s="204"/>
      <c r="D3054" s="204"/>
      <c r="E3054" s="204"/>
      <c r="F3054" s="204"/>
      <c r="G3054" s="204"/>
      <c r="H3054" s="204"/>
      <c r="I3054" s="204"/>
      <c r="J3054" s="204"/>
      <c r="K3054" s="204"/>
      <c r="L3054" s="204"/>
      <c r="M3054" s="204"/>
      <c r="N3054" s="204"/>
      <c r="O3054" s="204"/>
      <c r="P3054" s="204"/>
      <c r="T3054" s="217"/>
    </row>
    <row r="3055" spans="2:20">
      <c r="B3055" s="204"/>
      <c r="C3055" s="204"/>
      <c r="D3055" s="204"/>
      <c r="E3055" s="204"/>
      <c r="F3055" s="204"/>
      <c r="G3055" s="204"/>
      <c r="H3055" s="204"/>
      <c r="I3055" s="204"/>
      <c r="J3055" s="204"/>
      <c r="K3055" s="204"/>
      <c r="L3055" s="204"/>
      <c r="M3055" s="204"/>
      <c r="N3055" s="204"/>
      <c r="O3055" s="204"/>
      <c r="P3055" s="204"/>
      <c r="T3055" s="217"/>
    </row>
    <row r="3056" spans="2:20">
      <c r="B3056" s="204"/>
      <c r="C3056" s="204"/>
      <c r="D3056" s="204"/>
      <c r="E3056" s="204"/>
      <c r="F3056" s="204"/>
      <c r="G3056" s="204"/>
      <c r="H3056" s="204"/>
      <c r="I3056" s="204"/>
      <c r="J3056" s="204"/>
      <c r="K3056" s="204"/>
      <c r="L3056" s="204"/>
      <c r="M3056" s="204"/>
      <c r="N3056" s="204"/>
      <c r="O3056" s="204"/>
      <c r="P3056" s="204"/>
      <c r="T3056" s="217"/>
    </row>
    <row r="3057" spans="2:20">
      <c r="B3057" s="204"/>
      <c r="C3057" s="204"/>
      <c r="D3057" s="204"/>
      <c r="E3057" s="204"/>
      <c r="F3057" s="204"/>
      <c r="G3057" s="204"/>
      <c r="H3057" s="204"/>
      <c r="I3057" s="204"/>
      <c r="J3057" s="204"/>
      <c r="K3057" s="204"/>
      <c r="L3057" s="204"/>
      <c r="M3057" s="204"/>
      <c r="N3057" s="204"/>
      <c r="O3057" s="204"/>
      <c r="P3057" s="204"/>
      <c r="T3057" s="217"/>
    </row>
    <row r="3058" spans="2:20">
      <c r="B3058" s="204"/>
      <c r="C3058" s="204"/>
      <c r="D3058" s="204"/>
      <c r="E3058" s="204"/>
      <c r="F3058" s="204"/>
      <c r="G3058" s="204"/>
      <c r="H3058" s="204"/>
      <c r="I3058" s="204"/>
      <c r="J3058" s="204"/>
      <c r="K3058" s="204"/>
      <c r="L3058" s="204"/>
      <c r="M3058" s="204"/>
      <c r="N3058" s="204"/>
      <c r="O3058" s="204"/>
      <c r="P3058" s="204"/>
      <c r="T3058" s="217"/>
    </row>
    <row r="3059" spans="2:20">
      <c r="B3059" s="204"/>
      <c r="C3059" s="204"/>
      <c r="D3059" s="204"/>
      <c r="E3059" s="204"/>
      <c r="F3059" s="204"/>
      <c r="G3059" s="204"/>
      <c r="H3059" s="204"/>
      <c r="I3059" s="204"/>
      <c r="J3059" s="204"/>
      <c r="K3059" s="204"/>
      <c r="L3059" s="204"/>
      <c r="M3059" s="204"/>
      <c r="N3059" s="204"/>
      <c r="O3059" s="204"/>
      <c r="P3059" s="204"/>
      <c r="T3059" s="217"/>
    </row>
    <row r="3060" spans="2:20">
      <c r="B3060" s="204"/>
      <c r="C3060" s="204"/>
      <c r="D3060" s="204"/>
      <c r="E3060" s="204"/>
      <c r="F3060" s="204"/>
      <c r="G3060" s="204"/>
      <c r="H3060" s="204"/>
      <c r="I3060" s="204"/>
      <c r="J3060" s="204"/>
      <c r="K3060" s="204"/>
      <c r="L3060" s="204"/>
      <c r="M3060" s="204"/>
      <c r="N3060" s="204"/>
      <c r="O3060" s="204"/>
      <c r="P3060" s="204"/>
      <c r="T3060" s="217"/>
    </row>
    <row r="3061" spans="2:20">
      <c r="B3061" s="204"/>
      <c r="C3061" s="204"/>
      <c r="D3061" s="204"/>
      <c r="E3061" s="204"/>
      <c r="F3061" s="204"/>
      <c r="G3061" s="204"/>
      <c r="H3061" s="204"/>
      <c r="I3061" s="204"/>
      <c r="J3061" s="204"/>
      <c r="K3061" s="204"/>
      <c r="L3061" s="204"/>
      <c r="M3061" s="204"/>
      <c r="N3061" s="204"/>
      <c r="O3061" s="204"/>
      <c r="P3061" s="204"/>
      <c r="T3061" s="217"/>
    </row>
    <row r="3062" spans="2:20">
      <c r="B3062" s="204"/>
      <c r="C3062" s="204"/>
      <c r="D3062" s="204"/>
      <c r="E3062" s="204"/>
      <c r="F3062" s="204"/>
      <c r="G3062" s="204"/>
      <c r="H3062" s="204"/>
      <c r="I3062" s="204"/>
      <c r="J3062" s="204"/>
      <c r="K3062" s="204"/>
      <c r="L3062" s="204"/>
      <c r="M3062" s="204"/>
      <c r="N3062" s="204"/>
      <c r="O3062" s="204"/>
      <c r="P3062" s="204"/>
      <c r="T3062" s="217"/>
    </row>
    <row r="3063" spans="2:20">
      <c r="B3063" s="204"/>
      <c r="C3063" s="204"/>
      <c r="D3063" s="204"/>
      <c r="E3063" s="204"/>
      <c r="F3063" s="204"/>
      <c r="G3063" s="204"/>
      <c r="H3063" s="204"/>
      <c r="I3063" s="204"/>
      <c r="J3063" s="204"/>
      <c r="K3063" s="204"/>
      <c r="L3063" s="204"/>
      <c r="M3063" s="204"/>
      <c r="N3063" s="204"/>
      <c r="O3063" s="204"/>
      <c r="P3063" s="204"/>
      <c r="T3063" s="217"/>
    </row>
    <row r="3064" spans="2:20">
      <c r="B3064" s="204"/>
      <c r="C3064" s="204"/>
      <c r="D3064" s="204"/>
      <c r="E3064" s="204"/>
      <c r="F3064" s="204"/>
      <c r="G3064" s="204"/>
      <c r="H3064" s="204"/>
      <c r="I3064" s="204"/>
      <c r="J3064" s="204"/>
      <c r="K3064" s="204"/>
      <c r="L3064" s="204"/>
      <c r="M3064" s="204"/>
      <c r="N3064" s="204"/>
      <c r="O3064" s="204"/>
      <c r="P3064" s="204"/>
      <c r="T3064" s="217"/>
    </row>
    <row r="3065" spans="2:20">
      <c r="B3065" s="204"/>
      <c r="C3065" s="204"/>
      <c r="D3065" s="204"/>
      <c r="E3065" s="204"/>
      <c r="F3065" s="204"/>
      <c r="G3065" s="204"/>
      <c r="H3065" s="204"/>
      <c r="I3065" s="204"/>
      <c r="J3065" s="204"/>
      <c r="K3065" s="204"/>
      <c r="L3065" s="204"/>
      <c r="M3065" s="204"/>
      <c r="N3065" s="204"/>
      <c r="O3065" s="204"/>
      <c r="P3065" s="204"/>
      <c r="T3065" s="217"/>
    </row>
    <row r="3066" spans="2:20">
      <c r="B3066" s="204"/>
      <c r="C3066" s="204"/>
      <c r="D3066" s="204"/>
      <c r="E3066" s="204"/>
      <c r="F3066" s="204"/>
      <c r="G3066" s="204"/>
      <c r="H3066" s="204"/>
      <c r="I3066" s="204"/>
      <c r="J3066" s="204"/>
      <c r="K3066" s="204"/>
      <c r="L3066" s="204"/>
      <c r="M3066" s="204"/>
      <c r="N3066" s="204"/>
      <c r="O3066" s="204"/>
      <c r="P3066" s="204"/>
      <c r="T3066" s="217"/>
    </row>
    <row r="3067" spans="2:20">
      <c r="B3067" s="204"/>
      <c r="C3067" s="204"/>
      <c r="D3067" s="204"/>
      <c r="E3067" s="204"/>
      <c r="F3067" s="204"/>
      <c r="G3067" s="204"/>
      <c r="H3067" s="204"/>
      <c r="I3067" s="204"/>
      <c r="J3067" s="204"/>
      <c r="K3067" s="204"/>
      <c r="L3067" s="204"/>
      <c r="M3067" s="204"/>
      <c r="N3067" s="204"/>
      <c r="O3067" s="204"/>
      <c r="P3067" s="204"/>
      <c r="T3067" s="217"/>
    </row>
    <row r="3068" spans="2:20">
      <c r="B3068" s="204"/>
      <c r="C3068" s="204"/>
      <c r="D3068" s="204"/>
      <c r="E3068" s="204"/>
      <c r="F3068" s="204"/>
      <c r="G3068" s="204"/>
      <c r="H3068" s="204"/>
      <c r="I3068" s="204"/>
      <c r="J3068" s="204"/>
      <c r="K3068" s="204"/>
      <c r="L3068" s="204"/>
      <c r="M3068" s="204"/>
      <c r="N3068" s="204"/>
      <c r="O3068" s="204"/>
      <c r="P3068" s="204"/>
      <c r="T3068" s="217"/>
    </row>
    <row r="3069" spans="2:20">
      <c r="B3069" s="204"/>
      <c r="C3069" s="204"/>
      <c r="D3069" s="204"/>
      <c r="E3069" s="204"/>
      <c r="F3069" s="204"/>
      <c r="G3069" s="204"/>
      <c r="H3069" s="204"/>
      <c r="I3069" s="204"/>
      <c r="J3069" s="204"/>
      <c r="K3069" s="204"/>
      <c r="L3069" s="204"/>
      <c r="M3069" s="204"/>
      <c r="N3069" s="204"/>
      <c r="O3069" s="204"/>
      <c r="P3069" s="204"/>
      <c r="T3069" s="217"/>
    </row>
    <row r="3070" spans="2:20">
      <c r="B3070" s="204"/>
      <c r="C3070" s="204"/>
      <c r="D3070" s="204"/>
      <c r="E3070" s="204"/>
      <c r="F3070" s="204"/>
      <c r="G3070" s="204"/>
      <c r="H3070" s="204"/>
      <c r="I3070" s="204"/>
      <c r="J3070" s="204"/>
      <c r="K3070" s="204"/>
      <c r="L3070" s="204"/>
      <c r="M3070" s="204"/>
      <c r="N3070" s="204"/>
      <c r="O3070" s="204"/>
      <c r="P3070" s="204"/>
      <c r="T3070" s="217"/>
    </row>
    <row r="3071" spans="2:20">
      <c r="B3071" s="204"/>
      <c r="C3071" s="204"/>
      <c r="D3071" s="204"/>
      <c r="E3071" s="204"/>
      <c r="F3071" s="204"/>
      <c r="G3071" s="204"/>
      <c r="H3071" s="204"/>
      <c r="I3071" s="204"/>
      <c r="J3071" s="204"/>
      <c r="K3071" s="204"/>
      <c r="L3071" s="204"/>
      <c r="M3071" s="204"/>
      <c r="N3071" s="204"/>
      <c r="O3071" s="204"/>
      <c r="P3071" s="204"/>
      <c r="T3071" s="217"/>
    </row>
    <row r="3072" spans="2:20">
      <c r="B3072" s="204"/>
      <c r="C3072" s="204"/>
      <c r="D3072" s="204"/>
      <c r="E3072" s="204"/>
      <c r="F3072" s="204"/>
      <c r="G3072" s="204"/>
      <c r="H3072" s="204"/>
      <c r="I3072" s="204"/>
      <c r="J3072" s="204"/>
      <c r="K3072" s="204"/>
      <c r="L3072" s="204"/>
      <c r="M3072" s="204"/>
      <c r="N3072" s="204"/>
      <c r="O3072" s="204"/>
      <c r="P3072" s="204"/>
      <c r="T3072" s="217"/>
    </row>
    <row r="3073" spans="2:20">
      <c r="B3073" s="204"/>
      <c r="C3073" s="204"/>
      <c r="D3073" s="204"/>
      <c r="E3073" s="204"/>
      <c r="F3073" s="204"/>
      <c r="G3073" s="204"/>
      <c r="H3073" s="204"/>
      <c r="I3073" s="204"/>
      <c r="J3073" s="204"/>
      <c r="K3073" s="204"/>
      <c r="L3073" s="204"/>
      <c r="M3073" s="204"/>
      <c r="N3073" s="204"/>
      <c r="O3073" s="204"/>
      <c r="P3073" s="204"/>
      <c r="T3073" s="217"/>
    </row>
    <row r="3074" spans="2:20">
      <c r="B3074" s="204"/>
      <c r="C3074" s="204"/>
      <c r="D3074" s="204"/>
      <c r="E3074" s="204"/>
      <c r="F3074" s="204"/>
      <c r="G3074" s="204"/>
      <c r="H3074" s="204"/>
      <c r="I3074" s="204"/>
      <c r="J3074" s="204"/>
      <c r="K3074" s="204"/>
      <c r="L3074" s="204"/>
      <c r="M3074" s="204"/>
      <c r="N3074" s="204"/>
      <c r="O3074" s="204"/>
      <c r="P3074" s="204"/>
      <c r="T3074" s="217"/>
    </row>
    <row r="3075" spans="2:20">
      <c r="B3075" s="204"/>
      <c r="C3075" s="204"/>
      <c r="D3075" s="204"/>
      <c r="E3075" s="204"/>
      <c r="F3075" s="204"/>
      <c r="G3075" s="204"/>
      <c r="H3075" s="204"/>
      <c r="I3075" s="204"/>
      <c r="J3075" s="204"/>
      <c r="K3075" s="204"/>
      <c r="L3075" s="204"/>
      <c r="M3075" s="204"/>
      <c r="N3075" s="204"/>
      <c r="O3075" s="204"/>
      <c r="P3075" s="204"/>
      <c r="T3075" s="217"/>
    </row>
    <row r="3076" spans="2:20">
      <c r="B3076" s="204"/>
      <c r="C3076" s="204"/>
      <c r="D3076" s="204"/>
      <c r="E3076" s="204"/>
      <c r="F3076" s="204"/>
      <c r="G3076" s="204"/>
      <c r="H3076" s="204"/>
      <c r="I3076" s="204"/>
      <c r="J3076" s="204"/>
      <c r="K3076" s="204"/>
      <c r="L3076" s="204"/>
      <c r="M3076" s="204"/>
      <c r="N3076" s="204"/>
      <c r="O3076" s="204"/>
      <c r="P3076" s="204"/>
      <c r="T3076" s="217"/>
    </row>
    <row r="3077" spans="2:20">
      <c r="B3077" s="204"/>
      <c r="C3077" s="204"/>
      <c r="D3077" s="204"/>
      <c r="E3077" s="204"/>
      <c r="F3077" s="204"/>
      <c r="G3077" s="204"/>
      <c r="H3077" s="204"/>
      <c r="I3077" s="204"/>
      <c r="J3077" s="204"/>
      <c r="K3077" s="204"/>
      <c r="L3077" s="204"/>
      <c r="M3077" s="204"/>
      <c r="N3077" s="204"/>
      <c r="O3077" s="204"/>
      <c r="P3077" s="204"/>
      <c r="T3077" s="217"/>
    </row>
    <row r="3078" spans="2:20">
      <c r="B3078" s="204"/>
      <c r="C3078" s="204"/>
      <c r="D3078" s="204"/>
      <c r="E3078" s="204"/>
      <c r="F3078" s="204"/>
      <c r="G3078" s="204"/>
      <c r="H3078" s="204"/>
      <c r="I3078" s="204"/>
      <c r="J3078" s="204"/>
      <c r="K3078" s="204"/>
      <c r="L3078" s="204"/>
      <c r="M3078" s="204"/>
      <c r="N3078" s="204"/>
      <c r="O3078" s="204"/>
      <c r="P3078" s="204"/>
      <c r="T3078" s="217"/>
    </row>
    <row r="3079" spans="2:20">
      <c r="B3079" s="204"/>
      <c r="C3079" s="204"/>
      <c r="D3079" s="204"/>
      <c r="E3079" s="204"/>
      <c r="F3079" s="204"/>
      <c r="G3079" s="204"/>
      <c r="H3079" s="204"/>
      <c r="I3079" s="204"/>
      <c r="J3079" s="204"/>
      <c r="K3079" s="204"/>
      <c r="L3079" s="204"/>
      <c r="M3079" s="204"/>
      <c r="N3079" s="204"/>
      <c r="O3079" s="204"/>
      <c r="P3079" s="204"/>
      <c r="T3079" s="217"/>
    </row>
    <row r="3080" spans="2:20">
      <c r="B3080" s="204"/>
      <c r="C3080" s="204"/>
      <c r="D3080" s="204"/>
      <c r="E3080" s="204"/>
      <c r="F3080" s="204"/>
      <c r="G3080" s="204"/>
      <c r="H3080" s="204"/>
      <c r="I3080" s="204"/>
      <c r="J3080" s="204"/>
      <c r="K3080" s="204"/>
      <c r="L3080" s="204"/>
      <c r="M3080" s="204"/>
      <c r="N3080" s="204"/>
      <c r="O3080" s="204"/>
      <c r="P3080" s="204"/>
      <c r="T3080" s="217"/>
    </row>
    <row r="3081" spans="2:20">
      <c r="B3081" s="204"/>
      <c r="C3081" s="204"/>
      <c r="D3081" s="204"/>
      <c r="E3081" s="204"/>
      <c r="F3081" s="204"/>
      <c r="G3081" s="204"/>
      <c r="H3081" s="204"/>
      <c r="I3081" s="204"/>
      <c r="J3081" s="204"/>
      <c r="K3081" s="204"/>
      <c r="L3081" s="204"/>
      <c r="M3081" s="204"/>
      <c r="N3081" s="204"/>
      <c r="O3081" s="204"/>
      <c r="P3081" s="204"/>
      <c r="T3081" s="217"/>
    </row>
    <row r="3082" spans="2:20">
      <c r="B3082" s="204"/>
      <c r="C3082" s="204"/>
      <c r="D3082" s="204"/>
      <c r="E3082" s="204"/>
      <c r="F3082" s="204"/>
      <c r="G3082" s="204"/>
      <c r="H3082" s="204"/>
      <c r="I3082" s="204"/>
      <c r="J3082" s="204"/>
      <c r="K3082" s="204"/>
      <c r="L3082" s="204"/>
      <c r="M3082" s="204"/>
      <c r="N3082" s="204"/>
      <c r="O3082" s="204"/>
      <c r="P3082" s="204"/>
      <c r="T3082" s="217"/>
    </row>
    <row r="3083" spans="2:20">
      <c r="B3083" s="204"/>
      <c r="C3083" s="204"/>
      <c r="D3083" s="204"/>
      <c r="E3083" s="204"/>
      <c r="F3083" s="204"/>
      <c r="G3083" s="204"/>
      <c r="H3083" s="204"/>
      <c r="I3083" s="204"/>
      <c r="J3083" s="204"/>
      <c r="K3083" s="204"/>
      <c r="L3083" s="204"/>
      <c r="M3083" s="204"/>
      <c r="N3083" s="204"/>
      <c r="O3083" s="204"/>
      <c r="P3083" s="204"/>
      <c r="T3083" s="217"/>
    </row>
    <row r="3084" spans="2:20">
      <c r="B3084" s="204"/>
      <c r="C3084" s="204"/>
      <c r="D3084" s="204"/>
      <c r="E3084" s="204"/>
      <c r="F3084" s="204"/>
      <c r="G3084" s="204"/>
      <c r="H3084" s="204"/>
      <c r="I3084" s="204"/>
      <c r="J3084" s="204"/>
      <c r="K3084" s="204"/>
      <c r="L3084" s="204"/>
      <c r="M3084" s="204"/>
      <c r="N3084" s="204"/>
      <c r="O3084" s="204"/>
      <c r="P3084" s="204"/>
      <c r="T3084" s="217"/>
    </row>
    <row r="3085" spans="2:20">
      <c r="B3085" s="204"/>
      <c r="C3085" s="204"/>
      <c r="D3085" s="204"/>
      <c r="E3085" s="204"/>
      <c r="F3085" s="204"/>
      <c r="G3085" s="204"/>
      <c r="H3085" s="204"/>
      <c r="I3085" s="204"/>
      <c r="J3085" s="204"/>
      <c r="K3085" s="204"/>
      <c r="L3085" s="204"/>
      <c r="M3085" s="204"/>
      <c r="N3085" s="204"/>
      <c r="O3085" s="204"/>
      <c r="P3085" s="204"/>
      <c r="T3085" s="217"/>
    </row>
    <row r="3086" spans="2:20">
      <c r="B3086" s="204"/>
      <c r="C3086" s="204"/>
      <c r="D3086" s="204"/>
      <c r="E3086" s="204"/>
      <c r="F3086" s="204"/>
      <c r="G3086" s="204"/>
      <c r="H3086" s="204"/>
      <c r="I3086" s="204"/>
      <c r="J3086" s="204"/>
      <c r="K3086" s="204"/>
      <c r="L3086" s="204"/>
      <c r="M3086" s="204"/>
      <c r="N3086" s="204"/>
      <c r="O3086" s="204"/>
      <c r="P3086" s="204"/>
      <c r="T3086" s="217"/>
    </row>
    <row r="3087" spans="2:20">
      <c r="B3087" s="204"/>
      <c r="C3087" s="204"/>
      <c r="D3087" s="204"/>
      <c r="E3087" s="204"/>
      <c r="F3087" s="204"/>
      <c r="G3087" s="204"/>
      <c r="H3087" s="204"/>
      <c r="I3087" s="204"/>
      <c r="J3087" s="204"/>
      <c r="K3087" s="204"/>
      <c r="L3087" s="204"/>
      <c r="M3087" s="204"/>
      <c r="N3087" s="204"/>
      <c r="O3087" s="204"/>
      <c r="P3087" s="204"/>
      <c r="T3087" s="217"/>
    </row>
    <row r="3088" spans="2:20">
      <c r="B3088" s="204"/>
      <c r="C3088" s="204"/>
      <c r="D3088" s="204"/>
      <c r="E3088" s="204"/>
      <c r="F3088" s="204"/>
      <c r="G3088" s="204"/>
      <c r="H3088" s="204"/>
      <c r="I3088" s="204"/>
      <c r="J3088" s="204"/>
      <c r="K3088" s="204"/>
      <c r="L3088" s="204"/>
      <c r="M3088" s="204"/>
      <c r="N3088" s="204"/>
      <c r="O3088" s="204"/>
      <c r="P3088" s="204"/>
      <c r="T3088" s="217"/>
    </row>
    <row r="3089" spans="2:20">
      <c r="B3089" s="204"/>
      <c r="C3089" s="204"/>
      <c r="D3089" s="204"/>
      <c r="E3089" s="204"/>
      <c r="F3089" s="204"/>
      <c r="G3089" s="204"/>
      <c r="H3089" s="204"/>
      <c r="I3089" s="204"/>
      <c r="J3089" s="204"/>
      <c r="K3089" s="204"/>
      <c r="L3089" s="204"/>
      <c r="M3089" s="204"/>
      <c r="N3089" s="204"/>
      <c r="O3089" s="204"/>
      <c r="P3089" s="204"/>
      <c r="T3089" s="217"/>
    </row>
    <row r="3090" spans="2:20">
      <c r="B3090" s="204"/>
      <c r="C3090" s="204"/>
      <c r="D3090" s="204"/>
      <c r="E3090" s="204"/>
      <c r="F3090" s="204"/>
      <c r="G3090" s="204"/>
      <c r="H3090" s="204"/>
      <c r="I3090" s="204"/>
      <c r="J3090" s="204"/>
      <c r="K3090" s="204"/>
      <c r="L3090" s="204"/>
      <c r="M3090" s="204"/>
      <c r="N3090" s="204"/>
      <c r="O3090" s="204"/>
      <c r="P3090" s="204"/>
      <c r="T3090" s="217"/>
    </row>
    <row r="3091" spans="2:20">
      <c r="B3091" s="204"/>
      <c r="C3091" s="204"/>
      <c r="D3091" s="204"/>
      <c r="E3091" s="204"/>
      <c r="F3091" s="204"/>
      <c r="G3091" s="204"/>
      <c r="H3091" s="204"/>
      <c r="I3091" s="204"/>
      <c r="J3091" s="204"/>
      <c r="K3091" s="204"/>
      <c r="L3091" s="204"/>
      <c r="M3091" s="204"/>
      <c r="N3091" s="204"/>
      <c r="O3091" s="204"/>
      <c r="P3091" s="204"/>
      <c r="T3091" s="217"/>
    </row>
    <row r="3092" spans="2:20">
      <c r="B3092" s="204"/>
      <c r="C3092" s="204"/>
      <c r="D3092" s="204"/>
      <c r="E3092" s="204"/>
      <c r="F3092" s="204"/>
      <c r="G3092" s="204"/>
      <c r="H3092" s="204"/>
      <c r="I3092" s="204"/>
      <c r="J3092" s="204"/>
      <c r="K3092" s="204"/>
      <c r="L3092" s="204"/>
      <c r="M3092" s="204"/>
      <c r="N3092" s="204"/>
      <c r="O3092" s="204"/>
      <c r="P3092" s="204"/>
      <c r="T3092" s="217"/>
    </row>
    <row r="3093" spans="2:20">
      <c r="B3093" s="204"/>
      <c r="C3093" s="204"/>
      <c r="D3093" s="204"/>
      <c r="E3093" s="204"/>
      <c r="F3093" s="204"/>
      <c r="G3093" s="204"/>
      <c r="H3093" s="204"/>
      <c r="I3093" s="204"/>
      <c r="J3093" s="204"/>
      <c r="K3093" s="204"/>
      <c r="L3093" s="204"/>
      <c r="M3093" s="204"/>
      <c r="N3093" s="204"/>
      <c r="O3093" s="204"/>
      <c r="P3093" s="204"/>
      <c r="T3093" s="217"/>
    </row>
    <row r="3094" spans="2:20">
      <c r="B3094" s="204"/>
      <c r="C3094" s="204"/>
      <c r="D3094" s="204"/>
      <c r="E3094" s="204"/>
      <c r="F3094" s="204"/>
      <c r="G3094" s="204"/>
      <c r="H3094" s="204"/>
      <c r="I3094" s="204"/>
      <c r="J3094" s="204"/>
      <c r="K3094" s="204"/>
      <c r="L3094" s="204"/>
      <c r="M3094" s="204"/>
      <c r="N3094" s="204"/>
      <c r="O3094" s="204"/>
      <c r="P3094" s="204"/>
      <c r="T3094" s="217"/>
    </row>
    <row r="3095" spans="2:20">
      <c r="B3095" s="204"/>
      <c r="C3095" s="204"/>
      <c r="D3095" s="204"/>
      <c r="E3095" s="204"/>
      <c r="F3095" s="204"/>
      <c r="G3095" s="204"/>
      <c r="H3095" s="204"/>
      <c r="I3095" s="204"/>
      <c r="J3095" s="204"/>
      <c r="K3095" s="204"/>
      <c r="L3095" s="204"/>
      <c r="M3095" s="204"/>
      <c r="N3095" s="204"/>
      <c r="O3095" s="204"/>
      <c r="P3095" s="204"/>
      <c r="T3095" s="217"/>
    </row>
    <row r="3096" spans="2:20">
      <c r="B3096" s="204"/>
      <c r="C3096" s="204"/>
      <c r="D3096" s="204"/>
      <c r="E3096" s="204"/>
      <c r="F3096" s="204"/>
      <c r="G3096" s="204"/>
      <c r="H3096" s="204"/>
      <c r="I3096" s="204"/>
      <c r="J3096" s="204"/>
      <c r="K3096" s="204"/>
      <c r="L3096" s="204"/>
      <c r="M3096" s="204"/>
      <c r="N3096" s="204"/>
      <c r="O3096" s="204"/>
      <c r="P3096" s="204"/>
      <c r="T3096" s="217"/>
    </row>
    <row r="3097" spans="2:20">
      <c r="B3097" s="204"/>
      <c r="C3097" s="204"/>
      <c r="D3097" s="204"/>
      <c r="E3097" s="204"/>
      <c r="F3097" s="204"/>
      <c r="G3097" s="204"/>
      <c r="H3097" s="204"/>
      <c r="I3097" s="204"/>
      <c r="J3097" s="204"/>
      <c r="K3097" s="204"/>
      <c r="L3097" s="204"/>
      <c r="M3097" s="204"/>
      <c r="N3097" s="204"/>
      <c r="O3097" s="204"/>
      <c r="P3097" s="204"/>
      <c r="T3097" s="217"/>
    </row>
    <row r="3098" spans="2:20">
      <c r="B3098" s="204"/>
      <c r="C3098" s="204"/>
      <c r="D3098" s="204"/>
      <c r="E3098" s="204"/>
      <c r="F3098" s="204"/>
      <c r="G3098" s="204"/>
      <c r="H3098" s="204"/>
      <c r="I3098" s="204"/>
      <c r="J3098" s="204"/>
      <c r="K3098" s="204"/>
      <c r="L3098" s="204"/>
      <c r="M3098" s="204"/>
      <c r="N3098" s="204"/>
      <c r="O3098" s="204"/>
      <c r="P3098" s="204"/>
      <c r="T3098" s="217"/>
    </row>
    <row r="3099" spans="2:20">
      <c r="B3099" s="204"/>
      <c r="C3099" s="204"/>
      <c r="D3099" s="204"/>
      <c r="E3099" s="204"/>
      <c r="F3099" s="204"/>
      <c r="G3099" s="204"/>
      <c r="H3099" s="204"/>
      <c r="I3099" s="204"/>
      <c r="J3099" s="204"/>
      <c r="K3099" s="204"/>
      <c r="L3099" s="204"/>
      <c r="M3099" s="204"/>
      <c r="N3099" s="204"/>
      <c r="O3099" s="204"/>
      <c r="P3099" s="204"/>
      <c r="T3099" s="217"/>
    </row>
    <row r="3100" spans="2:20">
      <c r="B3100" s="204"/>
      <c r="C3100" s="204"/>
      <c r="D3100" s="204"/>
      <c r="E3100" s="204"/>
      <c r="F3100" s="204"/>
      <c r="G3100" s="204"/>
      <c r="H3100" s="204"/>
      <c r="I3100" s="204"/>
      <c r="J3100" s="204"/>
      <c r="K3100" s="204"/>
      <c r="L3100" s="204"/>
      <c r="M3100" s="204"/>
      <c r="N3100" s="204"/>
      <c r="O3100" s="204"/>
      <c r="P3100" s="204"/>
      <c r="T3100" s="217"/>
    </row>
    <row r="3101" spans="2:20">
      <c r="B3101" s="204"/>
      <c r="C3101" s="204"/>
      <c r="D3101" s="204"/>
      <c r="E3101" s="204"/>
      <c r="F3101" s="204"/>
      <c r="G3101" s="204"/>
      <c r="H3101" s="204"/>
      <c r="I3101" s="204"/>
      <c r="J3101" s="204"/>
      <c r="K3101" s="204"/>
      <c r="L3101" s="204"/>
      <c r="M3101" s="204"/>
      <c r="N3101" s="204"/>
      <c r="O3101" s="204"/>
      <c r="P3101" s="204"/>
      <c r="T3101" s="217"/>
    </row>
    <row r="3102" spans="2:20">
      <c r="B3102" s="204"/>
      <c r="C3102" s="204"/>
      <c r="D3102" s="204"/>
      <c r="E3102" s="204"/>
      <c r="F3102" s="204"/>
      <c r="G3102" s="204"/>
      <c r="H3102" s="204"/>
      <c r="I3102" s="204"/>
      <c r="J3102" s="204"/>
      <c r="K3102" s="204"/>
      <c r="L3102" s="204"/>
      <c r="M3102" s="204"/>
      <c r="N3102" s="204"/>
      <c r="O3102" s="204"/>
      <c r="P3102" s="204"/>
      <c r="T3102" s="217"/>
    </row>
    <row r="3103" spans="2:20">
      <c r="B3103" s="204"/>
      <c r="C3103" s="204"/>
      <c r="D3103" s="204"/>
      <c r="E3103" s="204"/>
      <c r="F3103" s="204"/>
      <c r="G3103" s="204"/>
      <c r="H3103" s="204"/>
      <c r="I3103" s="204"/>
      <c r="J3103" s="204"/>
      <c r="K3103" s="204"/>
      <c r="L3103" s="204"/>
      <c r="M3103" s="204"/>
      <c r="N3103" s="204"/>
      <c r="O3103" s="204"/>
      <c r="P3103" s="204"/>
      <c r="T3103" s="217"/>
    </row>
    <row r="3104" spans="2:20">
      <c r="B3104" s="204"/>
      <c r="C3104" s="204"/>
      <c r="D3104" s="204"/>
      <c r="E3104" s="204"/>
      <c r="F3104" s="204"/>
      <c r="G3104" s="204"/>
      <c r="H3104" s="204"/>
      <c r="I3104" s="204"/>
      <c r="J3104" s="204"/>
      <c r="K3104" s="204"/>
      <c r="L3104" s="204"/>
      <c r="M3104" s="204"/>
      <c r="N3104" s="204"/>
      <c r="O3104" s="204"/>
      <c r="P3104" s="204"/>
      <c r="T3104" s="217"/>
    </row>
    <row r="3105" spans="2:20">
      <c r="B3105" s="204"/>
      <c r="C3105" s="204"/>
      <c r="D3105" s="204"/>
      <c r="E3105" s="204"/>
      <c r="F3105" s="204"/>
      <c r="G3105" s="204"/>
      <c r="H3105" s="204"/>
      <c r="I3105" s="204"/>
      <c r="J3105" s="204"/>
      <c r="K3105" s="204"/>
      <c r="L3105" s="204"/>
      <c r="M3105" s="204"/>
      <c r="N3105" s="204"/>
      <c r="O3105" s="204"/>
      <c r="P3105" s="204"/>
      <c r="T3105" s="217"/>
    </row>
    <row r="3106" spans="2:20">
      <c r="B3106" s="204"/>
      <c r="C3106" s="204"/>
      <c r="D3106" s="204"/>
      <c r="E3106" s="204"/>
      <c r="F3106" s="204"/>
      <c r="G3106" s="204"/>
      <c r="H3106" s="204"/>
      <c r="I3106" s="204"/>
      <c r="J3106" s="204"/>
      <c r="K3106" s="204"/>
      <c r="L3106" s="204"/>
      <c r="M3106" s="204"/>
      <c r="N3106" s="204"/>
      <c r="O3106" s="204"/>
      <c r="P3106" s="204"/>
      <c r="T3106" s="217"/>
    </row>
    <row r="3107" spans="2:20">
      <c r="B3107" s="204"/>
      <c r="C3107" s="204"/>
      <c r="D3107" s="204"/>
      <c r="E3107" s="204"/>
      <c r="F3107" s="204"/>
      <c r="G3107" s="204"/>
      <c r="H3107" s="204"/>
      <c r="I3107" s="204"/>
      <c r="J3107" s="204"/>
      <c r="K3107" s="204"/>
      <c r="L3107" s="204"/>
      <c r="M3107" s="204"/>
      <c r="N3107" s="204"/>
      <c r="O3107" s="204"/>
      <c r="P3107" s="204"/>
      <c r="T3107" s="217"/>
    </row>
    <row r="3108" spans="2:20">
      <c r="B3108" s="204"/>
      <c r="C3108" s="204"/>
      <c r="D3108" s="204"/>
      <c r="E3108" s="204"/>
      <c r="F3108" s="204"/>
      <c r="G3108" s="204"/>
      <c r="H3108" s="204"/>
      <c r="I3108" s="204"/>
      <c r="J3108" s="204"/>
      <c r="K3108" s="204"/>
      <c r="L3108" s="204"/>
      <c r="M3108" s="204"/>
      <c r="N3108" s="204"/>
      <c r="O3108" s="204"/>
      <c r="P3108" s="204"/>
      <c r="T3108" s="217"/>
    </row>
    <row r="3109" spans="2:20">
      <c r="B3109" s="204"/>
      <c r="C3109" s="204"/>
      <c r="D3109" s="204"/>
      <c r="E3109" s="204"/>
      <c r="F3109" s="204"/>
      <c r="G3109" s="204"/>
      <c r="H3109" s="204"/>
      <c r="I3109" s="204"/>
      <c r="J3109" s="204"/>
      <c r="K3109" s="204"/>
      <c r="L3109" s="204"/>
      <c r="M3109" s="204"/>
      <c r="N3109" s="204"/>
      <c r="O3109" s="204"/>
      <c r="P3109" s="204"/>
      <c r="T3109" s="217"/>
    </row>
    <row r="3110" spans="2:20">
      <c r="B3110" s="204"/>
      <c r="C3110" s="204"/>
      <c r="D3110" s="204"/>
      <c r="E3110" s="204"/>
      <c r="F3110" s="204"/>
      <c r="G3110" s="204"/>
      <c r="H3110" s="204"/>
      <c r="I3110" s="204"/>
      <c r="J3110" s="204"/>
      <c r="K3110" s="204"/>
      <c r="L3110" s="204"/>
      <c r="M3110" s="204"/>
      <c r="N3110" s="204"/>
      <c r="O3110" s="204"/>
      <c r="P3110" s="204"/>
      <c r="T3110" s="217"/>
    </row>
    <row r="3111" spans="2:20">
      <c r="B3111" s="204"/>
      <c r="C3111" s="204"/>
      <c r="D3111" s="204"/>
      <c r="E3111" s="204"/>
      <c r="F3111" s="204"/>
      <c r="G3111" s="204"/>
      <c r="H3111" s="204"/>
      <c r="I3111" s="204"/>
      <c r="J3111" s="204"/>
      <c r="K3111" s="204"/>
      <c r="L3111" s="204"/>
      <c r="M3111" s="204"/>
      <c r="N3111" s="204"/>
      <c r="O3111" s="204"/>
      <c r="P3111" s="204"/>
      <c r="T3111" s="217"/>
    </row>
    <row r="3112" spans="2:20">
      <c r="B3112" s="204"/>
      <c r="C3112" s="204"/>
      <c r="D3112" s="204"/>
      <c r="E3112" s="204"/>
      <c r="F3112" s="204"/>
      <c r="G3112" s="204"/>
      <c r="H3112" s="204"/>
      <c r="I3112" s="204"/>
      <c r="J3112" s="204"/>
      <c r="K3112" s="204"/>
      <c r="L3112" s="204"/>
      <c r="M3112" s="204"/>
      <c r="N3112" s="204"/>
      <c r="O3112" s="204"/>
      <c r="P3112" s="204"/>
      <c r="T3112" s="217"/>
    </row>
    <row r="3113" spans="2:20">
      <c r="B3113" s="204"/>
      <c r="C3113" s="204"/>
      <c r="D3113" s="204"/>
      <c r="E3113" s="204"/>
      <c r="F3113" s="204"/>
      <c r="G3113" s="204"/>
      <c r="H3113" s="204"/>
      <c r="I3113" s="204"/>
      <c r="J3113" s="204"/>
      <c r="K3113" s="204"/>
      <c r="L3113" s="204"/>
      <c r="M3113" s="204"/>
      <c r="N3113" s="204"/>
      <c r="O3113" s="204"/>
      <c r="P3113" s="204"/>
      <c r="T3113" s="217"/>
    </row>
    <row r="3114" spans="2:20">
      <c r="B3114" s="204"/>
      <c r="C3114" s="204"/>
      <c r="D3114" s="204"/>
      <c r="E3114" s="204"/>
      <c r="F3114" s="204"/>
      <c r="G3114" s="204"/>
      <c r="H3114" s="204"/>
      <c r="I3114" s="204"/>
      <c r="J3114" s="204"/>
      <c r="K3114" s="204"/>
      <c r="L3114" s="204"/>
      <c r="M3114" s="204"/>
      <c r="N3114" s="204"/>
      <c r="O3114" s="204"/>
      <c r="P3114" s="204"/>
      <c r="T3114" s="217"/>
    </row>
    <row r="3115" spans="2:20">
      <c r="B3115" s="204"/>
      <c r="C3115" s="204"/>
      <c r="D3115" s="204"/>
      <c r="E3115" s="204"/>
      <c r="F3115" s="204"/>
      <c r="G3115" s="204"/>
      <c r="H3115" s="204"/>
      <c r="I3115" s="204"/>
      <c r="J3115" s="204"/>
      <c r="K3115" s="204"/>
      <c r="L3115" s="204"/>
      <c r="M3115" s="204"/>
      <c r="N3115" s="204"/>
      <c r="O3115" s="204"/>
      <c r="P3115" s="204"/>
      <c r="T3115" s="217"/>
    </row>
    <row r="3116" spans="2:20">
      <c r="B3116" s="204"/>
      <c r="C3116" s="204"/>
      <c r="D3116" s="204"/>
      <c r="E3116" s="204"/>
      <c r="F3116" s="204"/>
      <c r="G3116" s="204"/>
      <c r="H3116" s="204"/>
      <c r="I3116" s="204"/>
      <c r="J3116" s="204"/>
      <c r="K3116" s="204"/>
      <c r="L3116" s="204"/>
      <c r="M3116" s="204"/>
      <c r="N3116" s="204"/>
      <c r="O3116" s="204"/>
      <c r="P3116" s="204"/>
      <c r="T3116" s="217"/>
    </row>
    <row r="3117" spans="2:20">
      <c r="B3117" s="204"/>
      <c r="C3117" s="204"/>
      <c r="D3117" s="204"/>
      <c r="E3117" s="204"/>
      <c r="F3117" s="204"/>
      <c r="G3117" s="204"/>
      <c r="H3117" s="204"/>
      <c r="I3117" s="204"/>
      <c r="J3117" s="204"/>
      <c r="K3117" s="204"/>
      <c r="L3117" s="204"/>
      <c r="M3117" s="204"/>
      <c r="N3117" s="204"/>
      <c r="O3117" s="204"/>
      <c r="P3117" s="204"/>
      <c r="T3117" s="217"/>
    </row>
    <row r="3118" spans="2:20">
      <c r="B3118" s="204"/>
      <c r="C3118" s="204"/>
      <c r="D3118" s="204"/>
      <c r="E3118" s="204"/>
      <c r="F3118" s="204"/>
      <c r="G3118" s="204"/>
      <c r="H3118" s="204"/>
      <c r="I3118" s="204"/>
      <c r="J3118" s="204"/>
      <c r="K3118" s="204"/>
      <c r="L3118" s="204"/>
      <c r="M3118" s="204"/>
      <c r="N3118" s="204"/>
      <c r="O3118" s="204"/>
      <c r="P3118" s="204"/>
      <c r="T3118" s="217"/>
    </row>
    <row r="3119" spans="2:20">
      <c r="B3119" s="204"/>
      <c r="C3119" s="204"/>
      <c r="D3119" s="204"/>
      <c r="E3119" s="204"/>
      <c r="F3119" s="204"/>
      <c r="G3119" s="204"/>
      <c r="H3119" s="204"/>
      <c r="I3119" s="204"/>
      <c r="J3119" s="204"/>
      <c r="K3119" s="204"/>
      <c r="L3119" s="204"/>
      <c r="M3119" s="204"/>
      <c r="N3119" s="204"/>
      <c r="O3119" s="204"/>
      <c r="P3119" s="204"/>
      <c r="T3119" s="217"/>
    </row>
    <row r="3120" spans="2:20">
      <c r="B3120" s="204"/>
      <c r="C3120" s="204"/>
      <c r="D3120" s="204"/>
      <c r="E3120" s="204"/>
      <c r="F3120" s="204"/>
      <c r="G3120" s="204"/>
      <c r="H3120" s="204"/>
      <c r="I3120" s="204"/>
      <c r="J3120" s="204"/>
      <c r="K3120" s="204"/>
      <c r="L3120" s="204"/>
      <c r="M3120" s="204"/>
      <c r="N3120" s="204"/>
      <c r="O3120" s="204"/>
      <c r="P3120" s="204"/>
      <c r="T3120" s="217"/>
    </row>
    <row r="3121" spans="2:20">
      <c r="B3121" s="204"/>
      <c r="C3121" s="204"/>
      <c r="D3121" s="204"/>
      <c r="E3121" s="204"/>
      <c r="F3121" s="204"/>
      <c r="G3121" s="204"/>
      <c r="H3121" s="204"/>
      <c r="I3121" s="204"/>
      <c r="J3121" s="204"/>
      <c r="K3121" s="204"/>
      <c r="L3121" s="204"/>
      <c r="M3121" s="204"/>
      <c r="N3121" s="204"/>
      <c r="O3121" s="204"/>
      <c r="P3121" s="204"/>
      <c r="T3121" s="217"/>
    </row>
    <row r="3122" spans="2:20">
      <c r="B3122" s="204"/>
      <c r="C3122" s="204"/>
      <c r="D3122" s="204"/>
      <c r="E3122" s="204"/>
      <c r="F3122" s="204"/>
      <c r="G3122" s="204"/>
      <c r="H3122" s="204"/>
      <c r="I3122" s="204"/>
      <c r="J3122" s="204"/>
      <c r="K3122" s="204"/>
      <c r="L3122" s="204"/>
      <c r="M3122" s="204"/>
      <c r="N3122" s="204"/>
      <c r="O3122" s="204"/>
      <c r="P3122" s="204"/>
      <c r="T3122" s="217"/>
    </row>
    <row r="3123" spans="2:20">
      <c r="B3123" s="204"/>
      <c r="C3123" s="204"/>
      <c r="D3123" s="204"/>
      <c r="E3123" s="204"/>
      <c r="F3123" s="204"/>
      <c r="G3123" s="204"/>
      <c r="H3123" s="204"/>
      <c r="I3123" s="204"/>
      <c r="J3123" s="204"/>
      <c r="K3123" s="204"/>
      <c r="L3123" s="204"/>
      <c r="M3123" s="204"/>
      <c r="N3123" s="204"/>
      <c r="O3123" s="204"/>
      <c r="P3123" s="204"/>
      <c r="T3123" s="217"/>
    </row>
    <row r="3124" spans="2:20">
      <c r="B3124" s="204"/>
      <c r="C3124" s="204"/>
      <c r="D3124" s="204"/>
      <c r="E3124" s="204"/>
      <c r="F3124" s="204"/>
      <c r="G3124" s="204"/>
      <c r="H3124" s="204"/>
      <c r="I3124" s="204"/>
      <c r="J3124" s="204"/>
      <c r="K3124" s="204"/>
      <c r="L3124" s="204"/>
      <c r="M3124" s="204"/>
      <c r="N3124" s="204"/>
      <c r="O3124" s="204"/>
      <c r="P3124" s="204"/>
      <c r="T3124" s="217"/>
    </row>
    <row r="3125" spans="2:20">
      <c r="B3125" s="204"/>
      <c r="C3125" s="204"/>
      <c r="D3125" s="204"/>
      <c r="E3125" s="204"/>
      <c r="F3125" s="204"/>
      <c r="G3125" s="204"/>
      <c r="H3125" s="204"/>
      <c r="I3125" s="204"/>
      <c r="J3125" s="204"/>
      <c r="K3125" s="204"/>
      <c r="L3125" s="204"/>
      <c r="M3125" s="204"/>
      <c r="N3125" s="204"/>
      <c r="O3125" s="204"/>
      <c r="P3125" s="204"/>
      <c r="T3125" s="217"/>
    </row>
    <row r="3126" spans="2:20">
      <c r="B3126" s="204"/>
      <c r="C3126" s="204"/>
      <c r="D3126" s="204"/>
      <c r="E3126" s="204"/>
      <c r="F3126" s="204"/>
      <c r="G3126" s="204"/>
      <c r="H3126" s="204"/>
      <c r="I3126" s="204"/>
      <c r="J3126" s="204"/>
      <c r="K3126" s="204"/>
      <c r="L3126" s="204"/>
      <c r="M3126" s="204"/>
      <c r="N3126" s="204"/>
      <c r="O3126" s="204"/>
      <c r="P3126" s="204"/>
      <c r="T3126" s="217"/>
    </row>
    <row r="3127" spans="2:20">
      <c r="B3127" s="204"/>
      <c r="C3127" s="204"/>
      <c r="D3127" s="204"/>
      <c r="E3127" s="204"/>
      <c r="F3127" s="204"/>
      <c r="G3127" s="204"/>
      <c r="H3127" s="204"/>
      <c r="I3127" s="204"/>
      <c r="J3127" s="204"/>
      <c r="K3127" s="204"/>
      <c r="L3127" s="204"/>
      <c r="M3127" s="204"/>
      <c r="N3127" s="204"/>
      <c r="O3127" s="204"/>
      <c r="P3127" s="204"/>
      <c r="T3127" s="217"/>
    </row>
    <row r="3128" spans="2:20">
      <c r="B3128" s="204"/>
      <c r="C3128" s="204"/>
      <c r="D3128" s="204"/>
      <c r="E3128" s="204"/>
      <c r="F3128" s="204"/>
      <c r="G3128" s="204"/>
      <c r="H3128" s="204"/>
      <c r="I3128" s="204"/>
      <c r="J3128" s="204"/>
      <c r="K3128" s="204"/>
      <c r="L3128" s="204"/>
      <c r="M3128" s="204"/>
      <c r="N3128" s="204"/>
      <c r="O3128" s="204"/>
      <c r="P3128" s="204"/>
      <c r="T3128" s="217"/>
    </row>
    <row r="3129" spans="2:20">
      <c r="B3129" s="204"/>
      <c r="C3129" s="204"/>
      <c r="D3129" s="204"/>
      <c r="E3129" s="204"/>
      <c r="F3129" s="204"/>
      <c r="G3129" s="204"/>
      <c r="H3129" s="204"/>
      <c r="I3129" s="204"/>
      <c r="J3129" s="204"/>
      <c r="K3129" s="204"/>
      <c r="L3129" s="204"/>
      <c r="M3129" s="204"/>
      <c r="N3129" s="204"/>
      <c r="O3129" s="204"/>
      <c r="P3129" s="204"/>
      <c r="T3129" s="217"/>
    </row>
    <row r="3130" spans="2:20">
      <c r="B3130" s="204"/>
      <c r="C3130" s="204"/>
      <c r="D3130" s="204"/>
      <c r="E3130" s="204"/>
      <c r="F3130" s="204"/>
      <c r="G3130" s="204"/>
      <c r="H3130" s="204"/>
      <c r="I3130" s="204"/>
      <c r="J3130" s="204"/>
      <c r="K3130" s="204"/>
      <c r="L3130" s="204"/>
      <c r="M3130" s="204"/>
      <c r="N3130" s="204"/>
      <c r="O3130" s="204"/>
      <c r="P3130" s="204"/>
      <c r="T3130" s="217"/>
    </row>
    <row r="3131" spans="2:20">
      <c r="B3131" s="204"/>
      <c r="C3131" s="204"/>
      <c r="D3131" s="204"/>
      <c r="E3131" s="204"/>
      <c r="F3131" s="204"/>
      <c r="G3131" s="204"/>
      <c r="H3131" s="204"/>
      <c r="I3131" s="204"/>
      <c r="J3131" s="204"/>
      <c r="K3131" s="204"/>
      <c r="L3131" s="204"/>
      <c r="M3131" s="204"/>
      <c r="N3131" s="204"/>
      <c r="O3131" s="204"/>
      <c r="P3131" s="204"/>
      <c r="T3131" s="217"/>
    </row>
    <row r="3132" spans="2:20">
      <c r="B3132" s="204"/>
      <c r="C3132" s="204"/>
      <c r="D3132" s="204"/>
      <c r="E3132" s="204"/>
      <c r="F3132" s="204"/>
      <c r="G3132" s="204"/>
      <c r="H3132" s="204"/>
      <c r="I3132" s="204"/>
      <c r="J3132" s="204"/>
      <c r="K3132" s="204"/>
      <c r="L3132" s="204"/>
      <c r="M3132" s="204"/>
      <c r="N3132" s="204"/>
      <c r="O3132" s="204"/>
      <c r="P3132" s="204"/>
      <c r="T3132" s="217"/>
    </row>
    <row r="3133" spans="2:20">
      <c r="B3133" s="204"/>
      <c r="C3133" s="204"/>
      <c r="D3133" s="204"/>
      <c r="E3133" s="204"/>
      <c r="F3133" s="204"/>
      <c r="G3133" s="204"/>
      <c r="H3133" s="204"/>
      <c r="I3133" s="204"/>
      <c r="J3133" s="204"/>
      <c r="K3133" s="204"/>
      <c r="L3133" s="204"/>
      <c r="M3133" s="204"/>
      <c r="N3133" s="204"/>
      <c r="O3133" s="204"/>
      <c r="P3133" s="204"/>
      <c r="T3133" s="217"/>
    </row>
    <row r="3134" spans="2:20">
      <c r="B3134" s="204"/>
      <c r="C3134" s="204"/>
      <c r="D3134" s="204"/>
      <c r="E3134" s="204"/>
      <c r="F3134" s="204"/>
      <c r="G3134" s="204"/>
      <c r="H3134" s="204"/>
      <c r="I3134" s="204"/>
      <c r="J3134" s="204"/>
      <c r="K3134" s="204"/>
      <c r="L3134" s="204"/>
      <c r="M3134" s="204"/>
      <c r="N3134" s="204"/>
      <c r="O3134" s="204"/>
      <c r="P3134" s="204"/>
      <c r="T3134" s="217"/>
    </row>
    <row r="3135" spans="2:20">
      <c r="B3135" s="204"/>
      <c r="C3135" s="204"/>
      <c r="D3135" s="204"/>
      <c r="E3135" s="204"/>
      <c r="F3135" s="204"/>
      <c r="G3135" s="204"/>
      <c r="H3135" s="204"/>
      <c r="I3135" s="204"/>
      <c r="J3135" s="204"/>
      <c r="K3135" s="204"/>
      <c r="L3135" s="204"/>
      <c r="M3135" s="204"/>
      <c r="N3135" s="204"/>
      <c r="O3135" s="204"/>
      <c r="P3135" s="204"/>
      <c r="T3135" s="217"/>
    </row>
    <row r="3136" spans="2:20">
      <c r="B3136" s="204"/>
      <c r="C3136" s="204"/>
      <c r="D3136" s="204"/>
      <c r="E3136" s="204"/>
      <c r="F3136" s="204"/>
      <c r="G3136" s="204"/>
      <c r="H3136" s="204"/>
      <c r="I3136" s="204"/>
      <c r="J3136" s="204"/>
      <c r="K3136" s="204"/>
      <c r="L3136" s="204"/>
      <c r="M3136" s="204"/>
      <c r="N3136" s="204"/>
      <c r="O3136" s="204"/>
      <c r="P3136" s="204"/>
      <c r="T3136" s="217"/>
    </row>
    <row r="3137" spans="2:20">
      <c r="B3137" s="204"/>
      <c r="C3137" s="204"/>
      <c r="D3137" s="204"/>
      <c r="E3137" s="204"/>
      <c r="F3137" s="204"/>
      <c r="G3137" s="204"/>
      <c r="H3137" s="204"/>
      <c r="I3137" s="204"/>
      <c r="J3137" s="204"/>
      <c r="K3137" s="204"/>
      <c r="L3137" s="204"/>
      <c r="M3137" s="204"/>
      <c r="N3137" s="204"/>
      <c r="O3137" s="204"/>
      <c r="P3137" s="204"/>
      <c r="T3137" s="217"/>
    </row>
    <row r="3138" spans="2:20">
      <c r="B3138" s="204"/>
      <c r="C3138" s="204"/>
      <c r="D3138" s="204"/>
      <c r="E3138" s="204"/>
      <c r="F3138" s="204"/>
      <c r="G3138" s="204"/>
      <c r="H3138" s="204"/>
      <c r="I3138" s="204"/>
      <c r="J3138" s="204"/>
      <c r="K3138" s="204"/>
      <c r="L3138" s="204"/>
      <c r="M3138" s="204"/>
      <c r="N3138" s="204"/>
      <c r="O3138" s="204"/>
      <c r="P3138" s="204"/>
      <c r="T3138" s="217"/>
    </row>
    <row r="3139" spans="2:20">
      <c r="B3139" s="204"/>
      <c r="C3139" s="204"/>
      <c r="D3139" s="204"/>
      <c r="E3139" s="204"/>
      <c r="F3139" s="204"/>
      <c r="G3139" s="204"/>
      <c r="H3139" s="204"/>
      <c r="I3139" s="204"/>
      <c r="J3139" s="204"/>
      <c r="K3139" s="204"/>
      <c r="L3139" s="204"/>
      <c r="M3139" s="204"/>
      <c r="N3139" s="204"/>
      <c r="O3139" s="204"/>
      <c r="P3139" s="204"/>
      <c r="T3139" s="217"/>
    </row>
    <row r="3140" spans="2:20">
      <c r="B3140" s="204"/>
      <c r="C3140" s="204"/>
      <c r="D3140" s="204"/>
      <c r="E3140" s="204"/>
      <c r="F3140" s="204"/>
      <c r="G3140" s="204"/>
      <c r="H3140" s="204"/>
      <c r="I3140" s="204"/>
      <c r="J3140" s="204"/>
      <c r="K3140" s="204"/>
      <c r="L3140" s="204"/>
      <c r="M3140" s="204"/>
      <c r="N3140" s="204"/>
      <c r="O3140" s="204"/>
      <c r="P3140" s="204"/>
      <c r="T3140" s="217"/>
    </row>
    <row r="3141" spans="2:20">
      <c r="B3141" s="204"/>
      <c r="C3141" s="204"/>
      <c r="D3141" s="204"/>
      <c r="E3141" s="204"/>
      <c r="F3141" s="204"/>
      <c r="G3141" s="204"/>
      <c r="H3141" s="204"/>
      <c r="I3141" s="204"/>
      <c r="J3141" s="204"/>
      <c r="K3141" s="204"/>
      <c r="L3141" s="204"/>
      <c r="M3141" s="204"/>
      <c r="N3141" s="204"/>
      <c r="O3141" s="204"/>
      <c r="P3141" s="204"/>
      <c r="T3141" s="217"/>
    </row>
    <row r="3142" spans="2:20">
      <c r="B3142" s="204"/>
      <c r="C3142" s="204"/>
      <c r="D3142" s="204"/>
      <c r="E3142" s="204"/>
      <c r="F3142" s="204"/>
      <c r="G3142" s="204"/>
      <c r="H3142" s="204"/>
      <c r="I3142" s="204"/>
      <c r="J3142" s="204"/>
      <c r="K3142" s="204"/>
      <c r="L3142" s="204"/>
      <c r="M3142" s="204"/>
      <c r="N3142" s="204"/>
      <c r="O3142" s="204"/>
      <c r="P3142" s="204"/>
      <c r="T3142" s="217"/>
    </row>
    <row r="3143" spans="2:20">
      <c r="B3143" s="204"/>
      <c r="C3143" s="204"/>
      <c r="D3143" s="204"/>
      <c r="E3143" s="204"/>
      <c r="F3143" s="204"/>
      <c r="G3143" s="204"/>
      <c r="H3143" s="204"/>
      <c r="I3143" s="204"/>
      <c r="J3143" s="204"/>
      <c r="K3143" s="204"/>
      <c r="L3143" s="204"/>
      <c r="M3143" s="204"/>
      <c r="N3143" s="204"/>
      <c r="O3143" s="204"/>
      <c r="P3143" s="204"/>
      <c r="T3143" s="217"/>
    </row>
    <row r="3144" spans="2:20">
      <c r="B3144" s="204"/>
      <c r="C3144" s="204"/>
      <c r="D3144" s="204"/>
      <c r="E3144" s="204"/>
      <c r="F3144" s="204"/>
      <c r="G3144" s="204"/>
      <c r="H3144" s="204"/>
      <c r="I3144" s="204"/>
      <c r="J3144" s="204"/>
      <c r="K3144" s="204"/>
      <c r="L3144" s="204"/>
      <c r="M3144" s="204"/>
      <c r="N3144" s="204"/>
      <c r="O3144" s="204"/>
      <c r="P3144" s="204"/>
      <c r="T3144" s="217"/>
    </row>
    <row r="3145" spans="2:20">
      <c r="B3145" s="204"/>
      <c r="C3145" s="204"/>
      <c r="D3145" s="204"/>
      <c r="E3145" s="204"/>
      <c r="F3145" s="204"/>
      <c r="G3145" s="204"/>
      <c r="H3145" s="204"/>
      <c r="I3145" s="204"/>
      <c r="J3145" s="204"/>
      <c r="K3145" s="204"/>
      <c r="L3145" s="204"/>
      <c r="M3145" s="204"/>
      <c r="N3145" s="204"/>
      <c r="O3145" s="204"/>
      <c r="P3145" s="204"/>
      <c r="T3145" s="217"/>
    </row>
    <row r="3146" spans="2:20">
      <c r="B3146" s="204"/>
      <c r="C3146" s="204"/>
      <c r="D3146" s="204"/>
      <c r="E3146" s="204"/>
      <c r="F3146" s="204"/>
      <c r="G3146" s="204"/>
      <c r="H3146" s="204"/>
      <c r="I3146" s="204"/>
      <c r="J3146" s="204"/>
      <c r="K3146" s="204"/>
      <c r="L3146" s="204"/>
      <c r="M3146" s="204"/>
      <c r="N3146" s="204"/>
      <c r="O3146" s="204"/>
      <c r="P3146" s="204"/>
      <c r="T3146" s="217"/>
    </row>
    <row r="3147" spans="2:20">
      <c r="B3147" s="204"/>
      <c r="C3147" s="204"/>
      <c r="D3147" s="204"/>
      <c r="E3147" s="204"/>
      <c r="F3147" s="204"/>
      <c r="G3147" s="204"/>
      <c r="H3147" s="204"/>
      <c r="I3147" s="204"/>
      <c r="J3147" s="204"/>
      <c r="K3147" s="204"/>
      <c r="L3147" s="204"/>
      <c r="M3147" s="204"/>
      <c r="N3147" s="204"/>
      <c r="O3147" s="204"/>
      <c r="P3147" s="204"/>
      <c r="T3147" s="217"/>
    </row>
    <row r="3148" spans="2:20">
      <c r="B3148" s="204"/>
      <c r="C3148" s="204"/>
      <c r="D3148" s="204"/>
      <c r="E3148" s="204"/>
      <c r="F3148" s="204"/>
      <c r="G3148" s="204"/>
      <c r="H3148" s="204"/>
      <c r="I3148" s="204"/>
      <c r="J3148" s="204"/>
      <c r="K3148" s="204"/>
      <c r="L3148" s="204"/>
      <c r="M3148" s="204"/>
      <c r="N3148" s="204"/>
      <c r="O3148" s="204"/>
      <c r="P3148" s="204"/>
      <c r="T3148" s="217"/>
    </row>
    <row r="3149" spans="2:20">
      <c r="B3149" s="204"/>
      <c r="C3149" s="204"/>
      <c r="D3149" s="204"/>
      <c r="E3149" s="204"/>
      <c r="F3149" s="204"/>
      <c r="G3149" s="204"/>
      <c r="H3149" s="204"/>
      <c r="I3149" s="204"/>
      <c r="J3149" s="204"/>
      <c r="K3149" s="204"/>
      <c r="L3149" s="204"/>
      <c r="M3149" s="204"/>
      <c r="N3149" s="204"/>
      <c r="O3149" s="204"/>
      <c r="P3149" s="204"/>
      <c r="T3149" s="217"/>
    </row>
    <row r="3150" spans="2:20">
      <c r="B3150" s="204"/>
      <c r="C3150" s="204"/>
      <c r="D3150" s="204"/>
      <c r="E3150" s="204"/>
      <c r="F3150" s="204"/>
      <c r="G3150" s="204"/>
      <c r="H3150" s="204"/>
      <c r="I3150" s="204"/>
      <c r="J3150" s="204"/>
      <c r="K3150" s="204"/>
      <c r="L3150" s="204"/>
      <c r="M3150" s="204"/>
      <c r="N3150" s="204"/>
      <c r="O3150" s="204"/>
      <c r="P3150" s="204"/>
      <c r="T3150" s="217"/>
    </row>
    <row r="3151" spans="2:20">
      <c r="B3151" s="204"/>
      <c r="C3151" s="204"/>
      <c r="D3151" s="204"/>
      <c r="E3151" s="204"/>
      <c r="F3151" s="204"/>
      <c r="G3151" s="204"/>
      <c r="H3151" s="204"/>
      <c r="I3151" s="204"/>
      <c r="J3151" s="204"/>
      <c r="K3151" s="204"/>
      <c r="L3151" s="204"/>
      <c r="M3151" s="204"/>
      <c r="N3151" s="204"/>
      <c r="O3151" s="204"/>
      <c r="P3151" s="204"/>
      <c r="T3151" s="217"/>
    </row>
    <row r="3152" spans="2:20">
      <c r="B3152" s="204"/>
      <c r="C3152" s="204"/>
      <c r="D3152" s="204"/>
      <c r="E3152" s="204"/>
      <c r="F3152" s="204"/>
      <c r="G3152" s="204"/>
      <c r="H3152" s="204"/>
      <c r="I3152" s="204"/>
      <c r="J3152" s="204"/>
      <c r="K3152" s="204"/>
      <c r="L3152" s="204"/>
      <c r="M3152" s="204"/>
      <c r="N3152" s="204"/>
      <c r="O3152" s="204"/>
      <c r="P3152" s="204"/>
      <c r="T3152" s="217"/>
    </row>
    <row r="3153" spans="2:20">
      <c r="B3153" s="204"/>
      <c r="C3153" s="204"/>
      <c r="D3153" s="204"/>
      <c r="E3153" s="204"/>
      <c r="F3153" s="204"/>
      <c r="G3153" s="204"/>
      <c r="H3153" s="204"/>
      <c r="I3153" s="204"/>
      <c r="J3153" s="204"/>
      <c r="K3153" s="204"/>
      <c r="L3153" s="204"/>
      <c r="M3153" s="204"/>
      <c r="N3153" s="204"/>
      <c r="O3153" s="204"/>
      <c r="P3153" s="204"/>
      <c r="T3153" s="217"/>
    </row>
    <row r="3154" spans="2:20">
      <c r="B3154" s="204"/>
      <c r="C3154" s="204"/>
      <c r="D3154" s="204"/>
      <c r="E3154" s="204"/>
      <c r="F3154" s="204"/>
      <c r="G3154" s="204"/>
      <c r="H3154" s="204"/>
      <c r="I3154" s="204"/>
      <c r="J3154" s="204"/>
      <c r="K3154" s="204"/>
      <c r="L3154" s="204"/>
      <c r="M3154" s="204"/>
      <c r="N3154" s="204"/>
      <c r="O3154" s="204"/>
      <c r="P3154" s="204"/>
      <c r="T3154" s="217"/>
    </row>
    <row r="3155" spans="2:20">
      <c r="B3155" s="204"/>
      <c r="C3155" s="204"/>
      <c r="D3155" s="204"/>
      <c r="E3155" s="204"/>
      <c r="F3155" s="204"/>
      <c r="G3155" s="204"/>
      <c r="H3155" s="204"/>
      <c r="I3155" s="204"/>
      <c r="J3155" s="204"/>
      <c r="K3155" s="204"/>
      <c r="L3155" s="204"/>
      <c r="M3155" s="204"/>
      <c r="N3155" s="204"/>
      <c r="O3155" s="204"/>
      <c r="P3155" s="204"/>
      <c r="T3155" s="217"/>
    </row>
    <row r="3156" spans="2:20">
      <c r="B3156" s="204"/>
      <c r="C3156" s="204"/>
      <c r="D3156" s="204"/>
      <c r="E3156" s="204"/>
      <c r="F3156" s="204"/>
      <c r="G3156" s="204"/>
      <c r="H3156" s="204"/>
      <c r="I3156" s="204"/>
      <c r="J3156" s="204"/>
      <c r="K3156" s="204"/>
      <c r="L3156" s="204"/>
      <c r="M3156" s="204"/>
      <c r="N3156" s="204"/>
      <c r="O3156" s="204"/>
      <c r="P3156" s="204"/>
      <c r="T3156" s="217"/>
    </row>
    <row r="3157" spans="2:20">
      <c r="B3157" s="204"/>
      <c r="C3157" s="204"/>
      <c r="D3157" s="204"/>
      <c r="E3157" s="204"/>
      <c r="F3157" s="204"/>
      <c r="G3157" s="204"/>
      <c r="H3157" s="204"/>
      <c r="I3157" s="204"/>
      <c r="J3157" s="204"/>
      <c r="K3157" s="204"/>
      <c r="L3157" s="204"/>
      <c r="M3157" s="204"/>
      <c r="N3157" s="204"/>
      <c r="O3157" s="204"/>
      <c r="P3157" s="204"/>
      <c r="T3157" s="217"/>
    </row>
    <row r="3158" spans="2:20">
      <c r="B3158" s="204"/>
      <c r="C3158" s="204"/>
      <c r="D3158" s="204"/>
      <c r="E3158" s="204"/>
      <c r="F3158" s="204"/>
      <c r="G3158" s="204"/>
      <c r="H3158" s="204"/>
      <c r="I3158" s="204"/>
      <c r="J3158" s="204"/>
      <c r="K3158" s="204"/>
      <c r="L3158" s="204"/>
      <c r="M3158" s="204"/>
      <c r="N3158" s="204"/>
      <c r="O3158" s="204"/>
      <c r="P3158" s="204"/>
      <c r="T3158" s="217"/>
    </row>
    <row r="3159" spans="2:20">
      <c r="B3159" s="204"/>
      <c r="C3159" s="204"/>
      <c r="D3159" s="204"/>
      <c r="E3159" s="204"/>
      <c r="F3159" s="204"/>
      <c r="G3159" s="204"/>
      <c r="H3159" s="204"/>
      <c r="I3159" s="204"/>
      <c r="J3159" s="204"/>
      <c r="K3159" s="204"/>
      <c r="L3159" s="204"/>
      <c r="M3159" s="204"/>
      <c r="N3159" s="204"/>
      <c r="O3159" s="204"/>
      <c r="P3159" s="204"/>
      <c r="T3159" s="217"/>
    </row>
    <row r="3160" spans="2:20">
      <c r="B3160" s="204"/>
      <c r="C3160" s="204"/>
      <c r="D3160" s="204"/>
      <c r="E3160" s="204"/>
      <c r="F3160" s="204"/>
      <c r="G3160" s="204"/>
      <c r="H3160" s="204"/>
      <c r="I3160" s="204"/>
      <c r="J3160" s="204"/>
      <c r="K3160" s="204"/>
      <c r="L3160" s="204"/>
      <c r="M3160" s="204"/>
      <c r="N3160" s="204"/>
      <c r="O3160" s="204"/>
      <c r="P3160" s="204"/>
      <c r="T3160" s="217"/>
    </row>
    <row r="3161" spans="2:20">
      <c r="B3161" s="204"/>
      <c r="C3161" s="204"/>
      <c r="D3161" s="204"/>
      <c r="E3161" s="204"/>
      <c r="F3161" s="204"/>
      <c r="G3161" s="204"/>
      <c r="H3161" s="204"/>
      <c r="I3161" s="204"/>
      <c r="J3161" s="204"/>
      <c r="K3161" s="204"/>
      <c r="L3161" s="204"/>
      <c r="M3161" s="204"/>
      <c r="N3161" s="204"/>
      <c r="O3161" s="204"/>
      <c r="P3161" s="204"/>
      <c r="T3161" s="217"/>
    </row>
    <row r="3162" spans="2:20">
      <c r="B3162" s="204"/>
      <c r="C3162" s="204"/>
      <c r="D3162" s="204"/>
      <c r="E3162" s="204"/>
      <c r="F3162" s="204"/>
      <c r="G3162" s="204"/>
      <c r="H3162" s="204"/>
      <c r="I3162" s="204"/>
      <c r="J3162" s="204"/>
      <c r="K3162" s="204"/>
      <c r="L3162" s="204"/>
      <c r="M3162" s="204"/>
      <c r="N3162" s="204"/>
      <c r="O3162" s="204"/>
      <c r="P3162" s="204"/>
      <c r="T3162" s="217"/>
    </row>
    <row r="3163" spans="2:20">
      <c r="B3163" s="204"/>
      <c r="C3163" s="204"/>
      <c r="D3163" s="204"/>
      <c r="E3163" s="204"/>
      <c r="F3163" s="204"/>
      <c r="G3163" s="204"/>
      <c r="H3163" s="204"/>
      <c r="I3163" s="204"/>
      <c r="J3163" s="204"/>
      <c r="K3163" s="204"/>
      <c r="L3163" s="204"/>
      <c r="M3163" s="204"/>
      <c r="N3163" s="204"/>
      <c r="O3163" s="204"/>
      <c r="P3163" s="204"/>
      <c r="T3163" s="217"/>
    </row>
    <row r="3164" spans="2:20">
      <c r="B3164" s="204"/>
      <c r="C3164" s="204"/>
      <c r="D3164" s="204"/>
      <c r="E3164" s="204"/>
      <c r="F3164" s="204"/>
      <c r="G3164" s="204"/>
      <c r="H3164" s="204"/>
      <c r="I3164" s="204"/>
      <c r="J3164" s="204"/>
      <c r="K3164" s="204"/>
      <c r="L3164" s="204"/>
      <c r="M3164" s="204"/>
      <c r="N3164" s="204"/>
      <c r="O3164" s="204"/>
      <c r="P3164" s="204"/>
      <c r="T3164" s="217"/>
    </row>
    <row r="3165" spans="2:20">
      <c r="B3165" s="204"/>
      <c r="C3165" s="204"/>
      <c r="D3165" s="204"/>
      <c r="E3165" s="204"/>
      <c r="F3165" s="204"/>
      <c r="G3165" s="204"/>
      <c r="H3165" s="204"/>
      <c r="I3165" s="204"/>
      <c r="J3165" s="204"/>
      <c r="K3165" s="204"/>
      <c r="L3165" s="204"/>
      <c r="M3165" s="204"/>
      <c r="N3165" s="204"/>
      <c r="O3165" s="204"/>
      <c r="P3165" s="204"/>
      <c r="T3165" s="217"/>
    </row>
    <row r="3166" spans="2:20">
      <c r="B3166" s="204"/>
      <c r="C3166" s="204"/>
      <c r="D3166" s="204"/>
      <c r="E3166" s="204"/>
      <c r="F3166" s="204"/>
      <c r="G3166" s="204"/>
      <c r="H3166" s="204"/>
      <c r="I3166" s="204"/>
      <c r="J3166" s="204"/>
      <c r="K3166" s="204"/>
      <c r="L3166" s="204"/>
      <c r="M3166" s="204"/>
      <c r="N3166" s="204"/>
      <c r="O3166" s="204"/>
      <c r="P3166" s="204"/>
      <c r="T3166" s="217"/>
    </row>
    <row r="3167" spans="2:20">
      <c r="B3167" s="204"/>
      <c r="C3167" s="204"/>
      <c r="D3167" s="204"/>
      <c r="E3167" s="204"/>
      <c r="F3167" s="204"/>
      <c r="G3167" s="204"/>
      <c r="H3167" s="204"/>
      <c r="I3167" s="204"/>
      <c r="J3167" s="204"/>
      <c r="K3167" s="204"/>
      <c r="L3167" s="204"/>
      <c r="M3167" s="204"/>
      <c r="N3167" s="204"/>
      <c r="O3167" s="204"/>
      <c r="P3167" s="204"/>
      <c r="T3167" s="217"/>
    </row>
    <row r="3168" spans="2:20">
      <c r="B3168" s="204"/>
      <c r="C3168" s="204"/>
      <c r="D3168" s="204"/>
      <c r="E3168" s="204"/>
      <c r="F3168" s="204"/>
      <c r="G3168" s="204"/>
      <c r="H3168" s="204"/>
      <c r="I3168" s="204"/>
      <c r="J3168" s="204"/>
      <c r="K3168" s="204"/>
      <c r="L3168" s="204"/>
      <c r="M3168" s="204"/>
      <c r="N3168" s="204"/>
      <c r="O3168" s="204"/>
      <c r="P3168" s="204"/>
      <c r="T3168" s="217"/>
    </row>
    <row r="3169" spans="2:20">
      <c r="B3169" s="204"/>
      <c r="C3169" s="204"/>
      <c r="D3169" s="204"/>
      <c r="E3169" s="204"/>
      <c r="F3169" s="204"/>
      <c r="G3169" s="204"/>
      <c r="H3169" s="204"/>
      <c r="I3169" s="204"/>
      <c r="J3169" s="204"/>
      <c r="K3169" s="204"/>
      <c r="L3169" s="204"/>
      <c r="M3169" s="204"/>
      <c r="N3169" s="204"/>
      <c r="O3169" s="204"/>
      <c r="P3169" s="204"/>
      <c r="T3169" s="217"/>
    </row>
    <row r="3170" spans="2:20">
      <c r="B3170" s="204"/>
      <c r="C3170" s="204"/>
      <c r="D3170" s="204"/>
      <c r="E3170" s="204"/>
      <c r="F3170" s="204"/>
      <c r="G3170" s="204"/>
      <c r="H3170" s="204"/>
      <c r="I3170" s="204"/>
      <c r="J3170" s="204"/>
      <c r="K3170" s="204"/>
      <c r="L3170" s="204"/>
      <c r="M3170" s="204"/>
      <c r="N3170" s="204"/>
      <c r="O3170" s="204"/>
      <c r="P3170" s="204"/>
      <c r="T3170" s="217"/>
    </row>
    <row r="3171" spans="2:20">
      <c r="B3171" s="204"/>
      <c r="C3171" s="204"/>
      <c r="D3171" s="204"/>
      <c r="E3171" s="204"/>
      <c r="F3171" s="204"/>
      <c r="G3171" s="204"/>
      <c r="H3171" s="204"/>
      <c r="I3171" s="204"/>
      <c r="J3171" s="204"/>
      <c r="K3171" s="204"/>
      <c r="L3171" s="204"/>
      <c r="M3171" s="204"/>
      <c r="N3171" s="204"/>
      <c r="O3171" s="204"/>
      <c r="P3171" s="204"/>
      <c r="T3171" s="217"/>
    </row>
    <row r="3172" spans="2:20">
      <c r="B3172" s="204"/>
      <c r="C3172" s="204"/>
      <c r="D3172" s="204"/>
      <c r="E3172" s="204"/>
      <c r="F3172" s="204"/>
      <c r="G3172" s="204"/>
      <c r="H3172" s="204"/>
      <c r="I3172" s="204"/>
      <c r="J3172" s="204"/>
      <c r="K3172" s="204"/>
      <c r="L3172" s="204"/>
      <c r="M3172" s="204"/>
      <c r="N3172" s="204"/>
      <c r="O3172" s="204"/>
      <c r="P3172" s="204"/>
      <c r="T3172" s="217"/>
    </row>
    <row r="3173" spans="2:20">
      <c r="B3173" s="204"/>
      <c r="C3173" s="204"/>
      <c r="D3173" s="204"/>
      <c r="E3173" s="204"/>
      <c r="F3173" s="204"/>
      <c r="G3173" s="204"/>
      <c r="H3173" s="204"/>
      <c r="I3173" s="204"/>
      <c r="J3173" s="204"/>
      <c r="K3173" s="204"/>
      <c r="L3173" s="204"/>
      <c r="M3173" s="204"/>
      <c r="N3173" s="204"/>
      <c r="O3173" s="204"/>
      <c r="P3173" s="204"/>
      <c r="T3173" s="217"/>
    </row>
    <row r="3174" spans="2:20">
      <c r="B3174" s="204"/>
      <c r="C3174" s="204"/>
      <c r="D3174" s="204"/>
      <c r="E3174" s="204"/>
      <c r="F3174" s="204"/>
      <c r="G3174" s="204"/>
      <c r="H3174" s="204"/>
      <c r="I3174" s="204"/>
      <c r="J3174" s="204"/>
      <c r="K3174" s="204"/>
      <c r="L3174" s="204"/>
      <c r="M3174" s="204"/>
      <c r="N3174" s="204"/>
      <c r="O3174" s="204"/>
      <c r="P3174" s="204"/>
      <c r="T3174" s="217"/>
    </row>
    <row r="3175" spans="2:20">
      <c r="B3175" s="204"/>
      <c r="C3175" s="204"/>
      <c r="D3175" s="204"/>
      <c r="E3175" s="204"/>
      <c r="F3175" s="204"/>
      <c r="G3175" s="204"/>
      <c r="H3175" s="204"/>
      <c r="I3175" s="204"/>
      <c r="J3175" s="204"/>
      <c r="K3175" s="204"/>
      <c r="L3175" s="204"/>
      <c r="M3175" s="204"/>
      <c r="N3175" s="204"/>
      <c r="O3175" s="204"/>
      <c r="P3175" s="204"/>
      <c r="T3175" s="217"/>
    </row>
    <row r="3176" spans="2:20">
      <c r="B3176" s="204"/>
      <c r="C3176" s="204"/>
      <c r="D3176" s="204"/>
      <c r="E3176" s="204"/>
      <c r="F3176" s="204"/>
      <c r="G3176" s="204"/>
      <c r="H3176" s="204"/>
      <c r="I3176" s="204"/>
      <c r="J3176" s="204"/>
      <c r="K3176" s="204"/>
      <c r="L3176" s="204"/>
      <c r="M3176" s="204"/>
      <c r="N3176" s="204"/>
      <c r="O3176" s="204"/>
      <c r="P3176" s="204"/>
      <c r="T3176" s="217"/>
    </row>
    <row r="3177" spans="2:20">
      <c r="B3177" s="204"/>
      <c r="C3177" s="204"/>
      <c r="D3177" s="204"/>
      <c r="E3177" s="204"/>
      <c r="F3177" s="204"/>
      <c r="G3177" s="204"/>
      <c r="H3177" s="204"/>
      <c r="I3177" s="204"/>
      <c r="J3177" s="204"/>
      <c r="K3177" s="204"/>
      <c r="L3177" s="204"/>
      <c r="M3177" s="204"/>
      <c r="N3177" s="204"/>
      <c r="O3177" s="204"/>
      <c r="P3177" s="204"/>
      <c r="T3177" s="217"/>
    </row>
    <row r="3178" spans="2:20">
      <c r="B3178" s="204"/>
      <c r="C3178" s="204"/>
      <c r="D3178" s="204"/>
      <c r="E3178" s="204"/>
      <c r="F3178" s="204"/>
      <c r="G3178" s="204"/>
      <c r="H3178" s="204"/>
      <c r="I3178" s="204"/>
      <c r="J3178" s="204"/>
      <c r="K3178" s="204"/>
      <c r="L3178" s="204"/>
      <c r="M3178" s="204"/>
      <c r="N3178" s="204"/>
      <c r="O3178" s="204"/>
      <c r="P3178" s="204"/>
      <c r="T3178" s="217"/>
    </row>
    <row r="3179" spans="2:20">
      <c r="B3179" s="204"/>
      <c r="C3179" s="204"/>
      <c r="D3179" s="204"/>
      <c r="E3179" s="204"/>
      <c r="F3179" s="204"/>
      <c r="G3179" s="204"/>
      <c r="H3179" s="204"/>
      <c r="I3179" s="204"/>
      <c r="J3179" s="204"/>
      <c r="K3179" s="204"/>
      <c r="L3179" s="204"/>
      <c r="M3179" s="204"/>
      <c r="N3179" s="204"/>
      <c r="O3179" s="204"/>
      <c r="P3179" s="204"/>
      <c r="T3179" s="217"/>
    </row>
    <row r="3180" spans="2:20">
      <c r="B3180" s="204"/>
      <c r="C3180" s="204"/>
      <c r="D3180" s="204"/>
      <c r="E3180" s="204"/>
      <c r="F3180" s="204"/>
      <c r="G3180" s="204"/>
      <c r="H3180" s="204"/>
      <c r="I3180" s="204"/>
      <c r="J3180" s="204"/>
      <c r="K3180" s="204"/>
      <c r="L3180" s="204"/>
      <c r="M3180" s="204"/>
      <c r="N3180" s="204"/>
      <c r="O3180" s="204"/>
      <c r="P3180" s="204"/>
      <c r="T3180" s="217"/>
    </row>
    <row r="3181" spans="2:20">
      <c r="B3181" s="204"/>
      <c r="C3181" s="204"/>
      <c r="D3181" s="204"/>
      <c r="E3181" s="204"/>
      <c r="F3181" s="204"/>
      <c r="G3181" s="204"/>
      <c r="H3181" s="204"/>
      <c r="I3181" s="204"/>
      <c r="J3181" s="204"/>
      <c r="K3181" s="204"/>
      <c r="L3181" s="204"/>
      <c r="M3181" s="204"/>
      <c r="N3181" s="204"/>
      <c r="O3181" s="204"/>
      <c r="P3181" s="204"/>
      <c r="T3181" s="217"/>
    </row>
    <row r="3182" spans="2:20">
      <c r="B3182" s="204"/>
      <c r="C3182" s="204"/>
      <c r="D3182" s="204"/>
      <c r="E3182" s="204"/>
      <c r="F3182" s="204"/>
      <c r="G3182" s="204"/>
      <c r="H3182" s="204"/>
      <c r="I3182" s="204"/>
      <c r="J3182" s="204"/>
      <c r="K3182" s="204"/>
      <c r="L3182" s="204"/>
      <c r="M3182" s="204"/>
      <c r="N3182" s="204"/>
      <c r="O3182" s="204"/>
      <c r="P3182" s="204"/>
      <c r="T3182" s="217"/>
    </row>
    <row r="3183" spans="2:20">
      <c r="B3183" s="204"/>
      <c r="C3183" s="204"/>
      <c r="D3183" s="204"/>
      <c r="E3183" s="204"/>
      <c r="F3183" s="204"/>
      <c r="G3183" s="204"/>
      <c r="H3183" s="204"/>
      <c r="I3183" s="204"/>
      <c r="J3183" s="204"/>
      <c r="K3183" s="204"/>
      <c r="L3183" s="204"/>
      <c r="M3183" s="204"/>
      <c r="N3183" s="204"/>
      <c r="O3183" s="204"/>
      <c r="P3183" s="204"/>
      <c r="T3183" s="217"/>
    </row>
    <row r="3184" spans="2:20">
      <c r="B3184" s="204"/>
      <c r="C3184" s="204"/>
      <c r="D3184" s="204"/>
      <c r="E3184" s="204"/>
      <c r="F3184" s="204"/>
      <c r="G3184" s="204"/>
      <c r="H3184" s="204"/>
      <c r="I3184" s="204"/>
      <c r="J3184" s="204"/>
      <c r="K3184" s="204"/>
      <c r="L3184" s="204"/>
      <c r="M3184" s="204"/>
      <c r="N3184" s="204"/>
      <c r="O3184" s="204"/>
      <c r="P3184" s="204"/>
      <c r="T3184" s="217"/>
    </row>
    <row r="3185" spans="2:20">
      <c r="B3185" s="204"/>
      <c r="C3185" s="204"/>
      <c r="D3185" s="204"/>
      <c r="E3185" s="204"/>
      <c r="F3185" s="204"/>
      <c r="G3185" s="204"/>
      <c r="H3185" s="204"/>
      <c r="I3185" s="204"/>
      <c r="J3185" s="204"/>
      <c r="K3185" s="204"/>
      <c r="L3185" s="204"/>
      <c r="M3185" s="204"/>
      <c r="N3185" s="204"/>
      <c r="O3185" s="204"/>
      <c r="P3185" s="204"/>
      <c r="T3185" s="217"/>
    </row>
    <row r="3186" spans="2:20">
      <c r="B3186" s="204"/>
      <c r="C3186" s="204"/>
      <c r="D3186" s="204"/>
      <c r="E3186" s="204"/>
      <c r="F3186" s="204"/>
      <c r="G3186" s="204"/>
      <c r="H3186" s="204"/>
      <c r="I3186" s="204"/>
      <c r="J3186" s="204"/>
      <c r="K3186" s="204"/>
      <c r="L3186" s="204"/>
      <c r="M3186" s="204"/>
      <c r="N3186" s="204"/>
      <c r="O3186" s="204"/>
      <c r="P3186" s="204"/>
      <c r="T3186" s="217"/>
    </row>
    <row r="3187" spans="2:20">
      <c r="B3187" s="204"/>
      <c r="C3187" s="204"/>
      <c r="D3187" s="204"/>
      <c r="E3187" s="204"/>
      <c r="F3187" s="204"/>
      <c r="G3187" s="204"/>
      <c r="H3187" s="204"/>
      <c r="I3187" s="204"/>
      <c r="J3187" s="204"/>
      <c r="K3187" s="204"/>
      <c r="L3187" s="204"/>
      <c r="M3187" s="204"/>
      <c r="N3187" s="204"/>
      <c r="O3187" s="204"/>
      <c r="P3187" s="204"/>
      <c r="T3187" s="217"/>
    </row>
    <row r="3188" spans="2:20">
      <c r="B3188" s="204"/>
      <c r="C3188" s="204"/>
      <c r="D3188" s="204"/>
      <c r="E3188" s="204"/>
      <c r="F3188" s="204"/>
      <c r="G3188" s="204"/>
      <c r="H3188" s="204"/>
      <c r="I3188" s="204"/>
      <c r="J3188" s="204"/>
      <c r="K3188" s="204"/>
      <c r="L3188" s="204"/>
      <c r="M3188" s="204"/>
      <c r="N3188" s="204"/>
      <c r="O3188" s="204"/>
      <c r="P3188" s="204"/>
      <c r="T3188" s="217"/>
    </row>
    <row r="3189" spans="2:20">
      <c r="B3189" s="204"/>
      <c r="C3189" s="204"/>
      <c r="D3189" s="204"/>
      <c r="E3189" s="204"/>
      <c r="F3189" s="204"/>
      <c r="G3189" s="204"/>
      <c r="H3189" s="204"/>
      <c r="I3189" s="204"/>
      <c r="J3189" s="204"/>
      <c r="K3189" s="204"/>
      <c r="L3189" s="204"/>
      <c r="M3189" s="204"/>
      <c r="N3189" s="204"/>
      <c r="O3189" s="204"/>
      <c r="P3189" s="204"/>
      <c r="T3189" s="217"/>
    </row>
    <row r="3190" spans="2:20">
      <c r="B3190" s="204"/>
      <c r="C3190" s="204"/>
      <c r="D3190" s="204"/>
      <c r="E3190" s="204"/>
      <c r="F3190" s="204"/>
      <c r="G3190" s="204"/>
      <c r="H3190" s="204"/>
      <c r="I3190" s="204"/>
      <c r="J3190" s="204"/>
      <c r="K3190" s="204"/>
      <c r="L3190" s="204"/>
      <c r="M3190" s="204"/>
      <c r="N3190" s="204"/>
      <c r="O3190" s="204"/>
      <c r="P3190" s="204"/>
      <c r="T3190" s="217"/>
    </row>
    <row r="3191" spans="2:20">
      <c r="B3191" s="204"/>
      <c r="C3191" s="204"/>
      <c r="D3191" s="204"/>
      <c r="E3191" s="204"/>
      <c r="F3191" s="204"/>
      <c r="G3191" s="204"/>
      <c r="H3191" s="204"/>
      <c r="I3191" s="204"/>
      <c r="J3191" s="204"/>
      <c r="K3191" s="204"/>
      <c r="L3191" s="204"/>
      <c r="M3191" s="204"/>
      <c r="N3191" s="204"/>
      <c r="O3191" s="204"/>
      <c r="P3191" s="204"/>
      <c r="T3191" s="217"/>
    </row>
    <row r="3192" spans="2:20">
      <c r="B3192" s="204"/>
      <c r="C3192" s="204"/>
      <c r="D3192" s="204"/>
      <c r="E3192" s="204"/>
      <c r="F3192" s="204"/>
      <c r="G3192" s="204"/>
      <c r="H3192" s="204"/>
      <c r="I3192" s="204"/>
      <c r="J3192" s="204"/>
      <c r="K3192" s="204"/>
      <c r="L3192" s="204"/>
      <c r="M3192" s="204"/>
      <c r="N3192" s="204"/>
      <c r="O3192" s="204"/>
      <c r="P3192" s="204"/>
      <c r="T3192" s="217"/>
    </row>
    <row r="3193" spans="2:20">
      <c r="B3193" s="204"/>
      <c r="C3193" s="204"/>
      <c r="D3193" s="204"/>
      <c r="E3193" s="204"/>
      <c r="F3193" s="204"/>
      <c r="G3193" s="204"/>
      <c r="H3193" s="204"/>
      <c r="I3193" s="204"/>
      <c r="J3193" s="204"/>
      <c r="K3193" s="204"/>
      <c r="L3193" s="204"/>
      <c r="M3193" s="204"/>
      <c r="N3193" s="204"/>
      <c r="O3193" s="204"/>
      <c r="P3193" s="204"/>
      <c r="T3193" s="217"/>
    </row>
    <row r="3194" spans="2:20">
      <c r="B3194" s="204"/>
      <c r="C3194" s="204"/>
      <c r="D3194" s="204"/>
      <c r="E3194" s="204"/>
      <c r="F3194" s="204"/>
      <c r="G3194" s="204"/>
      <c r="H3194" s="204"/>
      <c r="I3194" s="204"/>
      <c r="J3194" s="204"/>
      <c r="K3194" s="204"/>
      <c r="L3194" s="204"/>
      <c r="M3194" s="204"/>
      <c r="N3194" s="204"/>
      <c r="O3194" s="204"/>
      <c r="P3194" s="204"/>
      <c r="T3194" s="217"/>
    </row>
    <row r="3195" spans="2:20">
      <c r="B3195" s="204"/>
      <c r="C3195" s="204"/>
      <c r="D3195" s="204"/>
      <c r="E3195" s="204"/>
      <c r="F3195" s="204"/>
      <c r="G3195" s="204"/>
      <c r="H3195" s="204"/>
      <c r="I3195" s="204"/>
      <c r="J3195" s="204"/>
      <c r="K3195" s="204"/>
      <c r="L3195" s="204"/>
      <c r="M3195" s="204"/>
      <c r="N3195" s="204"/>
      <c r="O3195" s="204"/>
      <c r="P3195" s="204"/>
      <c r="T3195" s="217"/>
    </row>
    <row r="3196" spans="2:20">
      <c r="B3196" s="204"/>
      <c r="C3196" s="204"/>
      <c r="D3196" s="204"/>
      <c r="E3196" s="204"/>
      <c r="F3196" s="204"/>
      <c r="G3196" s="204"/>
      <c r="H3196" s="204"/>
      <c r="I3196" s="204"/>
      <c r="J3196" s="204"/>
      <c r="K3196" s="204"/>
      <c r="L3196" s="204"/>
      <c r="M3196" s="204"/>
      <c r="N3196" s="204"/>
      <c r="O3196" s="204"/>
      <c r="P3196" s="204"/>
      <c r="T3196" s="217"/>
    </row>
    <row r="3197" spans="2:20">
      <c r="B3197" s="204"/>
      <c r="C3197" s="204"/>
      <c r="D3197" s="204"/>
      <c r="E3197" s="204"/>
      <c r="F3197" s="204"/>
      <c r="G3197" s="204"/>
      <c r="H3197" s="204"/>
      <c r="I3197" s="204"/>
      <c r="J3197" s="204"/>
      <c r="K3197" s="204"/>
      <c r="L3197" s="204"/>
      <c r="M3197" s="204"/>
      <c r="N3197" s="204"/>
      <c r="O3197" s="204"/>
      <c r="P3197" s="204"/>
      <c r="T3197" s="217"/>
    </row>
    <row r="3198" spans="2:20">
      <c r="B3198" s="204"/>
      <c r="C3198" s="204"/>
      <c r="D3198" s="204"/>
      <c r="E3198" s="204"/>
      <c r="F3198" s="204"/>
      <c r="G3198" s="204"/>
      <c r="H3198" s="204"/>
      <c r="I3198" s="204"/>
      <c r="J3198" s="204"/>
      <c r="K3198" s="204"/>
      <c r="L3198" s="204"/>
      <c r="M3198" s="204"/>
      <c r="N3198" s="204"/>
      <c r="O3198" s="204"/>
      <c r="P3198" s="204"/>
      <c r="T3198" s="217"/>
    </row>
    <row r="3199" spans="2:20">
      <c r="B3199" s="204"/>
      <c r="C3199" s="204"/>
      <c r="D3199" s="204"/>
      <c r="E3199" s="204"/>
      <c r="F3199" s="204"/>
      <c r="G3199" s="204"/>
      <c r="H3199" s="204"/>
      <c r="I3199" s="204"/>
      <c r="J3199" s="204"/>
      <c r="K3199" s="204"/>
      <c r="L3199" s="204"/>
      <c r="M3199" s="204"/>
      <c r="N3199" s="204"/>
      <c r="O3199" s="204"/>
      <c r="P3199" s="204"/>
      <c r="T3199" s="217"/>
    </row>
    <row r="3200" spans="2:20">
      <c r="B3200" s="204"/>
      <c r="C3200" s="204"/>
      <c r="D3200" s="204"/>
      <c r="E3200" s="204"/>
      <c r="F3200" s="204"/>
      <c r="G3200" s="204"/>
      <c r="H3200" s="204"/>
      <c r="I3200" s="204"/>
      <c r="J3200" s="204"/>
      <c r="K3200" s="204"/>
      <c r="L3200" s="204"/>
      <c r="M3200" s="204"/>
      <c r="N3200" s="204"/>
      <c r="O3200" s="204"/>
      <c r="P3200" s="204"/>
      <c r="T3200" s="217"/>
    </row>
    <row r="3201" spans="2:20">
      <c r="B3201" s="204"/>
      <c r="C3201" s="204"/>
      <c r="D3201" s="204"/>
      <c r="E3201" s="204"/>
      <c r="F3201" s="204"/>
      <c r="G3201" s="204"/>
      <c r="H3201" s="204"/>
      <c r="I3201" s="204"/>
      <c r="J3201" s="204"/>
      <c r="K3201" s="204"/>
      <c r="L3201" s="204"/>
      <c r="M3201" s="204"/>
      <c r="N3201" s="204"/>
      <c r="O3201" s="204"/>
      <c r="P3201" s="204"/>
      <c r="T3201" s="217"/>
    </row>
    <row r="3202" spans="2:20">
      <c r="B3202" s="204"/>
      <c r="C3202" s="204"/>
      <c r="D3202" s="204"/>
      <c r="E3202" s="204"/>
      <c r="F3202" s="204"/>
      <c r="G3202" s="204"/>
      <c r="H3202" s="204"/>
      <c r="I3202" s="204"/>
      <c r="J3202" s="204"/>
      <c r="K3202" s="204"/>
      <c r="L3202" s="204"/>
      <c r="M3202" s="204"/>
      <c r="N3202" s="204"/>
      <c r="O3202" s="204"/>
      <c r="P3202" s="204"/>
      <c r="T3202" s="217"/>
    </row>
    <row r="3203" spans="2:20">
      <c r="B3203" s="204"/>
      <c r="C3203" s="204"/>
      <c r="D3203" s="204"/>
      <c r="E3203" s="204"/>
      <c r="F3203" s="204"/>
      <c r="G3203" s="204"/>
      <c r="H3203" s="204"/>
      <c r="I3203" s="204"/>
      <c r="J3203" s="204"/>
      <c r="K3203" s="204"/>
      <c r="L3203" s="204"/>
      <c r="M3203" s="204"/>
      <c r="N3203" s="204"/>
      <c r="O3203" s="204"/>
      <c r="P3203" s="204"/>
      <c r="T3203" s="217"/>
    </row>
    <row r="3204" spans="2:20">
      <c r="B3204" s="204"/>
      <c r="C3204" s="204"/>
      <c r="D3204" s="204"/>
      <c r="E3204" s="204"/>
      <c r="F3204" s="204"/>
      <c r="G3204" s="204"/>
      <c r="H3204" s="204"/>
      <c r="I3204" s="204"/>
      <c r="J3204" s="204"/>
      <c r="K3204" s="204"/>
      <c r="L3204" s="204"/>
      <c r="M3204" s="204"/>
      <c r="N3204" s="204"/>
      <c r="O3204" s="204"/>
      <c r="P3204" s="204"/>
      <c r="T3204" s="217"/>
    </row>
    <row r="3205" spans="2:20">
      <c r="B3205" s="204"/>
      <c r="C3205" s="204"/>
      <c r="D3205" s="204"/>
      <c r="E3205" s="204"/>
      <c r="F3205" s="204"/>
      <c r="G3205" s="204"/>
      <c r="H3205" s="204"/>
      <c r="I3205" s="204"/>
      <c r="J3205" s="204"/>
      <c r="K3205" s="204"/>
      <c r="L3205" s="204"/>
      <c r="M3205" s="204"/>
      <c r="N3205" s="204"/>
      <c r="O3205" s="204"/>
      <c r="P3205" s="204"/>
      <c r="T3205" s="217"/>
    </row>
    <row r="3206" spans="2:20">
      <c r="B3206" s="204"/>
      <c r="C3206" s="204"/>
      <c r="D3206" s="204"/>
      <c r="E3206" s="204"/>
      <c r="F3206" s="204"/>
      <c r="G3206" s="204"/>
      <c r="H3206" s="204"/>
      <c r="I3206" s="204"/>
      <c r="J3206" s="204"/>
      <c r="K3206" s="204"/>
      <c r="L3206" s="204"/>
      <c r="M3206" s="204"/>
      <c r="N3206" s="204"/>
      <c r="O3206" s="204"/>
      <c r="P3206" s="204"/>
      <c r="T3206" s="217"/>
    </row>
    <row r="3207" spans="2:20">
      <c r="B3207" s="204"/>
      <c r="C3207" s="204"/>
      <c r="D3207" s="204"/>
      <c r="E3207" s="204"/>
      <c r="F3207" s="204"/>
      <c r="G3207" s="204"/>
      <c r="H3207" s="204"/>
      <c r="I3207" s="204"/>
      <c r="J3207" s="204"/>
      <c r="K3207" s="204"/>
      <c r="L3207" s="204"/>
      <c r="M3207" s="204"/>
      <c r="N3207" s="204"/>
      <c r="O3207" s="204"/>
      <c r="P3207" s="204"/>
      <c r="T3207" s="217"/>
    </row>
    <row r="3208" spans="2:20">
      <c r="B3208" s="204"/>
      <c r="C3208" s="204"/>
      <c r="D3208" s="204"/>
      <c r="E3208" s="204"/>
      <c r="F3208" s="204"/>
      <c r="G3208" s="204"/>
      <c r="H3208" s="204"/>
      <c r="I3208" s="204"/>
      <c r="J3208" s="204"/>
      <c r="K3208" s="204"/>
      <c r="L3208" s="204"/>
      <c r="M3208" s="204"/>
      <c r="N3208" s="204"/>
      <c r="O3208" s="204"/>
      <c r="P3208" s="204"/>
      <c r="T3208" s="217"/>
    </row>
    <row r="3209" spans="2:20">
      <c r="B3209" s="204"/>
      <c r="C3209" s="204"/>
      <c r="D3209" s="204"/>
      <c r="E3209" s="204"/>
      <c r="F3209" s="204"/>
      <c r="G3209" s="204"/>
      <c r="H3209" s="204"/>
      <c r="I3209" s="204"/>
      <c r="J3209" s="204"/>
      <c r="K3209" s="204"/>
      <c r="L3209" s="204"/>
      <c r="M3209" s="204"/>
      <c r="N3209" s="204"/>
      <c r="O3209" s="204"/>
      <c r="P3209" s="204"/>
      <c r="T3209" s="217"/>
    </row>
    <row r="3210" spans="2:20">
      <c r="B3210" s="204"/>
      <c r="C3210" s="204"/>
      <c r="D3210" s="204"/>
      <c r="E3210" s="204"/>
      <c r="F3210" s="204"/>
      <c r="G3210" s="204"/>
      <c r="H3210" s="204"/>
      <c r="I3210" s="204"/>
      <c r="J3210" s="204"/>
      <c r="K3210" s="204"/>
      <c r="L3210" s="204"/>
      <c r="M3210" s="204"/>
      <c r="N3210" s="204"/>
      <c r="O3210" s="204"/>
      <c r="P3210" s="204"/>
      <c r="T3210" s="217"/>
    </row>
    <row r="3211" spans="2:20">
      <c r="B3211" s="204"/>
      <c r="C3211" s="204"/>
      <c r="D3211" s="204"/>
      <c r="E3211" s="204"/>
      <c r="F3211" s="204"/>
      <c r="G3211" s="204"/>
      <c r="H3211" s="204"/>
      <c r="I3211" s="204"/>
      <c r="J3211" s="204"/>
      <c r="K3211" s="204"/>
      <c r="L3211" s="204"/>
      <c r="M3211" s="204"/>
      <c r="N3211" s="204"/>
      <c r="O3211" s="204"/>
      <c r="P3211" s="204"/>
      <c r="T3211" s="217"/>
    </row>
    <row r="3212" spans="2:20">
      <c r="B3212" s="204"/>
      <c r="C3212" s="204"/>
      <c r="D3212" s="204"/>
      <c r="E3212" s="204"/>
      <c r="F3212" s="204"/>
      <c r="G3212" s="204"/>
      <c r="H3212" s="204"/>
      <c r="I3212" s="204"/>
      <c r="J3212" s="204"/>
      <c r="K3212" s="204"/>
      <c r="L3212" s="204"/>
      <c r="M3212" s="204"/>
      <c r="N3212" s="204"/>
      <c r="O3212" s="204"/>
      <c r="P3212" s="204"/>
      <c r="T3212" s="217"/>
    </row>
    <row r="3213" spans="2:20">
      <c r="B3213" s="204"/>
      <c r="C3213" s="204"/>
      <c r="D3213" s="204"/>
      <c r="E3213" s="204"/>
      <c r="F3213" s="204"/>
      <c r="G3213" s="204"/>
      <c r="H3213" s="204"/>
      <c r="I3213" s="204"/>
      <c r="J3213" s="204"/>
      <c r="K3213" s="204"/>
      <c r="L3213" s="204"/>
      <c r="M3213" s="204"/>
      <c r="N3213" s="204"/>
      <c r="O3213" s="204"/>
      <c r="P3213" s="204"/>
      <c r="T3213" s="217"/>
    </row>
    <row r="3214" spans="2:20">
      <c r="B3214" s="204"/>
      <c r="C3214" s="204"/>
      <c r="D3214" s="204"/>
      <c r="E3214" s="204"/>
      <c r="F3214" s="204"/>
      <c r="G3214" s="204"/>
      <c r="H3214" s="204"/>
      <c r="I3214" s="204"/>
      <c r="J3214" s="204"/>
      <c r="K3214" s="204"/>
      <c r="L3214" s="204"/>
      <c r="M3214" s="204"/>
      <c r="N3214" s="204"/>
      <c r="O3214" s="204"/>
      <c r="P3214" s="204"/>
      <c r="T3214" s="217"/>
    </row>
    <row r="3215" spans="2:20">
      <c r="B3215" s="204"/>
      <c r="C3215" s="204"/>
      <c r="D3215" s="204"/>
      <c r="E3215" s="204"/>
      <c r="F3215" s="204"/>
      <c r="G3215" s="204"/>
      <c r="H3215" s="204"/>
      <c r="I3215" s="204"/>
      <c r="J3215" s="204"/>
      <c r="K3215" s="204"/>
      <c r="L3215" s="204"/>
      <c r="M3215" s="204"/>
      <c r="N3215" s="204"/>
      <c r="O3215" s="204"/>
      <c r="P3215" s="204"/>
      <c r="T3215" s="217"/>
    </row>
    <row r="3216" spans="2:20">
      <c r="B3216" s="204"/>
      <c r="C3216" s="204"/>
      <c r="D3216" s="204"/>
      <c r="E3216" s="204"/>
      <c r="F3216" s="204"/>
      <c r="G3216" s="204"/>
      <c r="H3216" s="204"/>
      <c r="I3216" s="204"/>
      <c r="J3216" s="204"/>
      <c r="K3216" s="204"/>
      <c r="L3216" s="204"/>
      <c r="M3216" s="204"/>
      <c r="N3216" s="204"/>
      <c r="O3216" s="204"/>
      <c r="P3216" s="204"/>
      <c r="T3216" s="217"/>
    </row>
    <row r="3217" spans="2:20">
      <c r="B3217" s="204"/>
      <c r="C3217" s="204"/>
      <c r="D3217" s="204"/>
      <c r="E3217" s="204"/>
      <c r="F3217" s="204"/>
      <c r="G3217" s="204"/>
      <c r="H3217" s="204"/>
      <c r="I3217" s="204"/>
      <c r="J3217" s="204"/>
      <c r="K3217" s="204"/>
      <c r="L3217" s="204"/>
      <c r="M3217" s="204"/>
      <c r="N3217" s="204"/>
      <c r="O3217" s="204"/>
      <c r="P3217" s="204"/>
      <c r="T3217" s="217"/>
    </row>
    <row r="3218" spans="2:20">
      <c r="B3218" s="204"/>
      <c r="C3218" s="204"/>
      <c r="D3218" s="204"/>
      <c r="E3218" s="204"/>
      <c r="F3218" s="204"/>
      <c r="G3218" s="204"/>
      <c r="H3218" s="204"/>
      <c r="I3218" s="204"/>
      <c r="J3218" s="204"/>
      <c r="K3218" s="204"/>
      <c r="L3218" s="204"/>
      <c r="M3218" s="204"/>
      <c r="N3218" s="204"/>
      <c r="O3218" s="204"/>
      <c r="P3218" s="204"/>
      <c r="T3218" s="217"/>
    </row>
    <row r="3219" spans="2:20">
      <c r="B3219" s="204"/>
      <c r="C3219" s="204"/>
      <c r="D3219" s="204"/>
      <c r="E3219" s="204"/>
      <c r="F3219" s="204"/>
      <c r="G3219" s="204"/>
      <c r="H3219" s="204"/>
      <c r="I3219" s="204"/>
      <c r="J3219" s="204"/>
      <c r="K3219" s="204"/>
      <c r="L3219" s="204"/>
      <c r="M3219" s="204"/>
      <c r="N3219" s="204"/>
      <c r="O3219" s="204"/>
      <c r="P3219" s="204"/>
      <c r="T3219" s="217"/>
    </row>
    <row r="3220" spans="2:20">
      <c r="B3220" s="204"/>
      <c r="C3220" s="204"/>
      <c r="D3220" s="204"/>
      <c r="E3220" s="204"/>
      <c r="F3220" s="204"/>
      <c r="G3220" s="204"/>
      <c r="H3220" s="204"/>
      <c r="I3220" s="204"/>
      <c r="J3220" s="204"/>
      <c r="K3220" s="204"/>
      <c r="L3220" s="204"/>
      <c r="M3220" s="204"/>
      <c r="N3220" s="204"/>
      <c r="O3220" s="204"/>
      <c r="P3220" s="204"/>
      <c r="T3220" s="217"/>
    </row>
    <row r="3221" spans="2:20">
      <c r="B3221" s="204"/>
      <c r="C3221" s="204"/>
      <c r="D3221" s="204"/>
      <c r="E3221" s="204"/>
      <c r="F3221" s="204"/>
      <c r="G3221" s="204"/>
      <c r="H3221" s="204"/>
      <c r="I3221" s="204"/>
      <c r="J3221" s="204"/>
      <c r="K3221" s="204"/>
      <c r="L3221" s="204"/>
      <c r="M3221" s="204"/>
      <c r="N3221" s="204"/>
      <c r="O3221" s="204"/>
      <c r="P3221" s="204"/>
      <c r="T3221" s="217"/>
    </row>
    <row r="3222" spans="2:20">
      <c r="B3222" s="204"/>
      <c r="C3222" s="204"/>
      <c r="D3222" s="204"/>
      <c r="E3222" s="204"/>
      <c r="F3222" s="204"/>
      <c r="G3222" s="204"/>
      <c r="H3222" s="204"/>
      <c r="I3222" s="204"/>
      <c r="J3222" s="204"/>
      <c r="K3222" s="204"/>
      <c r="L3222" s="204"/>
      <c r="M3222" s="204"/>
      <c r="N3222" s="204"/>
      <c r="O3222" s="204"/>
      <c r="P3222" s="204"/>
      <c r="T3222" s="217"/>
    </row>
    <row r="3223" spans="2:20">
      <c r="B3223" s="204"/>
      <c r="C3223" s="204"/>
      <c r="D3223" s="204"/>
      <c r="E3223" s="204"/>
      <c r="F3223" s="204"/>
      <c r="G3223" s="204"/>
      <c r="H3223" s="204"/>
      <c r="I3223" s="204"/>
      <c r="J3223" s="204"/>
      <c r="K3223" s="204"/>
      <c r="L3223" s="204"/>
      <c r="M3223" s="204"/>
      <c r="N3223" s="204"/>
      <c r="O3223" s="204"/>
      <c r="P3223" s="204"/>
      <c r="T3223" s="217"/>
    </row>
    <row r="3224" spans="2:20">
      <c r="B3224" s="204"/>
      <c r="C3224" s="204"/>
      <c r="D3224" s="204"/>
      <c r="E3224" s="204"/>
      <c r="F3224" s="204"/>
      <c r="G3224" s="204"/>
      <c r="H3224" s="204"/>
      <c r="I3224" s="204"/>
      <c r="J3224" s="204"/>
      <c r="K3224" s="204"/>
      <c r="L3224" s="204"/>
      <c r="M3224" s="204"/>
      <c r="N3224" s="204"/>
      <c r="O3224" s="204"/>
      <c r="P3224" s="204"/>
      <c r="T3224" s="217"/>
    </row>
    <row r="3225" spans="2:20">
      <c r="B3225" s="204"/>
      <c r="C3225" s="204"/>
      <c r="D3225" s="204"/>
      <c r="E3225" s="204"/>
      <c r="F3225" s="204"/>
      <c r="G3225" s="204"/>
      <c r="H3225" s="204"/>
      <c r="I3225" s="204"/>
      <c r="J3225" s="204"/>
      <c r="K3225" s="204"/>
      <c r="L3225" s="204"/>
      <c r="M3225" s="204"/>
      <c r="N3225" s="204"/>
      <c r="O3225" s="204"/>
      <c r="P3225" s="204"/>
      <c r="T3225" s="217"/>
    </row>
    <row r="3226" spans="2:20">
      <c r="B3226" s="204"/>
      <c r="C3226" s="204"/>
      <c r="D3226" s="204"/>
      <c r="E3226" s="204"/>
      <c r="F3226" s="204"/>
      <c r="G3226" s="204"/>
      <c r="H3226" s="204"/>
      <c r="I3226" s="204"/>
      <c r="J3226" s="204"/>
      <c r="K3226" s="204"/>
      <c r="L3226" s="204"/>
      <c r="M3226" s="204"/>
      <c r="N3226" s="204"/>
      <c r="O3226" s="204"/>
      <c r="P3226" s="204"/>
      <c r="T3226" s="217"/>
    </row>
    <row r="3227" spans="2:20">
      <c r="B3227" s="204"/>
      <c r="C3227" s="204"/>
      <c r="D3227" s="204"/>
      <c r="E3227" s="204"/>
      <c r="F3227" s="204"/>
      <c r="G3227" s="204"/>
      <c r="H3227" s="204"/>
      <c r="I3227" s="204"/>
      <c r="J3227" s="204"/>
      <c r="K3227" s="204"/>
      <c r="L3227" s="204"/>
      <c r="M3227" s="204"/>
      <c r="N3227" s="204"/>
      <c r="O3227" s="204"/>
      <c r="P3227" s="204"/>
      <c r="T3227" s="217"/>
    </row>
    <row r="3228" spans="2:20">
      <c r="B3228" s="204"/>
      <c r="C3228" s="204"/>
      <c r="D3228" s="204"/>
      <c r="E3228" s="204"/>
      <c r="F3228" s="204"/>
      <c r="G3228" s="204"/>
      <c r="H3228" s="204"/>
      <c r="I3228" s="204"/>
      <c r="J3228" s="204"/>
      <c r="K3228" s="204"/>
      <c r="L3228" s="204"/>
      <c r="M3228" s="204"/>
      <c r="N3228" s="204"/>
      <c r="O3228" s="204"/>
      <c r="P3228" s="204"/>
      <c r="T3228" s="217"/>
    </row>
    <row r="3229" spans="2:20">
      <c r="B3229" s="204"/>
      <c r="C3229" s="204"/>
      <c r="D3229" s="204"/>
      <c r="E3229" s="204"/>
      <c r="F3229" s="204"/>
      <c r="G3229" s="204"/>
      <c r="H3229" s="204"/>
      <c r="I3229" s="204"/>
      <c r="J3229" s="204"/>
      <c r="K3229" s="204"/>
      <c r="L3229" s="204"/>
      <c r="M3229" s="204"/>
      <c r="N3229" s="204"/>
      <c r="O3229" s="204"/>
      <c r="P3229" s="204"/>
      <c r="T3229" s="217"/>
    </row>
    <row r="3230" spans="2:20">
      <c r="B3230" s="204"/>
      <c r="C3230" s="204"/>
      <c r="D3230" s="204"/>
      <c r="E3230" s="204"/>
      <c r="F3230" s="204"/>
      <c r="G3230" s="204"/>
      <c r="H3230" s="204"/>
      <c r="I3230" s="204"/>
      <c r="J3230" s="204"/>
      <c r="K3230" s="204"/>
      <c r="L3230" s="204"/>
      <c r="M3230" s="204"/>
      <c r="N3230" s="204"/>
      <c r="O3230" s="204"/>
      <c r="P3230" s="204"/>
      <c r="T3230" s="217"/>
    </row>
    <row r="3231" spans="2:20">
      <c r="B3231" s="204"/>
      <c r="C3231" s="204"/>
      <c r="D3231" s="204"/>
      <c r="E3231" s="204"/>
      <c r="F3231" s="204"/>
      <c r="G3231" s="204"/>
      <c r="H3231" s="204"/>
      <c r="I3231" s="204"/>
      <c r="J3231" s="204"/>
      <c r="K3231" s="204"/>
      <c r="L3231" s="204"/>
      <c r="M3231" s="204"/>
      <c r="N3231" s="204"/>
      <c r="O3231" s="204"/>
      <c r="P3231" s="204"/>
      <c r="T3231" s="217"/>
    </row>
    <row r="3232" spans="2:20">
      <c r="B3232" s="204"/>
      <c r="C3232" s="204"/>
      <c r="D3232" s="204"/>
      <c r="E3232" s="204"/>
      <c r="F3232" s="204"/>
      <c r="G3232" s="204"/>
      <c r="H3232" s="204"/>
      <c r="I3232" s="204"/>
      <c r="J3232" s="204"/>
      <c r="K3232" s="204"/>
      <c r="L3232" s="204"/>
      <c r="M3232" s="204"/>
      <c r="N3232" s="204"/>
      <c r="O3232" s="204"/>
      <c r="P3232" s="204"/>
      <c r="T3232" s="217"/>
    </row>
    <row r="3233" spans="2:20">
      <c r="B3233" s="204"/>
      <c r="C3233" s="204"/>
      <c r="D3233" s="204"/>
      <c r="E3233" s="204"/>
      <c r="F3233" s="204"/>
      <c r="G3233" s="204"/>
      <c r="H3233" s="204"/>
      <c r="I3233" s="204"/>
      <c r="J3233" s="204"/>
      <c r="K3233" s="204"/>
      <c r="L3233" s="204"/>
      <c r="M3233" s="204"/>
      <c r="N3233" s="204"/>
      <c r="O3233" s="204"/>
      <c r="P3233" s="204"/>
      <c r="T3233" s="217"/>
    </row>
    <row r="3234" spans="2:20">
      <c r="B3234" s="204"/>
      <c r="C3234" s="204"/>
      <c r="D3234" s="204"/>
      <c r="E3234" s="204"/>
      <c r="F3234" s="204"/>
      <c r="G3234" s="204"/>
      <c r="H3234" s="204"/>
      <c r="I3234" s="204"/>
      <c r="J3234" s="204"/>
      <c r="K3234" s="204"/>
      <c r="L3234" s="204"/>
      <c r="M3234" s="204"/>
      <c r="N3234" s="204"/>
      <c r="O3234" s="204"/>
      <c r="P3234" s="204"/>
      <c r="T3234" s="217"/>
    </row>
    <row r="3235" spans="2:20">
      <c r="B3235" s="204"/>
      <c r="C3235" s="204"/>
      <c r="D3235" s="204"/>
      <c r="E3235" s="204"/>
      <c r="F3235" s="204"/>
      <c r="G3235" s="204"/>
      <c r="H3235" s="204"/>
      <c r="I3235" s="204"/>
      <c r="J3235" s="204"/>
      <c r="K3235" s="204"/>
      <c r="L3235" s="204"/>
      <c r="M3235" s="204"/>
      <c r="N3235" s="204"/>
      <c r="O3235" s="204"/>
      <c r="P3235" s="204"/>
      <c r="T3235" s="217"/>
    </row>
    <row r="3236" spans="2:20">
      <c r="B3236" s="204"/>
      <c r="C3236" s="204"/>
      <c r="D3236" s="204"/>
      <c r="E3236" s="204"/>
      <c r="F3236" s="204"/>
      <c r="G3236" s="204"/>
      <c r="H3236" s="204"/>
      <c r="I3236" s="204"/>
      <c r="J3236" s="204"/>
      <c r="K3236" s="204"/>
      <c r="L3236" s="204"/>
      <c r="M3236" s="204"/>
      <c r="N3236" s="204"/>
      <c r="O3236" s="204"/>
      <c r="P3236" s="204"/>
      <c r="T3236" s="217"/>
    </row>
    <row r="3237" spans="2:20">
      <c r="B3237" s="204"/>
      <c r="C3237" s="204"/>
      <c r="D3237" s="204"/>
      <c r="E3237" s="204"/>
      <c r="F3237" s="204"/>
      <c r="G3237" s="204"/>
      <c r="H3237" s="204"/>
      <c r="I3237" s="204"/>
      <c r="J3237" s="204"/>
      <c r="K3237" s="204"/>
      <c r="L3237" s="204"/>
      <c r="M3237" s="204"/>
      <c r="N3237" s="204"/>
      <c r="O3237" s="204"/>
      <c r="P3237" s="204"/>
      <c r="T3237" s="217"/>
    </row>
    <row r="3238" spans="2:20">
      <c r="B3238" s="204"/>
      <c r="C3238" s="204"/>
      <c r="D3238" s="204"/>
      <c r="E3238" s="204"/>
      <c r="F3238" s="204"/>
      <c r="G3238" s="204"/>
      <c r="H3238" s="204"/>
      <c r="I3238" s="204"/>
      <c r="J3238" s="204"/>
      <c r="K3238" s="204"/>
      <c r="L3238" s="204"/>
      <c r="M3238" s="204"/>
      <c r="N3238" s="204"/>
      <c r="O3238" s="204"/>
      <c r="P3238" s="204"/>
      <c r="T3238" s="217"/>
    </row>
    <row r="3239" spans="2:20">
      <c r="B3239" s="204"/>
      <c r="C3239" s="204"/>
      <c r="D3239" s="204"/>
      <c r="E3239" s="204"/>
      <c r="F3239" s="204"/>
      <c r="G3239" s="204"/>
      <c r="H3239" s="204"/>
      <c r="I3239" s="204"/>
      <c r="J3239" s="204"/>
      <c r="K3239" s="204"/>
      <c r="L3239" s="204"/>
      <c r="M3239" s="204"/>
      <c r="N3239" s="204"/>
      <c r="O3239" s="204"/>
      <c r="P3239" s="204"/>
      <c r="T3239" s="217"/>
    </row>
    <row r="3240" spans="2:20">
      <c r="B3240" s="204"/>
      <c r="C3240" s="204"/>
      <c r="D3240" s="204"/>
      <c r="E3240" s="204"/>
      <c r="F3240" s="204"/>
      <c r="G3240" s="204"/>
      <c r="H3240" s="204"/>
      <c r="I3240" s="204"/>
      <c r="J3240" s="204"/>
      <c r="K3240" s="204"/>
      <c r="L3240" s="204"/>
      <c r="M3240" s="204"/>
      <c r="N3240" s="204"/>
      <c r="O3240" s="204"/>
      <c r="P3240" s="204"/>
      <c r="T3240" s="217"/>
    </row>
    <row r="3241" spans="2:20">
      <c r="B3241" s="204"/>
      <c r="C3241" s="204"/>
      <c r="D3241" s="204"/>
      <c r="E3241" s="204"/>
      <c r="F3241" s="204"/>
      <c r="G3241" s="204"/>
      <c r="H3241" s="204"/>
      <c r="I3241" s="204"/>
      <c r="J3241" s="204"/>
      <c r="K3241" s="204"/>
      <c r="L3241" s="204"/>
      <c r="M3241" s="204"/>
      <c r="N3241" s="204"/>
      <c r="O3241" s="204"/>
      <c r="P3241" s="204"/>
      <c r="T3241" s="217"/>
    </row>
    <row r="3242" spans="2:20">
      <c r="B3242" s="204"/>
      <c r="C3242" s="204"/>
      <c r="D3242" s="204"/>
      <c r="E3242" s="204"/>
      <c r="F3242" s="204"/>
      <c r="G3242" s="204"/>
      <c r="H3242" s="204"/>
      <c r="I3242" s="204"/>
      <c r="J3242" s="204"/>
      <c r="K3242" s="204"/>
      <c r="L3242" s="204"/>
      <c r="M3242" s="204"/>
      <c r="N3242" s="204"/>
      <c r="O3242" s="204"/>
      <c r="P3242" s="204"/>
      <c r="T3242" s="217"/>
    </row>
    <row r="3243" spans="2:20">
      <c r="B3243" s="204"/>
      <c r="C3243" s="204"/>
      <c r="D3243" s="204"/>
      <c r="E3243" s="204"/>
      <c r="F3243" s="204"/>
      <c r="G3243" s="204"/>
      <c r="H3243" s="204"/>
      <c r="I3243" s="204"/>
      <c r="J3243" s="204"/>
      <c r="K3243" s="204"/>
      <c r="L3243" s="204"/>
      <c r="M3243" s="204"/>
      <c r="N3243" s="204"/>
      <c r="O3243" s="204"/>
      <c r="P3243" s="204"/>
      <c r="T3243" s="217"/>
    </row>
    <row r="3244" spans="2:20">
      <c r="B3244" s="204"/>
      <c r="C3244" s="204"/>
      <c r="D3244" s="204"/>
      <c r="E3244" s="204"/>
      <c r="F3244" s="204"/>
      <c r="G3244" s="204"/>
      <c r="H3244" s="204"/>
      <c r="I3244" s="204"/>
      <c r="J3244" s="204"/>
      <c r="K3244" s="204"/>
      <c r="L3244" s="204"/>
      <c r="M3244" s="204"/>
      <c r="N3244" s="204"/>
      <c r="O3244" s="204"/>
      <c r="P3244" s="204"/>
      <c r="T3244" s="217"/>
    </row>
    <row r="3245" spans="2:20">
      <c r="B3245" s="204"/>
      <c r="C3245" s="204"/>
      <c r="D3245" s="204"/>
      <c r="E3245" s="204"/>
      <c r="F3245" s="204"/>
      <c r="G3245" s="204"/>
      <c r="H3245" s="204"/>
      <c r="I3245" s="204"/>
      <c r="J3245" s="204"/>
      <c r="K3245" s="204"/>
      <c r="L3245" s="204"/>
      <c r="M3245" s="204"/>
      <c r="N3245" s="204"/>
      <c r="O3245" s="204"/>
      <c r="P3245" s="204"/>
      <c r="T3245" s="217"/>
    </row>
    <row r="3246" spans="2:20">
      <c r="B3246" s="204"/>
      <c r="C3246" s="204"/>
      <c r="D3246" s="204"/>
      <c r="E3246" s="204"/>
      <c r="F3246" s="204"/>
      <c r="G3246" s="204"/>
      <c r="H3246" s="204"/>
      <c r="I3246" s="204"/>
      <c r="J3246" s="204"/>
      <c r="K3246" s="204"/>
      <c r="L3246" s="204"/>
      <c r="M3246" s="204"/>
      <c r="N3246" s="204"/>
      <c r="O3246" s="204"/>
      <c r="P3246" s="204"/>
      <c r="T3246" s="217"/>
    </row>
    <row r="3247" spans="2:20">
      <c r="B3247" s="204"/>
      <c r="C3247" s="204"/>
      <c r="D3247" s="204"/>
      <c r="E3247" s="204"/>
      <c r="F3247" s="204"/>
      <c r="G3247" s="204"/>
      <c r="H3247" s="204"/>
      <c r="I3247" s="204"/>
      <c r="J3247" s="204"/>
      <c r="K3247" s="204"/>
      <c r="L3247" s="204"/>
      <c r="M3247" s="204"/>
      <c r="N3247" s="204"/>
      <c r="O3247" s="204"/>
      <c r="P3247" s="204"/>
      <c r="T3247" s="217"/>
    </row>
    <row r="3248" spans="2:20">
      <c r="B3248" s="204"/>
      <c r="C3248" s="204"/>
      <c r="D3248" s="204"/>
      <c r="E3248" s="204"/>
      <c r="F3248" s="204"/>
      <c r="G3248" s="204"/>
      <c r="H3248" s="204"/>
      <c r="I3248" s="204"/>
      <c r="J3248" s="204"/>
      <c r="K3248" s="204"/>
      <c r="L3248" s="204"/>
      <c r="M3248" s="204"/>
      <c r="N3248" s="204"/>
      <c r="O3248" s="204"/>
      <c r="P3248" s="204"/>
      <c r="T3248" s="217"/>
    </row>
    <row r="3249" spans="2:20">
      <c r="B3249" s="204"/>
      <c r="C3249" s="204"/>
      <c r="D3249" s="204"/>
      <c r="E3249" s="204"/>
      <c r="F3249" s="204"/>
      <c r="G3249" s="204"/>
      <c r="H3249" s="204"/>
      <c r="I3249" s="204"/>
      <c r="J3249" s="204"/>
      <c r="K3249" s="204"/>
      <c r="L3249" s="204"/>
      <c r="M3249" s="204"/>
      <c r="N3249" s="204"/>
      <c r="O3249" s="204"/>
      <c r="P3249" s="204"/>
      <c r="T3249" s="217"/>
    </row>
    <row r="3250" spans="2:20">
      <c r="B3250" s="204"/>
      <c r="C3250" s="204"/>
      <c r="D3250" s="204"/>
      <c r="E3250" s="204"/>
      <c r="F3250" s="204"/>
      <c r="G3250" s="204"/>
      <c r="H3250" s="204"/>
      <c r="I3250" s="204"/>
      <c r="J3250" s="204"/>
      <c r="K3250" s="204"/>
      <c r="L3250" s="204"/>
      <c r="M3250" s="204"/>
      <c r="N3250" s="204"/>
      <c r="O3250" s="204"/>
      <c r="P3250" s="204"/>
      <c r="T3250" s="217"/>
    </row>
    <row r="3251" spans="2:20">
      <c r="B3251" s="204"/>
      <c r="C3251" s="204"/>
      <c r="D3251" s="204"/>
      <c r="E3251" s="204"/>
      <c r="F3251" s="204"/>
      <c r="G3251" s="204"/>
      <c r="H3251" s="204"/>
      <c r="I3251" s="204"/>
      <c r="J3251" s="204"/>
      <c r="K3251" s="204"/>
      <c r="L3251" s="204"/>
      <c r="M3251" s="204"/>
      <c r="N3251" s="204"/>
      <c r="O3251" s="204"/>
      <c r="P3251" s="204"/>
      <c r="T3251" s="217"/>
    </row>
    <row r="3252" spans="2:20">
      <c r="B3252" s="204"/>
      <c r="C3252" s="204"/>
      <c r="D3252" s="204"/>
      <c r="E3252" s="204"/>
      <c r="F3252" s="204"/>
      <c r="G3252" s="204"/>
      <c r="H3252" s="204"/>
      <c r="I3252" s="204"/>
      <c r="J3252" s="204"/>
      <c r="K3252" s="204"/>
      <c r="L3252" s="204"/>
      <c r="M3252" s="204"/>
      <c r="N3252" s="204"/>
      <c r="O3252" s="204"/>
      <c r="P3252" s="204"/>
      <c r="T3252" s="217"/>
    </row>
    <row r="3253" spans="2:20">
      <c r="B3253" s="204"/>
      <c r="C3253" s="204"/>
      <c r="D3253" s="204"/>
      <c r="E3253" s="204"/>
      <c r="F3253" s="204"/>
      <c r="G3253" s="204"/>
      <c r="H3253" s="204"/>
      <c r="I3253" s="204"/>
      <c r="J3253" s="204"/>
      <c r="K3253" s="204"/>
      <c r="L3253" s="204"/>
      <c r="M3253" s="204"/>
      <c r="N3253" s="204"/>
      <c r="O3253" s="204"/>
      <c r="P3253" s="204"/>
      <c r="T3253" s="217"/>
    </row>
    <row r="3254" spans="2:20">
      <c r="B3254" s="204"/>
      <c r="C3254" s="204"/>
      <c r="D3254" s="204"/>
      <c r="E3254" s="204"/>
      <c r="F3254" s="204"/>
      <c r="G3254" s="204"/>
      <c r="H3254" s="204"/>
      <c r="I3254" s="204"/>
      <c r="J3254" s="204"/>
      <c r="K3254" s="204"/>
      <c r="L3254" s="204"/>
      <c r="M3254" s="204"/>
      <c r="N3254" s="204"/>
      <c r="O3254" s="204"/>
      <c r="P3254" s="204"/>
      <c r="T3254" s="217"/>
    </row>
    <row r="3255" spans="2:20">
      <c r="B3255" s="204"/>
      <c r="C3255" s="204"/>
      <c r="D3255" s="204"/>
      <c r="E3255" s="204"/>
      <c r="F3255" s="204"/>
      <c r="G3255" s="204"/>
      <c r="H3255" s="204"/>
      <c r="I3255" s="204"/>
      <c r="J3255" s="204"/>
      <c r="K3255" s="204"/>
      <c r="L3255" s="204"/>
      <c r="M3255" s="204"/>
      <c r="N3255" s="204"/>
      <c r="O3255" s="204"/>
      <c r="P3255" s="204"/>
      <c r="T3255" s="217"/>
    </row>
    <row r="3256" spans="2:20">
      <c r="B3256" s="204"/>
      <c r="C3256" s="204"/>
      <c r="D3256" s="204"/>
      <c r="E3256" s="204"/>
      <c r="F3256" s="204"/>
      <c r="G3256" s="204"/>
      <c r="H3256" s="204"/>
      <c r="I3256" s="204"/>
      <c r="J3256" s="204"/>
      <c r="K3256" s="204"/>
      <c r="L3256" s="204"/>
      <c r="M3256" s="204"/>
      <c r="N3256" s="204"/>
      <c r="O3256" s="204"/>
      <c r="P3256" s="204"/>
      <c r="T3256" s="217"/>
    </row>
    <row r="3257" spans="2:20">
      <c r="B3257" s="204"/>
      <c r="C3257" s="204"/>
      <c r="D3257" s="204"/>
      <c r="E3257" s="204"/>
      <c r="F3257" s="204"/>
      <c r="G3257" s="204"/>
      <c r="H3257" s="204"/>
      <c r="I3257" s="204"/>
      <c r="J3257" s="204"/>
      <c r="K3257" s="204"/>
      <c r="L3257" s="204"/>
      <c r="M3257" s="204"/>
      <c r="N3257" s="204"/>
      <c r="O3257" s="204"/>
      <c r="P3257" s="204"/>
      <c r="T3257" s="217"/>
    </row>
    <row r="3258" spans="2:20">
      <c r="B3258" s="204"/>
      <c r="C3258" s="204"/>
      <c r="D3258" s="204"/>
      <c r="E3258" s="204"/>
      <c r="F3258" s="204"/>
      <c r="G3258" s="204"/>
      <c r="H3258" s="204"/>
      <c r="I3258" s="204"/>
      <c r="J3258" s="204"/>
      <c r="K3258" s="204"/>
      <c r="L3258" s="204"/>
      <c r="M3258" s="204"/>
      <c r="N3258" s="204"/>
      <c r="O3258" s="204"/>
      <c r="P3258" s="204"/>
      <c r="T3258" s="217"/>
    </row>
    <row r="3259" spans="2:20">
      <c r="B3259" s="204"/>
      <c r="C3259" s="204"/>
      <c r="D3259" s="204"/>
      <c r="E3259" s="204"/>
      <c r="F3259" s="204"/>
      <c r="G3259" s="204"/>
      <c r="H3259" s="204"/>
      <c r="I3259" s="204"/>
      <c r="J3259" s="204"/>
      <c r="K3259" s="204"/>
      <c r="L3259" s="204"/>
      <c r="M3259" s="204"/>
      <c r="N3259" s="204"/>
      <c r="O3259" s="204"/>
      <c r="P3259" s="204"/>
      <c r="T3259" s="217"/>
    </row>
    <row r="3260" spans="2:20">
      <c r="B3260" s="204"/>
      <c r="C3260" s="204"/>
      <c r="D3260" s="204"/>
      <c r="E3260" s="204"/>
      <c r="F3260" s="204"/>
      <c r="G3260" s="204"/>
      <c r="H3260" s="204"/>
      <c r="I3260" s="204"/>
      <c r="J3260" s="204"/>
      <c r="K3260" s="204"/>
      <c r="L3260" s="204"/>
      <c r="M3260" s="204"/>
      <c r="N3260" s="204"/>
      <c r="O3260" s="204"/>
      <c r="P3260" s="204"/>
      <c r="T3260" s="217"/>
    </row>
    <row r="3261" spans="2:20">
      <c r="B3261" s="204"/>
      <c r="C3261" s="204"/>
      <c r="D3261" s="204"/>
      <c r="E3261" s="204"/>
      <c r="F3261" s="204"/>
      <c r="G3261" s="204"/>
      <c r="H3261" s="204"/>
      <c r="I3261" s="204"/>
      <c r="J3261" s="204"/>
      <c r="K3261" s="204"/>
      <c r="L3261" s="204"/>
      <c r="M3261" s="204"/>
      <c r="N3261" s="204"/>
      <c r="O3261" s="204"/>
      <c r="P3261" s="204"/>
      <c r="T3261" s="217"/>
    </row>
    <row r="3262" spans="2:20">
      <c r="B3262" s="204"/>
      <c r="C3262" s="204"/>
      <c r="D3262" s="204"/>
      <c r="E3262" s="204"/>
      <c r="F3262" s="204"/>
      <c r="G3262" s="204"/>
      <c r="H3262" s="204"/>
      <c r="I3262" s="204"/>
      <c r="J3262" s="204"/>
      <c r="K3262" s="204"/>
      <c r="L3262" s="204"/>
      <c r="M3262" s="204"/>
      <c r="N3262" s="204"/>
      <c r="O3262" s="204"/>
      <c r="P3262" s="204"/>
      <c r="T3262" s="217"/>
    </row>
    <row r="3263" spans="2:20">
      <c r="B3263" s="204"/>
      <c r="C3263" s="204"/>
      <c r="D3263" s="204"/>
      <c r="E3263" s="204"/>
      <c r="F3263" s="204"/>
      <c r="G3263" s="204"/>
      <c r="H3263" s="204"/>
      <c r="I3263" s="204"/>
      <c r="J3263" s="204"/>
      <c r="K3263" s="204"/>
      <c r="L3263" s="204"/>
      <c r="M3263" s="204"/>
      <c r="N3263" s="204"/>
      <c r="O3263" s="204"/>
      <c r="P3263" s="204"/>
      <c r="T3263" s="217"/>
    </row>
    <row r="3264" spans="2:20">
      <c r="B3264" s="204"/>
      <c r="C3264" s="204"/>
      <c r="D3264" s="204"/>
      <c r="E3264" s="204"/>
      <c r="F3264" s="204"/>
      <c r="G3264" s="204"/>
      <c r="H3264" s="204"/>
      <c r="I3264" s="204"/>
      <c r="J3264" s="204"/>
      <c r="K3264" s="204"/>
      <c r="L3264" s="204"/>
      <c r="M3264" s="204"/>
      <c r="N3264" s="204"/>
      <c r="O3264" s="204"/>
      <c r="P3264" s="204"/>
      <c r="T3264" s="217"/>
    </row>
    <row r="3265" spans="2:20">
      <c r="B3265" s="204"/>
      <c r="C3265" s="204"/>
      <c r="D3265" s="204"/>
      <c r="E3265" s="204"/>
      <c r="F3265" s="204"/>
      <c r="G3265" s="204"/>
      <c r="H3265" s="204"/>
      <c r="I3265" s="204"/>
      <c r="J3265" s="204"/>
      <c r="K3265" s="204"/>
      <c r="L3265" s="204"/>
      <c r="M3265" s="204"/>
      <c r="N3265" s="204"/>
      <c r="O3265" s="204"/>
      <c r="P3265" s="204"/>
      <c r="T3265" s="217"/>
    </row>
    <row r="3266" spans="2:20">
      <c r="B3266" s="204"/>
      <c r="C3266" s="204"/>
      <c r="D3266" s="204"/>
      <c r="E3266" s="204"/>
      <c r="F3266" s="204"/>
      <c r="G3266" s="204"/>
      <c r="H3266" s="204"/>
      <c r="I3266" s="204"/>
      <c r="J3266" s="204"/>
      <c r="K3266" s="204"/>
      <c r="L3266" s="204"/>
      <c r="M3266" s="204"/>
      <c r="N3266" s="204"/>
      <c r="O3266" s="204"/>
      <c r="P3266" s="204"/>
      <c r="T3266" s="217"/>
    </row>
    <row r="3267" spans="2:20">
      <c r="B3267" s="204"/>
      <c r="C3267" s="204"/>
      <c r="D3267" s="204"/>
      <c r="E3267" s="204"/>
      <c r="F3267" s="204"/>
      <c r="G3267" s="204"/>
      <c r="H3267" s="204"/>
      <c r="I3267" s="204"/>
      <c r="J3267" s="204"/>
      <c r="K3267" s="204"/>
      <c r="L3267" s="204"/>
      <c r="M3267" s="204"/>
      <c r="N3267" s="204"/>
      <c r="O3267" s="204"/>
      <c r="P3267" s="204"/>
      <c r="T3267" s="217"/>
    </row>
    <row r="3268" spans="2:20">
      <c r="B3268" s="204"/>
      <c r="C3268" s="204"/>
      <c r="D3268" s="204"/>
      <c r="E3268" s="204"/>
      <c r="F3268" s="204"/>
      <c r="G3268" s="204"/>
      <c r="H3268" s="204"/>
      <c r="I3268" s="204"/>
      <c r="J3268" s="204"/>
      <c r="K3268" s="204"/>
      <c r="L3268" s="204"/>
      <c r="M3268" s="204"/>
      <c r="N3268" s="204"/>
      <c r="O3268" s="204"/>
      <c r="P3268" s="204"/>
      <c r="T3268" s="217"/>
    </row>
    <row r="3269" spans="2:20">
      <c r="B3269" s="204"/>
      <c r="C3269" s="204"/>
      <c r="D3269" s="204"/>
      <c r="E3269" s="204"/>
      <c r="F3269" s="204"/>
      <c r="G3269" s="204"/>
      <c r="H3269" s="204"/>
      <c r="I3269" s="204"/>
      <c r="J3269" s="204"/>
      <c r="K3269" s="204"/>
      <c r="L3269" s="204"/>
      <c r="M3269" s="204"/>
      <c r="N3269" s="204"/>
      <c r="O3269" s="204"/>
      <c r="P3269" s="204"/>
      <c r="T3269" s="217"/>
    </row>
    <row r="3270" spans="2:20">
      <c r="B3270" s="204"/>
      <c r="C3270" s="204"/>
      <c r="D3270" s="204"/>
      <c r="E3270" s="204"/>
      <c r="F3270" s="204"/>
      <c r="G3270" s="204"/>
      <c r="H3270" s="204"/>
      <c r="I3270" s="204"/>
      <c r="J3270" s="204"/>
      <c r="K3270" s="204"/>
      <c r="L3270" s="204"/>
      <c r="M3270" s="204"/>
      <c r="N3270" s="204"/>
      <c r="O3270" s="204"/>
      <c r="P3270" s="204"/>
      <c r="T3270" s="217"/>
    </row>
    <row r="3271" spans="2:20">
      <c r="B3271" s="204"/>
      <c r="C3271" s="204"/>
      <c r="D3271" s="204"/>
      <c r="E3271" s="204"/>
      <c r="F3271" s="204"/>
      <c r="G3271" s="204"/>
      <c r="H3271" s="204"/>
      <c r="I3271" s="204"/>
      <c r="J3271" s="204"/>
      <c r="K3271" s="204"/>
      <c r="L3271" s="204"/>
      <c r="M3271" s="204"/>
      <c r="N3271" s="204"/>
      <c r="O3271" s="204"/>
      <c r="P3271" s="204"/>
      <c r="T3271" s="217"/>
    </row>
    <row r="3272" spans="2:20">
      <c r="B3272" s="204"/>
      <c r="C3272" s="204"/>
      <c r="D3272" s="204"/>
      <c r="E3272" s="204"/>
      <c r="F3272" s="204"/>
      <c r="G3272" s="204"/>
      <c r="H3272" s="204"/>
      <c r="I3272" s="204"/>
      <c r="J3272" s="204"/>
      <c r="K3272" s="204"/>
      <c r="L3272" s="204"/>
      <c r="M3272" s="204"/>
      <c r="N3272" s="204"/>
      <c r="O3272" s="204"/>
      <c r="P3272" s="204"/>
      <c r="T3272" s="217"/>
    </row>
    <row r="3273" spans="2:20">
      <c r="B3273" s="204"/>
      <c r="C3273" s="204"/>
      <c r="D3273" s="204"/>
      <c r="E3273" s="204"/>
      <c r="F3273" s="204"/>
      <c r="G3273" s="204"/>
      <c r="H3273" s="204"/>
      <c r="I3273" s="204"/>
      <c r="J3273" s="204"/>
      <c r="K3273" s="204"/>
      <c r="L3273" s="204"/>
      <c r="M3273" s="204"/>
      <c r="N3273" s="204"/>
      <c r="O3273" s="204"/>
      <c r="P3273" s="204"/>
      <c r="T3273" s="217"/>
    </row>
    <row r="3274" spans="2:20">
      <c r="B3274" s="204"/>
      <c r="C3274" s="204"/>
      <c r="D3274" s="204"/>
      <c r="E3274" s="204"/>
      <c r="F3274" s="204"/>
      <c r="G3274" s="204"/>
      <c r="H3274" s="204"/>
      <c r="I3274" s="204"/>
      <c r="J3274" s="204"/>
      <c r="K3274" s="204"/>
      <c r="L3274" s="204"/>
      <c r="M3274" s="204"/>
      <c r="N3274" s="204"/>
      <c r="O3274" s="204"/>
      <c r="P3274" s="204"/>
      <c r="T3274" s="217"/>
    </row>
    <row r="3275" spans="2:20">
      <c r="B3275" s="204"/>
      <c r="C3275" s="204"/>
      <c r="D3275" s="204"/>
      <c r="E3275" s="204"/>
      <c r="F3275" s="204"/>
      <c r="G3275" s="204"/>
      <c r="H3275" s="204"/>
      <c r="I3275" s="204"/>
      <c r="J3275" s="204"/>
      <c r="K3275" s="204"/>
      <c r="L3275" s="204"/>
      <c r="M3275" s="204"/>
      <c r="N3275" s="204"/>
      <c r="O3275" s="204"/>
      <c r="P3275" s="204"/>
      <c r="T3275" s="217"/>
    </row>
    <row r="3276" spans="2:20">
      <c r="B3276" s="204"/>
      <c r="C3276" s="204"/>
      <c r="D3276" s="204"/>
      <c r="E3276" s="204"/>
      <c r="F3276" s="204"/>
      <c r="G3276" s="204"/>
      <c r="H3276" s="204"/>
      <c r="I3276" s="204"/>
      <c r="J3276" s="204"/>
      <c r="K3276" s="204"/>
      <c r="L3276" s="204"/>
      <c r="M3276" s="204"/>
      <c r="N3276" s="204"/>
      <c r="O3276" s="204"/>
      <c r="P3276" s="204"/>
      <c r="T3276" s="217"/>
    </row>
    <row r="3277" spans="2:20">
      <c r="B3277" s="204"/>
      <c r="C3277" s="204"/>
      <c r="D3277" s="204"/>
      <c r="E3277" s="204"/>
      <c r="F3277" s="204"/>
      <c r="G3277" s="204"/>
      <c r="H3277" s="204"/>
      <c r="I3277" s="204"/>
      <c r="J3277" s="204"/>
      <c r="K3277" s="204"/>
      <c r="L3277" s="204"/>
      <c r="M3277" s="204"/>
      <c r="N3277" s="204"/>
      <c r="O3277" s="204"/>
      <c r="P3277" s="204"/>
      <c r="T3277" s="217"/>
    </row>
    <row r="3278" spans="2:20">
      <c r="B3278" s="204"/>
      <c r="C3278" s="204"/>
      <c r="D3278" s="204"/>
      <c r="E3278" s="204"/>
      <c r="F3278" s="204"/>
      <c r="G3278" s="204"/>
      <c r="H3278" s="204"/>
      <c r="I3278" s="204"/>
      <c r="J3278" s="204"/>
      <c r="K3278" s="204"/>
      <c r="L3278" s="204"/>
      <c r="M3278" s="204"/>
      <c r="N3278" s="204"/>
      <c r="O3278" s="204"/>
      <c r="P3278" s="204"/>
      <c r="T3278" s="217"/>
    </row>
    <row r="3279" spans="2:20">
      <c r="B3279" s="204"/>
      <c r="C3279" s="204"/>
      <c r="D3279" s="204"/>
      <c r="E3279" s="204"/>
      <c r="F3279" s="204"/>
      <c r="G3279" s="204"/>
      <c r="H3279" s="204"/>
      <c r="I3279" s="204"/>
      <c r="J3279" s="204"/>
      <c r="K3279" s="204"/>
      <c r="L3279" s="204"/>
      <c r="M3279" s="204"/>
      <c r="N3279" s="204"/>
      <c r="O3279" s="204"/>
      <c r="P3279" s="204"/>
      <c r="T3279" s="217"/>
    </row>
    <row r="3280" spans="2:20">
      <c r="B3280" s="204"/>
      <c r="C3280" s="204"/>
      <c r="D3280" s="204"/>
      <c r="E3280" s="204"/>
      <c r="F3280" s="204"/>
      <c r="G3280" s="204"/>
      <c r="H3280" s="204"/>
      <c r="I3280" s="204"/>
      <c r="J3280" s="204"/>
      <c r="K3280" s="204"/>
      <c r="L3280" s="204"/>
      <c r="M3280" s="204"/>
      <c r="N3280" s="204"/>
      <c r="O3280" s="204"/>
      <c r="P3280" s="204"/>
      <c r="T3280" s="217"/>
    </row>
    <row r="3281" spans="2:20">
      <c r="B3281" s="204"/>
      <c r="C3281" s="204"/>
      <c r="D3281" s="204"/>
      <c r="E3281" s="204"/>
      <c r="F3281" s="204"/>
      <c r="G3281" s="204"/>
      <c r="H3281" s="204"/>
      <c r="I3281" s="204"/>
      <c r="J3281" s="204"/>
      <c r="K3281" s="204"/>
      <c r="L3281" s="204"/>
      <c r="M3281" s="204"/>
      <c r="N3281" s="204"/>
      <c r="O3281" s="204"/>
      <c r="P3281" s="204"/>
      <c r="T3281" s="217"/>
    </row>
    <row r="3282" spans="2:20">
      <c r="B3282" s="204"/>
      <c r="C3282" s="204"/>
      <c r="D3282" s="204"/>
      <c r="E3282" s="204"/>
      <c r="F3282" s="204"/>
      <c r="G3282" s="204"/>
      <c r="H3282" s="204"/>
      <c r="I3282" s="204"/>
      <c r="J3282" s="204"/>
      <c r="K3282" s="204"/>
      <c r="L3282" s="204"/>
      <c r="M3282" s="204"/>
      <c r="N3282" s="204"/>
      <c r="O3282" s="204"/>
      <c r="P3282" s="204"/>
      <c r="T3282" s="217"/>
    </row>
    <row r="3283" spans="2:20">
      <c r="B3283" s="204"/>
      <c r="C3283" s="204"/>
      <c r="D3283" s="204"/>
      <c r="E3283" s="204"/>
      <c r="F3283" s="204"/>
      <c r="G3283" s="204"/>
      <c r="H3283" s="204"/>
      <c r="I3283" s="204"/>
      <c r="J3283" s="204"/>
      <c r="K3283" s="204"/>
      <c r="L3283" s="204"/>
      <c r="M3283" s="204"/>
      <c r="N3283" s="204"/>
      <c r="O3283" s="204"/>
      <c r="P3283" s="204"/>
      <c r="T3283" s="217"/>
    </row>
    <row r="3284" spans="2:20">
      <c r="B3284" s="204"/>
      <c r="C3284" s="204"/>
      <c r="D3284" s="204"/>
      <c r="E3284" s="204"/>
      <c r="F3284" s="204"/>
      <c r="G3284" s="204"/>
      <c r="H3284" s="204"/>
      <c r="I3284" s="204"/>
      <c r="J3284" s="204"/>
      <c r="K3284" s="204"/>
      <c r="L3284" s="204"/>
      <c r="M3284" s="204"/>
      <c r="N3284" s="204"/>
      <c r="O3284" s="204"/>
      <c r="P3284" s="204"/>
      <c r="T3284" s="217"/>
    </row>
    <row r="3285" spans="2:20">
      <c r="B3285" s="204"/>
      <c r="C3285" s="204"/>
      <c r="D3285" s="204"/>
      <c r="E3285" s="204"/>
      <c r="F3285" s="204"/>
      <c r="G3285" s="204"/>
      <c r="H3285" s="204"/>
      <c r="I3285" s="204"/>
      <c r="J3285" s="204"/>
      <c r="K3285" s="204"/>
      <c r="L3285" s="204"/>
      <c r="M3285" s="204"/>
      <c r="N3285" s="204"/>
      <c r="O3285" s="204"/>
      <c r="P3285" s="204"/>
      <c r="T3285" s="217"/>
    </row>
    <row r="3286" spans="2:20">
      <c r="B3286" s="204"/>
      <c r="C3286" s="204"/>
      <c r="D3286" s="204"/>
      <c r="E3286" s="204"/>
      <c r="F3286" s="204"/>
      <c r="G3286" s="204"/>
      <c r="H3286" s="204"/>
      <c r="I3286" s="204"/>
      <c r="J3286" s="204"/>
      <c r="K3286" s="204"/>
      <c r="L3286" s="204"/>
      <c r="M3286" s="204"/>
      <c r="N3286" s="204"/>
      <c r="O3286" s="204"/>
      <c r="P3286" s="204"/>
      <c r="T3286" s="217"/>
    </row>
    <row r="3287" spans="2:20">
      <c r="B3287" s="204"/>
      <c r="C3287" s="204"/>
      <c r="D3287" s="204"/>
      <c r="E3287" s="204"/>
      <c r="F3287" s="204"/>
      <c r="G3287" s="204"/>
      <c r="H3287" s="204"/>
      <c r="I3287" s="204"/>
      <c r="J3287" s="204"/>
      <c r="K3287" s="204"/>
      <c r="L3287" s="204"/>
      <c r="M3287" s="204"/>
      <c r="N3287" s="204"/>
      <c r="O3287" s="204"/>
      <c r="P3287" s="204"/>
      <c r="T3287" s="217"/>
    </row>
    <row r="3288" spans="2:20">
      <c r="B3288" s="204"/>
      <c r="C3288" s="204"/>
      <c r="D3288" s="204"/>
      <c r="E3288" s="204"/>
      <c r="F3288" s="204"/>
      <c r="G3288" s="204"/>
      <c r="H3288" s="204"/>
      <c r="I3288" s="204"/>
      <c r="J3288" s="204"/>
      <c r="K3288" s="204"/>
      <c r="L3288" s="204"/>
      <c r="M3288" s="204"/>
      <c r="N3288" s="204"/>
      <c r="O3288" s="204"/>
      <c r="P3288" s="204"/>
      <c r="T3288" s="217"/>
    </row>
    <row r="3289" spans="2:20">
      <c r="B3289" s="204"/>
      <c r="C3289" s="204"/>
      <c r="D3289" s="204"/>
      <c r="E3289" s="204"/>
      <c r="F3289" s="204"/>
      <c r="G3289" s="204"/>
      <c r="H3289" s="204"/>
      <c r="I3289" s="204"/>
      <c r="J3289" s="204"/>
      <c r="K3289" s="204"/>
      <c r="L3289" s="204"/>
      <c r="M3289" s="204"/>
      <c r="N3289" s="204"/>
      <c r="O3289" s="204"/>
      <c r="P3289" s="204"/>
      <c r="T3289" s="217"/>
    </row>
    <row r="3290" spans="2:20">
      <c r="B3290" s="204"/>
      <c r="C3290" s="204"/>
      <c r="D3290" s="204"/>
      <c r="E3290" s="204"/>
      <c r="F3290" s="204"/>
      <c r="G3290" s="204"/>
      <c r="H3290" s="204"/>
      <c r="I3290" s="204"/>
      <c r="J3290" s="204"/>
      <c r="K3290" s="204"/>
      <c r="L3290" s="204"/>
      <c r="M3290" s="204"/>
      <c r="N3290" s="204"/>
      <c r="O3290" s="204"/>
      <c r="P3290" s="204"/>
      <c r="T3290" s="217"/>
    </row>
    <row r="3291" spans="2:20">
      <c r="B3291" s="204"/>
      <c r="C3291" s="204"/>
      <c r="D3291" s="204"/>
      <c r="E3291" s="204"/>
      <c r="F3291" s="204"/>
      <c r="G3291" s="204"/>
      <c r="H3291" s="204"/>
      <c r="I3291" s="204"/>
      <c r="J3291" s="204"/>
      <c r="K3291" s="204"/>
      <c r="L3291" s="204"/>
      <c r="M3291" s="204"/>
      <c r="N3291" s="204"/>
      <c r="O3291" s="204"/>
      <c r="P3291" s="204"/>
      <c r="T3291" s="217"/>
    </row>
    <row r="3292" spans="2:20">
      <c r="B3292" s="204"/>
      <c r="C3292" s="204"/>
      <c r="D3292" s="204"/>
      <c r="E3292" s="204"/>
      <c r="F3292" s="204"/>
      <c r="G3292" s="204"/>
      <c r="H3292" s="204"/>
      <c r="I3292" s="204"/>
      <c r="J3292" s="204"/>
      <c r="K3292" s="204"/>
      <c r="L3292" s="204"/>
      <c r="M3292" s="204"/>
      <c r="N3292" s="204"/>
      <c r="O3292" s="204"/>
      <c r="P3292" s="204"/>
      <c r="T3292" s="217"/>
    </row>
    <row r="3293" spans="2:20">
      <c r="B3293" s="204"/>
      <c r="C3293" s="204"/>
      <c r="D3293" s="204"/>
      <c r="E3293" s="204"/>
      <c r="F3293" s="204"/>
      <c r="G3293" s="204"/>
      <c r="H3293" s="204"/>
      <c r="I3293" s="204"/>
      <c r="J3293" s="204"/>
      <c r="K3293" s="204"/>
      <c r="L3293" s="204"/>
      <c r="M3293" s="204"/>
      <c r="N3293" s="204"/>
      <c r="O3293" s="204"/>
      <c r="P3293" s="204"/>
      <c r="T3293" s="217"/>
    </row>
    <row r="3294" spans="2:20">
      <c r="B3294" s="204"/>
      <c r="C3294" s="204"/>
      <c r="D3294" s="204"/>
      <c r="E3294" s="204"/>
      <c r="F3294" s="204"/>
      <c r="G3294" s="204"/>
      <c r="H3294" s="204"/>
      <c r="I3294" s="204"/>
      <c r="J3294" s="204"/>
      <c r="K3294" s="204"/>
      <c r="L3294" s="204"/>
      <c r="M3294" s="204"/>
      <c r="N3294" s="204"/>
      <c r="O3294" s="204"/>
      <c r="P3294" s="204"/>
      <c r="T3294" s="217"/>
    </row>
    <row r="3295" spans="2:20">
      <c r="B3295" s="204"/>
      <c r="C3295" s="204"/>
      <c r="D3295" s="204"/>
      <c r="E3295" s="204"/>
      <c r="F3295" s="204"/>
      <c r="G3295" s="204"/>
      <c r="H3295" s="204"/>
      <c r="I3295" s="204"/>
      <c r="J3295" s="204"/>
      <c r="K3295" s="204"/>
      <c r="L3295" s="204"/>
      <c r="M3295" s="204"/>
      <c r="N3295" s="204"/>
      <c r="O3295" s="204"/>
      <c r="P3295" s="204"/>
      <c r="T3295" s="217"/>
    </row>
    <row r="3296" spans="2:20">
      <c r="B3296" s="204"/>
      <c r="C3296" s="204"/>
      <c r="D3296" s="204"/>
      <c r="E3296" s="204"/>
      <c r="F3296" s="204"/>
      <c r="G3296" s="204"/>
      <c r="H3296" s="204"/>
      <c r="I3296" s="204"/>
      <c r="J3296" s="204"/>
      <c r="K3296" s="204"/>
      <c r="L3296" s="204"/>
      <c r="M3296" s="204"/>
      <c r="N3296" s="204"/>
      <c r="O3296" s="204"/>
      <c r="P3296" s="204"/>
      <c r="T3296" s="217"/>
    </row>
    <row r="3297" spans="2:20">
      <c r="B3297" s="204"/>
      <c r="C3297" s="204"/>
      <c r="D3297" s="204"/>
      <c r="E3297" s="204"/>
      <c r="F3297" s="204"/>
      <c r="G3297" s="204"/>
      <c r="H3297" s="204"/>
      <c r="I3297" s="204"/>
      <c r="J3297" s="204"/>
      <c r="K3297" s="204"/>
      <c r="L3297" s="204"/>
      <c r="M3297" s="204"/>
      <c r="N3297" s="204"/>
      <c r="O3297" s="204"/>
      <c r="P3297" s="204"/>
      <c r="T3297" s="217"/>
    </row>
    <row r="3298" spans="2:20">
      <c r="B3298" s="204"/>
      <c r="C3298" s="204"/>
      <c r="D3298" s="204"/>
      <c r="E3298" s="204"/>
      <c r="F3298" s="204"/>
      <c r="G3298" s="204"/>
      <c r="H3298" s="204"/>
      <c r="I3298" s="204"/>
      <c r="J3298" s="204"/>
      <c r="K3298" s="204"/>
      <c r="L3298" s="204"/>
      <c r="M3298" s="204"/>
      <c r="N3298" s="204"/>
      <c r="O3298" s="204"/>
      <c r="P3298" s="204"/>
      <c r="T3298" s="217"/>
    </row>
    <row r="3299" spans="2:20">
      <c r="B3299" s="204"/>
      <c r="C3299" s="204"/>
      <c r="D3299" s="204"/>
      <c r="E3299" s="204"/>
      <c r="F3299" s="204"/>
      <c r="G3299" s="204"/>
      <c r="H3299" s="204"/>
      <c r="I3299" s="204"/>
      <c r="J3299" s="204"/>
      <c r="K3299" s="204"/>
      <c r="L3299" s="204"/>
      <c r="M3299" s="204"/>
      <c r="N3299" s="204"/>
      <c r="O3299" s="204"/>
      <c r="P3299" s="204"/>
      <c r="T3299" s="217"/>
    </row>
    <row r="3300" spans="2:20">
      <c r="B3300" s="204"/>
      <c r="C3300" s="204"/>
      <c r="D3300" s="204"/>
      <c r="E3300" s="204"/>
      <c r="F3300" s="204"/>
      <c r="G3300" s="204"/>
      <c r="H3300" s="204"/>
      <c r="I3300" s="204"/>
      <c r="J3300" s="204"/>
      <c r="K3300" s="204"/>
      <c r="L3300" s="204"/>
      <c r="M3300" s="204"/>
      <c r="N3300" s="204"/>
      <c r="O3300" s="204"/>
      <c r="P3300" s="204"/>
      <c r="T3300" s="217"/>
    </row>
    <row r="3301" spans="2:20">
      <c r="B3301" s="204"/>
      <c r="C3301" s="204"/>
      <c r="D3301" s="204"/>
      <c r="E3301" s="204"/>
      <c r="F3301" s="204"/>
      <c r="G3301" s="204"/>
      <c r="H3301" s="204"/>
      <c r="I3301" s="204"/>
      <c r="J3301" s="204"/>
      <c r="K3301" s="204"/>
      <c r="L3301" s="204"/>
      <c r="M3301" s="204"/>
      <c r="N3301" s="204"/>
      <c r="O3301" s="204"/>
      <c r="P3301" s="204"/>
      <c r="T3301" s="217"/>
    </row>
    <row r="3302" spans="2:20">
      <c r="B3302" s="204"/>
      <c r="C3302" s="204"/>
      <c r="D3302" s="204"/>
      <c r="E3302" s="204"/>
      <c r="F3302" s="204"/>
      <c r="G3302" s="204"/>
      <c r="H3302" s="204"/>
      <c r="I3302" s="204"/>
      <c r="J3302" s="204"/>
      <c r="K3302" s="204"/>
      <c r="L3302" s="204"/>
      <c r="M3302" s="204"/>
      <c r="N3302" s="204"/>
      <c r="O3302" s="204"/>
      <c r="P3302" s="204"/>
      <c r="T3302" s="217"/>
    </row>
    <row r="3303" spans="2:20">
      <c r="B3303" s="204"/>
      <c r="C3303" s="204"/>
      <c r="D3303" s="204"/>
      <c r="E3303" s="204"/>
      <c r="F3303" s="204"/>
      <c r="G3303" s="204"/>
      <c r="H3303" s="204"/>
      <c r="I3303" s="204"/>
      <c r="J3303" s="204"/>
      <c r="K3303" s="204"/>
      <c r="L3303" s="204"/>
      <c r="M3303" s="204"/>
      <c r="N3303" s="204"/>
      <c r="O3303" s="204"/>
      <c r="P3303" s="204"/>
      <c r="T3303" s="217"/>
    </row>
    <row r="3304" spans="2:20">
      <c r="B3304" s="204"/>
      <c r="C3304" s="204"/>
      <c r="D3304" s="204"/>
      <c r="E3304" s="204"/>
      <c r="F3304" s="204"/>
      <c r="G3304" s="204"/>
      <c r="H3304" s="204"/>
      <c r="I3304" s="204"/>
      <c r="J3304" s="204"/>
      <c r="K3304" s="204"/>
      <c r="L3304" s="204"/>
      <c r="M3304" s="204"/>
      <c r="N3304" s="204"/>
      <c r="O3304" s="204"/>
      <c r="P3304" s="204"/>
      <c r="T3304" s="217"/>
    </row>
    <row r="3305" spans="2:20">
      <c r="B3305" s="204"/>
      <c r="C3305" s="204"/>
      <c r="D3305" s="204"/>
      <c r="E3305" s="204"/>
      <c r="F3305" s="204"/>
      <c r="G3305" s="204"/>
      <c r="H3305" s="204"/>
      <c r="I3305" s="204"/>
      <c r="J3305" s="204"/>
      <c r="K3305" s="204"/>
      <c r="L3305" s="204"/>
      <c r="M3305" s="204"/>
      <c r="N3305" s="204"/>
      <c r="O3305" s="204"/>
      <c r="P3305" s="204"/>
      <c r="T3305" s="217"/>
    </row>
    <row r="3306" spans="2:20">
      <c r="B3306" s="204"/>
      <c r="C3306" s="204"/>
      <c r="D3306" s="204"/>
      <c r="E3306" s="204"/>
      <c r="F3306" s="204"/>
      <c r="G3306" s="204"/>
      <c r="H3306" s="204"/>
      <c r="I3306" s="204"/>
      <c r="J3306" s="204"/>
      <c r="K3306" s="204"/>
      <c r="L3306" s="204"/>
      <c r="M3306" s="204"/>
      <c r="N3306" s="204"/>
      <c r="O3306" s="204"/>
      <c r="P3306" s="204"/>
      <c r="T3306" s="217"/>
    </row>
    <row r="3307" spans="2:20">
      <c r="B3307" s="204"/>
      <c r="C3307" s="204"/>
      <c r="D3307" s="204"/>
      <c r="E3307" s="204"/>
      <c r="F3307" s="204"/>
      <c r="G3307" s="204"/>
      <c r="H3307" s="204"/>
      <c r="I3307" s="204"/>
      <c r="J3307" s="204"/>
      <c r="K3307" s="204"/>
      <c r="L3307" s="204"/>
      <c r="M3307" s="204"/>
      <c r="N3307" s="204"/>
      <c r="O3307" s="204"/>
      <c r="P3307" s="204"/>
      <c r="T3307" s="217"/>
    </row>
    <row r="3308" spans="2:20">
      <c r="B3308" s="204"/>
      <c r="C3308" s="204"/>
      <c r="D3308" s="204"/>
      <c r="E3308" s="204"/>
      <c r="F3308" s="204"/>
      <c r="G3308" s="204"/>
      <c r="H3308" s="204"/>
      <c r="I3308" s="204"/>
      <c r="J3308" s="204"/>
      <c r="K3308" s="204"/>
      <c r="L3308" s="204"/>
      <c r="M3308" s="204"/>
      <c r="N3308" s="204"/>
      <c r="O3308" s="204"/>
      <c r="P3308" s="204"/>
      <c r="T3308" s="217"/>
    </row>
    <row r="3309" spans="2:20">
      <c r="B3309" s="204"/>
      <c r="C3309" s="204"/>
      <c r="D3309" s="204"/>
      <c r="E3309" s="204"/>
      <c r="F3309" s="204"/>
      <c r="G3309" s="204"/>
      <c r="H3309" s="204"/>
      <c r="I3309" s="204"/>
      <c r="J3309" s="204"/>
      <c r="K3309" s="204"/>
      <c r="L3309" s="204"/>
      <c r="M3309" s="204"/>
      <c r="N3309" s="204"/>
      <c r="O3309" s="204"/>
      <c r="P3309" s="204"/>
      <c r="T3309" s="217"/>
    </row>
    <row r="3310" spans="2:20">
      <c r="B3310" s="204"/>
      <c r="C3310" s="204"/>
      <c r="D3310" s="204"/>
      <c r="E3310" s="204"/>
      <c r="F3310" s="204"/>
      <c r="G3310" s="204"/>
      <c r="H3310" s="204"/>
      <c r="I3310" s="204"/>
      <c r="J3310" s="204"/>
      <c r="K3310" s="204"/>
      <c r="L3310" s="204"/>
      <c r="M3310" s="204"/>
      <c r="N3310" s="204"/>
      <c r="O3310" s="204"/>
      <c r="P3310" s="204"/>
      <c r="T3310" s="217"/>
    </row>
    <row r="3311" spans="2:20">
      <c r="B3311" s="204"/>
      <c r="C3311" s="204"/>
      <c r="D3311" s="204"/>
      <c r="E3311" s="204"/>
      <c r="F3311" s="204"/>
      <c r="G3311" s="204"/>
      <c r="H3311" s="204"/>
      <c r="I3311" s="204"/>
      <c r="J3311" s="204"/>
      <c r="K3311" s="204"/>
      <c r="L3311" s="204"/>
      <c r="M3311" s="204"/>
      <c r="N3311" s="204"/>
      <c r="O3311" s="204"/>
      <c r="P3311" s="204"/>
      <c r="T3311" s="217"/>
    </row>
    <row r="3312" spans="2:20">
      <c r="B3312" s="204"/>
      <c r="C3312" s="204"/>
      <c r="D3312" s="204"/>
      <c r="E3312" s="204"/>
      <c r="F3312" s="204"/>
      <c r="G3312" s="204"/>
      <c r="H3312" s="204"/>
      <c r="I3312" s="204"/>
      <c r="J3312" s="204"/>
      <c r="K3312" s="204"/>
      <c r="L3312" s="204"/>
      <c r="M3312" s="204"/>
      <c r="N3312" s="204"/>
      <c r="O3312" s="204"/>
      <c r="P3312" s="204"/>
      <c r="T3312" s="217"/>
    </row>
    <row r="3313" spans="2:20">
      <c r="B3313" s="204"/>
      <c r="C3313" s="204"/>
      <c r="D3313" s="204"/>
      <c r="E3313" s="204"/>
      <c r="F3313" s="204"/>
      <c r="G3313" s="204"/>
      <c r="H3313" s="204"/>
      <c r="I3313" s="204"/>
      <c r="J3313" s="204"/>
      <c r="K3313" s="204"/>
      <c r="L3313" s="204"/>
      <c r="M3313" s="204"/>
      <c r="N3313" s="204"/>
      <c r="O3313" s="204"/>
      <c r="P3313" s="204"/>
      <c r="T3313" s="217"/>
    </row>
    <row r="3314" spans="2:20">
      <c r="B3314" s="204"/>
      <c r="C3314" s="204"/>
      <c r="D3314" s="204"/>
      <c r="E3314" s="204"/>
      <c r="F3314" s="204"/>
      <c r="G3314" s="204"/>
      <c r="H3314" s="204"/>
      <c r="I3314" s="204"/>
      <c r="J3314" s="204"/>
      <c r="K3314" s="204"/>
      <c r="L3314" s="204"/>
      <c r="M3314" s="204"/>
      <c r="N3314" s="204"/>
      <c r="O3314" s="204"/>
      <c r="P3314" s="204"/>
      <c r="T3314" s="217"/>
    </row>
    <row r="3315" spans="2:20">
      <c r="B3315" s="204"/>
      <c r="C3315" s="204"/>
      <c r="D3315" s="204"/>
      <c r="E3315" s="204"/>
      <c r="F3315" s="204"/>
      <c r="G3315" s="204"/>
      <c r="H3315" s="204"/>
      <c r="I3315" s="204"/>
      <c r="J3315" s="204"/>
      <c r="K3315" s="204"/>
      <c r="L3315" s="204"/>
      <c r="M3315" s="204"/>
      <c r="N3315" s="204"/>
      <c r="O3315" s="204"/>
      <c r="P3315" s="204"/>
      <c r="T3315" s="217"/>
    </row>
    <row r="3316" spans="2:20">
      <c r="B3316" s="204"/>
      <c r="C3316" s="204"/>
      <c r="D3316" s="204"/>
      <c r="E3316" s="204"/>
      <c r="F3316" s="204"/>
      <c r="G3316" s="204"/>
      <c r="H3316" s="204"/>
      <c r="I3316" s="204"/>
      <c r="J3316" s="204"/>
      <c r="K3316" s="204"/>
      <c r="L3316" s="204"/>
      <c r="M3316" s="204"/>
      <c r="N3316" s="204"/>
      <c r="O3316" s="204"/>
      <c r="P3316" s="204"/>
      <c r="T3316" s="217"/>
    </row>
    <row r="3317" spans="2:20">
      <c r="B3317" s="204"/>
      <c r="C3317" s="204"/>
      <c r="D3317" s="204"/>
      <c r="E3317" s="204"/>
      <c r="F3317" s="204"/>
      <c r="G3317" s="204"/>
      <c r="H3317" s="204"/>
      <c r="I3317" s="204"/>
      <c r="J3317" s="204"/>
      <c r="K3317" s="204"/>
      <c r="L3317" s="204"/>
      <c r="M3317" s="204"/>
      <c r="N3317" s="204"/>
      <c r="O3317" s="204"/>
      <c r="P3317" s="204"/>
      <c r="T3317" s="217"/>
    </row>
    <row r="3318" spans="2:20">
      <c r="B3318" s="204"/>
      <c r="C3318" s="204"/>
      <c r="D3318" s="204"/>
      <c r="E3318" s="204"/>
      <c r="F3318" s="204"/>
      <c r="G3318" s="204"/>
      <c r="H3318" s="204"/>
      <c r="I3318" s="204"/>
      <c r="J3318" s="204"/>
      <c r="K3318" s="204"/>
      <c r="L3318" s="204"/>
      <c r="M3318" s="204"/>
      <c r="N3318" s="204"/>
      <c r="O3318" s="204"/>
      <c r="P3318" s="204"/>
      <c r="T3318" s="217"/>
    </row>
    <row r="3319" spans="2:20">
      <c r="B3319" s="204"/>
      <c r="C3319" s="204"/>
      <c r="D3319" s="204"/>
      <c r="E3319" s="204"/>
      <c r="F3319" s="204"/>
      <c r="G3319" s="204"/>
      <c r="H3319" s="204"/>
      <c r="I3319" s="204"/>
      <c r="J3319" s="204"/>
      <c r="K3319" s="204"/>
      <c r="L3319" s="204"/>
      <c r="M3319" s="204"/>
      <c r="N3319" s="204"/>
      <c r="O3319" s="204"/>
      <c r="P3319" s="204"/>
      <c r="T3319" s="217"/>
    </row>
    <row r="3320" spans="2:20">
      <c r="B3320" s="204"/>
      <c r="C3320" s="204"/>
      <c r="D3320" s="204"/>
      <c r="E3320" s="204"/>
      <c r="F3320" s="204"/>
      <c r="G3320" s="204"/>
      <c r="H3320" s="204"/>
      <c r="I3320" s="204"/>
      <c r="J3320" s="204"/>
      <c r="K3320" s="204"/>
      <c r="L3320" s="204"/>
      <c r="M3320" s="204"/>
      <c r="N3320" s="204"/>
      <c r="O3320" s="204"/>
      <c r="P3320" s="204"/>
      <c r="T3320" s="217"/>
    </row>
    <row r="3321" spans="2:20">
      <c r="B3321" s="204"/>
      <c r="C3321" s="204"/>
      <c r="D3321" s="204"/>
      <c r="E3321" s="204"/>
      <c r="F3321" s="204"/>
      <c r="G3321" s="204"/>
      <c r="H3321" s="204"/>
      <c r="I3321" s="204"/>
      <c r="J3321" s="204"/>
      <c r="K3321" s="204"/>
      <c r="L3321" s="204"/>
      <c r="M3321" s="204"/>
      <c r="N3321" s="204"/>
      <c r="O3321" s="204"/>
      <c r="P3321" s="204"/>
      <c r="T3321" s="217"/>
    </row>
    <row r="3322" spans="2:20">
      <c r="B3322" s="204"/>
      <c r="C3322" s="204"/>
      <c r="D3322" s="204"/>
      <c r="E3322" s="204"/>
      <c r="F3322" s="204"/>
      <c r="G3322" s="204"/>
      <c r="H3322" s="204"/>
      <c r="I3322" s="204"/>
      <c r="J3322" s="204"/>
      <c r="K3322" s="204"/>
      <c r="L3322" s="204"/>
      <c r="M3322" s="204"/>
      <c r="N3322" s="204"/>
      <c r="O3322" s="204"/>
      <c r="P3322" s="204"/>
      <c r="T3322" s="217"/>
    </row>
    <row r="3323" spans="2:20">
      <c r="B3323" s="204"/>
      <c r="C3323" s="204"/>
      <c r="D3323" s="204"/>
      <c r="E3323" s="204"/>
      <c r="F3323" s="204"/>
      <c r="G3323" s="204"/>
      <c r="H3323" s="204"/>
      <c r="I3323" s="204"/>
      <c r="J3323" s="204"/>
      <c r="K3323" s="204"/>
      <c r="L3323" s="204"/>
      <c r="M3323" s="204"/>
      <c r="N3323" s="204"/>
      <c r="O3323" s="204"/>
      <c r="P3323" s="204"/>
      <c r="T3323" s="217"/>
    </row>
    <row r="3324" spans="2:20">
      <c r="B3324" s="204"/>
      <c r="C3324" s="204"/>
      <c r="D3324" s="204"/>
      <c r="E3324" s="204"/>
      <c r="F3324" s="204"/>
      <c r="G3324" s="204"/>
      <c r="H3324" s="204"/>
      <c r="I3324" s="204"/>
      <c r="J3324" s="204"/>
      <c r="K3324" s="204"/>
      <c r="L3324" s="204"/>
      <c r="M3324" s="204"/>
      <c r="N3324" s="204"/>
      <c r="O3324" s="204"/>
      <c r="P3324" s="204"/>
      <c r="T3324" s="217"/>
    </row>
    <row r="3325" spans="2:20">
      <c r="B3325" s="204"/>
      <c r="C3325" s="204"/>
      <c r="D3325" s="204"/>
      <c r="E3325" s="204"/>
      <c r="F3325" s="204"/>
      <c r="G3325" s="204"/>
      <c r="H3325" s="204"/>
      <c r="I3325" s="204"/>
      <c r="J3325" s="204"/>
      <c r="K3325" s="204"/>
      <c r="L3325" s="204"/>
      <c r="M3325" s="204"/>
      <c r="N3325" s="204"/>
      <c r="O3325" s="204"/>
      <c r="P3325" s="204"/>
      <c r="T3325" s="217"/>
    </row>
    <row r="3326" spans="2:20">
      <c r="B3326" s="204"/>
      <c r="C3326" s="204"/>
      <c r="D3326" s="204"/>
      <c r="E3326" s="204"/>
      <c r="F3326" s="204"/>
      <c r="G3326" s="204"/>
      <c r="H3326" s="204"/>
      <c r="I3326" s="204"/>
      <c r="J3326" s="204"/>
      <c r="K3326" s="204"/>
      <c r="L3326" s="204"/>
      <c r="M3326" s="204"/>
      <c r="N3326" s="204"/>
      <c r="O3326" s="204"/>
      <c r="P3326" s="204"/>
      <c r="T3326" s="217"/>
    </row>
    <row r="3327" spans="2:20">
      <c r="B3327" s="204"/>
      <c r="C3327" s="204"/>
      <c r="D3327" s="204"/>
      <c r="E3327" s="204"/>
      <c r="F3327" s="204"/>
      <c r="G3327" s="204"/>
      <c r="H3327" s="204"/>
      <c r="I3327" s="204"/>
      <c r="J3327" s="204"/>
      <c r="K3327" s="204"/>
      <c r="L3327" s="204"/>
      <c r="M3327" s="204"/>
      <c r="N3327" s="204"/>
      <c r="O3327" s="204"/>
      <c r="P3327" s="204"/>
      <c r="T3327" s="217"/>
    </row>
    <row r="3328" spans="2:20">
      <c r="B3328" s="204"/>
      <c r="C3328" s="204"/>
      <c r="D3328" s="204"/>
      <c r="E3328" s="204"/>
      <c r="F3328" s="204"/>
      <c r="G3328" s="204"/>
      <c r="H3328" s="204"/>
      <c r="I3328" s="204"/>
      <c r="J3328" s="204"/>
      <c r="K3328" s="204"/>
      <c r="L3328" s="204"/>
      <c r="M3328" s="204"/>
      <c r="N3328" s="204"/>
      <c r="O3328" s="204"/>
      <c r="P3328" s="204"/>
      <c r="T3328" s="217"/>
    </row>
    <row r="3329" spans="2:20">
      <c r="B3329" s="204"/>
      <c r="C3329" s="204"/>
      <c r="D3329" s="204"/>
      <c r="E3329" s="204"/>
      <c r="F3329" s="204"/>
      <c r="G3329" s="204"/>
      <c r="H3329" s="204"/>
      <c r="I3329" s="204"/>
      <c r="J3329" s="204"/>
      <c r="K3329" s="204"/>
      <c r="L3329" s="204"/>
      <c r="M3329" s="204"/>
      <c r="N3329" s="204"/>
      <c r="O3329" s="204"/>
      <c r="P3329" s="204"/>
      <c r="T3329" s="217"/>
    </row>
    <row r="3330" spans="2:20">
      <c r="B3330" s="204"/>
      <c r="C3330" s="204"/>
      <c r="D3330" s="204"/>
      <c r="E3330" s="204"/>
      <c r="F3330" s="204"/>
      <c r="G3330" s="204"/>
      <c r="H3330" s="204"/>
      <c r="I3330" s="204"/>
      <c r="J3330" s="204"/>
      <c r="K3330" s="204"/>
      <c r="L3330" s="204"/>
      <c r="M3330" s="204"/>
      <c r="N3330" s="204"/>
      <c r="O3330" s="204"/>
      <c r="P3330" s="204"/>
      <c r="T3330" s="217"/>
    </row>
    <row r="3331" spans="2:20">
      <c r="B3331" s="204"/>
      <c r="C3331" s="204"/>
      <c r="D3331" s="204"/>
      <c r="E3331" s="204"/>
      <c r="F3331" s="204"/>
      <c r="G3331" s="204"/>
      <c r="H3331" s="204"/>
      <c r="I3331" s="204"/>
      <c r="J3331" s="204"/>
      <c r="K3331" s="204"/>
      <c r="L3331" s="204"/>
      <c r="M3331" s="204"/>
      <c r="N3331" s="204"/>
      <c r="O3331" s="204"/>
      <c r="P3331" s="204"/>
      <c r="T3331" s="217"/>
    </row>
    <row r="3332" spans="2:20">
      <c r="B3332" s="204"/>
      <c r="C3332" s="204"/>
      <c r="D3332" s="204"/>
      <c r="E3332" s="204"/>
      <c r="F3332" s="204"/>
      <c r="G3332" s="204"/>
      <c r="H3332" s="204"/>
      <c r="I3332" s="204"/>
      <c r="J3332" s="204"/>
      <c r="K3332" s="204"/>
      <c r="L3332" s="204"/>
      <c r="M3332" s="204"/>
      <c r="N3332" s="204"/>
      <c r="O3332" s="204"/>
      <c r="P3332" s="204"/>
      <c r="T3332" s="217"/>
    </row>
    <row r="3333" spans="2:20">
      <c r="B3333" s="204"/>
      <c r="C3333" s="204"/>
      <c r="D3333" s="204"/>
      <c r="E3333" s="204"/>
      <c r="F3333" s="204"/>
      <c r="G3333" s="204"/>
      <c r="H3333" s="204"/>
      <c r="I3333" s="204"/>
      <c r="J3333" s="204"/>
      <c r="K3333" s="204"/>
      <c r="L3333" s="204"/>
      <c r="M3333" s="204"/>
      <c r="N3333" s="204"/>
      <c r="O3333" s="204"/>
      <c r="P3333" s="204"/>
      <c r="T3333" s="217"/>
    </row>
    <row r="3334" spans="2:20">
      <c r="B3334" s="204"/>
      <c r="C3334" s="204"/>
      <c r="D3334" s="204"/>
      <c r="E3334" s="204"/>
      <c r="F3334" s="204"/>
      <c r="G3334" s="204"/>
      <c r="H3334" s="204"/>
      <c r="I3334" s="204"/>
      <c r="J3334" s="204"/>
      <c r="K3334" s="204"/>
      <c r="L3334" s="204"/>
      <c r="M3334" s="204"/>
      <c r="N3334" s="204"/>
      <c r="O3334" s="204"/>
      <c r="P3334" s="204"/>
      <c r="T3334" s="217"/>
    </row>
    <row r="3335" spans="2:20">
      <c r="B3335" s="204"/>
      <c r="C3335" s="204"/>
      <c r="D3335" s="204"/>
      <c r="E3335" s="204"/>
      <c r="F3335" s="204"/>
      <c r="G3335" s="204"/>
      <c r="H3335" s="204"/>
      <c r="I3335" s="204"/>
      <c r="J3335" s="204"/>
      <c r="K3335" s="204"/>
      <c r="L3335" s="204"/>
      <c r="M3335" s="204"/>
      <c r="N3335" s="204"/>
      <c r="O3335" s="204"/>
      <c r="P3335" s="204"/>
      <c r="T3335" s="217"/>
    </row>
    <row r="3336" spans="2:20">
      <c r="B3336" s="204"/>
      <c r="C3336" s="204"/>
      <c r="D3336" s="204"/>
      <c r="E3336" s="204"/>
      <c r="F3336" s="204"/>
      <c r="G3336" s="204"/>
      <c r="H3336" s="204"/>
      <c r="I3336" s="204"/>
      <c r="J3336" s="204"/>
      <c r="K3336" s="204"/>
      <c r="L3336" s="204"/>
      <c r="M3336" s="204"/>
      <c r="N3336" s="204"/>
      <c r="O3336" s="204"/>
      <c r="P3336" s="204"/>
      <c r="T3336" s="217"/>
    </row>
    <row r="3337" spans="2:20">
      <c r="B3337" s="204"/>
      <c r="C3337" s="204"/>
      <c r="D3337" s="204"/>
      <c r="E3337" s="204"/>
      <c r="F3337" s="204"/>
      <c r="G3337" s="204"/>
      <c r="H3337" s="204"/>
      <c r="I3337" s="204"/>
      <c r="J3337" s="204"/>
      <c r="K3337" s="204"/>
      <c r="L3337" s="204"/>
      <c r="M3337" s="204"/>
      <c r="N3337" s="204"/>
      <c r="O3337" s="204"/>
      <c r="P3337" s="204"/>
      <c r="T3337" s="217"/>
    </row>
    <row r="3338" spans="2:20">
      <c r="B3338" s="204"/>
      <c r="C3338" s="204"/>
      <c r="D3338" s="204"/>
      <c r="E3338" s="204"/>
      <c r="F3338" s="204"/>
      <c r="G3338" s="204"/>
      <c r="H3338" s="204"/>
      <c r="I3338" s="204"/>
      <c r="J3338" s="204"/>
      <c r="K3338" s="204"/>
      <c r="L3338" s="204"/>
      <c r="M3338" s="204"/>
      <c r="N3338" s="204"/>
      <c r="O3338" s="204"/>
      <c r="P3338" s="204"/>
      <c r="T3338" s="217"/>
    </row>
    <row r="3339" spans="2:20">
      <c r="B3339" s="204"/>
      <c r="C3339" s="204"/>
      <c r="D3339" s="204"/>
      <c r="E3339" s="204"/>
      <c r="F3339" s="204"/>
      <c r="G3339" s="204"/>
      <c r="H3339" s="204"/>
      <c r="I3339" s="204"/>
      <c r="J3339" s="204"/>
      <c r="K3339" s="204"/>
      <c r="L3339" s="204"/>
      <c r="M3339" s="204"/>
      <c r="N3339" s="204"/>
      <c r="O3339" s="204"/>
      <c r="P3339" s="204"/>
      <c r="T3339" s="217"/>
    </row>
    <row r="3340" spans="2:20">
      <c r="B3340" s="204"/>
      <c r="C3340" s="204"/>
      <c r="D3340" s="204"/>
      <c r="E3340" s="204"/>
      <c r="F3340" s="204"/>
      <c r="G3340" s="204"/>
      <c r="H3340" s="204"/>
      <c r="I3340" s="204"/>
      <c r="J3340" s="204"/>
      <c r="K3340" s="204"/>
      <c r="L3340" s="204"/>
      <c r="M3340" s="204"/>
      <c r="N3340" s="204"/>
      <c r="O3340" s="204"/>
      <c r="P3340" s="204"/>
      <c r="T3340" s="217"/>
    </row>
    <row r="3341" spans="2:20">
      <c r="B3341" s="204"/>
      <c r="C3341" s="204"/>
      <c r="D3341" s="204"/>
      <c r="E3341" s="204"/>
      <c r="F3341" s="204"/>
      <c r="G3341" s="204"/>
      <c r="H3341" s="204"/>
      <c r="I3341" s="204"/>
      <c r="J3341" s="204"/>
      <c r="K3341" s="204"/>
      <c r="L3341" s="204"/>
      <c r="M3341" s="204"/>
      <c r="N3341" s="204"/>
      <c r="O3341" s="204"/>
      <c r="P3341" s="204"/>
      <c r="T3341" s="217"/>
    </row>
    <row r="3342" spans="2:20">
      <c r="B3342" s="204"/>
      <c r="C3342" s="204"/>
      <c r="D3342" s="204"/>
      <c r="E3342" s="204"/>
      <c r="F3342" s="204"/>
      <c r="G3342" s="204"/>
      <c r="H3342" s="204"/>
      <c r="I3342" s="204"/>
      <c r="J3342" s="204"/>
      <c r="K3342" s="204"/>
      <c r="L3342" s="204"/>
      <c r="M3342" s="204"/>
      <c r="N3342" s="204"/>
      <c r="O3342" s="204"/>
      <c r="P3342" s="204"/>
      <c r="T3342" s="217"/>
    </row>
    <row r="3343" spans="2:20">
      <c r="B3343" s="204"/>
      <c r="C3343" s="204"/>
      <c r="D3343" s="204"/>
      <c r="E3343" s="204"/>
      <c r="F3343" s="204"/>
      <c r="G3343" s="204"/>
      <c r="H3343" s="204"/>
      <c r="I3343" s="204"/>
      <c r="J3343" s="204"/>
      <c r="K3343" s="204"/>
      <c r="L3343" s="204"/>
      <c r="M3343" s="204"/>
      <c r="N3343" s="204"/>
      <c r="O3343" s="204"/>
      <c r="P3343" s="204"/>
      <c r="T3343" s="217"/>
    </row>
    <row r="3344" spans="2:20">
      <c r="B3344" s="204"/>
      <c r="C3344" s="204"/>
      <c r="D3344" s="204"/>
      <c r="E3344" s="204"/>
      <c r="F3344" s="204"/>
      <c r="G3344" s="204"/>
      <c r="H3344" s="204"/>
      <c r="I3344" s="204"/>
      <c r="J3344" s="204"/>
      <c r="K3344" s="204"/>
      <c r="L3344" s="204"/>
      <c r="M3344" s="204"/>
      <c r="N3344" s="204"/>
      <c r="O3344" s="204"/>
      <c r="P3344" s="204"/>
      <c r="T3344" s="217"/>
    </row>
    <row r="3345" spans="2:20">
      <c r="B3345" s="204"/>
      <c r="C3345" s="204"/>
      <c r="D3345" s="204"/>
      <c r="E3345" s="204"/>
      <c r="F3345" s="204"/>
      <c r="G3345" s="204"/>
      <c r="H3345" s="204"/>
      <c r="I3345" s="204"/>
      <c r="J3345" s="204"/>
      <c r="K3345" s="204"/>
      <c r="L3345" s="204"/>
      <c r="M3345" s="204"/>
      <c r="N3345" s="204"/>
      <c r="O3345" s="204"/>
      <c r="P3345" s="204"/>
      <c r="T3345" s="217"/>
    </row>
    <row r="3346" spans="2:20">
      <c r="B3346" s="204"/>
      <c r="C3346" s="204"/>
      <c r="D3346" s="204"/>
      <c r="E3346" s="204"/>
      <c r="F3346" s="204"/>
      <c r="G3346" s="204"/>
      <c r="H3346" s="204"/>
      <c r="I3346" s="204"/>
      <c r="J3346" s="204"/>
      <c r="K3346" s="204"/>
      <c r="L3346" s="204"/>
      <c r="M3346" s="204"/>
      <c r="N3346" s="204"/>
      <c r="O3346" s="204"/>
      <c r="P3346" s="204"/>
      <c r="T3346" s="217"/>
    </row>
    <row r="3347" spans="2:20">
      <c r="B3347" s="204"/>
      <c r="C3347" s="204"/>
      <c r="D3347" s="204"/>
      <c r="E3347" s="204"/>
      <c r="F3347" s="204"/>
      <c r="G3347" s="204"/>
      <c r="H3347" s="204"/>
      <c r="I3347" s="204"/>
      <c r="J3347" s="204"/>
      <c r="K3347" s="204"/>
      <c r="L3347" s="204"/>
      <c r="M3347" s="204"/>
      <c r="N3347" s="204"/>
      <c r="O3347" s="204"/>
      <c r="P3347" s="204"/>
      <c r="T3347" s="217"/>
    </row>
    <row r="3348" spans="2:20">
      <c r="B3348" s="204"/>
      <c r="C3348" s="204"/>
      <c r="D3348" s="204"/>
      <c r="E3348" s="204"/>
      <c r="F3348" s="204"/>
      <c r="G3348" s="204"/>
      <c r="H3348" s="204"/>
      <c r="I3348" s="204"/>
      <c r="J3348" s="204"/>
      <c r="K3348" s="204"/>
      <c r="L3348" s="204"/>
      <c r="M3348" s="204"/>
      <c r="N3348" s="204"/>
      <c r="O3348" s="204"/>
      <c r="P3348" s="204"/>
      <c r="T3348" s="217"/>
    </row>
    <row r="3349" spans="2:20">
      <c r="B3349" s="204"/>
      <c r="C3349" s="204"/>
      <c r="D3349" s="204"/>
      <c r="E3349" s="204"/>
      <c r="F3349" s="204"/>
      <c r="G3349" s="204"/>
      <c r="H3349" s="204"/>
      <c r="I3349" s="204"/>
      <c r="J3349" s="204"/>
      <c r="K3349" s="204"/>
      <c r="L3349" s="204"/>
      <c r="M3349" s="204"/>
      <c r="N3349" s="204"/>
      <c r="O3349" s="204"/>
      <c r="P3349" s="204"/>
      <c r="T3349" s="217"/>
    </row>
    <row r="3350" spans="2:20">
      <c r="B3350" s="204"/>
      <c r="C3350" s="204"/>
      <c r="D3350" s="204"/>
      <c r="E3350" s="204"/>
      <c r="F3350" s="204"/>
      <c r="G3350" s="204"/>
      <c r="H3350" s="204"/>
      <c r="I3350" s="204"/>
      <c r="J3350" s="204"/>
      <c r="K3350" s="204"/>
      <c r="L3350" s="204"/>
      <c r="M3350" s="204"/>
      <c r="N3350" s="204"/>
      <c r="O3350" s="204"/>
      <c r="P3350" s="204"/>
      <c r="T3350" s="217"/>
    </row>
    <row r="3351" spans="2:20">
      <c r="B3351" s="204"/>
      <c r="C3351" s="204"/>
      <c r="D3351" s="204"/>
      <c r="E3351" s="204"/>
      <c r="F3351" s="204"/>
      <c r="G3351" s="204"/>
      <c r="H3351" s="204"/>
      <c r="I3351" s="204"/>
      <c r="J3351" s="204"/>
      <c r="K3351" s="204"/>
      <c r="L3351" s="204"/>
      <c r="M3351" s="204"/>
      <c r="N3351" s="204"/>
      <c r="O3351" s="204"/>
      <c r="P3351" s="204"/>
      <c r="T3351" s="217"/>
    </row>
    <row r="3352" spans="2:20">
      <c r="B3352" s="204"/>
      <c r="C3352" s="204"/>
      <c r="D3352" s="204"/>
      <c r="E3352" s="204"/>
      <c r="F3352" s="204"/>
      <c r="G3352" s="204"/>
      <c r="H3352" s="204"/>
      <c r="I3352" s="204"/>
      <c r="J3352" s="204"/>
      <c r="K3352" s="204"/>
      <c r="L3352" s="204"/>
      <c r="M3352" s="204"/>
      <c r="N3352" s="204"/>
      <c r="O3352" s="204"/>
      <c r="P3352" s="204"/>
      <c r="T3352" s="217"/>
    </row>
    <row r="3353" spans="2:20">
      <c r="B3353" s="204"/>
      <c r="C3353" s="204"/>
      <c r="D3353" s="204"/>
      <c r="E3353" s="204"/>
      <c r="F3353" s="204"/>
      <c r="G3353" s="204"/>
      <c r="H3353" s="204"/>
      <c r="I3353" s="204"/>
      <c r="J3353" s="204"/>
      <c r="K3353" s="204"/>
      <c r="L3353" s="204"/>
      <c r="M3353" s="204"/>
      <c r="N3353" s="204"/>
      <c r="O3353" s="204"/>
      <c r="P3353" s="204"/>
      <c r="T3353" s="217"/>
    </row>
    <row r="3354" spans="2:20">
      <c r="B3354" s="204"/>
      <c r="C3354" s="204"/>
      <c r="D3354" s="204"/>
      <c r="E3354" s="204"/>
      <c r="F3354" s="204"/>
      <c r="G3354" s="204"/>
      <c r="H3354" s="204"/>
      <c r="I3354" s="204"/>
      <c r="J3354" s="204"/>
      <c r="K3354" s="204"/>
      <c r="L3354" s="204"/>
      <c r="M3354" s="204"/>
      <c r="N3354" s="204"/>
      <c r="O3354" s="204"/>
      <c r="P3354" s="204"/>
      <c r="T3354" s="217"/>
    </row>
    <row r="3355" spans="2:20">
      <c r="B3355" s="204"/>
      <c r="C3355" s="204"/>
      <c r="D3355" s="204"/>
      <c r="E3355" s="204"/>
      <c r="F3355" s="204"/>
      <c r="G3355" s="204"/>
      <c r="H3355" s="204"/>
      <c r="I3355" s="204"/>
      <c r="J3355" s="204"/>
      <c r="K3355" s="204"/>
      <c r="L3355" s="204"/>
      <c r="M3355" s="204"/>
      <c r="N3355" s="204"/>
      <c r="O3355" s="204"/>
      <c r="P3355" s="204"/>
      <c r="T3355" s="217"/>
    </row>
    <row r="3356" spans="2:20">
      <c r="B3356" s="204"/>
      <c r="C3356" s="204"/>
      <c r="D3356" s="204"/>
      <c r="E3356" s="204"/>
      <c r="F3356" s="204"/>
      <c r="G3356" s="204"/>
      <c r="H3356" s="204"/>
      <c r="I3356" s="204"/>
      <c r="J3356" s="204"/>
      <c r="K3356" s="204"/>
      <c r="L3356" s="204"/>
      <c r="M3356" s="204"/>
      <c r="N3356" s="204"/>
      <c r="O3356" s="204"/>
      <c r="P3356" s="204"/>
      <c r="T3356" s="217"/>
    </row>
    <row r="3357" spans="2:20">
      <c r="B3357" s="204"/>
      <c r="C3357" s="204"/>
      <c r="D3357" s="204"/>
      <c r="E3357" s="204"/>
      <c r="F3357" s="204"/>
      <c r="G3357" s="204"/>
      <c r="H3357" s="204"/>
      <c r="I3357" s="204"/>
      <c r="J3357" s="204"/>
      <c r="K3357" s="204"/>
      <c r="L3357" s="204"/>
      <c r="M3357" s="204"/>
      <c r="N3357" s="204"/>
      <c r="O3357" s="204"/>
      <c r="P3357" s="204"/>
      <c r="T3357" s="217"/>
    </row>
    <row r="3358" spans="2:20">
      <c r="B3358" s="204"/>
      <c r="C3358" s="204"/>
      <c r="D3358" s="204"/>
      <c r="E3358" s="204"/>
      <c r="F3358" s="204"/>
      <c r="G3358" s="204"/>
      <c r="H3358" s="204"/>
      <c r="I3358" s="204"/>
      <c r="J3358" s="204"/>
      <c r="K3358" s="204"/>
      <c r="L3358" s="204"/>
      <c r="M3358" s="204"/>
      <c r="N3358" s="204"/>
      <c r="O3358" s="204"/>
      <c r="P3358" s="204"/>
      <c r="T3358" s="217"/>
    </row>
    <row r="3359" spans="2:20">
      <c r="B3359" s="204"/>
      <c r="C3359" s="204"/>
      <c r="D3359" s="204"/>
      <c r="E3359" s="204"/>
      <c r="F3359" s="204"/>
      <c r="G3359" s="204"/>
      <c r="H3359" s="204"/>
      <c r="I3359" s="204"/>
      <c r="J3359" s="204"/>
      <c r="K3359" s="204"/>
      <c r="L3359" s="204"/>
      <c r="M3359" s="204"/>
      <c r="N3359" s="204"/>
      <c r="O3359" s="204"/>
      <c r="P3359" s="204"/>
      <c r="T3359" s="217"/>
    </row>
    <row r="3360" spans="2:20">
      <c r="B3360" s="204"/>
      <c r="C3360" s="204"/>
      <c r="D3360" s="204"/>
      <c r="E3360" s="204"/>
      <c r="F3360" s="204"/>
      <c r="G3360" s="204"/>
      <c r="H3360" s="204"/>
      <c r="I3360" s="204"/>
      <c r="J3360" s="204"/>
      <c r="K3360" s="204"/>
      <c r="L3360" s="204"/>
      <c r="M3360" s="204"/>
      <c r="N3360" s="204"/>
      <c r="O3360" s="204"/>
      <c r="P3360" s="204"/>
      <c r="T3360" s="217"/>
    </row>
    <row r="3361" spans="2:20">
      <c r="B3361" s="204"/>
      <c r="C3361" s="204"/>
      <c r="D3361" s="204"/>
      <c r="E3361" s="204"/>
      <c r="F3361" s="204"/>
      <c r="G3361" s="204"/>
      <c r="H3361" s="204"/>
      <c r="I3361" s="204"/>
      <c r="J3361" s="204"/>
      <c r="K3361" s="204"/>
      <c r="L3361" s="204"/>
      <c r="M3361" s="204"/>
      <c r="N3361" s="204"/>
      <c r="O3361" s="204"/>
      <c r="P3361" s="204"/>
      <c r="T3361" s="217"/>
    </row>
    <row r="3362" spans="2:20">
      <c r="B3362" s="204"/>
      <c r="C3362" s="204"/>
      <c r="D3362" s="204"/>
      <c r="E3362" s="204"/>
      <c r="F3362" s="204"/>
      <c r="G3362" s="204"/>
      <c r="H3362" s="204"/>
      <c r="I3362" s="204"/>
      <c r="J3362" s="204"/>
      <c r="K3362" s="204"/>
      <c r="L3362" s="204"/>
      <c r="M3362" s="204"/>
      <c r="N3362" s="204"/>
      <c r="O3362" s="204"/>
      <c r="P3362" s="204"/>
      <c r="T3362" s="217"/>
    </row>
    <row r="3363" spans="2:20">
      <c r="B3363" s="204"/>
      <c r="C3363" s="204"/>
      <c r="D3363" s="204"/>
      <c r="E3363" s="204"/>
      <c r="F3363" s="204"/>
      <c r="G3363" s="204"/>
      <c r="H3363" s="204"/>
      <c r="I3363" s="204"/>
      <c r="J3363" s="204"/>
      <c r="K3363" s="204"/>
      <c r="L3363" s="204"/>
      <c r="M3363" s="204"/>
      <c r="N3363" s="204"/>
      <c r="O3363" s="204"/>
      <c r="P3363" s="204"/>
      <c r="T3363" s="217"/>
    </row>
    <row r="3364" spans="2:20">
      <c r="B3364" s="204"/>
      <c r="C3364" s="204"/>
      <c r="D3364" s="204"/>
      <c r="E3364" s="204"/>
      <c r="F3364" s="204"/>
      <c r="G3364" s="204"/>
      <c r="H3364" s="204"/>
      <c r="I3364" s="204"/>
      <c r="J3364" s="204"/>
      <c r="K3364" s="204"/>
      <c r="L3364" s="204"/>
      <c r="M3364" s="204"/>
      <c r="N3364" s="204"/>
      <c r="O3364" s="204"/>
      <c r="P3364" s="204"/>
      <c r="T3364" s="217"/>
    </row>
    <row r="3365" spans="2:20">
      <c r="B3365" s="204"/>
      <c r="C3365" s="204"/>
      <c r="D3365" s="204"/>
      <c r="E3365" s="204"/>
      <c r="F3365" s="204"/>
      <c r="G3365" s="204"/>
      <c r="H3365" s="204"/>
      <c r="I3365" s="204"/>
      <c r="J3365" s="204"/>
      <c r="K3365" s="204"/>
      <c r="L3365" s="204"/>
      <c r="M3365" s="204"/>
      <c r="N3365" s="204"/>
      <c r="O3365" s="204"/>
      <c r="P3365" s="204"/>
      <c r="T3365" s="217"/>
    </row>
    <row r="3366" spans="2:20">
      <c r="B3366" s="204"/>
      <c r="C3366" s="204"/>
      <c r="D3366" s="204"/>
      <c r="E3366" s="204"/>
      <c r="F3366" s="204"/>
      <c r="G3366" s="204"/>
      <c r="H3366" s="204"/>
      <c r="I3366" s="204"/>
      <c r="J3366" s="204"/>
      <c r="K3366" s="204"/>
      <c r="L3366" s="204"/>
      <c r="M3366" s="204"/>
      <c r="N3366" s="204"/>
      <c r="O3366" s="204"/>
      <c r="P3366" s="204"/>
      <c r="T3366" s="217"/>
    </row>
    <row r="3367" spans="2:20">
      <c r="B3367" s="204"/>
      <c r="C3367" s="204"/>
      <c r="D3367" s="204"/>
      <c r="E3367" s="204"/>
      <c r="F3367" s="204"/>
      <c r="G3367" s="204"/>
      <c r="H3367" s="204"/>
      <c r="I3367" s="204"/>
      <c r="J3367" s="204"/>
      <c r="K3367" s="204"/>
      <c r="L3367" s="204"/>
      <c r="M3367" s="204"/>
      <c r="N3367" s="204"/>
      <c r="O3367" s="204"/>
      <c r="P3367" s="204"/>
      <c r="T3367" s="217"/>
    </row>
    <row r="3368" spans="2:20">
      <c r="B3368" s="204"/>
      <c r="C3368" s="204"/>
      <c r="D3368" s="204"/>
      <c r="E3368" s="204"/>
      <c r="F3368" s="204"/>
      <c r="G3368" s="204"/>
      <c r="H3368" s="204"/>
      <c r="I3368" s="204"/>
      <c r="J3368" s="204"/>
      <c r="K3368" s="204"/>
      <c r="L3368" s="204"/>
      <c r="M3368" s="204"/>
      <c r="N3368" s="204"/>
      <c r="O3368" s="204"/>
      <c r="P3368" s="204"/>
      <c r="T3368" s="217"/>
    </row>
    <row r="3369" spans="2:20">
      <c r="B3369" s="204"/>
      <c r="C3369" s="204"/>
      <c r="D3369" s="204"/>
      <c r="E3369" s="204"/>
      <c r="F3369" s="204"/>
      <c r="G3369" s="204"/>
      <c r="H3369" s="204"/>
      <c r="I3369" s="204"/>
      <c r="J3369" s="204"/>
      <c r="K3369" s="204"/>
      <c r="L3369" s="204"/>
      <c r="M3369" s="204"/>
      <c r="N3369" s="204"/>
      <c r="O3369" s="204"/>
      <c r="P3369" s="204"/>
      <c r="T3369" s="217"/>
    </row>
    <row r="3370" spans="2:20">
      <c r="B3370" s="204"/>
      <c r="C3370" s="204"/>
      <c r="D3370" s="204"/>
      <c r="E3370" s="204"/>
      <c r="F3370" s="204"/>
      <c r="G3370" s="204"/>
      <c r="H3370" s="204"/>
      <c r="I3370" s="204"/>
      <c r="J3370" s="204"/>
      <c r="K3370" s="204"/>
      <c r="L3370" s="204"/>
      <c r="M3370" s="204"/>
      <c r="N3370" s="204"/>
      <c r="O3370" s="204"/>
      <c r="P3370" s="204"/>
      <c r="T3370" s="217"/>
    </row>
    <row r="3371" spans="2:20">
      <c r="B3371" s="204"/>
      <c r="C3371" s="204"/>
      <c r="D3371" s="204"/>
      <c r="E3371" s="204"/>
      <c r="F3371" s="204"/>
      <c r="G3371" s="204"/>
      <c r="H3371" s="204"/>
      <c r="I3371" s="204"/>
      <c r="J3371" s="204"/>
      <c r="K3371" s="204"/>
      <c r="L3371" s="204"/>
      <c r="M3371" s="204"/>
      <c r="N3371" s="204"/>
      <c r="O3371" s="204"/>
      <c r="P3371" s="204"/>
      <c r="T3371" s="217"/>
    </row>
    <row r="3372" spans="2:20">
      <c r="B3372" s="204"/>
      <c r="C3372" s="204"/>
      <c r="D3372" s="204"/>
      <c r="E3372" s="204"/>
      <c r="F3372" s="204"/>
      <c r="G3372" s="204"/>
      <c r="H3372" s="204"/>
      <c r="I3372" s="204"/>
      <c r="J3372" s="204"/>
      <c r="K3372" s="204"/>
      <c r="L3372" s="204"/>
      <c r="M3372" s="204"/>
      <c r="N3372" s="204"/>
      <c r="O3372" s="204"/>
      <c r="P3372" s="204"/>
      <c r="T3372" s="217"/>
    </row>
    <row r="3373" spans="2:20">
      <c r="B3373" s="204"/>
      <c r="C3373" s="204"/>
      <c r="D3373" s="204"/>
      <c r="E3373" s="204"/>
      <c r="F3373" s="204"/>
      <c r="G3373" s="204"/>
      <c r="H3373" s="204"/>
      <c r="I3373" s="204"/>
      <c r="J3373" s="204"/>
      <c r="K3373" s="204"/>
      <c r="L3373" s="204"/>
      <c r="M3373" s="204"/>
      <c r="N3373" s="204"/>
      <c r="O3373" s="204"/>
      <c r="P3373" s="204"/>
      <c r="T3373" s="217"/>
    </row>
    <row r="3374" spans="2:20">
      <c r="B3374" s="204"/>
      <c r="C3374" s="204"/>
      <c r="D3374" s="204"/>
      <c r="E3374" s="204"/>
      <c r="F3374" s="204"/>
      <c r="G3374" s="204"/>
      <c r="H3374" s="204"/>
      <c r="I3374" s="204"/>
      <c r="J3374" s="204"/>
      <c r="K3374" s="204"/>
      <c r="L3374" s="204"/>
      <c r="M3374" s="204"/>
      <c r="N3374" s="204"/>
      <c r="O3374" s="204"/>
      <c r="P3374" s="204"/>
      <c r="T3374" s="217"/>
    </row>
    <row r="3375" spans="2:20">
      <c r="B3375" s="204"/>
      <c r="C3375" s="204"/>
      <c r="D3375" s="204"/>
      <c r="E3375" s="204"/>
      <c r="F3375" s="204"/>
      <c r="G3375" s="204"/>
      <c r="H3375" s="204"/>
      <c r="I3375" s="204"/>
      <c r="J3375" s="204"/>
      <c r="K3375" s="204"/>
      <c r="L3375" s="204"/>
      <c r="M3375" s="204"/>
      <c r="N3375" s="204"/>
      <c r="O3375" s="204"/>
      <c r="P3375" s="204"/>
      <c r="T3375" s="217"/>
    </row>
    <row r="3376" spans="2:20">
      <c r="B3376" s="204"/>
      <c r="C3376" s="204"/>
      <c r="D3376" s="204"/>
      <c r="E3376" s="204"/>
      <c r="F3376" s="204"/>
      <c r="G3376" s="204"/>
      <c r="H3376" s="204"/>
      <c r="I3376" s="204"/>
      <c r="J3376" s="204"/>
      <c r="K3376" s="204"/>
      <c r="L3376" s="204"/>
      <c r="M3376" s="204"/>
      <c r="N3376" s="204"/>
      <c r="O3376" s="204"/>
      <c r="P3376" s="204"/>
      <c r="T3376" s="217"/>
    </row>
    <row r="3377" spans="2:20">
      <c r="B3377" s="204"/>
      <c r="C3377" s="204"/>
      <c r="D3377" s="204"/>
      <c r="E3377" s="204"/>
      <c r="F3377" s="204"/>
      <c r="G3377" s="204"/>
      <c r="H3377" s="204"/>
      <c r="I3377" s="204"/>
      <c r="J3377" s="204"/>
      <c r="K3377" s="204"/>
      <c r="L3377" s="204"/>
      <c r="M3377" s="204"/>
      <c r="N3377" s="204"/>
      <c r="O3377" s="204"/>
      <c r="P3377" s="204"/>
      <c r="T3377" s="217"/>
    </row>
    <row r="3378" spans="2:20">
      <c r="B3378" s="204"/>
      <c r="C3378" s="204"/>
      <c r="D3378" s="204"/>
      <c r="E3378" s="204"/>
      <c r="F3378" s="204"/>
      <c r="G3378" s="204"/>
      <c r="H3378" s="204"/>
      <c r="I3378" s="204"/>
      <c r="J3378" s="204"/>
      <c r="K3378" s="204"/>
      <c r="L3378" s="204"/>
      <c r="M3378" s="204"/>
      <c r="N3378" s="204"/>
      <c r="O3378" s="204"/>
      <c r="P3378" s="204"/>
      <c r="T3378" s="217"/>
    </row>
    <row r="3379" spans="2:20">
      <c r="B3379" s="204"/>
      <c r="C3379" s="204"/>
      <c r="D3379" s="204"/>
      <c r="E3379" s="204"/>
      <c r="F3379" s="204"/>
      <c r="G3379" s="204"/>
      <c r="H3379" s="204"/>
      <c r="I3379" s="204"/>
      <c r="J3379" s="204"/>
      <c r="K3379" s="204"/>
      <c r="L3379" s="204"/>
      <c r="M3379" s="204"/>
      <c r="N3379" s="204"/>
      <c r="O3379" s="204"/>
      <c r="P3379" s="204"/>
      <c r="T3379" s="217"/>
    </row>
    <row r="3380" spans="2:20">
      <c r="B3380" s="204"/>
      <c r="C3380" s="204"/>
      <c r="D3380" s="204"/>
      <c r="E3380" s="204"/>
      <c r="F3380" s="204"/>
      <c r="G3380" s="204"/>
      <c r="H3380" s="204"/>
      <c r="I3380" s="204"/>
      <c r="J3380" s="204"/>
      <c r="K3380" s="204"/>
      <c r="L3380" s="204"/>
      <c r="M3380" s="204"/>
      <c r="N3380" s="204"/>
      <c r="O3380" s="204"/>
      <c r="P3380" s="204"/>
      <c r="T3380" s="217"/>
    </row>
    <row r="3381" spans="2:20">
      <c r="B3381" s="204"/>
      <c r="C3381" s="204"/>
      <c r="D3381" s="204"/>
      <c r="E3381" s="204"/>
      <c r="F3381" s="204"/>
      <c r="G3381" s="204"/>
      <c r="H3381" s="204"/>
      <c r="I3381" s="204"/>
      <c r="J3381" s="204"/>
      <c r="K3381" s="204"/>
      <c r="L3381" s="204"/>
      <c r="M3381" s="204"/>
      <c r="N3381" s="204"/>
      <c r="O3381" s="204"/>
      <c r="P3381" s="204"/>
      <c r="T3381" s="217"/>
    </row>
    <row r="3382" spans="2:20">
      <c r="B3382" s="204"/>
      <c r="C3382" s="204"/>
      <c r="D3382" s="204"/>
      <c r="E3382" s="204"/>
      <c r="F3382" s="204"/>
      <c r="G3382" s="204"/>
      <c r="H3382" s="204"/>
      <c r="I3382" s="204"/>
      <c r="J3382" s="204"/>
      <c r="K3382" s="204"/>
      <c r="L3382" s="204"/>
      <c r="M3382" s="204"/>
      <c r="N3382" s="204"/>
      <c r="O3382" s="204"/>
      <c r="P3382" s="204"/>
      <c r="T3382" s="217"/>
    </row>
    <row r="3383" spans="2:20">
      <c r="B3383" s="204"/>
      <c r="C3383" s="204"/>
      <c r="D3383" s="204"/>
      <c r="E3383" s="204"/>
      <c r="F3383" s="204"/>
      <c r="G3383" s="204"/>
      <c r="H3383" s="204"/>
      <c r="I3383" s="204"/>
      <c r="J3383" s="204"/>
      <c r="K3383" s="204"/>
      <c r="L3383" s="204"/>
      <c r="M3383" s="204"/>
      <c r="N3383" s="204"/>
      <c r="O3383" s="204"/>
      <c r="P3383" s="204"/>
      <c r="T3383" s="217"/>
    </row>
    <row r="3384" spans="2:20">
      <c r="B3384" s="204"/>
      <c r="C3384" s="204"/>
      <c r="D3384" s="204"/>
      <c r="E3384" s="204"/>
      <c r="F3384" s="204"/>
      <c r="G3384" s="204"/>
      <c r="H3384" s="204"/>
      <c r="I3384" s="204"/>
      <c r="J3384" s="204"/>
      <c r="K3384" s="204"/>
      <c r="L3384" s="204"/>
      <c r="M3384" s="204"/>
      <c r="N3384" s="204"/>
      <c r="O3384" s="204"/>
      <c r="P3384" s="204"/>
      <c r="T3384" s="217"/>
    </row>
    <row r="3385" spans="2:20">
      <c r="B3385" s="204"/>
      <c r="C3385" s="204"/>
      <c r="D3385" s="204"/>
      <c r="E3385" s="204"/>
      <c r="F3385" s="204"/>
      <c r="G3385" s="204"/>
      <c r="H3385" s="204"/>
      <c r="I3385" s="204"/>
      <c r="J3385" s="204"/>
      <c r="K3385" s="204"/>
      <c r="L3385" s="204"/>
      <c r="M3385" s="204"/>
      <c r="N3385" s="204"/>
      <c r="O3385" s="204"/>
      <c r="P3385" s="204"/>
      <c r="T3385" s="217"/>
    </row>
    <row r="3386" spans="2:20">
      <c r="B3386" s="204"/>
      <c r="C3386" s="204"/>
      <c r="D3386" s="204"/>
      <c r="E3386" s="204"/>
      <c r="F3386" s="204"/>
      <c r="G3386" s="204"/>
      <c r="H3386" s="204"/>
      <c r="I3386" s="204"/>
      <c r="J3386" s="204"/>
      <c r="K3386" s="204"/>
      <c r="L3386" s="204"/>
      <c r="M3386" s="204"/>
      <c r="N3386" s="204"/>
      <c r="O3386" s="204"/>
      <c r="P3386" s="204"/>
      <c r="T3386" s="217"/>
    </row>
    <row r="3387" spans="2:20">
      <c r="B3387" s="204"/>
      <c r="C3387" s="204"/>
      <c r="D3387" s="204"/>
      <c r="E3387" s="204"/>
      <c r="F3387" s="204"/>
      <c r="G3387" s="204"/>
      <c r="H3387" s="204"/>
      <c r="I3387" s="204"/>
      <c r="J3387" s="204"/>
      <c r="K3387" s="204"/>
      <c r="L3387" s="204"/>
      <c r="M3387" s="204"/>
      <c r="N3387" s="204"/>
      <c r="O3387" s="204"/>
      <c r="P3387" s="204"/>
      <c r="T3387" s="217"/>
    </row>
    <row r="3388" spans="2:20">
      <c r="B3388" s="204"/>
      <c r="C3388" s="204"/>
      <c r="D3388" s="204"/>
      <c r="E3388" s="204"/>
      <c r="F3388" s="204"/>
      <c r="G3388" s="204"/>
      <c r="H3388" s="204"/>
      <c r="I3388" s="204"/>
      <c r="J3388" s="204"/>
      <c r="K3388" s="204"/>
      <c r="L3388" s="204"/>
      <c r="M3388" s="204"/>
      <c r="N3388" s="204"/>
      <c r="O3388" s="204"/>
      <c r="P3388" s="204"/>
      <c r="T3388" s="217"/>
    </row>
    <row r="3389" spans="2:20">
      <c r="B3389" s="204"/>
      <c r="C3389" s="204"/>
      <c r="D3389" s="204"/>
      <c r="E3389" s="204"/>
      <c r="F3389" s="204"/>
      <c r="G3389" s="204"/>
      <c r="H3389" s="204"/>
      <c r="I3389" s="204"/>
      <c r="J3389" s="204"/>
      <c r="K3389" s="204"/>
      <c r="L3389" s="204"/>
      <c r="M3389" s="204"/>
      <c r="N3389" s="204"/>
      <c r="O3389" s="204"/>
      <c r="P3389" s="204"/>
      <c r="T3389" s="217"/>
    </row>
    <row r="3390" spans="2:20">
      <c r="B3390" s="204"/>
      <c r="C3390" s="204"/>
      <c r="D3390" s="204"/>
      <c r="E3390" s="204"/>
      <c r="F3390" s="204"/>
      <c r="G3390" s="204"/>
      <c r="H3390" s="204"/>
      <c r="I3390" s="204"/>
      <c r="J3390" s="204"/>
      <c r="K3390" s="204"/>
      <c r="L3390" s="204"/>
      <c r="M3390" s="204"/>
      <c r="N3390" s="204"/>
      <c r="O3390" s="204"/>
      <c r="P3390" s="204"/>
      <c r="T3390" s="217"/>
    </row>
    <row r="3391" spans="2:20">
      <c r="B3391" s="204"/>
      <c r="C3391" s="204"/>
      <c r="D3391" s="204"/>
      <c r="E3391" s="204"/>
      <c r="F3391" s="204"/>
      <c r="G3391" s="204"/>
      <c r="H3391" s="204"/>
      <c r="I3391" s="204"/>
      <c r="J3391" s="204"/>
      <c r="K3391" s="204"/>
      <c r="L3391" s="204"/>
      <c r="M3391" s="204"/>
      <c r="N3391" s="204"/>
      <c r="O3391" s="204"/>
      <c r="P3391" s="204"/>
      <c r="T3391" s="217"/>
    </row>
    <row r="3392" spans="2:20">
      <c r="B3392" s="204"/>
      <c r="C3392" s="204"/>
      <c r="D3392" s="204"/>
      <c r="E3392" s="204"/>
      <c r="F3392" s="204"/>
      <c r="G3392" s="204"/>
      <c r="H3392" s="204"/>
      <c r="I3392" s="204"/>
      <c r="J3392" s="204"/>
      <c r="K3392" s="204"/>
      <c r="L3392" s="204"/>
      <c r="M3392" s="204"/>
      <c r="N3392" s="204"/>
      <c r="O3392" s="204"/>
      <c r="P3392" s="204"/>
      <c r="T3392" s="217"/>
    </row>
    <row r="3393" spans="2:20">
      <c r="B3393" s="204"/>
      <c r="C3393" s="204"/>
      <c r="D3393" s="204"/>
      <c r="E3393" s="204"/>
      <c r="F3393" s="204"/>
      <c r="G3393" s="204"/>
      <c r="H3393" s="204"/>
      <c r="I3393" s="204"/>
      <c r="J3393" s="204"/>
      <c r="K3393" s="204"/>
      <c r="L3393" s="204"/>
      <c r="M3393" s="204"/>
      <c r="N3393" s="204"/>
      <c r="O3393" s="204"/>
      <c r="P3393" s="204"/>
      <c r="T3393" s="217"/>
    </row>
    <row r="3394" spans="2:20">
      <c r="B3394" s="204"/>
      <c r="C3394" s="204"/>
      <c r="D3394" s="204"/>
      <c r="E3394" s="204"/>
      <c r="F3394" s="204"/>
      <c r="G3394" s="204"/>
      <c r="H3394" s="204"/>
      <c r="I3394" s="204"/>
      <c r="J3394" s="204"/>
      <c r="K3394" s="204"/>
      <c r="L3394" s="204"/>
      <c r="M3394" s="204"/>
      <c r="N3394" s="204"/>
      <c r="O3394" s="204"/>
      <c r="P3394" s="204"/>
      <c r="T3394" s="217"/>
    </row>
    <row r="3395" spans="2:20">
      <c r="B3395" s="204"/>
      <c r="C3395" s="204"/>
      <c r="D3395" s="204"/>
      <c r="E3395" s="204"/>
      <c r="F3395" s="204"/>
      <c r="G3395" s="204"/>
      <c r="H3395" s="204"/>
      <c r="I3395" s="204"/>
      <c r="J3395" s="204"/>
      <c r="K3395" s="204"/>
      <c r="L3395" s="204"/>
      <c r="M3395" s="204"/>
      <c r="N3395" s="204"/>
      <c r="O3395" s="204"/>
      <c r="P3395" s="204"/>
      <c r="T3395" s="217"/>
    </row>
    <row r="3396" spans="2:20">
      <c r="B3396" s="204"/>
      <c r="C3396" s="204"/>
      <c r="D3396" s="204"/>
      <c r="E3396" s="204"/>
      <c r="F3396" s="204"/>
      <c r="G3396" s="204"/>
      <c r="H3396" s="204"/>
      <c r="I3396" s="204"/>
      <c r="J3396" s="204"/>
      <c r="K3396" s="204"/>
      <c r="L3396" s="204"/>
      <c r="M3396" s="204"/>
      <c r="N3396" s="204"/>
      <c r="O3396" s="204"/>
      <c r="P3396" s="204"/>
      <c r="T3396" s="217"/>
    </row>
    <row r="3397" spans="2:20">
      <c r="B3397" s="204"/>
      <c r="C3397" s="204"/>
      <c r="D3397" s="204"/>
      <c r="E3397" s="204"/>
      <c r="F3397" s="204"/>
      <c r="G3397" s="204"/>
      <c r="H3397" s="204"/>
      <c r="I3397" s="204"/>
      <c r="J3397" s="204"/>
      <c r="K3397" s="204"/>
      <c r="L3397" s="204"/>
      <c r="M3397" s="204"/>
      <c r="N3397" s="204"/>
      <c r="O3397" s="204"/>
      <c r="P3397" s="204"/>
      <c r="T3397" s="217"/>
    </row>
    <row r="3398" spans="2:20">
      <c r="B3398" s="204"/>
      <c r="C3398" s="204"/>
      <c r="D3398" s="204"/>
      <c r="E3398" s="204"/>
      <c r="F3398" s="204"/>
      <c r="G3398" s="204"/>
      <c r="H3398" s="204"/>
      <c r="I3398" s="204"/>
      <c r="J3398" s="204"/>
      <c r="K3398" s="204"/>
      <c r="L3398" s="204"/>
      <c r="M3398" s="204"/>
      <c r="N3398" s="204"/>
      <c r="O3398" s="204"/>
      <c r="P3398" s="204"/>
      <c r="T3398" s="217"/>
    </row>
    <row r="3399" spans="2:20">
      <c r="B3399" s="204"/>
      <c r="C3399" s="204"/>
      <c r="D3399" s="204"/>
      <c r="E3399" s="204"/>
      <c r="F3399" s="204"/>
      <c r="G3399" s="204"/>
      <c r="H3399" s="204"/>
      <c r="I3399" s="204"/>
      <c r="J3399" s="204"/>
      <c r="K3399" s="204"/>
      <c r="L3399" s="204"/>
      <c r="M3399" s="204"/>
      <c r="N3399" s="204"/>
      <c r="O3399" s="204"/>
      <c r="P3399" s="204"/>
      <c r="T3399" s="217"/>
    </row>
    <row r="3400" spans="2:20">
      <c r="B3400" s="204"/>
      <c r="C3400" s="204"/>
      <c r="D3400" s="204"/>
      <c r="E3400" s="204"/>
      <c r="F3400" s="204"/>
      <c r="G3400" s="204"/>
      <c r="H3400" s="204"/>
      <c r="I3400" s="204"/>
      <c r="J3400" s="204"/>
      <c r="K3400" s="204"/>
      <c r="L3400" s="204"/>
      <c r="M3400" s="204"/>
      <c r="N3400" s="204"/>
      <c r="O3400" s="204"/>
      <c r="P3400" s="204"/>
      <c r="T3400" s="217"/>
    </row>
    <row r="3401" spans="2:20">
      <c r="B3401" s="204"/>
      <c r="C3401" s="204"/>
      <c r="D3401" s="204"/>
      <c r="E3401" s="204"/>
      <c r="F3401" s="204"/>
      <c r="G3401" s="204"/>
      <c r="H3401" s="204"/>
      <c r="I3401" s="204"/>
      <c r="J3401" s="204"/>
      <c r="K3401" s="204"/>
      <c r="L3401" s="204"/>
      <c r="M3401" s="204"/>
      <c r="N3401" s="204"/>
      <c r="O3401" s="204"/>
      <c r="P3401" s="204"/>
      <c r="T3401" s="217"/>
    </row>
    <row r="3402" spans="2:20">
      <c r="B3402" s="204"/>
      <c r="C3402" s="204"/>
      <c r="D3402" s="204"/>
      <c r="E3402" s="204"/>
      <c r="F3402" s="204"/>
      <c r="G3402" s="204"/>
      <c r="H3402" s="204"/>
      <c r="I3402" s="204"/>
      <c r="J3402" s="204"/>
      <c r="K3402" s="204"/>
      <c r="L3402" s="204"/>
      <c r="M3402" s="204"/>
      <c r="N3402" s="204"/>
      <c r="O3402" s="204"/>
      <c r="P3402" s="204"/>
      <c r="T3402" s="217"/>
    </row>
    <row r="3403" spans="2:20">
      <c r="B3403" s="204"/>
      <c r="C3403" s="204"/>
      <c r="D3403" s="204"/>
      <c r="E3403" s="204"/>
      <c r="F3403" s="204"/>
      <c r="G3403" s="204"/>
      <c r="H3403" s="204"/>
      <c r="I3403" s="204"/>
      <c r="J3403" s="204"/>
      <c r="K3403" s="204"/>
      <c r="L3403" s="204"/>
      <c r="M3403" s="204"/>
      <c r="N3403" s="204"/>
      <c r="O3403" s="204"/>
      <c r="P3403" s="204"/>
      <c r="T3403" s="217"/>
    </row>
    <row r="3404" spans="2:20">
      <c r="B3404" s="204"/>
      <c r="C3404" s="204"/>
      <c r="D3404" s="204"/>
      <c r="E3404" s="204"/>
      <c r="F3404" s="204"/>
      <c r="G3404" s="204"/>
      <c r="H3404" s="204"/>
      <c r="I3404" s="204"/>
      <c r="J3404" s="204"/>
      <c r="K3404" s="204"/>
      <c r="L3404" s="204"/>
      <c r="M3404" s="204"/>
      <c r="N3404" s="204"/>
      <c r="O3404" s="204"/>
      <c r="P3404" s="204"/>
      <c r="T3404" s="217"/>
    </row>
    <row r="3405" spans="2:20">
      <c r="B3405" s="204"/>
      <c r="C3405" s="204"/>
      <c r="D3405" s="204"/>
      <c r="E3405" s="204"/>
      <c r="F3405" s="204"/>
      <c r="G3405" s="204"/>
      <c r="H3405" s="204"/>
      <c r="I3405" s="204"/>
      <c r="J3405" s="204"/>
      <c r="K3405" s="204"/>
      <c r="L3405" s="204"/>
      <c r="M3405" s="204"/>
      <c r="N3405" s="204"/>
      <c r="O3405" s="204"/>
      <c r="P3405" s="204"/>
      <c r="T3405" s="217"/>
    </row>
    <row r="3406" spans="2:20">
      <c r="B3406" s="204"/>
      <c r="C3406" s="204"/>
      <c r="D3406" s="204"/>
      <c r="E3406" s="204"/>
      <c r="F3406" s="204"/>
      <c r="G3406" s="204"/>
      <c r="H3406" s="204"/>
      <c r="I3406" s="204"/>
      <c r="J3406" s="204"/>
      <c r="K3406" s="204"/>
      <c r="L3406" s="204"/>
      <c r="M3406" s="204"/>
      <c r="N3406" s="204"/>
      <c r="O3406" s="204"/>
      <c r="P3406" s="204"/>
      <c r="T3406" s="217"/>
    </row>
    <row r="3407" spans="2:20">
      <c r="B3407" s="204"/>
      <c r="C3407" s="204"/>
      <c r="D3407" s="204"/>
      <c r="E3407" s="204"/>
      <c r="F3407" s="204"/>
      <c r="G3407" s="204"/>
      <c r="H3407" s="204"/>
      <c r="I3407" s="204"/>
      <c r="J3407" s="204"/>
      <c r="K3407" s="204"/>
      <c r="L3407" s="204"/>
      <c r="M3407" s="204"/>
      <c r="N3407" s="204"/>
      <c r="O3407" s="204"/>
      <c r="P3407" s="204"/>
      <c r="T3407" s="217"/>
    </row>
    <row r="3408" spans="2:20">
      <c r="B3408" s="204"/>
      <c r="C3408" s="204"/>
      <c r="D3408" s="204"/>
      <c r="E3408" s="204"/>
      <c r="F3408" s="204"/>
      <c r="G3408" s="204"/>
      <c r="H3408" s="204"/>
      <c r="I3408" s="204"/>
      <c r="J3408" s="204"/>
      <c r="K3408" s="204"/>
      <c r="L3408" s="204"/>
      <c r="M3408" s="204"/>
      <c r="N3408" s="204"/>
      <c r="O3408" s="204"/>
      <c r="P3408" s="204"/>
      <c r="T3408" s="217"/>
    </row>
    <row r="3409" spans="2:20">
      <c r="B3409" s="204"/>
      <c r="C3409" s="204"/>
      <c r="D3409" s="204"/>
      <c r="E3409" s="204"/>
      <c r="F3409" s="204"/>
      <c r="G3409" s="204"/>
      <c r="H3409" s="204"/>
      <c r="I3409" s="204"/>
      <c r="J3409" s="204"/>
      <c r="K3409" s="204"/>
      <c r="L3409" s="204"/>
      <c r="M3409" s="204"/>
      <c r="N3409" s="204"/>
      <c r="O3409" s="204"/>
      <c r="P3409" s="204"/>
      <c r="T3409" s="217"/>
    </row>
    <row r="3410" spans="2:20">
      <c r="B3410" s="204"/>
      <c r="C3410" s="204"/>
      <c r="D3410" s="204"/>
      <c r="E3410" s="204"/>
      <c r="F3410" s="204"/>
      <c r="G3410" s="204"/>
      <c r="H3410" s="204"/>
      <c r="I3410" s="204"/>
      <c r="J3410" s="204"/>
      <c r="K3410" s="204"/>
      <c r="L3410" s="204"/>
      <c r="M3410" s="204"/>
      <c r="N3410" s="204"/>
      <c r="O3410" s="204"/>
      <c r="P3410" s="204"/>
      <c r="T3410" s="217"/>
    </row>
    <row r="3411" spans="2:20">
      <c r="B3411" s="204"/>
      <c r="C3411" s="204"/>
      <c r="D3411" s="204"/>
      <c r="E3411" s="204"/>
      <c r="F3411" s="204"/>
      <c r="G3411" s="204"/>
      <c r="H3411" s="204"/>
      <c r="I3411" s="204"/>
      <c r="J3411" s="204"/>
      <c r="K3411" s="204"/>
      <c r="L3411" s="204"/>
      <c r="M3411" s="204"/>
      <c r="N3411" s="204"/>
      <c r="O3411" s="204"/>
      <c r="P3411" s="204"/>
      <c r="T3411" s="217"/>
    </row>
    <row r="3412" spans="2:20">
      <c r="B3412" s="204"/>
      <c r="C3412" s="204"/>
      <c r="D3412" s="204"/>
      <c r="E3412" s="204"/>
      <c r="F3412" s="204"/>
      <c r="G3412" s="204"/>
      <c r="H3412" s="204"/>
      <c r="I3412" s="204"/>
      <c r="J3412" s="204"/>
      <c r="K3412" s="204"/>
      <c r="L3412" s="204"/>
      <c r="M3412" s="204"/>
      <c r="N3412" s="204"/>
      <c r="O3412" s="204"/>
      <c r="P3412" s="204"/>
      <c r="T3412" s="217"/>
    </row>
    <row r="3413" spans="2:20">
      <c r="B3413" s="204"/>
      <c r="C3413" s="204"/>
      <c r="D3413" s="204"/>
      <c r="E3413" s="204"/>
      <c r="F3413" s="204"/>
      <c r="G3413" s="204"/>
      <c r="H3413" s="204"/>
      <c r="I3413" s="204"/>
      <c r="J3413" s="204"/>
      <c r="K3413" s="204"/>
      <c r="L3413" s="204"/>
      <c r="M3413" s="204"/>
      <c r="N3413" s="204"/>
      <c r="O3413" s="204"/>
      <c r="P3413" s="204"/>
      <c r="T3413" s="217"/>
    </row>
    <row r="3414" spans="2:20">
      <c r="B3414" s="204"/>
      <c r="C3414" s="204"/>
      <c r="D3414" s="204"/>
      <c r="E3414" s="204"/>
      <c r="F3414" s="204"/>
      <c r="G3414" s="204"/>
      <c r="H3414" s="204"/>
      <c r="I3414" s="204"/>
      <c r="J3414" s="204"/>
      <c r="K3414" s="204"/>
      <c r="L3414" s="204"/>
      <c r="M3414" s="204"/>
      <c r="N3414" s="204"/>
      <c r="O3414" s="204"/>
      <c r="P3414" s="204"/>
      <c r="T3414" s="217"/>
    </row>
    <row r="3415" spans="2:20">
      <c r="B3415" s="204"/>
      <c r="C3415" s="204"/>
      <c r="D3415" s="204"/>
      <c r="E3415" s="204"/>
      <c r="F3415" s="204"/>
      <c r="G3415" s="204"/>
      <c r="H3415" s="204"/>
      <c r="I3415" s="204"/>
      <c r="J3415" s="204"/>
      <c r="K3415" s="204"/>
      <c r="L3415" s="204"/>
      <c r="M3415" s="204"/>
      <c r="N3415" s="204"/>
      <c r="O3415" s="204"/>
      <c r="P3415" s="204"/>
      <c r="T3415" s="217"/>
    </row>
    <row r="3416" spans="2:20">
      <c r="B3416" s="204"/>
      <c r="C3416" s="204"/>
      <c r="D3416" s="204"/>
      <c r="E3416" s="204"/>
      <c r="F3416" s="204"/>
      <c r="G3416" s="204"/>
      <c r="H3416" s="204"/>
      <c r="I3416" s="204"/>
      <c r="J3416" s="204"/>
      <c r="K3416" s="204"/>
      <c r="L3416" s="204"/>
      <c r="M3416" s="204"/>
      <c r="N3416" s="204"/>
      <c r="O3416" s="204"/>
      <c r="P3416" s="204"/>
      <c r="T3416" s="217"/>
    </row>
    <row r="3417" spans="2:20">
      <c r="B3417" s="204"/>
      <c r="C3417" s="204"/>
      <c r="D3417" s="204"/>
      <c r="E3417" s="204"/>
      <c r="F3417" s="204"/>
      <c r="G3417" s="204"/>
      <c r="H3417" s="204"/>
      <c r="I3417" s="204"/>
      <c r="J3417" s="204"/>
      <c r="K3417" s="204"/>
      <c r="L3417" s="204"/>
      <c r="M3417" s="204"/>
      <c r="N3417" s="204"/>
      <c r="O3417" s="204"/>
      <c r="P3417" s="204"/>
      <c r="T3417" s="217"/>
    </row>
    <row r="3418" spans="2:20">
      <c r="B3418" s="204"/>
      <c r="C3418" s="204"/>
      <c r="D3418" s="204"/>
      <c r="E3418" s="204"/>
      <c r="F3418" s="204"/>
      <c r="G3418" s="204"/>
      <c r="H3418" s="204"/>
      <c r="I3418" s="204"/>
      <c r="J3418" s="204"/>
      <c r="K3418" s="204"/>
      <c r="L3418" s="204"/>
      <c r="M3418" s="204"/>
      <c r="N3418" s="204"/>
      <c r="O3418" s="204"/>
      <c r="P3418" s="204"/>
      <c r="T3418" s="217"/>
    </row>
    <row r="3419" spans="2:20">
      <c r="B3419" s="204"/>
      <c r="C3419" s="204"/>
      <c r="D3419" s="204"/>
      <c r="E3419" s="204"/>
      <c r="F3419" s="204"/>
      <c r="G3419" s="204"/>
      <c r="H3419" s="204"/>
      <c r="I3419" s="204"/>
      <c r="J3419" s="204"/>
      <c r="K3419" s="204"/>
      <c r="L3419" s="204"/>
      <c r="M3419" s="204"/>
      <c r="N3419" s="204"/>
      <c r="O3419" s="204"/>
      <c r="P3419" s="204"/>
      <c r="T3419" s="217"/>
    </row>
    <row r="3420" spans="2:20">
      <c r="B3420" s="204"/>
      <c r="C3420" s="204"/>
      <c r="D3420" s="204"/>
      <c r="E3420" s="204"/>
      <c r="F3420" s="204"/>
      <c r="G3420" s="204"/>
      <c r="H3420" s="204"/>
      <c r="I3420" s="204"/>
      <c r="J3420" s="204"/>
      <c r="K3420" s="204"/>
      <c r="L3420" s="204"/>
      <c r="M3420" s="204"/>
      <c r="N3420" s="204"/>
      <c r="O3420" s="204"/>
      <c r="P3420" s="204"/>
      <c r="T3420" s="217"/>
    </row>
    <row r="3421" spans="2:20">
      <c r="B3421" s="204"/>
      <c r="C3421" s="204"/>
      <c r="D3421" s="204"/>
      <c r="E3421" s="204"/>
      <c r="F3421" s="204"/>
      <c r="G3421" s="204"/>
      <c r="H3421" s="204"/>
      <c r="I3421" s="204"/>
      <c r="J3421" s="204"/>
      <c r="K3421" s="204"/>
      <c r="L3421" s="204"/>
      <c r="M3421" s="204"/>
      <c r="N3421" s="204"/>
      <c r="O3421" s="204"/>
      <c r="P3421" s="204"/>
      <c r="T3421" s="217"/>
    </row>
    <row r="3422" spans="2:20">
      <c r="B3422" s="204"/>
      <c r="C3422" s="204"/>
      <c r="D3422" s="204"/>
      <c r="E3422" s="204"/>
      <c r="F3422" s="204"/>
      <c r="G3422" s="204"/>
      <c r="H3422" s="204"/>
      <c r="I3422" s="204"/>
      <c r="J3422" s="204"/>
      <c r="K3422" s="204"/>
      <c r="L3422" s="204"/>
      <c r="M3422" s="204"/>
      <c r="N3422" s="204"/>
      <c r="O3422" s="204"/>
      <c r="P3422" s="204"/>
      <c r="T3422" s="217"/>
    </row>
    <row r="3423" spans="2:20">
      <c r="B3423" s="204"/>
      <c r="C3423" s="204"/>
      <c r="D3423" s="204"/>
      <c r="E3423" s="204"/>
      <c r="F3423" s="204"/>
      <c r="G3423" s="204"/>
      <c r="H3423" s="204"/>
      <c r="I3423" s="204"/>
      <c r="J3423" s="204"/>
      <c r="K3423" s="204"/>
      <c r="L3423" s="204"/>
      <c r="M3423" s="204"/>
      <c r="N3423" s="204"/>
      <c r="O3423" s="204"/>
      <c r="P3423" s="204"/>
      <c r="T3423" s="217"/>
    </row>
    <row r="3424" spans="2:20">
      <c r="B3424" s="204"/>
      <c r="C3424" s="204"/>
      <c r="D3424" s="204"/>
      <c r="E3424" s="204"/>
      <c r="F3424" s="204"/>
      <c r="G3424" s="204"/>
      <c r="H3424" s="204"/>
      <c r="I3424" s="204"/>
      <c r="J3424" s="204"/>
      <c r="K3424" s="204"/>
      <c r="L3424" s="204"/>
      <c r="M3424" s="204"/>
      <c r="N3424" s="204"/>
      <c r="O3424" s="204"/>
      <c r="P3424" s="204"/>
      <c r="T3424" s="217"/>
    </row>
    <row r="3425" spans="2:20">
      <c r="B3425" s="204"/>
      <c r="C3425" s="204"/>
      <c r="D3425" s="204"/>
      <c r="E3425" s="204"/>
      <c r="F3425" s="204"/>
      <c r="G3425" s="204"/>
      <c r="H3425" s="204"/>
      <c r="I3425" s="204"/>
      <c r="J3425" s="204"/>
      <c r="K3425" s="204"/>
      <c r="L3425" s="204"/>
      <c r="M3425" s="204"/>
      <c r="N3425" s="204"/>
      <c r="O3425" s="204"/>
      <c r="P3425" s="204"/>
      <c r="T3425" s="217"/>
    </row>
    <row r="3426" spans="2:20">
      <c r="B3426" s="204"/>
      <c r="C3426" s="204"/>
      <c r="D3426" s="204"/>
      <c r="E3426" s="204"/>
      <c r="F3426" s="204"/>
      <c r="G3426" s="204"/>
      <c r="H3426" s="204"/>
      <c r="I3426" s="204"/>
      <c r="J3426" s="204"/>
      <c r="K3426" s="204"/>
      <c r="L3426" s="204"/>
      <c r="M3426" s="204"/>
      <c r="N3426" s="204"/>
      <c r="O3426" s="204"/>
      <c r="P3426" s="204"/>
      <c r="T3426" s="217"/>
    </row>
    <row r="3427" spans="2:20">
      <c r="B3427" s="204"/>
      <c r="C3427" s="204"/>
      <c r="D3427" s="204"/>
      <c r="E3427" s="204"/>
      <c r="F3427" s="204"/>
      <c r="G3427" s="204"/>
      <c r="H3427" s="204"/>
      <c r="I3427" s="204"/>
      <c r="J3427" s="204"/>
      <c r="K3427" s="204"/>
      <c r="L3427" s="204"/>
      <c r="M3427" s="204"/>
      <c r="N3427" s="204"/>
      <c r="O3427" s="204"/>
      <c r="P3427" s="204"/>
      <c r="T3427" s="217"/>
    </row>
    <row r="3428" spans="2:20">
      <c r="B3428" s="204"/>
      <c r="C3428" s="204"/>
      <c r="D3428" s="204"/>
      <c r="E3428" s="204"/>
      <c r="F3428" s="204"/>
      <c r="G3428" s="204"/>
      <c r="H3428" s="204"/>
      <c r="I3428" s="204"/>
      <c r="J3428" s="204"/>
      <c r="K3428" s="204"/>
      <c r="L3428" s="204"/>
      <c r="M3428" s="204"/>
      <c r="N3428" s="204"/>
      <c r="O3428" s="204"/>
      <c r="P3428" s="204"/>
      <c r="T3428" s="217"/>
    </row>
    <row r="3429" spans="2:20">
      <c r="B3429" s="204"/>
      <c r="C3429" s="204"/>
      <c r="D3429" s="204"/>
      <c r="E3429" s="204"/>
      <c r="F3429" s="204"/>
      <c r="G3429" s="204"/>
      <c r="H3429" s="204"/>
      <c r="I3429" s="204"/>
      <c r="J3429" s="204"/>
      <c r="K3429" s="204"/>
      <c r="L3429" s="204"/>
      <c r="M3429" s="204"/>
      <c r="N3429" s="204"/>
      <c r="O3429" s="204"/>
      <c r="P3429" s="204"/>
      <c r="T3429" s="217"/>
    </row>
    <row r="3430" spans="2:20">
      <c r="B3430" s="204"/>
      <c r="C3430" s="204"/>
      <c r="D3430" s="204"/>
      <c r="E3430" s="204"/>
      <c r="F3430" s="204"/>
      <c r="G3430" s="204"/>
      <c r="H3430" s="204"/>
      <c r="I3430" s="204"/>
      <c r="J3430" s="204"/>
      <c r="K3430" s="204"/>
      <c r="L3430" s="204"/>
      <c r="M3430" s="204"/>
      <c r="N3430" s="204"/>
      <c r="O3430" s="204"/>
      <c r="P3430" s="204"/>
      <c r="T3430" s="217"/>
    </row>
    <row r="3431" spans="2:20">
      <c r="B3431" s="204"/>
      <c r="C3431" s="204"/>
      <c r="D3431" s="204"/>
      <c r="E3431" s="204"/>
      <c r="F3431" s="204"/>
      <c r="G3431" s="204"/>
      <c r="H3431" s="204"/>
      <c r="I3431" s="204"/>
      <c r="J3431" s="204"/>
      <c r="K3431" s="204"/>
      <c r="L3431" s="204"/>
      <c r="M3431" s="204"/>
      <c r="N3431" s="204"/>
      <c r="O3431" s="204"/>
      <c r="P3431" s="204"/>
      <c r="T3431" s="217"/>
    </row>
    <row r="3432" spans="2:20">
      <c r="B3432" s="204"/>
      <c r="C3432" s="204"/>
      <c r="D3432" s="204"/>
      <c r="E3432" s="204"/>
      <c r="F3432" s="204"/>
      <c r="G3432" s="204"/>
      <c r="H3432" s="204"/>
      <c r="I3432" s="204"/>
      <c r="J3432" s="204"/>
      <c r="K3432" s="204"/>
      <c r="L3432" s="204"/>
      <c r="M3432" s="204"/>
      <c r="N3432" s="204"/>
      <c r="O3432" s="204"/>
      <c r="P3432" s="204"/>
      <c r="T3432" s="217"/>
    </row>
    <row r="3433" spans="2:20">
      <c r="B3433" s="204"/>
      <c r="C3433" s="204"/>
      <c r="D3433" s="204"/>
      <c r="E3433" s="204"/>
      <c r="F3433" s="204"/>
      <c r="G3433" s="204"/>
      <c r="H3433" s="204"/>
      <c r="I3433" s="204"/>
      <c r="J3433" s="204"/>
      <c r="K3433" s="204"/>
      <c r="L3433" s="204"/>
      <c r="M3433" s="204"/>
      <c r="N3433" s="204"/>
      <c r="O3433" s="204"/>
      <c r="P3433" s="204"/>
      <c r="T3433" s="217"/>
    </row>
    <row r="3434" spans="2:20">
      <c r="B3434" s="204"/>
      <c r="C3434" s="204"/>
      <c r="D3434" s="204"/>
      <c r="E3434" s="204"/>
      <c r="F3434" s="204"/>
      <c r="G3434" s="204"/>
      <c r="H3434" s="204"/>
      <c r="I3434" s="204"/>
      <c r="J3434" s="204"/>
      <c r="K3434" s="204"/>
      <c r="L3434" s="204"/>
      <c r="M3434" s="204"/>
      <c r="N3434" s="204"/>
      <c r="O3434" s="204"/>
      <c r="P3434" s="204"/>
      <c r="T3434" s="217"/>
    </row>
    <row r="3435" spans="2:20">
      <c r="B3435" s="204"/>
      <c r="C3435" s="204"/>
      <c r="D3435" s="204"/>
      <c r="E3435" s="204"/>
      <c r="F3435" s="204"/>
      <c r="G3435" s="204"/>
      <c r="H3435" s="204"/>
      <c r="I3435" s="204"/>
      <c r="J3435" s="204"/>
      <c r="K3435" s="204"/>
      <c r="L3435" s="204"/>
      <c r="M3435" s="204"/>
      <c r="N3435" s="204"/>
      <c r="O3435" s="204"/>
      <c r="P3435" s="204"/>
      <c r="T3435" s="217"/>
    </row>
    <row r="3436" spans="2:20">
      <c r="B3436" s="204"/>
      <c r="C3436" s="204"/>
      <c r="D3436" s="204"/>
      <c r="E3436" s="204"/>
      <c r="F3436" s="204"/>
      <c r="G3436" s="204"/>
      <c r="H3436" s="204"/>
      <c r="I3436" s="204"/>
      <c r="J3436" s="204"/>
      <c r="K3436" s="204"/>
      <c r="L3436" s="204"/>
      <c r="M3436" s="204"/>
      <c r="N3436" s="204"/>
      <c r="O3436" s="204"/>
      <c r="P3436" s="204"/>
      <c r="T3436" s="217"/>
    </row>
    <row r="3437" spans="2:20">
      <c r="B3437" s="204"/>
      <c r="C3437" s="204"/>
      <c r="D3437" s="204"/>
      <c r="E3437" s="204"/>
      <c r="F3437" s="204"/>
      <c r="G3437" s="204"/>
      <c r="H3437" s="204"/>
      <c r="I3437" s="204"/>
      <c r="J3437" s="204"/>
      <c r="K3437" s="204"/>
      <c r="L3437" s="204"/>
      <c r="M3437" s="204"/>
      <c r="N3437" s="204"/>
      <c r="O3437" s="204"/>
      <c r="P3437" s="204"/>
      <c r="T3437" s="217"/>
    </row>
    <row r="3438" spans="2:20">
      <c r="B3438" s="204"/>
      <c r="C3438" s="204"/>
      <c r="D3438" s="204"/>
      <c r="E3438" s="204"/>
      <c r="F3438" s="204"/>
      <c r="G3438" s="204"/>
      <c r="H3438" s="204"/>
      <c r="I3438" s="204"/>
      <c r="J3438" s="204"/>
      <c r="K3438" s="204"/>
      <c r="L3438" s="204"/>
      <c r="M3438" s="204"/>
      <c r="N3438" s="204"/>
      <c r="O3438" s="204"/>
      <c r="P3438" s="204"/>
      <c r="T3438" s="217"/>
    </row>
    <row r="3439" spans="2:20">
      <c r="B3439" s="204"/>
      <c r="C3439" s="204"/>
      <c r="D3439" s="204"/>
      <c r="E3439" s="204"/>
      <c r="F3439" s="204"/>
      <c r="G3439" s="204"/>
      <c r="H3439" s="204"/>
      <c r="I3439" s="204"/>
      <c r="J3439" s="204"/>
      <c r="K3439" s="204"/>
      <c r="L3439" s="204"/>
      <c r="M3439" s="204"/>
      <c r="N3439" s="204"/>
      <c r="O3439" s="204"/>
      <c r="P3439" s="204"/>
      <c r="T3439" s="217"/>
    </row>
    <row r="3440" spans="2:20">
      <c r="B3440" s="204"/>
      <c r="C3440" s="204"/>
      <c r="D3440" s="204"/>
      <c r="E3440" s="204"/>
      <c r="F3440" s="204"/>
      <c r="G3440" s="204"/>
      <c r="H3440" s="204"/>
      <c r="I3440" s="204"/>
      <c r="J3440" s="204"/>
      <c r="K3440" s="204"/>
      <c r="L3440" s="204"/>
      <c r="M3440" s="204"/>
      <c r="N3440" s="204"/>
      <c r="O3440" s="204"/>
      <c r="P3440" s="204"/>
      <c r="T3440" s="217"/>
    </row>
    <row r="3441" spans="2:20">
      <c r="B3441" s="204"/>
      <c r="C3441" s="204"/>
      <c r="D3441" s="204"/>
      <c r="E3441" s="204"/>
      <c r="F3441" s="204"/>
      <c r="G3441" s="204"/>
      <c r="H3441" s="204"/>
      <c r="I3441" s="204"/>
      <c r="J3441" s="204"/>
      <c r="K3441" s="204"/>
      <c r="L3441" s="204"/>
      <c r="M3441" s="204"/>
      <c r="N3441" s="204"/>
      <c r="O3441" s="204"/>
      <c r="P3441" s="204"/>
      <c r="T3441" s="217"/>
    </row>
    <row r="3442" spans="2:20">
      <c r="B3442" s="204"/>
      <c r="C3442" s="204"/>
      <c r="D3442" s="204"/>
      <c r="E3442" s="204"/>
      <c r="F3442" s="204"/>
      <c r="G3442" s="204"/>
      <c r="H3442" s="204"/>
      <c r="I3442" s="204"/>
      <c r="J3442" s="204"/>
      <c r="K3442" s="204"/>
      <c r="L3442" s="204"/>
      <c r="M3442" s="204"/>
      <c r="N3442" s="204"/>
      <c r="O3442" s="204"/>
      <c r="P3442" s="204"/>
      <c r="T3442" s="217"/>
    </row>
    <row r="3443" spans="2:20">
      <c r="B3443" s="204"/>
      <c r="C3443" s="204"/>
      <c r="D3443" s="204"/>
      <c r="E3443" s="204"/>
      <c r="F3443" s="204"/>
      <c r="G3443" s="204"/>
      <c r="H3443" s="204"/>
      <c r="I3443" s="204"/>
      <c r="J3443" s="204"/>
      <c r="K3443" s="204"/>
      <c r="L3443" s="204"/>
      <c r="M3443" s="204"/>
      <c r="N3443" s="204"/>
      <c r="O3443" s="204"/>
      <c r="P3443" s="204"/>
      <c r="T3443" s="217"/>
    </row>
    <row r="3444" spans="2:20">
      <c r="B3444" s="204"/>
      <c r="C3444" s="204"/>
      <c r="D3444" s="204"/>
      <c r="E3444" s="204"/>
      <c r="F3444" s="204"/>
      <c r="G3444" s="204"/>
      <c r="H3444" s="204"/>
      <c r="I3444" s="204"/>
      <c r="J3444" s="204"/>
      <c r="K3444" s="204"/>
      <c r="L3444" s="204"/>
      <c r="M3444" s="204"/>
      <c r="N3444" s="204"/>
      <c r="O3444" s="204"/>
      <c r="P3444" s="204"/>
      <c r="T3444" s="217"/>
    </row>
    <row r="3445" spans="2:20">
      <c r="B3445" s="204"/>
      <c r="C3445" s="204"/>
      <c r="D3445" s="204"/>
      <c r="E3445" s="204"/>
      <c r="F3445" s="204"/>
      <c r="G3445" s="204"/>
      <c r="H3445" s="204"/>
      <c r="I3445" s="204"/>
      <c r="J3445" s="204"/>
      <c r="K3445" s="204"/>
      <c r="L3445" s="204"/>
      <c r="M3445" s="204"/>
      <c r="N3445" s="204"/>
      <c r="O3445" s="204"/>
      <c r="P3445" s="204"/>
      <c r="T3445" s="217"/>
    </row>
    <row r="3446" spans="2:20">
      <c r="B3446" s="204"/>
      <c r="C3446" s="204"/>
      <c r="D3446" s="204"/>
      <c r="E3446" s="204"/>
      <c r="F3446" s="204"/>
      <c r="G3446" s="204"/>
      <c r="H3446" s="204"/>
      <c r="I3446" s="204"/>
      <c r="J3446" s="204"/>
      <c r="K3446" s="204"/>
      <c r="L3446" s="204"/>
      <c r="M3446" s="204"/>
      <c r="N3446" s="204"/>
      <c r="O3446" s="204"/>
      <c r="P3446" s="204"/>
      <c r="T3446" s="217"/>
    </row>
    <row r="3447" spans="2:20">
      <c r="B3447" s="204"/>
      <c r="C3447" s="204"/>
      <c r="D3447" s="204"/>
      <c r="E3447" s="204"/>
      <c r="F3447" s="204"/>
      <c r="G3447" s="204"/>
      <c r="H3447" s="204"/>
      <c r="I3447" s="204"/>
      <c r="J3447" s="204"/>
      <c r="K3447" s="204"/>
      <c r="L3447" s="204"/>
      <c r="M3447" s="204"/>
      <c r="N3447" s="204"/>
      <c r="O3447" s="204"/>
      <c r="P3447" s="204"/>
      <c r="T3447" s="217"/>
    </row>
    <row r="3448" spans="2:20">
      <c r="B3448" s="204"/>
      <c r="C3448" s="204"/>
      <c r="D3448" s="204"/>
      <c r="E3448" s="204"/>
      <c r="F3448" s="204"/>
      <c r="G3448" s="204"/>
      <c r="H3448" s="204"/>
      <c r="I3448" s="204"/>
      <c r="J3448" s="204"/>
      <c r="K3448" s="204"/>
      <c r="L3448" s="204"/>
      <c r="M3448" s="204"/>
      <c r="N3448" s="204"/>
      <c r="O3448" s="204"/>
      <c r="P3448" s="204"/>
      <c r="T3448" s="217"/>
    </row>
    <row r="3449" spans="2:20">
      <c r="B3449" s="204"/>
      <c r="C3449" s="204"/>
      <c r="D3449" s="204"/>
      <c r="E3449" s="204"/>
      <c r="F3449" s="204"/>
      <c r="G3449" s="204"/>
      <c r="H3449" s="204"/>
      <c r="I3449" s="204"/>
      <c r="J3449" s="204"/>
      <c r="K3449" s="204"/>
      <c r="L3449" s="204"/>
      <c r="M3449" s="204"/>
      <c r="N3449" s="204"/>
      <c r="O3449" s="204"/>
      <c r="P3449" s="204"/>
      <c r="T3449" s="217"/>
    </row>
    <row r="3450" spans="2:20">
      <c r="B3450" s="204"/>
      <c r="C3450" s="204"/>
      <c r="D3450" s="204"/>
      <c r="E3450" s="204"/>
      <c r="F3450" s="204"/>
      <c r="G3450" s="204"/>
      <c r="H3450" s="204"/>
      <c r="I3450" s="204"/>
      <c r="J3450" s="204"/>
      <c r="K3450" s="204"/>
      <c r="L3450" s="204"/>
      <c r="M3450" s="204"/>
      <c r="N3450" s="204"/>
      <c r="O3450" s="204"/>
      <c r="P3450" s="204"/>
      <c r="T3450" s="217"/>
    </row>
    <row r="3451" spans="2:20">
      <c r="B3451" s="204"/>
      <c r="C3451" s="204"/>
      <c r="D3451" s="204"/>
      <c r="E3451" s="204"/>
      <c r="F3451" s="204"/>
      <c r="G3451" s="204"/>
      <c r="H3451" s="204"/>
      <c r="I3451" s="204"/>
      <c r="J3451" s="204"/>
      <c r="K3451" s="204"/>
      <c r="L3451" s="204"/>
      <c r="M3451" s="204"/>
      <c r="N3451" s="204"/>
      <c r="O3451" s="204"/>
      <c r="P3451" s="204"/>
      <c r="T3451" s="217"/>
    </row>
    <row r="3452" spans="2:20">
      <c r="B3452" s="204"/>
      <c r="C3452" s="204"/>
      <c r="D3452" s="204"/>
      <c r="E3452" s="204"/>
      <c r="F3452" s="204"/>
      <c r="G3452" s="204"/>
      <c r="H3452" s="204"/>
      <c r="I3452" s="204"/>
      <c r="J3452" s="204"/>
      <c r="K3452" s="204"/>
      <c r="L3452" s="204"/>
      <c r="M3452" s="204"/>
      <c r="N3452" s="204"/>
      <c r="O3452" s="204"/>
      <c r="P3452" s="204"/>
      <c r="T3452" s="217"/>
    </row>
    <row r="3453" spans="2:20">
      <c r="B3453" s="204"/>
      <c r="C3453" s="204"/>
      <c r="D3453" s="204"/>
      <c r="E3453" s="204"/>
      <c r="F3453" s="204"/>
      <c r="G3453" s="204"/>
      <c r="H3453" s="204"/>
      <c r="I3453" s="204"/>
      <c r="J3453" s="204"/>
      <c r="K3453" s="204"/>
      <c r="L3453" s="204"/>
      <c r="M3453" s="204"/>
      <c r="N3453" s="204"/>
      <c r="O3453" s="204"/>
      <c r="P3453" s="204"/>
      <c r="T3453" s="217"/>
    </row>
    <row r="3454" spans="2:20">
      <c r="B3454" s="204"/>
      <c r="C3454" s="204"/>
      <c r="D3454" s="204"/>
      <c r="E3454" s="204"/>
      <c r="F3454" s="204"/>
      <c r="G3454" s="204"/>
      <c r="H3454" s="204"/>
      <c r="I3454" s="204"/>
      <c r="J3454" s="204"/>
      <c r="K3454" s="204"/>
      <c r="L3454" s="204"/>
      <c r="M3454" s="204"/>
      <c r="N3454" s="204"/>
      <c r="O3454" s="204"/>
      <c r="P3454" s="204"/>
      <c r="T3454" s="217"/>
    </row>
    <row r="3455" spans="2:20">
      <c r="B3455" s="204"/>
      <c r="C3455" s="204"/>
      <c r="D3455" s="204"/>
      <c r="E3455" s="204"/>
      <c r="F3455" s="204"/>
      <c r="G3455" s="204"/>
      <c r="H3455" s="204"/>
      <c r="I3455" s="204"/>
      <c r="J3455" s="204"/>
      <c r="K3455" s="204"/>
      <c r="L3455" s="204"/>
      <c r="M3455" s="204"/>
      <c r="N3455" s="204"/>
      <c r="O3455" s="204"/>
      <c r="P3455" s="204"/>
      <c r="T3455" s="217"/>
    </row>
    <row r="3456" spans="2:20">
      <c r="B3456" s="204"/>
      <c r="C3456" s="204"/>
      <c r="D3456" s="204"/>
      <c r="E3456" s="204"/>
      <c r="F3456" s="204"/>
      <c r="G3456" s="204"/>
      <c r="H3456" s="204"/>
      <c r="I3456" s="204"/>
      <c r="J3456" s="204"/>
      <c r="K3456" s="204"/>
      <c r="L3456" s="204"/>
      <c r="M3456" s="204"/>
      <c r="N3456" s="204"/>
      <c r="O3456" s="204"/>
      <c r="P3456" s="204"/>
      <c r="T3456" s="217"/>
    </row>
    <row r="3457" spans="2:20">
      <c r="B3457" s="204"/>
      <c r="C3457" s="204"/>
      <c r="D3457" s="204"/>
      <c r="E3457" s="204"/>
      <c r="F3457" s="204"/>
      <c r="G3457" s="204"/>
      <c r="H3457" s="204"/>
      <c r="I3457" s="204"/>
      <c r="J3457" s="204"/>
      <c r="K3457" s="204"/>
      <c r="L3457" s="204"/>
      <c r="M3457" s="204"/>
      <c r="N3457" s="204"/>
      <c r="O3457" s="204"/>
      <c r="P3457" s="204"/>
      <c r="T3457" s="217"/>
    </row>
    <row r="3458" spans="2:20">
      <c r="B3458" s="204"/>
      <c r="C3458" s="204"/>
      <c r="D3458" s="204"/>
      <c r="E3458" s="204"/>
      <c r="F3458" s="204"/>
      <c r="G3458" s="204"/>
      <c r="H3458" s="204"/>
      <c r="I3458" s="204"/>
      <c r="J3458" s="204"/>
      <c r="K3458" s="204"/>
      <c r="L3458" s="204"/>
      <c r="M3458" s="204"/>
      <c r="N3458" s="204"/>
      <c r="O3458" s="204"/>
      <c r="P3458" s="204"/>
      <c r="T3458" s="217"/>
    </row>
    <row r="3459" spans="2:20">
      <c r="B3459" s="204"/>
      <c r="C3459" s="204"/>
      <c r="D3459" s="204"/>
      <c r="E3459" s="204"/>
      <c r="F3459" s="204"/>
      <c r="G3459" s="204"/>
      <c r="H3459" s="204"/>
      <c r="I3459" s="204"/>
      <c r="J3459" s="204"/>
      <c r="K3459" s="204"/>
      <c r="L3459" s="204"/>
      <c r="M3459" s="204"/>
      <c r="N3459" s="204"/>
      <c r="O3459" s="204"/>
      <c r="P3459" s="204"/>
      <c r="T3459" s="217"/>
    </row>
    <row r="3460" spans="2:20">
      <c r="B3460" s="204"/>
      <c r="C3460" s="204"/>
      <c r="D3460" s="204"/>
      <c r="E3460" s="204"/>
      <c r="F3460" s="204"/>
      <c r="G3460" s="204"/>
      <c r="H3460" s="204"/>
      <c r="I3460" s="204"/>
      <c r="J3460" s="204"/>
      <c r="K3460" s="204"/>
      <c r="L3460" s="204"/>
      <c r="M3460" s="204"/>
      <c r="N3460" s="204"/>
      <c r="O3460" s="204"/>
      <c r="P3460" s="204"/>
      <c r="T3460" s="217"/>
    </row>
    <row r="3461" spans="2:20">
      <c r="B3461" s="204"/>
      <c r="C3461" s="204"/>
      <c r="D3461" s="204"/>
      <c r="E3461" s="204"/>
      <c r="F3461" s="204"/>
      <c r="G3461" s="204"/>
      <c r="H3461" s="204"/>
      <c r="I3461" s="204"/>
      <c r="J3461" s="204"/>
      <c r="K3461" s="204"/>
      <c r="L3461" s="204"/>
      <c r="M3461" s="204"/>
      <c r="N3461" s="204"/>
      <c r="O3461" s="204"/>
      <c r="P3461" s="204"/>
      <c r="T3461" s="217"/>
    </row>
    <row r="3462" spans="2:20">
      <c r="B3462" s="204"/>
      <c r="C3462" s="204"/>
      <c r="D3462" s="204"/>
      <c r="E3462" s="204"/>
      <c r="F3462" s="204"/>
      <c r="G3462" s="204"/>
      <c r="H3462" s="204"/>
      <c r="I3462" s="204"/>
      <c r="J3462" s="204"/>
      <c r="K3462" s="204"/>
      <c r="L3462" s="204"/>
      <c r="M3462" s="204"/>
      <c r="N3462" s="204"/>
      <c r="O3462" s="204"/>
      <c r="P3462" s="204"/>
      <c r="T3462" s="217"/>
    </row>
    <row r="3463" spans="2:20">
      <c r="B3463" s="204"/>
      <c r="C3463" s="204"/>
      <c r="D3463" s="204"/>
      <c r="E3463" s="204"/>
      <c r="F3463" s="204"/>
      <c r="G3463" s="204"/>
      <c r="H3463" s="204"/>
      <c r="I3463" s="204"/>
      <c r="J3463" s="204"/>
      <c r="K3463" s="204"/>
      <c r="L3463" s="204"/>
      <c r="M3463" s="204"/>
      <c r="N3463" s="204"/>
      <c r="O3463" s="204"/>
      <c r="P3463" s="204"/>
      <c r="T3463" s="217"/>
    </row>
    <row r="3464" spans="2:20">
      <c r="B3464" s="204"/>
      <c r="C3464" s="204"/>
      <c r="D3464" s="204"/>
      <c r="E3464" s="204"/>
      <c r="F3464" s="204"/>
      <c r="G3464" s="204"/>
      <c r="H3464" s="204"/>
      <c r="I3464" s="204"/>
      <c r="J3464" s="204"/>
      <c r="K3464" s="204"/>
      <c r="L3464" s="204"/>
      <c r="M3464" s="204"/>
      <c r="N3464" s="204"/>
      <c r="O3464" s="204"/>
      <c r="P3464" s="204"/>
      <c r="T3464" s="217"/>
    </row>
    <row r="3465" spans="2:20">
      <c r="B3465" s="204"/>
      <c r="C3465" s="204"/>
      <c r="D3465" s="204"/>
      <c r="E3465" s="204"/>
      <c r="F3465" s="204"/>
      <c r="G3465" s="204"/>
      <c r="H3465" s="204"/>
      <c r="I3465" s="204"/>
      <c r="J3465" s="204"/>
      <c r="K3465" s="204"/>
      <c r="L3465" s="204"/>
      <c r="M3465" s="204"/>
      <c r="N3465" s="204"/>
      <c r="O3465" s="204"/>
      <c r="P3465" s="204"/>
      <c r="T3465" s="217"/>
    </row>
    <row r="3466" spans="2:20">
      <c r="B3466" s="204"/>
      <c r="C3466" s="204"/>
      <c r="D3466" s="204"/>
      <c r="E3466" s="204"/>
      <c r="F3466" s="204"/>
      <c r="G3466" s="204"/>
      <c r="H3466" s="204"/>
      <c r="I3466" s="204"/>
      <c r="J3466" s="204"/>
      <c r="K3466" s="204"/>
      <c r="L3466" s="204"/>
      <c r="M3466" s="204"/>
      <c r="N3466" s="204"/>
      <c r="O3466" s="204"/>
      <c r="P3466" s="204"/>
      <c r="T3466" s="217"/>
    </row>
    <row r="3467" spans="2:20">
      <c r="B3467" s="204"/>
      <c r="C3467" s="204"/>
      <c r="D3467" s="204"/>
      <c r="E3467" s="204"/>
      <c r="F3467" s="204"/>
      <c r="G3467" s="204"/>
      <c r="H3467" s="204"/>
      <c r="I3467" s="204"/>
      <c r="J3467" s="204"/>
      <c r="K3467" s="204"/>
      <c r="L3467" s="204"/>
      <c r="M3467" s="204"/>
      <c r="N3467" s="204"/>
      <c r="O3467" s="204"/>
      <c r="P3467" s="204"/>
      <c r="T3467" s="217"/>
    </row>
    <row r="3468" spans="2:20">
      <c r="B3468" s="204"/>
      <c r="C3468" s="204"/>
      <c r="D3468" s="204"/>
      <c r="E3468" s="204"/>
      <c r="F3468" s="204"/>
      <c r="G3468" s="204"/>
      <c r="H3468" s="204"/>
      <c r="I3468" s="204"/>
      <c r="J3468" s="204"/>
      <c r="K3468" s="204"/>
      <c r="L3468" s="204"/>
      <c r="M3468" s="204"/>
      <c r="N3468" s="204"/>
      <c r="O3468" s="204"/>
      <c r="P3468" s="204"/>
      <c r="T3468" s="217"/>
    </row>
    <row r="3469" spans="2:20">
      <c r="B3469" s="204"/>
      <c r="C3469" s="204"/>
      <c r="D3469" s="204"/>
      <c r="E3469" s="204"/>
      <c r="F3469" s="204"/>
      <c r="G3469" s="204"/>
      <c r="H3469" s="204"/>
      <c r="I3469" s="204"/>
      <c r="J3469" s="204"/>
      <c r="K3469" s="204"/>
      <c r="L3469" s="204"/>
      <c r="M3469" s="204"/>
      <c r="N3469" s="204"/>
      <c r="O3469" s="204"/>
      <c r="P3469" s="204"/>
      <c r="T3469" s="217"/>
    </row>
    <row r="3470" spans="2:20">
      <c r="B3470" s="204"/>
      <c r="C3470" s="204"/>
      <c r="D3470" s="204"/>
      <c r="E3470" s="204"/>
      <c r="F3470" s="204"/>
      <c r="G3470" s="204"/>
      <c r="H3470" s="204"/>
      <c r="I3470" s="204"/>
      <c r="J3470" s="204"/>
      <c r="K3470" s="204"/>
      <c r="L3470" s="204"/>
      <c r="M3470" s="204"/>
      <c r="N3470" s="204"/>
      <c r="O3470" s="204"/>
      <c r="P3470" s="204"/>
      <c r="T3470" s="217"/>
    </row>
    <row r="3471" spans="2:20">
      <c r="B3471" s="204"/>
      <c r="C3471" s="204"/>
      <c r="D3471" s="204"/>
      <c r="E3471" s="204"/>
      <c r="F3471" s="204"/>
      <c r="G3471" s="204"/>
      <c r="H3471" s="204"/>
      <c r="I3471" s="204"/>
      <c r="J3471" s="204"/>
      <c r="K3471" s="204"/>
      <c r="L3471" s="204"/>
      <c r="M3471" s="204"/>
      <c r="N3471" s="204"/>
      <c r="O3471" s="204"/>
      <c r="P3471" s="204"/>
      <c r="T3471" s="217"/>
    </row>
    <row r="3472" spans="2:20">
      <c r="B3472" s="204"/>
      <c r="C3472" s="204"/>
      <c r="D3472" s="204"/>
      <c r="E3472" s="204"/>
      <c r="F3472" s="204"/>
      <c r="G3472" s="204"/>
      <c r="H3472" s="204"/>
      <c r="I3472" s="204"/>
      <c r="J3472" s="204"/>
      <c r="K3472" s="204"/>
      <c r="L3472" s="204"/>
      <c r="M3472" s="204"/>
      <c r="N3472" s="204"/>
      <c r="O3472" s="204"/>
      <c r="P3472" s="204"/>
      <c r="T3472" s="217"/>
    </row>
    <row r="3473" spans="2:20">
      <c r="B3473" s="204"/>
      <c r="C3473" s="204"/>
      <c r="D3473" s="204"/>
      <c r="E3473" s="204"/>
      <c r="F3473" s="204"/>
      <c r="G3473" s="204"/>
      <c r="H3473" s="204"/>
      <c r="I3473" s="204"/>
      <c r="J3473" s="204"/>
      <c r="K3473" s="204"/>
      <c r="L3473" s="204"/>
      <c r="M3473" s="204"/>
      <c r="N3473" s="204"/>
      <c r="O3473" s="204"/>
      <c r="P3473" s="204"/>
      <c r="T3473" s="217"/>
    </row>
    <row r="3474" spans="2:20">
      <c r="B3474" s="204"/>
      <c r="C3474" s="204"/>
      <c r="D3474" s="204"/>
      <c r="E3474" s="204"/>
      <c r="F3474" s="204"/>
      <c r="G3474" s="204"/>
      <c r="H3474" s="204"/>
      <c r="I3474" s="204"/>
      <c r="J3474" s="204"/>
      <c r="K3474" s="204"/>
      <c r="L3474" s="204"/>
      <c r="M3474" s="204"/>
      <c r="N3474" s="204"/>
      <c r="O3474" s="204"/>
      <c r="P3474" s="204"/>
      <c r="T3474" s="217"/>
    </row>
    <row r="3475" spans="2:20">
      <c r="B3475" s="204"/>
      <c r="C3475" s="204"/>
      <c r="D3475" s="204"/>
      <c r="E3475" s="204"/>
      <c r="F3475" s="204"/>
      <c r="G3475" s="204"/>
      <c r="H3475" s="204"/>
      <c r="I3475" s="204"/>
      <c r="J3475" s="204"/>
      <c r="K3475" s="204"/>
      <c r="L3475" s="204"/>
      <c r="M3475" s="204"/>
      <c r="N3475" s="204"/>
      <c r="O3475" s="204"/>
      <c r="P3475" s="204"/>
      <c r="T3475" s="217"/>
    </row>
    <row r="3476" spans="2:20">
      <c r="B3476" s="204"/>
      <c r="C3476" s="204"/>
      <c r="D3476" s="204"/>
      <c r="E3476" s="204"/>
      <c r="F3476" s="204"/>
      <c r="G3476" s="204"/>
      <c r="H3476" s="204"/>
      <c r="I3476" s="204"/>
      <c r="J3476" s="204"/>
      <c r="K3476" s="204"/>
      <c r="L3476" s="204"/>
      <c r="M3476" s="204"/>
      <c r="N3476" s="204"/>
      <c r="O3476" s="204"/>
      <c r="P3476" s="204"/>
      <c r="T3476" s="217"/>
    </row>
    <row r="3477" spans="2:20">
      <c r="B3477" s="204"/>
      <c r="C3477" s="204"/>
      <c r="D3477" s="204"/>
      <c r="E3477" s="204"/>
      <c r="F3477" s="204"/>
      <c r="G3477" s="204"/>
      <c r="H3477" s="204"/>
      <c r="I3477" s="204"/>
      <c r="J3477" s="204"/>
      <c r="K3477" s="204"/>
      <c r="L3477" s="204"/>
      <c r="M3477" s="204"/>
      <c r="N3477" s="204"/>
      <c r="O3477" s="204"/>
      <c r="P3477" s="204"/>
      <c r="T3477" s="217"/>
    </row>
    <row r="3478" spans="2:20">
      <c r="B3478" s="204"/>
      <c r="C3478" s="204"/>
      <c r="D3478" s="204"/>
      <c r="E3478" s="204"/>
      <c r="F3478" s="204"/>
      <c r="G3478" s="204"/>
      <c r="H3478" s="204"/>
      <c r="I3478" s="204"/>
      <c r="J3478" s="204"/>
      <c r="K3478" s="204"/>
      <c r="L3478" s="204"/>
      <c r="M3478" s="204"/>
      <c r="N3478" s="204"/>
      <c r="O3478" s="204"/>
      <c r="P3478" s="204"/>
      <c r="T3478" s="217"/>
    </row>
    <row r="3479" spans="2:20">
      <c r="B3479" s="204"/>
      <c r="C3479" s="204"/>
      <c r="D3479" s="204"/>
      <c r="E3479" s="204"/>
      <c r="F3479" s="204"/>
      <c r="G3479" s="204"/>
      <c r="H3479" s="204"/>
      <c r="I3479" s="204"/>
      <c r="J3479" s="204"/>
      <c r="K3479" s="204"/>
      <c r="L3479" s="204"/>
      <c r="M3479" s="204"/>
      <c r="N3479" s="204"/>
      <c r="O3479" s="204"/>
      <c r="P3479" s="204"/>
      <c r="T3479" s="217"/>
    </row>
    <row r="3480" spans="2:20">
      <c r="B3480" s="204"/>
      <c r="C3480" s="204"/>
      <c r="D3480" s="204"/>
      <c r="E3480" s="204"/>
      <c r="F3480" s="204"/>
      <c r="G3480" s="204"/>
      <c r="H3480" s="204"/>
      <c r="I3480" s="204"/>
      <c r="J3480" s="204"/>
      <c r="K3480" s="204"/>
      <c r="L3480" s="204"/>
      <c r="M3480" s="204"/>
      <c r="N3480" s="204"/>
      <c r="O3480" s="204"/>
      <c r="P3480" s="204"/>
      <c r="T3480" s="217"/>
    </row>
    <row r="3481" spans="2:20">
      <c r="B3481" s="204"/>
      <c r="C3481" s="204"/>
      <c r="D3481" s="204"/>
      <c r="E3481" s="204"/>
      <c r="F3481" s="204"/>
      <c r="G3481" s="204"/>
      <c r="H3481" s="204"/>
      <c r="I3481" s="204"/>
      <c r="J3481" s="204"/>
      <c r="K3481" s="204"/>
      <c r="L3481" s="204"/>
      <c r="M3481" s="204"/>
      <c r="N3481" s="204"/>
      <c r="O3481" s="204"/>
      <c r="P3481" s="204"/>
      <c r="T3481" s="217"/>
    </row>
    <row r="3482" spans="2:20">
      <c r="B3482" s="204"/>
      <c r="C3482" s="204"/>
      <c r="D3482" s="204"/>
      <c r="E3482" s="204"/>
      <c r="F3482" s="204"/>
      <c r="G3482" s="204"/>
      <c r="H3482" s="204"/>
      <c r="I3482" s="204"/>
      <c r="J3482" s="204"/>
      <c r="K3482" s="204"/>
      <c r="L3482" s="204"/>
      <c r="M3482" s="204"/>
      <c r="N3482" s="204"/>
      <c r="O3482" s="204"/>
      <c r="P3482" s="204"/>
      <c r="T3482" s="217"/>
    </row>
    <row r="3483" spans="2:20">
      <c r="B3483" s="204"/>
      <c r="C3483" s="204"/>
      <c r="D3483" s="204"/>
      <c r="E3483" s="204"/>
      <c r="F3483" s="204"/>
      <c r="G3483" s="204"/>
      <c r="H3483" s="204"/>
      <c r="I3483" s="204"/>
      <c r="J3483" s="204"/>
      <c r="K3483" s="204"/>
      <c r="L3483" s="204"/>
      <c r="M3483" s="204"/>
      <c r="N3483" s="204"/>
      <c r="O3483" s="204"/>
      <c r="P3483" s="204"/>
      <c r="T3483" s="217"/>
    </row>
    <row r="3484" spans="2:20">
      <c r="B3484" s="204"/>
      <c r="C3484" s="204"/>
      <c r="D3484" s="204"/>
      <c r="E3484" s="204"/>
      <c r="F3484" s="204"/>
      <c r="G3484" s="204"/>
      <c r="H3484" s="204"/>
      <c r="I3484" s="204"/>
      <c r="J3484" s="204"/>
      <c r="K3484" s="204"/>
      <c r="L3484" s="204"/>
      <c r="M3484" s="204"/>
      <c r="N3484" s="204"/>
      <c r="O3484" s="204"/>
      <c r="P3484" s="204"/>
      <c r="T3484" s="217"/>
    </row>
    <row r="3485" spans="2:20">
      <c r="B3485" s="204"/>
      <c r="C3485" s="204"/>
      <c r="D3485" s="204"/>
      <c r="E3485" s="204"/>
      <c r="F3485" s="204"/>
      <c r="G3485" s="204"/>
      <c r="H3485" s="204"/>
      <c r="I3485" s="204"/>
      <c r="J3485" s="204"/>
      <c r="K3485" s="204"/>
      <c r="L3485" s="204"/>
      <c r="M3485" s="204"/>
      <c r="N3485" s="204"/>
      <c r="O3485" s="204"/>
      <c r="P3485" s="204"/>
      <c r="T3485" s="217"/>
    </row>
    <row r="3486" spans="2:20">
      <c r="B3486" s="204"/>
      <c r="C3486" s="204"/>
      <c r="D3486" s="204"/>
      <c r="E3486" s="204"/>
      <c r="F3486" s="204"/>
      <c r="G3486" s="204"/>
      <c r="H3486" s="204"/>
      <c r="I3486" s="204"/>
      <c r="J3486" s="204"/>
      <c r="K3486" s="204"/>
      <c r="L3486" s="204"/>
      <c r="M3486" s="204"/>
      <c r="N3486" s="204"/>
      <c r="O3486" s="204"/>
      <c r="P3486" s="204"/>
      <c r="T3486" s="217"/>
    </row>
    <row r="3487" spans="2:20">
      <c r="B3487" s="204"/>
      <c r="C3487" s="204"/>
      <c r="D3487" s="204"/>
      <c r="E3487" s="204"/>
      <c r="F3487" s="204"/>
      <c r="G3487" s="204"/>
      <c r="H3487" s="204"/>
      <c r="I3487" s="204"/>
      <c r="J3487" s="204"/>
      <c r="K3487" s="204"/>
      <c r="L3487" s="204"/>
      <c r="M3487" s="204"/>
      <c r="N3487" s="204"/>
      <c r="O3487" s="204"/>
      <c r="P3487" s="204"/>
      <c r="T3487" s="217"/>
    </row>
    <row r="3488" spans="2:20">
      <c r="B3488" s="204"/>
      <c r="C3488" s="204"/>
      <c r="D3488" s="204"/>
      <c r="E3488" s="204"/>
      <c r="F3488" s="204"/>
      <c r="G3488" s="204"/>
      <c r="H3488" s="204"/>
      <c r="I3488" s="204"/>
      <c r="J3488" s="204"/>
      <c r="K3488" s="204"/>
      <c r="L3488" s="204"/>
      <c r="M3488" s="204"/>
      <c r="N3488" s="204"/>
      <c r="O3488" s="204"/>
      <c r="P3488" s="204"/>
      <c r="T3488" s="217"/>
    </row>
    <row r="3489" spans="2:20">
      <c r="B3489" s="204"/>
      <c r="C3489" s="204"/>
      <c r="D3489" s="204"/>
      <c r="E3489" s="204"/>
      <c r="F3489" s="204"/>
      <c r="G3489" s="204"/>
      <c r="H3489" s="204"/>
      <c r="I3489" s="204"/>
      <c r="J3489" s="204"/>
      <c r="K3489" s="204"/>
      <c r="L3489" s="204"/>
      <c r="M3489" s="204"/>
      <c r="N3489" s="204"/>
      <c r="O3489" s="204"/>
      <c r="P3489" s="204"/>
      <c r="T3489" s="217"/>
    </row>
    <row r="3490" spans="2:20">
      <c r="B3490" s="204"/>
      <c r="C3490" s="204"/>
      <c r="D3490" s="204"/>
      <c r="E3490" s="204"/>
      <c r="F3490" s="204"/>
      <c r="G3490" s="204"/>
      <c r="H3490" s="204"/>
      <c r="I3490" s="204"/>
      <c r="J3490" s="204"/>
      <c r="K3490" s="204"/>
      <c r="L3490" s="204"/>
      <c r="M3490" s="204"/>
      <c r="N3490" s="204"/>
      <c r="O3490" s="204"/>
      <c r="P3490" s="204"/>
      <c r="T3490" s="217"/>
    </row>
    <row r="3491" spans="2:20">
      <c r="B3491" s="204"/>
      <c r="C3491" s="204"/>
      <c r="D3491" s="204"/>
      <c r="E3491" s="204"/>
      <c r="F3491" s="204"/>
      <c r="G3491" s="204"/>
      <c r="H3491" s="204"/>
      <c r="I3491" s="204"/>
      <c r="J3491" s="204"/>
      <c r="K3491" s="204"/>
      <c r="L3491" s="204"/>
      <c r="M3491" s="204"/>
      <c r="N3491" s="204"/>
      <c r="O3491" s="204"/>
      <c r="P3491" s="204"/>
      <c r="T3491" s="217"/>
    </row>
    <row r="3492" spans="2:20">
      <c r="B3492" s="204"/>
      <c r="C3492" s="204"/>
      <c r="D3492" s="204"/>
      <c r="E3492" s="204"/>
      <c r="F3492" s="204"/>
      <c r="G3492" s="204"/>
      <c r="H3492" s="204"/>
      <c r="I3492" s="204"/>
      <c r="J3492" s="204"/>
      <c r="K3492" s="204"/>
      <c r="L3492" s="204"/>
      <c r="M3492" s="204"/>
      <c r="N3492" s="204"/>
      <c r="O3492" s="204"/>
      <c r="P3492" s="204"/>
      <c r="T3492" s="217"/>
    </row>
    <row r="3493" spans="2:20">
      <c r="B3493" s="204"/>
      <c r="C3493" s="204"/>
      <c r="D3493" s="204"/>
      <c r="E3493" s="204"/>
      <c r="F3493" s="204"/>
      <c r="G3493" s="204"/>
      <c r="H3493" s="204"/>
      <c r="I3493" s="204"/>
      <c r="J3493" s="204"/>
      <c r="K3493" s="204"/>
      <c r="L3493" s="204"/>
      <c r="M3493" s="204"/>
      <c r="N3493" s="204"/>
      <c r="O3493" s="204"/>
      <c r="P3493" s="204"/>
      <c r="T3493" s="217"/>
    </row>
    <row r="3494" spans="2:20">
      <c r="B3494" s="204"/>
      <c r="C3494" s="204"/>
      <c r="D3494" s="204"/>
      <c r="E3494" s="204"/>
      <c r="F3494" s="204"/>
      <c r="G3494" s="204"/>
      <c r="H3494" s="204"/>
      <c r="I3494" s="204"/>
      <c r="J3494" s="204"/>
      <c r="K3494" s="204"/>
      <c r="L3494" s="204"/>
      <c r="M3494" s="204"/>
      <c r="N3494" s="204"/>
      <c r="O3494" s="204"/>
      <c r="P3494" s="204"/>
      <c r="T3494" s="217"/>
    </row>
    <row r="3495" spans="2:20">
      <c r="B3495" s="204"/>
      <c r="C3495" s="204"/>
      <c r="D3495" s="204"/>
      <c r="E3495" s="204"/>
      <c r="F3495" s="204"/>
      <c r="G3495" s="204"/>
      <c r="H3495" s="204"/>
      <c r="I3495" s="204"/>
      <c r="J3495" s="204"/>
      <c r="K3495" s="204"/>
      <c r="L3495" s="204"/>
      <c r="M3495" s="204"/>
      <c r="N3495" s="204"/>
      <c r="O3495" s="204"/>
      <c r="P3495" s="204"/>
      <c r="T3495" s="217"/>
    </row>
    <row r="3496" spans="2:20">
      <c r="B3496" s="204"/>
      <c r="C3496" s="204"/>
      <c r="D3496" s="204"/>
      <c r="E3496" s="204"/>
      <c r="F3496" s="204"/>
      <c r="G3496" s="204"/>
      <c r="H3496" s="204"/>
      <c r="I3496" s="204"/>
      <c r="J3496" s="204"/>
      <c r="K3496" s="204"/>
      <c r="L3496" s="204"/>
      <c r="M3496" s="204"/>
      <c r="N3496" s="204"/>
      <c r="O3496" s="204"/>
      <c r="P3496" s="204"/>
      <c r="T3496" s="217"/>
    </row>
    <row r="3497" spans="2:20">
      <c r="B3497" s="204"/>
      <c r="C3497" s="204"/>
      <c r="D3497" s="204"/>
      <c r="E3497" s="204"/>
      <c r="F3497" s="204"/>
      <c r="G3497" s="204"/>
      <c r="H3497" s="204"/>
      <c r="I3497" s="204"/>
      <c r="J3497" s="204"/>
      <c r="K3497" s="204"/>
      <c r="L3497" s="204"/>
      <c r="M3497" s="204"/>
      <c r="N3497" s="204"/>
      <c r="O3497" s="204"/>
      <c r="P3497" s="204"/>
      <c r="T3497" s="217"/>
    </row>
    <row r="3498" spans="2:20">
      <c r="B3498" s="204"/>
      <c r="C3498" s="204"/>
      <c r="D3498" s="204"/>
      <c r="E3498" s="204"/>
      <c r="F3498" s="204"/>
      <c r="G3498" s="204"/>
      <c r="H3498" s="204"/>
      <c r="I3498" s="204"/>
      <c r="J3498" s="204"/>
      <c r="K3498" s="204"/>
      <c r="L3498" s="204"/>
      <c r="M3498" s="204"/>
      <c r="N3498" s="204"/>
      <c r="O3498" s="204"/>
      <c r="P3498" s="204"/>
      <c r="T3498" s="217"/>
    </row>
    <row r="3499" spans="2:20">
      <c r="B3499" s="204"/>
      <c r="C3499" s="204"/>
      <c r="D3499" s="204"/>
      <c r="E3499" s="204"/>
      <c r="F3499" s="204"/>
      <c r="G3499" s="204"/>
      <c r="H3499" s="204"/>
      <c r="I3499" s="204"/>
      <c r="J3499" s="204"/>
      <c r="K3499" s="204"/>
      <c r="L3499" s="204"/>
      <c r="M3499" s="204"/>
      <c r="N3499" s="204"/>
      <c r="O3499" s="204"/>
      <c r="P3499" s="204"/>
      <c r="T3499" s="217"/>
    </row>
    <row r="3500" spans="2:20">
      <c r="B3500" s="204"/>
      <c r="C3500" s="204"/>
      <c r="D3500" s="204"/>
      <c r="E3500" s="204"/>
      <c r="F3500" s="204"/>
      <c r="G3500" s="204"/>
      <c r="H3500" s="204"/>
      <c r="I3500" s="204"/>
      <c r="J3500" s="204"/>
      <c r="K3500" s="204"/>
      <c r="L3500" s="204"/>
      <c r="M3500" s="204"/>
      <c r="N3500" s="204"/>
      <c r="O3500" s="204"/>
      <c r="P3500" s="204"/>
      <c r="T3500" s="217"/>
    </row>
    <row r="3501" spans="2:20">
      <c r="B3501" s="204"/>
      <c r="C3501" s="204"/>
      <c r="D3501" s="204"/>
      <c r="E3501" s="204"/>
      <c r="F3501" s="204"/>
      <c r="G3501" s="204"/>
      <c r="H3501" s="204"/>
      <c r="I3501" s="204"/>
      <c r="J3501" s="204"/>
      <c r="K3501" s="204"/>
      <c r="L3501" s="204"/>
      <c r="M3501" s="204"/>
      <c r="N3501" s="204"/>
      <c r="O3501" s="204"/>
      <c r="P3501" s="204"/>
      <c r="T3501" s="217"/>
    </row>
    <row r="3502" spans="2:20">
      <c r="B3502" s="204"/>
      <c r="C3502" s="204"/>
      <c r="D3502" s="204"/>
      <c r="E3502" s="204"/>
      <c r="F3502" s="204"/>
      <c r="G3502" s="204"/>
      <c r="H3502" s="204"/>
      <c r="I3502" s="204"/>
      <c r="J3502" s="204"/>
      <c r="K3502" s="204"/>
      <c r="L3502" s="204"/>
      <c r="M3502" s="204"/>
      <c r="N3502" s="204"/>
      <c r="O3502" s="204"/>
      <c r="P3502" s="204"/>
      <c r="T3502" s="217"/>
    </row>
    <row r="3503" spans="2:20">
      <c r="B3503" s="204"/>
      <c r="C3503" s="204"/>
      <c r="D3503" s="204"/>
      <c r="E3503" s="204"/>
      <c r="F3503" s="204"/>
      <c r="G3503" s="204"/>
      <c r="H3503" s="204"/>
      <c r="I3503" s="204"/>
      <c r="J3503" s="204"/>
      <c r="K3503" s="204"/>
      <c r="L3503" s="204"/>
      <c r="M3503" s="204"/>
      <c r="N3503" s="204"/>
      <c r="O3503" s="204"/>
      <c r="P3503" s="204"/>
      <c r="T3503" s="217"/>
    </row>
    <row r="3504" spans="2:20">
      <c r="B3504" s="204"/>
      <c r="C3504" s="204"/>
      <c r="D3504" s="204"/>
      <c r="E3504" s="204"/>
      <c r="F3504" s="204"/>
      <c r="G3504" s="204"/>
      <c r="H3504" s="204"/>
      <c r="I3504" s="204"/>
      <c r="J3504" s="204"/>
      <c r="K3504" s="204"/>
      <c r="L3504" s="204"/>
      <c r="M3504" s="204"/>
      <c r="N3504" s="204"/>
      <c r="O3504" s="204"/>
      <c r="P3504" s="204"/>
      <c r="T3504" s="217"/>
    </row>
    <row r="3505" spans="2:20">
      <c r="B3505" s="204"/>
      <c r="C3505" s="204"/>
      <c r="D3505" s="204"/>
      <c r="E3505" s="204"/>
      <c r="F3505" s="204"/>
      <c r="G3505" s="204"/>
      <c r="H3505" s="204"/>
      <c r="I3505" s="204"/>
      <c r="J3505" s="204"/>
      <c r="K3505" s="204"/>
      <c r="L3505" s="204"/>
      <c r="M3505" s="204"/>
      <c r="N3505" s="204"/>
      <c r="O3505" s="204"/>
      <c r="P3505" s="204"/>
      <c r="T3505" s="217"/>
    </row>
    <row r="3506" spans="2:20">
      <c r="B3506" s="204"/>
      <c r="C3506" s="204"/>
      <c r="D3506" s="204"/>
      <c r="E3506" s="204"/>
      <c r="F3506" s="204"/>
      <c r="G3506" s="204"/>
      <c r="H3506" s="204"/>
      <c r="I3506" s="204"/>
      <c r="J3506" s="204"/>
      <c r="K3506" s="204"/>
      <c r="L3506" s="204"/>
      <c r="M3506" s="204"/>
      <c r="N3506" s="204"/>
      <c r="O3506" s="204"/>
      <c r="P3506" s="204"/>
      <c r="T3506" s="217"/>
    </row>
    <row r="3507" spans="2:20">
      <c r="B3507" s="204"/>
      <c r="C3507" s="204"/>
      <c r="D3507" s="204"/>
      <c r="E3507" s="204"/>
      <c r="F3507" s="204"/>
      <c r="G3507" s="204"/>
      <c r="H3507" s="204"/>
      <c r="I3507" s="204"/>
      <c r="J3507" s="204"/>
      <c r="K3507" s="204"/>
      <c r="L3507" s="204"/>
      <c r="M3507" s="204"/>
      <c r="N3507" s="204"/>
      <c r="O3507" s="204"/>
      <c r="P3507" s="204"/>
      <c r="T3507" s="217"/>
    </row>
    <row r="3508" spans="2:20">
      <c r="B3508" s="204"/>
      <c r="C3508" s="204"/>
      <c r="D3508" s="204"/>
      <c r="E3508" s="204"/>
      <c r="F3508" s="204"/>
      <c r="G3508" s="204"/>
      <c r="H3508" s="204"/>
      <c r="I3508" s="204"/>
      <c r="J3508" s="204"/>
      <c r="K3508" s="204"/>
      <c r="L3508" s="204"/>
      <c r="M3508" s="204"/>
      <c r="N3508" s="204"/>
      <c r="O3508" s="204"/>
      <c r="P3508" s="204"/>
      <c r="T3508" s="217"/>
    </row>
    <row r="3509" spans="2:20">
      <c r="B3509" s="204"/>
      <c r="C3509" s="204"/>
      <c r="D3509" s="204"/>
      <c r="E3509" s="204"/>
      <c r="F3509" s="204"/>
      <c r="G3509" s="204"/>
      <c r="H3509" s="204"/>
      <c r="I3509" s="204"/>
      <c r="J3509" s="204"/>
      <c r="K3509" s="204"/>
      <c r="L3509" s="204"/>
      <c r="M3509" s="204"/>
      <c r="N3509" s="204"/>
      <c r="O3509" s="204"/>
      <c r="P3509" s="204"/>
      <c r="T3509" s="217"/>
    </row>
    <row r="3510" spans="2:20">
      <c r="B3510" s="204"/>
      <c r="C3510" s="204"/>
      <c r="D3510" s="204"/>
      <c r="E3510" s="204"/>
      <c r="F3510" s="204"/>
      <c r="G3510" s="204"/>
      <c r="H3510" s="204"/>
      <c r="I3510" s="204"/>
      <c r="J3510" s="204"/>
      <c r="K3510" s="204"/>
      <c r="L3510" s="204"/>
      <c r="M3510" s="204"/>
      <c r="N3510" s="204"/>
      <c r="O3510" s="204"/>
      <c r="P3510" s="204"/>
      <c r="T3510" s="217"/>
    </row>
    <row r="3511" spans="2:20">
      <c r="B3511" s="204"/>
      <c r="C3511" s="204"/>
      <c r="D3511" s="204"/>
      <c r="E3511" s="204"/>
      <c r="F3511" s="204"/>
      <c r="G3511" s="204"/>
      <c r="H3511" s="204"/>
      <c r="I3511" s="204"/>
      <c r="J3511" s="204"/>
      <c r="K3511" s="204"/>
      <c r="L3511" s="204"/>
      <c r="M3511" s="204"/>
      <c r="N3511" s="204"/>
      <c r="O3511" s="204"/>
      <c r="P3511" s="204"/>
      <c r="T3511" s="217"/>
    </row>
    <row r="3512" spans="2:20">
      <c r="B3512" s="204"/>
      <c r="C3512" s="204"/>
      <c r="D3512" s="204"/>
      <c r="E3512" s="204"/>
      <c r="F3512" s="204"/>
      <c r="G3512" s="204"/>
      <c r="H3512" s="204"/>
      <c r="I3512" s="204"/>
      <c r="J3512" s="204"/>
      <c r="K3512" s="204"/>
      <c r="L3512" s="204"/>
      <c r="M3512" s="204"/>
      <c r="N3512" s="204"/>
      <c r="O3512" s="204"/>
      <c r="P3512" s="204"/>
      <c r="T3512" s="217"/>
    </row>
    <row r="3513" spans="2:20">
      <c r="B3513" s="204"/>
      <c r="C3513" s="204"/>
      <c r="D3513" s="204"/>
      <c r="E3513" s="204"/>
      <c r="F3513" s="204"/>
      <c r="G3513" s="204"/>
      <c r="H3513" s="204"/>
      <c r="I3513" s="204"/>
      <c r="J3513" s="204"/>
      <c r="K3513" s="204"/>
      <c r="L3513" s="204"/>
      <c r="M3513" s="204"/>
      <c r="N3513" s="204"/>
      <c r="O3513" s="204"/>
      <c r="P3513" s="204"/>
      <c r="T3513" s="217"/>
    </row>
    <row r="3514" spans="2:20">
      <c r="B3514" s="204"/>
      <c r="C3514" s="204"/>
      <c r="D3514" s="204"/>
      <c r="E3514" s="204"/>
      <c r="F3514" s="204"/>
      <c r="G3514" s="204"/>
      <c r="H3514" s="204"/>
      <c r="I3514" s="204"/>
      <c r="J3514" s="204"/>
      <c r="K3514" s="204"/>
      <c r="L3514" s="204"/>
      <c r="M3514" s="204"/>
      <c r="N3514" s="204"/>
      <c r="O3514" s="204"/>
      <c r="P3514" s="204"/>
      <c r="T3514" s="217"/>
    </row>
    <row r="3515" spans="2:20">
      <c r="B3515" s="204"/>
      <c r="C3515" s="204"/>
      <c r="D3515" s="204"/>
      <c r="E3515" s="204"/>
      <c r="F3515" s="204"/>
      <c r="G3515" s="204"/>
      <c r="H3515" s="204"/>
      <c r="I3515" s="204"/>
      <c r="J3515" s="204"/>
      <c r="K3515" s="204"/>
      <c r="L3515" s="204"/>
      <c r="M3515" s="204"/>
      <c r="N3515" s="204"/>
      <c r="O3515" s="204"/>
      <c r="P3515" s="204"/>
      <c r="T3515" s="217"/>
    </row>
    <row r="3516" spans="2:20">
      <c r="B3516" s="204"/>
      <c r="C3516" s="204"/>
      <c r="D3516" s="204"/>
      <c r="E3516" s="204"/>
      <c r="F3516" s="204"/>
      <c r="G3516" s="204"/>
      <c r="H3516" s="204"/>
      <c r="I3516" s="204"/>
      <c r="J3516" s="204"/>
      <c r="K3516" s="204"/>
      <c r="L3516" s="204"/>
      <c r="M3516" s="204"/>
      <c r="N3516" s="204"/>
      <c r="O3516" s="204"/>
      <c r="P3516" s="204"/>
      <c r="T3516" s="217"/>
    </row>
    <row r="3517" spans="2:20">
      <c r="B3517" s="204"/>
      <c r="C3517" s="204"/>
      <c r="D3517" s="204"/>
      <c r="E3517" s="204"/>
      <c r="F3517" s="204"/>
      <c r="G3517" s="204"/>
      <c r="H3517" s="204"/>
      <c r="I3517" s="204"/>
      <c r="J3517" s="204"/>
      <c r="K3517" s="204"/>
      <c r="L3517" s="204"/>
      <c r="M3517" s="204"/>
      <c r="N3517" s="204"/>
      <c r="O3517" s="204"/>
      <c r="P3517" s="204"/>
      <c r="T3517" s="217"/>
    </row>
    <row r="3518" spans="2:20">
      <c r="B3518" s="204"/>
      <c r="C3518" s="204"/>
      <c r="D3518" s="204"/>
      <c r="E3518" s="204"/>
      <c r="F3518" s="204"/>
      <c r="G3518" s="204"/>
      <c r="H3518" s="204"/>
      <c r="I3518" s="204"/>
      <c r="J3518" s="204"/>
      <c r="K3518" s="204"/>
      <c r="L3518" s="204"/>
      <c r="M3518" s="204"/>
      <c r="N3518" s="204"/>
      <c r="O3518" s="204"/>
      <c r="P3518" s="204"/>
      <c r="T3518" s="217"/>
    </row>
    <row r="3519" spans="2:20">
      <c r="B3519" s="204"/>
      <c r="C3519" s="204"/>
      <c r="D3519" s="204"/>
      <c r="E3519" s="204"/>
      <c r="F3519" s="204"/>
      <c r="G3519" s="204"/>
      <c r="H3519" s="204"/>
      <c r="I3519" s="204"/>
      <c r="J3519" s="204"/>
      <c r="K3519" s="204"/>
      <c r="L3519" s="204"/>
      <c r="M3519" s="204"/>
      <c r="N3519" s="204"/>
      <c r="O3519" s="204"/>
      <c r="P3519" s="204"/>
      <c r="T3519" s="217"/>
    </row>
    <row r="3520" spans="2:20">
      <c r="B3520" s="204"/>
      <c r="C3520" s="204"/>
      <c r="D3520" s="204"/>
      <c r="E3520" s="204"/>
      <c r="F3520" s="204"/>
      <c r="G3520" s="204"/>
      <c r="H3520" s="204"/>
      <c r="I3520" s="204"/>
      <c r="J3520" s="204"/>
      <c r="K3520" s="204"/>
      <c r="L3520" s="204"/>
      <c r="M3520" s="204"/>
      <c r="N3520" s="204"/>
      <c r="O3520" s="204"/>
      <c r="P3520" s="204"/>
      <c r="T3520" s="217"/>
    </row>
    <row r="3521" spans="2:20">
      <c r="B3521" s="204"/>
      <c r="C3521" s="204"/>
      <c r="D3521" s="204"/>
      <c r="E3521" s="204"/>
      <c r="F3521" s="204"/>
      <c r="G3521" s="204"/>
      <c r="H3521" s="204"/>
      <c r="I3521" s="204"/>
      <c r="J3521" s="204"/>
      <c r="K3521" s="204"/>
      <c r="L3521" s="204"/>
      <c r="M3521" s="204"/>
      <c r="N3521" s="204"/>
      <c r="O3521" s="204"/>
      <c r="P3521" s="204"/>
      <c r="T3521" s="217"/>
    </row>
    <row r="3522" spans="2:20">
      <c r="B3522" s="204"/>
      <c r="C3522" s="204"/>
      <c r="D3522" s="204"/>
      <c r="E3522" s="204"/>
      <c r="F3522" s="204"/>
      <c r="G3522" s="204"/>
      <c r="H3522" s="204"/>
      <c r="I3522" s="204"/>
      <c r="J3522" s="204"/>
      <c r="K3522" s="204"/>
      <c r="L3522" s="204"/>
      <c r="M3522" s="204"/>
      <c r="N3522" s="204"/>
      <c r="O3522" s="204"/>
      <c r="P3522" s="204"/>
      <c r="T3522" s="217"/>
    </row>
    <row r="3523" spans="2:20">
      <c r="B3523" s="204"/>
      <c r="C3523" s="204"/>
      <c r="D3523" s="204"/>
      <c r="E3523" s="204"/>
      <c r="F3523" s="204"/>
      <c r="G3523" s="204"/>
      <c r="H3523" s="204"/>
      <c r="I3523" s="204"/>
      <c r="J3523" s="204"/>
      <c r="K3523" s="204"/>
      <c r="L3523" s="204"/>
      <c r="M3523" s="204"/>
      <c r="N3523" s="204"/>
      <c r="O3523" s="204"/>
      <c r="P3523" s="204"/>
      <c r="T3523" s="217"/>
    </row>
    <row r="3524" spans="2:20">
      <c r="B3524" s="204"/>
      <c r="C3524" s="204"/>
      <c r="D3524" s="204"/>
      <c r="E3524" s="204"/>
      <c r="F3524" s="204"/>
      <c r="G3524" s="204"/>
      <c r="H3524" s="204"/>
      <c r="I3524" s="204"/>
      <c r="J3524" s="204"/>
      <c r="K3524" s="204"/>
      <c r="L3524" s="204"/>
      <c r="M3524" s="204"/>
      <c r="N3524" s="204"/>
      <c r="O3524" s="204"/>
      <c r="P3524" s="204"/>
      <c r="T3524" s="217"/>
    </row>
    <row r="3525" spans="2:20">
      <c r="B3525" s="204"/>
      <c r="C3525" s="204"/>
      <c r="D3525" s="204"/>
      <c r="E3525" s="204"/>
      <c r="F3525" s="204"/>
      <c r="G3525" s="204"/>
      <c r="H3525" s="204"/>
      <c r="I3525" s="204"/>
      <c r="J3525" s="204"/>
      <c r="K3525" s="204"/>
      <c r="L3525" s="204"/>
      <c r="M3525" s="204"/>
      <c r="N3525" s="204"/>
      <c r="O3525" s="204"/>
      <c r="P3525" s="204"/>
      <c r="T3525" s="217"/>
    </row>
    <row r="3526" spans="2:20">
      <c r="B3526" s="204"/>
      <c r="C3526" s="204"/>
      <c r="D3526" s="204"/>
      <c r="E3526" s="204"/>
      <c r="F3526" s="204"/>
      <c r="G3526" s="204"/>
      <c r="H3526" s="204"/>
      <c r="I3526" s="204"/>
      <c r="J3526" s="204"/>
      <c r="K3526" s="204"/>
      <c r="L3526" s="204"/>
      <c r="M3526" s="204"/>
      <c r="N3526" s="204"/>
      <c r="O3526" s="204"/>
      <c r="P3526" s="204"/>
      <c r="T3526" s="217"/>
    </row>
    <row r="3527" spans="2:20">
      <c r="B3527" s="204"/>
      <c r="C3527" s="204"/>
      <c r="D3527" s="204"/>
      <c r="E3527" s="204"/>
      <c r="F3527" s="204"/>
      <c r="G3527" s="204"/>
      <c r="H3527" s="204"/>
      <c r="I3527" s="204"/>
      <c r="J3527" s="204"/>
      <c r="K3527" s="204"/>
      <c r="L3527" s="204"/>
      <c r="M3527" s="204"/>
      <c r="N3527" s="204"/>
      <c r="O3527" s="204"/>
      <c r="P3527" s="204"/>
      <c r="T3527" s="217"/>
    </row>
    <row r="3528" spans="2:20">
      <c r="B3528" s="204"/>
      <c r="C3528" s="204"/>
      <c r="D3528" s="204"/>
      <c r="E3528" s="204"/>
      <c r="F3528" s="204"/>
      <c r="G3528" s="204"/>
      <c r="H3528" s="204"/>
      <c r="I3528" s="204"/>
      <c r="J3528" s="204"/>
      <c r="K3528" s="204"/>
      <c r="L3528" s="204"/>
      <c r="M3528" s="204"/>
      <c r="N3528" s="204"/>
      <c r="O3528" s="204"/>
      <c r="P3528" s="204"/>
      <c r="T3528" s="217"/>
    </row>
    <row r="3529" spans="2:20">
      <c r="B3529" s="204"/>
      <c r="C3529" s="204"/>
      <c r="D3529" s="204"/>
      <c r="E3529" s="204"/>
      <c r="F3529" s="204"/>
      <c r="G3529" s="204"/>
      <c r="H3529" s="204"/>
      <c r="I3529" s="204"/>
      <c r="J3529" s="204"/>
      <c r="K3529" s="204"/>
      <c r="L3529" s="204"/>
      <c r="M3529" s="204"/>
      <c r="N3529" s="204"/>
      <c r="O3529" s="204"/>
      <c r="P3529" s="204"/>
      <c r="T3529" s="217"/>
    </row>
    <row r="3530" spans="2:20">
      <c r="B3530" s="204"/>
      <c r="C3530" s="204"/>
      <c r="D3530" s="204"/>
      <c r="E3530" s="204"/>
      <c r="F3530" s="204"/>
      <c r="G3530" s="204"/>
      <c r="H3530" s="204"/>
      <c r="I3530" s="204"/>
      <c r="J3530" s="204"/>
      <c r="K3530" s="204"/>
      <c r="L3530" s="204"/>
      <c r="M3530" s="204"/>
      <c r="N3530" s="204"/>
      <c r="O3530" s="204"/>
      <c r="P3530" s="204"/>
      <c r="T3530" s="217"/>
    </row>
    <row r="3531" spans="2:20">
      <c r="B3531" s="204"/>
      <c r="C3531" s="204"/>
      <c r="D3531" s="204"/>
      <c r="E3531" s="204"/>
      <c r="F3531" s="204"/>
      <c r="G3531" s="204"/>
      <c r="H3531" s="204"/>
      <c r="I3531" s="204"/>
      <c r="J3531" s="204"/>
      <c r="K3531" s="204"/>
      <c r="L3531" s="204"/>
      <c r="M3531" s="204"/>
      <c r="N3531" s="204"/>
      <c r="O3531" s="204"/>
      <c r="P3531" s="204"/>
      <c r="T3531" s="217"/>
    </row>
    <row r="3532" spans="2:20">
      <c r="B3532" s="204"/>
      <c r="C3532" s="204"/>
      <c r="D3532" s="204"/>
      <c r="E3532" s="204"/>
      <c r="F3532" s="204"/>
      <c r="G3532" s="204"/>
      <c r="H3532" s="204"/>
      <c r="I3532" s="204"/>
      <c r="J3532" s="204"/>
      <c r="K3532" s="204"/>
      <c r="L3532" s="204"/>
      <c r="M3532" s="204"/>
      <c r="N3532" s="204"/>
      <c r="O3532" s="204"/>
      <c r="P3532" s="204"/>
      <c r="T3532" s="217"/>
    </row>
    <row r="3533" spans="2:20">
      <c r="B3533" s="204"/>
      <c r="C3533" s="204"/>
      <c r="D3533" s="204"/>
      <c r="E3533" s="204"/>
      <c r="F3533" s="204"/>
      <c r="G3533" s="204"/>
      <c r="H3533" s="204"/>
      <c r="I3533" s="204"/>
      <c r="J3533" s="204"/>
      <c r="K3533" s="204"/>
      <c r="L3533" s="204"/>
      <c r="M3533" s="204"/>
      <c r="N3533" s="204"/>
      <c r="O3533" s="204"/>
      <c r="P3533" s="204"/>
      <c r="T3533" s="217"/>
    </row>
    <row r="3534" spans="2:20">
      <c r="B3534" s="204"/>
      <c r="C3534" s="204"/>
      <c r="D3534" s="204"/>
      <c r="E3534" s="204"/>
      <c r="F3534" s="204"/>
      <c r="G3534" s="204"/>
      <c r="H3534" s="204"/>
      <c r="I3534" s="204"/>
      <c r="J3534" s="204"/>
      <c r="K3534" s="204"/>
      <c r="L3534" s="204"/>
      <c r="M3534" s="204"/>
      <c r="N3534" s="204"/>
      <c r="O3534" s="204"/>
      <c r="P3534" s="204"/>
      <c r="T3534" s="217"/>
    </row>
    <row r="3535" spans="2:20">
      <c r="B3535" s="204"/>
      <c r="C3535" s="204"/>
      <c r="D3535" s="204"/>
      <c r="E3535" s="204"/>
      <c r="F3535" s="204"/>
      <c r="G3535" s="204"/>
      <c r="H3535" s="204"/>
      <c r="I3535" s="204"/>
      <c r="J3535" s="204"/>
      <c r="K3535" s="204"/>
      <c r="L3535" s="204"/>
      <c r="M3535" s="204"/>
      <c r="N3535" s="204"/>
      <c r="O3535" s="204"/>
      <c r="P3535" s="204"/>
      <c r="T3535" s="217"/>
    </row>
    <row r="3536" spans="2:20">
      <c r="B3536" s="204"/>
      <c r="C3536" s="204"/>
      <c r="D3536" s="204"/>
      <c r="E3536" s="204"/>
      <c r="F3536" s="204"/>
      <c r="G3536" s="204"/>
      <c r="H3536" s="204"/>
      <c r="I3536" s="204"/>
      <c r="J3536" s="204"/>
      <c r="K3536" s="204"/>
      <c r="L3536" s="204"/>
      <c r="M3536" s="204"/>
      <c r="N3536" s="204"/>
      <c r="O3536" s="204"/>
      <c r="P3536" s="204"/>
      <c r="T3536" s="217"/>
    </row>
    <row r="3537" spans="2:20">
      <c r="B3537" s="204"/>
      <c r="C3537" s="204"/>
      <c r="D3537" s="204"/>
      <c r="E3537" s="204"/>
      <c r="F3537" s="204"/>
      <c r="G3537" s="204"/>
      <c r="H3537" s="204"/>
      <c r="I3537" s="204"/>
      <c r="J3537" s="204"/>
      <c r="K3537" s="204"/>
      <c r="L3537" s="204"/>
      <c r="M3537" s="204"/>
      <c r="N3537" s="204"/>
      <c r="O3537" s="204"/>
      <c r="P3537" s="204"/>
      <c r="T3537" s="217"/>
    </row>
    <row r="3538" spans="2:20">
      <c r="B3538" s="204"/>
      <c r="C3538" s="204"/>
      <c r="D3538" s="204"/>
      <c r="E3538" s="204"/>
      <c r="F3538" s="204"/>
      <c r="G3538" s="204"/>
      <c r="H3538" s="204"/>
      <c r="I3538" s="204"/>
      <c r="J3538" s="204"/>
      <c r="K3538" s="204"/>
      <c r="L3538" s="204"/>
      <c r="M3538" s="204"/>
      <c r="N3538" s="204"/>
      <c r="O3538" s="204"/>
      <c r="P3538" s="204"/>
      <c r="T3538" s="217"/>
    </row>
    <row r="3539" spans="2:20">
      <c r="B3539" s="204"/>
      <c r="C3539" s="204"/>
      <c r="D3539" s="204"/>
      <c r="E3539" s="204"/>
      <c r="F3539" s="204"/>
      <c r="G3539" s="204"/>
      <c r="H3539" s="204"/>
      <c r="I3539" s="204"/>
      <c r="J3539" s="204"/>
      <c r="K3539" s="204"/>
      <c r="L3539" s="204"/>
      <c r="M3539" s="204"/>
      <c r="N3539" s="204"/>
      <c r="O3539" s="204"/>
      <c r="P3539" s="204"/>
      <c r="T3539" s="217"/>
    </row>
    <row r="3540" spans="2:20">
      <c r="B3540" s="204"/>
      <c r="C3540" s="204"/>
      <c r="D3540" s="204"/>
      <c r="E3540" s="204"/>
      <c r="F3540" s="204"/>
      <c r="G3540" s="204"/>
      <c r="H3540" s="204"/>
      <c r="I3540" s="204"/>
      <c r="J3540" s="204"/>
      <c r="K3540" s="204"/>
      <c r="L3540" s="204"/>
      <c r="M3540" s="204"/>
      <c r="N3540" s="204"/>
      <c r="O3540" s="204"/>
      <c r="P3540" s="204"/>
      <c r="T3540" s="217"/>
    </row>
    <row r="3541" spans="2:20">
      <c r="B3541" s="204"/>
      <c r="C3541" s="204"/>
      <c r="D3541" s="204"/>
      <c r="E3541" s="204"/>
      <c r="F3541" s="204"/>
      <c r="G3541" s="204"/>
      <c r="H3541" s="204"/>
      <c r="I3541" s="204"/>
      <c r="J3541" s="204"/>
      <c r="K3541" s="204"/>
      <c r="L3541" s="204"/>
      <c r="M3541" s="204"/>
      <c r="N3541" s="204"/>
      <c r="O3541" s="204"/>
      <c r="P3541" s="204"/>
      <c r="T3541" s="217"/>
    </row>
    <row r="3542" spans="2:20">
      <c r="B3542" s="204"/>
      <c r="C3542" s="204"/>
      <c r="D3542" s="204"/>
      <c r="E3542" s="204"/>
      <c r="F3542" s="204"/>
      <c r="G3542" s="204"/>
      <c r="H3542" s="204"/>
      <c r="I3542" s="204"/>
      <c r="J3542" s="204"/>
      <c r="K3542" s="204"/>
      <c r="L3542" s="204"/>
      <c r="M3542" s="204"/>
      <c r="N3542" s="204"/>
      <c r="O3542" s="204"/>
      <c r="P3542" s="204"/>
      <c r="T3542" s="217"/>
    </row>
    <row r="3543" spans="2:20">
      <c r="B3543" s="204"/>
      <c r="C3543" s="204"/>
      <c r="D3543" s="204"/>
      <c r="E3543" s="204"/>
      <c r="F3543" s="204"/>
      <c r="G3543" s="204"/>
      <c r="H3543" s="204"/>
      <c r="I3543" s="204"/>
      <c r="J3543" s="204"/>
      <c r="K3543" s="204"/>
      <c r="L3543" s="204"/>
      <c r="M3543" s="204"/>
      <c r="N3543" s="204"/>
      <c r="O3543" s="204"/>
      <c r="P3543" s="204"/>
      <c r="T3543" s="217"/>
    </row>
    <row r="3544" spans="2:20">
      <c r="B3544" s="204"/>
      <c r="C3544" s="204"/>
      <c r="D3544" s="204"/>
      <c r="E3544" s="204"/>
      <c r="F3544" s="204"/>
      <c r="G3544" s="204"/>
      <c r="H3544" s="204"/>
      <c r="I3544" s="204"/>
      <c r="J3544" s="204"/>
      <c r="K3544" s="204"/>
      <c r="L3544" s="204"/>
      <c r="M3544" s="204"/>
      <c r="N3544" s="204"/>
      <c r="O3544" s="204"/>
      <c r="P3544" s="204"/>
      <c r="T3544" s="217"/>
    </row>
    <row r="3545" spans="2:20">
      <c r="B3545" s="204"/>
      <c r="C3545" s="204"/>
      <c r="D3545" s="204"/>
      <c r="E3545" s="204"/>
      <c r="F3545" s="204"/>
      <c r="G3545" s="204"/>
      <c r="H3545" s="204"/>
      <c r="I3545" s="204"/>
      <c r="J3545" s="204"/>
      <c r="K3545" s="204"/>
      <c r="L3545" s="204"/>
      <c r="M3545" s="204"/>
      <c r="N3545" s="204"/>
      <c r="O3545" s="204"/>
      <c r="P3545" s="204"/>
      <c r="T3545" s="217"/>
    </row>
    <row r="3546" spans="2:20">
      <c r="B3546" s="204"/>
      <c r="C3546" s="204"/>
      <c r="D3546" s="204"/>
      <c r="E3546" s="204"/>
      <c r="F3546" s="204"/>
      <c r="G3546" s="204"/>
      <c r="H3546" s="204"/>
      <c r="I3546" s="204"/>
      <c r="J3546" s="204"/>
      <c r="K3546" s="204"/>
      <c r="L3546" s="204"/>
      <c r="M3546" s="204"/>
      <c r="N3546" s="204"/>
      <c r="O3546" s="204"/>
      <c r="P3546" s="204"/>
      <c r="T3546" s="217"/>
    </row>
    <row r="3547" spans="2:20">
      <c r="B3547" s="204"/>
      <c r="C3547" s="204"/>
      <c r="D3547" s="204"/>
      <c r="E3547" s="204"/>
      <c r="F3547" s="204"/>
      <c r="G3547" s="204"/>
      <c r="H3547" s="204"/>
      <c r="I3547" s="204"/>
      <c r="J3547" s="204"/>
      <c r="K3547" s="204"/>
      <c r="L3547" s="204"/>
      <c r="M3547" s="204"/>
      <c r="N3547" s="204"/>
      <c r="O3547" s="204"/>
      <c r="P3547" s="204"/>
      <c r="T3547" s="217"/>
    </row>
    <row r="3548" spans="2:20">
      <c r="B3548" s="204"/>
      <c r="C3548" s="204"/>
      <c r="D3548" s="204"/>
      <c r="E3548" s="204"/>
      <c r="F3548" s="204"/>
      <c r="G3548" s="204"/>
      <c r="H3548" s="204"/>
      <c r="I3548" s="204"/>
      <c r="J3548" s="204"/>
      <c r="K3548" s="204"/>
      <c r="L3548" s="204"/>
      <c r="M3548" s="204"/>
      <c r="N3548" s="204"/>
      <c r="O3548" s="204"/>
      <c r="P3548" s="204"/>
      <c r="T3548" s="217"/>
    </row>
    <row r="3549" spans="2:20">
      <c r="B3549" s="204"/>
      <c r="C3549" s="204"/>
      <c r="D3549" s="204"/>
      <c r="E3549" s="204"/>
      <c r="F3549" s="204"/>
      <c r="G3549" s="204"/>
      <c r="H3549" s="204"/>
      <c r="I3549" s="204"/>
      <c r="J3549" s="204"/>
      <c r="K3549" s="204"/>
      <c r="L3549" s="204"/>
      <c r="M3549" s="204"/>
      <c r="N3549" s="204"/>
      <c r="O3549" s="204"/>
      <c r="P3549" s="204"/>
      <c r="T3549" s="217"/>
    </row>
    <row r="3550" spans="2:20">
      <c r="B3550" s="204"/>
      <c r="C3550" s="204"/>
      <c r="D3550" s="204"/>
      <c r="E3550" s="204"/>
      <c r="F3550" s="204"/>
      <c r="G3550" s="204"/>
      <c r="H3550" s="204"/>
      <c r="I3550" s="204"/>
      <c r="J3550" s="204"/>
      <c r="K3550" s="204"/>
      <c r="L3550" s="204"/>
      <c r="M3550" s="204"/>
      <c r="N3550" s="204"/>
      <c r="O3550" s="204"/>
      <c r="P3550" s="204"/>
      <c r="T3550" s="217"/>
    </row>
    <row r="3551" spans="2:20">
      <c r="B3551" s="204"/>
      <c r="C3551" s="204"/>
      <c r="D3551" s="204"/>
      <c r="E3551" s="204"/>
      <c r="F3551" s="204"/>
      <c r="G3551" s="204"/>
      <c r="H3551" s="204"/>
      <c r="I3551" s="204"/>
      <c r="J3551" s="204"/>
      <c r="K3551" s="204"/>
      <c r="L3551" s="204"/>
      <c r="M3551" s="204"/>
      <c r="N3551" s="204"/>
      <c r="O3551" s="204"/>
      <c r="P3551" s="204"/>
      <c r="T3551" s="217"/>
    </row>
    <row r="3552" spans="2:20">
      <c r="B3552" s="204"/>
      <c r="C3552" s="204"/>
      <c r="D3552" s="204"/>
      <c r="E3552" s="204"/>
      <c r="F3552" s="204"/>
      <c r="G3552" s="204"/>
      <c r="H3552" s="204"/>
      <c r="I3552" s="204"/>
      <c r="J3552" s="204"/>
      <c r="K3552" s="204"/>
      <c r="L3552" s="204"/>
      <c r="M3552" s="204"/>
      <c r="N3552" s="204"/>
      <c r="O3552" s="204"/>
      <c r="P3552" s="204"/>
      <c r="T3552" s="217"/>
    </row>
    <row r="3553" spans="2:20">
      <c r="B3553" s="204"/>
      <c r="C3553" s="204"/>
      <c r="D3553" s="204"/>
      <c r="E3553" s="204"/>
      <c r="F3553" s="204"/>
      <c r="G3553" s="204"/>
      <c r="H3553" s="204"/>
      <c r="I3553" s="204"/>
      <c r="J3553" s="204"/>
      <c r="K3553" s="204"/>
      <c r="L3553" s="204"/>
      <c r="M3553" s="204"/>
      <c r="N3553" s="204"/>
      <c r="O3553" s="204"/>
      <c r="P3553" s="204"/>
      <c r="T3553" s="217"/>
    </row>
    <row r="3554" spans="2:20">
      <c r="B3554" s="204"/>
      <c r="C3554" s="204"/>
      <c r="D3554" s="204"/>
      <c r="E3554" s="204"/>
      <c r="F3554" s="204"/>
      <c r="G3554" s="204"/>
      <c r="H3554" s="204"/>
      <c r="I3554" s="204"/>
      <c r="J3554" s="204"/>
      <c r="K3554" s="204"/>
      <c r="L3554" s="204"/>
      <c r="M3554" s="204"/>
      <c r="N3554" s="204"/>
      <c r="O3554" s="204"/>
      <c r="P3554" s="204"/>
      <c r="T3554" s="217"/>
    </row>
    <row r="3555" spans="2:20">
      <c r="B3555" s="204"/>
      <c r="C3555" s="204"/>
      <c r="D3555" s="204"/>
      <c r="E3555" s="204"/>
      <c r="F3555" s="204"/>
      <c r="G3555" s="204"/>
      <c r="H3555" s="204"/>
      <c r="I3555" s="204"/>
      <c r="J3555" s="204"/>
      <c r="K3555" s="204"/>
      <c r="L3555" s="204"/>
      <c r="M3555" s="204"/>
      <c r="N3555" s="204"/>
      <c r="O3555" s="204"/>
      <c r="P3555" s="204"/>
      <c r="T3555" s="217"/>
    </row>
    <row r="3556" spans="2:20">
      <c r="B3556" s="204"/>
      <c r="C3556" s="204"/>
      <c r="D3556" s="204"/>
      <c r="E3556" s="204"/>
      <c r="F3556" s="204"/>
      <c r="G3556" s="204"/>
      <c r="H3556" s="204"/>
      <c r="I3556" s="204"/>
      <c r="J3556" s="204"/>
      <c r="K3556" s="204"/>
      <c r="L3556" s="204"/>
      <c r="M3556" s="204"/>
      <c r="N3556" s="204"/>
      <c r="O3556" s="204"/>
      <c r="P3556" s="204"/>
      <c r="T3556" s="217"/>
    </row>
    <row r="3557" spans="2:20">
      <c r="B3557" s="204"/>
      <c r="C3557" s="204"/>
      <c r="D3557" s="204"/>
      <c r="E3557" s="204"/>
      <c r="F3557" s="204"/>
      <c r="G3557" s="204"/>
      <c r="H3557" s="204"/>
      <c r="I3557" s="204"/>
      <c r="J3557" s="204"/>
      <c r="K3557" s="204"/>
      <c r="L3557" s="204"/>
      <c r="M3557" s="204"/>
      <c r="N3557" s="204"/>
      <c r="O3557" s="204"/>
      <c r="P3557" s="204"/>
      <c r="T3557" s="217"/>
    </row>
    <row r="3558" spans="2:20">
      <c r="B3558" s="204"/>
      <c r="C3558" s="204"/>
      <c r="D3558" s="204"/>
      <c r="E3558" s="204"/>
      <c r="F3558" s="204"/>
      <c r="G3558" s="204"/>
      <c r="H3558" s="204"/>
      <c r="I3558" s="204"/>
      <c r="J3558" s="204"/>
      <c r="K3558" s="204"/>
      <c r="L3558" s="204"/>
      <c r="M3558" s="204"/>
      <c r="N3558" s="204"/>
      <c r="O3558" s="204"/>
      <c r="P3558" s="204"/>
      <c r="T3558" s="217"/>
    </row>
    <row r="3559" spans="2:20">
      <c r="B3559" s="204"/>
      <c r="C3559" s="204"/>
      <c r="D3559" s="204"/>
      <c r="E3559" s="204"/>
      <c r="F3559" s="204"/>
      <c r="G3559" s="204"/>
      <c r="H3559" s="204"/>
      <c r="I3559" s="204"/>
      <c r="J3559" s="204"/>
      <c r="K3559" s="204"/>
      <c r="L3559" s="204"/>
      <c r="M3559" s="204"/>
      <c r="N3559" s="204"/>
      <c r="O3559" s="204"/>
      <c r="P3559" s="204"/>
      <c r="T3559" s="217"/>
    </row>
    <row r="3560" spans="2:20">
      <c r="B3560" s="204"/>
      <c r="C3560" s="204"/>
      <c r="D3560" s="204"/>
      <c r="E3560" s="204"/>
      <c r="F3560" s="204"/>
      <c r="G3560" s="204"/>
      <c r="H3560" s="204"/>
      <c r="I3560" s="204"/>
      <c r="J3560" s="204"/>
      <c r="K3560" s="204"/>
      <c r="L3560" s="204"/>
      <c r="M3560" s="204"/>
      <c r="N3560" s="204"/>
      <c r="O3560" s="204"/>
      <c r="P3560" s="204"/>
      <c r="T3560" s="217"/>
    </row>
    <row r="3561" spans="2:20">
      <c r="B3561" s="204"/>
      <c r="C3561" s="204"/>
      <c r="D3561" s="204"/>
      <c r="E3561" s="204"/>
      <c r="F3561" s="204"/>
      <c r="G3561" s="204"/>
      <c r="H3561" s="204"/>
      <c r="I3561" s="204"/>
      <c r="J3561" s="204"/>
      <c r="K3561" s="204"/>
      <c r="L3561" s="204"/>
      <c r="M3561" s="204"/>
      <c r="N3561" s="204"/>
      <c r="O3561" s="204"/>
      <c r="P3561" s="204"/>
      <c r="T3561" s="217"/>
    </row>
    <row r="3562" spans="2:20">
      <c r="B3562" s="204"/>
      <c r="C3562" s="204"/>
      <c r="D3562" s="204"/>
      <c r="E3562" s="204"/>
      <c r="F3562" s="204"/>
      <c r="G3562" s="204"/>
      <c r="H3562" s="204"/>
      <c r="I3562" s="204"/>
      <c r="J3562" s="204"/>
      <c r="K3562" s="204"/>
      <c r="L3562" s="204"/>
      <c r="M3562" s="204"/>
      <c r="N3562" s="204"/>
      <c r="O3562" s="204"/>
      <c r="P3562" s="204"/>
      <c r="T3562" s="217"/>
    </row>
    <row r="3563" spans="2:20">
      <c r="B3563" s="204"/>
      <c r="C3563" s="204"/>
      <c r="D3563" s="204"/>
      <c r="E3563" s="204"/>
      <c r="F3563" s="204"/>
      <c r="G3563" s="204"/>
      <c r="H3563" s="204"/>
      <c r="I3563" s="204"/>
      <c r="J3563" s="204"/>
      <c r="K3563" s="204"/>
      <c r="L3563" s="204"/>
      <c r="M3563" s="204"/>
      <c r="N3563" s="204"/>
      <c r="O3563" s="204"/>
      <c r="P3563" s="204"/>
      <c r="T3563" s="217"/>
    </row>
    <row r="3564" spans="2:20">
      <c r="B3564" s="204"/>
      <c r="C3564" s="204"/>
      <c r="D3564" s="204"/>
      <c r="E3564" s="204"/>
      <c r="F3564" s="204"/>
      <c r="G3564" s="204"/>
      <c r="H3564" s="204"/>
      <c r="I3564" s="204"/>
      <c r="J3564" s="204"/>
      <c r="K3564" s="204"/>
      <c r="L3564" s="204"/>
      <c r="M3564" s="204"/>
      <c r="N3564" s="204"/>
      <c r="O3564" s="204"/>
      <c r="P3564" s="204"/>
      <c r="T3564" s="217"/>
    </row>
    <row r="3565" spans="2:20">
      <c r="B3565" s="204"/>
      <c r="C3565" s="204"/>
      <c r="D3565" s="204"/>
      <c r="E3565" s="204"/>
      <c r="F3565" s="204"/>
      <c r="G3565" s="204"/>
      <c r="H3565" s="204"/>
      <c r="I3565" s="204"/>
      <c r="J3565" s="204"/>
      <c r="K3565" s="204"/>
      <c r="L3565" s="204"/>
      <c r="M3565" s="204"/>
      <c r="N3565" s="204"/>
      <c r="O3565" s="204"/>
      <c r="P3565" s="204"/>
      <c r="T3565" s="217"/>
    </row>
    <row r="3566" spans="2:20">
      <c r="B3566" s="204"/>
      <c r="C3566" s="204"/>
      <c r="D3566" s="204"/>
      <c r="E3566" s="204"/>
      <c r="F3566" s="204"/>
      <c r="G3566" s="204"/>
      <c r="H3566" s="204"/>
      <c r="I3566" s="204"/>
      <c r="J3566" s="204"/>
      <c r="K3566" s="204"/>
      <c r="L3566" s="204"/>
      <c r="M3566" s="204"/>
      <c r="N3566" s="204"/>
      <c r="O3566" s="204"/>
      <c r="P3566" s="204"/>
      <c r="T3566" s="217"/>
    </row>
    <row r="3567" spans="2:20">
      <c r="B3567" s="204"/>
      <c r="C3567" s="204"/>
      <c r="D3567" s="204"/>
      <c r="E3567" s="204"/>
      <c r="F3567" s="204"/>
      <c r="G3567" s="204"/>
      <c r="H3567" s="204"/>
      <c r="I3567" s="204"/>
      <c r="J3567" s="204"/>
      <c r="K3567" s="204"/>
      <c r="L3567" s="204"/>
      <c r="M3567" s="204"/>
      <c r="N3567" s="204"/>
      <c r="O3567" s="204"/>
      <c r="P3567" s="204"/>
      <c r="T3567" s="217"/>
    </row>
    <row r="3568" spans="2:20">
      <c r="B3568" s="204"/>
      <c r="C3568" s="204"/>
      <c r="D3568" s="204"/>
      <c r="E3568" s="204"/>
      <c r="F3568" s="204"/>
      <c r="G3568" s="204"/>
      <c r="H3568" s="204"/>
      <c r="I3568" s="204"/>
      <c r="J3568" s="204"/>
      <c r="K3568" s="204"/>
      <c r="L3568" s="204"/>
      <c r="M3568" s="204"/>
      <c r="N3568" s="204"/>
      <c r="O3568" s="204"/>
      <c r="P3568" s="204"/>
      <c r="T3568" s="217"/>
    </row>
    <row r="3569" spans="2:20">
      <c r="B3569" s="204"/>
      <c r="C3569" s="204"/>
      <c r="D3569" s="204"/>
      <c r="E3569" s="204"/>
      <c r="F3569" s="204"/>
      <c r="G3569" s="204"/>
      <c r="H3569" s="204"/>
      <c r="I3569" s="204"/>
      <c r="J3569" s="204"/>
      <c r="K3569" s="204"/>
      <c r="L3569" s="204"/>
      <c r="M3569" s="204"/>
      <c r="N3569" s="204"/>
      <c r="O3569" s="204"/>
      <c r="P3569" s="204"/>
      <c r="T3569" s="217"/>
    </row>
    <row r="3570" spans="2:20">
      <c r="B3570" s="204"/>
      <c r="C3570" s="204"/>
      <c r="D3570" s="204"/>
      <c r="E3570" s="204"/>
      <c r="F3570" s="204"/>
      <c r="G3570" s="204"/>
      <c r="H3570" s="204"/>
      <c r="I3570" s="204"/>
      <c r="J3570" s="204"/>
      <c r="K3570" s="204"/>
      <c r="L3570" s="204"/>
      <c r="M3570" s="204"/>
      <c r="N3570" s="204"/>
      <c r="O3570" s="204"/>
      <c r="P3570" s="204"/>
      <c r="T3570" s="217"/>
    </row>
    <row r="3571" spans="2:20">
      <c r="B3571" s="204"/>
      <c r="C3571" s="204"/>
      <c r="D3571" s="204"/>
      <c r="E3571" s="204"/>
      <c r="F3571" s="204"/>
      <c r="G3571" s="204"/>
      <c r="H3571" s="204"/>
      <c r="I3571" s="204"/>
      <c r="J3571" s="204"/>
      <c r="K3571" s="204"/>
      <c r="L3571" s="204"/>
      <c r="M3571" s="204"/>
      <c r="N3571" s="204"/>
      <c r="O3571" s="204"/>
      <c r="P3571" s="204"/>
      <c r="T3571" s="217"/>
    </row>
    <row r="3572" spans="2:20">
      <c r="B3572" s="204"/>
      <c r="C3572" s="204"/>
      <c r="D3572" s="204"/>
      <c r="E3572" s="204"/>
      <c r="F3572" s="204"/>
      <c r="G3572" s="204"/>
      <c r="H3572" s="204"/>
      <c r="I3572" s="204"/>
      <c r="J3572" s="204"/>
      <c r="K3572" s="204"/>
      <c r="L3572" s="204"/>
      <c r="M3572" s="204"/>
      <c r="N3572" s="204"/>
      <c r="O3572" s="204"/>
      <c r="P3572" s="204"/>
      <c r="T3572" s="217"/>
    </row>
    <row r="3573" spans="2:20">
      <c r="B3573" s="204"/>
      <c r="C3573" s="204"/>
      <c r="D3573" s="204"/>
      <c r="E3573" s="204"/>
      <c r="F3573" s="204"/>
      <c r="G3573" s="204"/>
      <c r="H3573" s="204"/>
      <c r="I3573" s="204"/>
      <c r="J3573" s="204"/>
      <c r="K3573" s="204"/>
      <c r="L3573" s="204"/>
      <c r="M3573" s="204"/>
      <c r="N3573" s="204"/>
      <c r="O3573" s="204"/>
      <c r="P3573" s="204"/>
      <c r="T3573" s="217"/>
    </row>
    <row r="3574" spans="2:20">
      <c r="B3574" s="204"/>
      <c r="C3574" s="204"/>
      <c r="D3574" s="204"/>
      <c r="E3574" s="204"/>
      <c r="F3574" s="204"/>
      <c r="G3574" s="204"/>
      <c r="H3574" s="204"/>
      <c r="I3574" s="204"/>
      <c r="J3574" s="204"/>
      <c r="K3574" s="204"/>
      <c r="L3574" s="204"/>
      <c r="M3574" s="204"/>
      <c r="N3574" s="204"/>
      <c r="O3574" s="204"/>
      <c r="P3574" s="204"/>
      <c r="T3574" s="217"/>
    </row>
    <row r="3575" spans="2:20">
      <c r="B3575" s="204"/>
      <c r="C3575" s="204"/>
      <c r="D3575" s="204"/>
      <c r="E3575" s="204"/>
      <c r="F3575" s="204"/>
      <c r="G3575" s="204"/>
      <c r="H3575" s="204"/>
      <c r="I3575" s="204"/>
      <c r="J3575" s="204"/>
      <c r="K3575" s="204"/>
      <c r="L3575" s="204"/>
      <c r="M3575" s="204"/>
      <c r="N3575" s="204"/>
      <c r="O3575" s="204"/>
      <c r="P3575" s="204"/>
      <c r="T3575" s="217"/>
    </row>
    <row r="3576" spans="2:20">
      <c r="B3576" s="204"/>
      <c r="C3576" s="204"/>
      <c r="D3576" s="204"/>
      <c r="E3576" s="204"/>
      <c r="F3576" s="204"/>
      <c r="G3576" s="204"/>
      <c r="H3576" s="204"/>
      <c r="I3576" s="204"/>
      <c r="J3576" s="204"/>
      <c r="K3576" s="204"/>
      <c r="L3576" s="204"/>
      <c r="M3576" s="204"/>
      <c r="N3576" s="204"/>
      <c r="O3576" s="204"/>
      <c r="P3576" s="204"/>
      <c r="T3576" s="217"/>
    </row>
    <row r="3577" spans="2:20">
      <c r="B3577" s="204"/>
      <c r="C3577" s="204"/>
      <c r="D3577" s="204"/>
      <c r="E3577" s="204"/>
      <c r="F3577" s="204"/>
      <c r="G3577" s="204"/>
      <c r="H3577" s="204"/>
      <c r="I3577" s="204"/>
      <c r="J3577" s="204"/>
      <c r="K3577" s="204"/>
      <c r="L3577" s="204"/>
      <c r="M3577" s="204"/>
      <c r="N3577" s="204"/>
      <c r="O3577" s="204"/>
      <c r="P3577" s="204"/>
      <c r="T3577" s="217"/>
    </row>
    <row r="3578" spans="2:20">
      <c r="B3578" s="204"/>
      <c r="C3578" s="204"/>
      <c r="D3578" s="204"/>
      <c r="E3578" s="204"/>
      <c r="F3578" s="204"/>
      <c r="G3578" s="204"/>
      <c r="H3578" s="204"/>
      <c r="I3578" s="204"/>
      <c r="J3578" s="204"/>
      <c r="K3578" s="204"/>
      <c r="L3578" s="204"/>
      <c r="M3578" s="204"/>
      <c r="N3578" s="204"/>
      <c r="O3578" s="204"/>
      <c r="P3578" s="204"/>
      <c r="T3578" s="217"/>
    </row>
    <row r="3579" spans="2:20">
      <c r="B3579" s="204"/>
      <c r="C3579" s="204"/>
      <c r="D3579" s="204"/>
      <c r="E3579" s="204"/>
      <c r="F3579" s="204"/>
      <c r="G3579" s="204"/>
      <c r="H3579" s="204"/>
      <c r="I3579" s="204"/>
      <c r="J3579" s="204"/>
      <c r="K3579" s="204"/>
      <c r="L3579" s="204"/>
      <c r="M3579" s="204"/>
      <c r="N3579" s="204"/>
      <c r="O3579" s="204"/>
      <c r="P3579" s="204"/>
      <c r="T3579" s="217"/>
    </row>
    <row r="3580" spans="2:20">
      <c r="B3580" s="204"/>
      <c r="C3580" s="204"/>
      <c r="D3580" s="204"/>
      <c r="E3580" s="204"/>
      <c r="F3580" s="204"/>
      <c r="G3580" s="204"/>
      <c r="H3580" s="204"/>
      <c r="I3580" s="204"/>
      <c r="J3580" s="204"/>
      <c r="K3580" s="204"/>
      <c r="L3580" s="204"/>
      <c r="M3580" s="204"/>
      <c r="N3580" s="204"/>
      <c r="O3580" s="204"/>
      <c r="P3580" s="204"/>
      <c r="T3580" s="217"/>
    </row>
    <row r="3581" spans="2:20">
      <c r="B3581" s="204"/>
      <c r="C3581" s="204"/>
      <c r="D3581" s="204"/>
      <c r="E3581" s="204"/>
      <c r="F3581" s="204"/>
      <c r="G3581" s="204"/>
      <c r="H3581" s="204"/>
      <c r="I3581" s="204"/>
      <c r="J3581" s="204"/>
      <c r="K3581" s="204"/>
      <c r="L3581" s="204"/>
      <c r="M3581" s="204"/>
      <c r="N3581" s="204"/>
      <c r="O3581" s="204"/>
      <c r="P3581" s="204"/>
      <c r="T3581" s="217"/>
    </row>
    <row r="3582" spans="2:20">
      <c r="B3582" s="204"/>
      <c r="C3582" s="204"/>
      <c r="D3582" s="204"/>
      <c r="E3582" s="204"/>
      <c r="F3582" s="204"/>
      <c r="G3582" s="204"/>
      <c r="H3582" s="204"/>
      <c r="I3582" s="204"/>
      <c r="J3582" s="204"/>
      <c r="K3582" s="204"/>
      <c r="L3582" s="204"/>
      <c r="M3582" s="204"/>
      <c r="N3582" s="204"/>
      <c r="O3582" s="204"/>
      <c r="P3582" s="204"/>
      <c r="T3582" s="217"/>
    </row>
    <row r="3583" spans="2:20">
      <c r="B3583" s="204"/>
      <c r="C3583" s="204"/>
      <c r="D3583" s="204"/>
      <c r="E3583" s="204"/>
      <c r="F3583" s="204"/>
      <c r="G3583" s="204"/>
      <c r="H3583" s="204"/>
      <c r="I3583" s="204"/>
      <c r="J3583" s="204"/>
      <c r="K3583" s="204"/>
      <c r="L3583" s="204"/>
      <c r="M3583" s="204"/>
      <c r="N3583" s="204"/>
      <c r="O3583" s="204"/>
      <c r="P3583" s="204"/>
      <c r="T3583" s="217"/>
    </row>
    <row r="3584" spans="2:20">
      <c r="B3584" s="204"/>
      <c r="C3584" s="204"/>
      <c r="D3584" s="204"/>
      <c r="E3584" s="204"/>
      <c r="F3584" s="204"/>
      <c r="G3584" s="204"/>
      <c r="H3584" s="204"/>
      <c r="I3584" s="204"/>
      <c r="J3584" s="204"/>
      <c r="K3584" s="204"/>
      <c r="L3584" s="204"/>
      <c r="M3584" s="204"/>
      <c r="N3584" s="204"/>
      <c r="O3584" s="204"/>
      <c r="P3584" s="204"/>
      <c r="T3584" s="217"/>
    </row>
    <row r="3585" spans="2:20">
      <c r="B3585" s="204"/>
      <c r="C3585" s="204"/>
      <c r="D3585" s="204"/>
      <c r="E3585" s="204"/>
      <c r="F3585" s="204"/>
      <c r="G3585" s="204"/>
      <c r="H3585" s="204"/>
      <c r="I3585" s="204"/>
      <c r="J3585" s="204"/>
      <c r="K3585" s="204"/>
      <c r="L3585" s="204"/>
      <c r="M3585" s="204"/>
      <c r="N3585" s="204"/>
      <c r="O3585" s="204"/>
      <c r="P3585" s="204"/>
      <c r="T3585" s="217"/>
    </row>
    <row r="3586" spans="2:20">
      <c r="B3586" s="204"/>
      <c r="C3586" s="204"/>
      <c r="D3586" s="204"/>
      <c r="E3586" s="204"/>
      <c r="F3586" s="204"/>
      <c r="G3586" s="204"/>
      <c r="H3586" s="204"/>
      <c r="I3586" s="204"/>
      <c r="J3586" s="204"/>
      <c r="K3586" s="204"/>
      <c r="L3586" s="204"/>
      <c r="M3586" s="204"/>
      <c r="N3586" s="204"/>
      <c r="O3586" s="204"/>
      <c r="P3586" s="204"/>
      <c r="T3586" s="217"/>
    </row>
    <row r="3587" spans="2:20">
      <c r="B3587" s="204"/>
      <c r="C3587" s="204"/>
      <c r="D3587" s="204"/>
      <c r="E3587" s="204"/>
      <c r="F3587" s="204"/>
      <c r="G3587" s="204"/>
      <c r="H3587" s="204"/>
      <c r="I3587" s="204"/>
      <c r="J3587" s="204"/>
      <c r="K3587" s="204"/>
      <c r="L3587" s="204"/>
      <c r="M3587" s="204"/>
      <c r="N3587" s="204"/>
      <c r="O3587" s="204"/>
      <c r="P3587" s="204"/>
      <c r="T3587" s="217"/>
    </row>
    <row r="3588" spans="2:20">
      <c r="B3588" s="204"/>
      <c r="C3588" s="204"/>
      <c r="D3588" s="204"/>
      <c r="E3588" s="204"/>
      <c r="F3588" s="204"/>
      <c r="G3588" s="204"/>
      <c r="H3588" s="204"/>
      <c r="I3588" s="204"/>
      <c r="J3588" s="204"/>
      <c r="K3588" s="204"/>
      <c r="L3588" s="204"/>
      <c r="M3588" s="204"/>
      <c r="N3588" s="204"/>
      <c r="O3588" s="204"/>
      <c r="P3588" s="204"/>
      <c r="T3588" s="217"/>
    </row>
    <row r="3589" spans="2:20">
      <c r="B3589" s="204"/>
      <c r="C3589" s="204"/>
      <c r="D3589" s="204"/>
      <c r="E3589" s="204"/>
      <c r="F3589" s="204"/>
      <c r="G3589" s="204"/>
      <c r="H3589" s="204"/>
      <c r="I3589" s="204"/>
      <c r="J3589" s="204"/>
      <c r="K3589" s="204"/>
      <c r="L3589" s="204"/>
      <c r="M3589" s="204"/>
      <c r="N3589" s="204"/>
      <c r="O3589" s="204"/>
      <c r="P3589" s="204"/>
      <c r="T3589" s="217"/>
    </row>
    <row r="3590" spans="2:20">
      <c r="B3590" s="204"/>
      <c r="C3590" s="204"/>
      <c r="D3590" s="204"/>
      <c r="E3590" s="204"/>
      <c r="F3590" s="204"/>
      <c r="G3590" s="204"/>
      <c r="H3590" s="204"/>
      <c r="I3590" s="204"/>
      <c r="J3590" s="204"/>
      <c r="K3590" s="204"/>
      <c r="L3590" s="204"/>
      <c r="M3590" s="204"/>
      <c r="N3590" s="204"/>
      <c r="O3590" s="204"/>
      <c r="P3590" s="204"/>
      <c r="T3590" s="217"/>
    </row>
    <row r="3591" spans="2:20">
      <c r="B3591" s="204"/>
      <c r="C3591" s="204"/>
      <c r="D3591" s="204"/>
      <c r="E3591" s="204"/>
      <c r="F3591" s="204"/>
      <c r="G3591" s="204"/>
      <c r="H3591" s="204"/>
      <c r="I3591" s="204"/>
      <c r="J3591" s="204"/>
      <c r="K3591" s="204"/>
      <c r="L3591" s="204"/>
      <c r="M3591" s="204"/>
      <c r="N3591" s="204"/>
      <c r="O3591" s="204"/>
      <c r="P3591" s="204"/>
      <c r="T3591" s="217"/>
    </row>
    <row r="3592" spans="2:20">
      <c r="B3592" s="204"/>
      <c r="C3592" s="204"/>
      <c r="D3592" s="204"/>
      <c r="E3592" s="204"/>
      <c r="F3592" s="204"/>
      <c r="G3592" s="204"/>
      <c r="H3592" s="204"/>
      <c r="I3592" s="204"/>
      <c r="J3592" s="204"/>
      <c r="K3592" s="204"/>
      <c r="L3592" s="204"/>
      <c r="M3592" s="204"/>
      <c r="N3592" s="204"/>
      <c r="O3592" s="204"/>
      <c r="P3592" s="204"/>
      <c r="T3592" s="217"/>
    </row>
    <row r="3593" spans="2:20">
      <c r="B3593" s="204"/>
      <c r="C3593" s="204"/>
      <c r="D3593" s="204"/>
      <c r="E3593" s="204"/>
      <c r="F3593" s="204"/>
      <c r="G3593" s="204"/>
      <c r="H3593" s="204"/>
      <c r="I3593" s="204"/>
      <c r="J3593" s="204"/>
      <c r="K3593" s="204"/>
      <c r="L3593" s="204"/>
      <c r="M3593" s="204"/>
      <c r="N3593" s="204"/>
      <c r="O3593" s="204"/>
      <c r="P3593" s="204"/>
      <c r="T3593" s="217"/>
    </row>
    <row r="3594" spans="2:20">
      <c r="B3594" s="204"/>
      <c r="C3594" s="204"/>
      <c r="D3594" s="204"/>
      <c r="E3594" s="204"/>
      <c r="F3594" s="204"/>
      <c r="G3594" s="204"/>
      <c r="H3594" s="204"/>
      <c r="I3594" s="204"/>
      <c r="J3594" s="204"/>
      <c r="K3594" s="204"/>
      <c r="L3594" s="204"/>
      <c r="M3594" s="204"/>
      <c r="N3594" s="204"/>
      <c r="O3594" s="204"/>
      <c r="P3594" s="204"/>
      <c r="T3594" s="217"/>
    </row>
    <row r="3595" spans="2:20">
      <c r="B3595" s="204"/>
      <c r="C3595" s="204"/>
      <c r="D3595" s="204"/>
      <c r="E3595" s="204"/>
      <c r="F3595" s="204"/>
      <c r="G3595" s="204"/>
      <c r="H3595" s="204"/>
      <c r="I3595" s="204"/>
      <c r="J3595" s="204"/>
      <c r="K3595" s="204"/>
      <c r="L3595" s="204"/>
      <c r="M3595" s="204"/>
      <c r="N3595" s="204"/>
      <c r="O3595" s="204"/>
      <c r="P3595" s="204"/>
      <c r="T3595" s="217"/>
    </row>
    <row r="3596" spans="2:20">
      <c r="B3596" s="204"/>
      <c r="C3596" s="204"/>
      <c r="D3596" s="204"/>
      <c r="E3596" s="204"/>
      <c r="F3596" s="204"/>
      <c r="G3596" s="204"/>
      <c r="H3596" s="204"/>
      <c r="I3596" s="204"/>
      <c r="J3596" s="204"/>
      <c r="K3596" s="204"/>
      <c r="L3596" s="204"/>
      <c r="M3596" s="204"/>
      <c r="N3596" s="204"/>
      <c r="O3596" s="204"/>
      <c r="P3596" s="204"/>
      <c r="T3596" s="217"/>
    </row>
    <row r="3597" spans="2:20">
      <c r="B3597" s="204"/>
      <c r="C3597" s="204"/>
      <c r="D3597" s="204"/>
      <c r="E3597" s="204"/>
      <c r="F3597" s="204"/>
      <c r="G3597" s="204"/>
      <c r="H3597" s="204"/>
      <c r="I3597" s="204"/>
      <c r="J3597" s="204"/>
      <c r="K3597" s="204"/>
      <c r="L3597" s="204"/>
      <c r="M3597" s="204"/>
      <c r="N3597" s="204"/>
      <c r="O3597" s="204"/>
      <c r="P3597" s="204"/>
      <c r="T3597" s="217"/>
    </row>
    <row r="3598" spans="2:20">
      <c r="B3598" s="204"/>
      <c r="C3598" s="204"/>
      <c r="D3598" s="204"/>
      <c r="E3598" s="204"/>
      <c r="F3598" s="204"/>
      <c r="G3598" s="204"/>
      <c r="H3598" s="204"/>
      <c r="I3598" s="204"/>
      <c r="J3598" s="204"/>
      <c r="K3598" s="204"/>
      <c r="L3598" s="204"/>
      <c r="M3598" s="204"/>
      <c r="N3598" s="204"/>
      <c r="O3598" s="204"/>
      <c r="P3598" s="204"/>
      <c r="T3598" s="217"/>
    </row>
    <row r="3599" spans="2:20">
      <c r="B3599" s="204"/>
      <c r="C3599" s="204"/>
      <c r="D3599" s="204"/>
      <c r="E3599" s="204"/>
      <c r="F3599" s="204"/>
      <c r="G3599" s="204"/>
      <c r="H3599" s="204"/>
      <c r="I3599" s="204"/>
      <c r="J3599" s="204"/>
      <c r="K3599" s="204"/>
      <c r="L3599" s="204"/>
      <c r="M3599" s="204"/>
      <c r="N3599" s="204"/>
      <c r="O3599" s="204"/>
      <c r="P3599" s="204"/>
      <c r="T3599" s="217"/>
    </row>
    <row r="3600" spans="2:20">
      <c r="B3600" s="204"/>
      <c r="C3600" s="204"/>
      <c r="D3600" s="204"/>
      <c r="E3600" s="204"/>
      <c r="F3600" s="204"/>
      <c r="G3600" s="204"/>
      <c r="H3600" s="204"/>
      <c r="I3600" s="204"/>
      <c r="J3600" s="204"/>
      <c r="K3600" s="204"/>
      <c r="L3600" s="204"/>
      <c r="M3600" s="204"/>
      <c r="N3600" s="204"/>
      <c r="O3600" s="204"/>
      <c r="P3600" s="204"/>
      <c r="T3600" s="217"/>
    </row>
    <row r="3601" spans="2:20">
      <c r="B3601" s="204"/>
      <c r="C3601" s="204"/>
      <c r="D3601" s="204"/>
      <c r="E3601" s="204"/>
      <c r="F3601" s="204"/>
      <c r="G3601" s="204"/>
      <c r="H3601" s="204"/>
      <c r="I3601" s="204"/>
      <c r="J3601" s="204"/>
      <c r="K3601" s="204"/>
      <c r="L3601" s="204"/>
      <c r="M3601" s="204"/>
      <c r="N3601" s="204"/>
      <c r="O3601" s="204"/>
      <c r="P3601" s="204"/>
      <c r="T3601" s="217"/>
    </row>
    <row r="3602" spans="2:20">
      <c r="B3602" s="204"/>
      <c r="C3602" s="204"/>
      <c r="D3602" s="204"/>
      <c r="E3602" s="204"/>
      <c r="F3602" s="204"/>
      <c r="G3602" s="204"/>
      <c r="H3602" s="204"/>
      <c r="I3602" s="204"/>
      <c r="J3602" s="204"/>
      <c r="K3602" s="204"/>
      <c r="L3602" s="204"/>
      <c r="M3602" s="204"/>
      <c r="N3602" s="204"/>
      <c r="O3602" s="204"/>
      <c r="P3602" s="204"/>
      <c r="T3602" s="217"/>
    </row>
    <row r="3603" spans="2:20">
      <c r="B3603" s="204"/>
      <c r="C3603" s="204"/>
      <c r="D3603" s="204"/>
      <c r="E3603" s="204"/>
      <c r="F3603" s="204"/>
      <c r="G3603" s="204"/>
      <c r="H3603" s="204"/>
      <c r="I3603" s="204"/>
      <c r="J3603" s="204"/>
      <c r="K3603" s="204"/>
      <c r="L3603" s="204"/>
      <c r="M3603" s="204"/>
      <c r="N3603" s="204"/>
      <c r="O3603" s="204"/>
      <c r="P3603" s="204"/>
      <c r="T3603" s="217"/>
    </row>
    <row r="3604" spans="2:20">
      <c r="B3604" s="204"/>
      <c r="C3604" s="204"/>
      <c r="D3604" s="204"/>
      <c r="E3604" s="204"/>
      <c r="F3604" s="204"/>
      <c r="G3604" s="204"/>
      <c r="H3604" s="204"/>
      <c r="I3604" s="204"/>
      <c r="J3604" s="204"/>
      <c r="K3604" s="204"/>
      <c r="L3604" s="204"/>
      <c r="M3604" s="204"/>
      <c r="N3604" s="204"/>
      <c r="O3604" s="204"/>
      <c r="P3604" s="204"/>
      <c r="T3604" s="217"/>
    </row>
    <row r="3605" spans="2:20">
      <c r="B3605" s="204"/>
      <c r="C3605" s="204"/>
      <c r="D3605" s="204"/>
      <c r="E3605" s="204"/>
      <c r="F3605" s="204"/>
      <c r="G3605" s="204"/>
      <c r="H3605" s="204"/>
      <c r="I3605" s="204"/>
      <c r="J3605" s="204"/>
      <c r="K3605" s="204"/>
      <c r="L3605" s="204"/>
      <c r="M3605" s="204"/>
      <c r="N3605" s="204"/>
      <c r="O3605" s="204"/>
      <c r="P3605" s="204"/>
      <c r="T3605" s="217"/>
    </row>
    <row r="3606" spans="2:20">
      <c r="B3606" s="204"/>
      <c r="C3606" s="204"/>
      <c r="D3606" s="204"/>
      <c r="E3606" s="204"/>
      <c r="F3606" s="204"/>
      <c r="G3606" s="204"/>
      <c r="H3606" s="204"/>
      <c r="I3606" s="204"/>
      <c r="J3606" s="204"/>
      <c r="K3606" s="204"/>
      <c r="L3606" s="204"/>
      <c r="M3606" s="204"/>
      <c r="N3606" s="204"/>
      <c r="O3606" s="204"/>
      <c r="P3606" s="204"/>
      <c r="T3606" s="217"/>
    </row>
    <row r="3607" spans="2:20">
      <c r="B3607" s="204"/>
      <c r="C3607" s="204"/>
      <c r="D3607" s="204"/>
      <c r="E3607" s="204"/>
      <c r="F3607" s="204"/>
      <c r="G3607" s="204"/>
      <c r="H3607" s="204"/>
      <c r="I3607" s="204"/>
      <c r="J3607" s="204"/>
      <c r="K3607" s="204"/>
      <c r="L3607" s="204"/>
      <c r="M3607" s="204"/>
      <c r="N3607" s="204"/>
      <c r="O3607" s="204"/>
      <c r="P3607" s="204"/>
      <c r="T3607" s="217"/>
    </row>
    <row r="3608" spans="2:20">
      <c r="B3608" s="204"/>
      <c r="C3608" s="204"/>
      <c r="D3608" s="204"/>
      <c r="E3608" s="204"/>
      <c r="F3608" s="204"/>
      <c r="G3608" s="204"/>
      <c r="H3608" s="204"/>
      <c r="I3608" s="204"/>
      <c r="J3608" s="204"/>
      <c r="K3608" s="204"/>
      <c r="L3608" s="204"/>
      <c r="M3608" s="204"/>
      <c r="N3608" s="204"/>
      <c r="O3608" s="204"/>
      <c r="P3608" s="204"/>
      <c r="T3608" s="217"/>
    </row>
    <row r="3609" spans="2:20">
      <c r="B3609" s="204"/>
      <c r="C3609" s="204"/>
      <c r="D3609" s="204"/>
      <c r="E3609" s="204"/>
      <c r="F3609" s="204"/>
      <c r="G3609" s="204"/>
      <c r="H3609" s="204"/>
      <c r="I3609" s="204"/>
      <c r="J3609" s="204"/>
      <c r="K3609" s="204"/>
      <c r="L3609" s="204"/>
      <c r="M3609" s="204"/>
      <c r="N3609" s="204"/>
      <c r="O3609" s="204"/>
      <c r="P3609" s="204"/>
      <c r="T3609" s="217"/>
    </row>
    <row r="3610" spans="2:20">
      <c r="B3610" s="204"/>
      <c r="C3610" s="204"/>
      <c r="D3610" s="204"/>
      <c r="E3610" s="204"/>
      <c r="F3610" s="204"/>
      <c r="G3610" s="204"/>
      <c r="H3610" s="204"/>
      <c r="I3610" s="204"/>
      <c r="J3610" s="204"/>
      <c r="K3610" s="204"/>
      <c r="L3610" s="204"/>
      <c r="M3610" s="204"/>
      <c r="N3610" s="204"/>
      <c r="O3610" s="204"/>
      <c r="P3610" s="204"/>
      <c r="T3610" s="217"/>
    </row>
    <row r="3611" spans="2:20">
      <c r="B3611" s="204"/>
      <c r="C3611" s="204"/>
      <c r="D3611" s="204"/>
      <c r="E3611" s="204"/>
      <c r="F3611" s="204"/>
      <c r="G3611" s="204"/>
      <c r="H3611" s="204"/>
      <c r="I3611" s="204"/>
      <c r="J3611" s="204"/>
      <c r="K3611" s="204"/>
      <c r="L3611" s="204"/>
      <c r="M3611" s="204"/>
      <c r="N3611" s="204"/>
      <c r="O3611" s="204"/>
      <c r="P3611" s="204"/>
      <c r="T3611" s="217"/>
    </row>
    <row r="3612" spans="2:20">
      <c r="B3612" s="204"/>
      <c r="C3612" s="204"/>
      <c r="D3612" s="204"/>
      <c r="E3612" s="204"/>
      <c r="F3612" s="204"/>
      <c r="G3612" s="204"/>
      <c r="H3612" s="204"/>
      <c r="I3612" s="204"/>
      <c r="J3612" s="204"/>
      <c r="K3612" s="204"/>
      <c r="L3612" s="204"/>
      <c r="M3612" s="204"/>
      <c r="N3612" s="204"/>
      <c r="O3612" s="204"/>
      <c r="P3612" s="204"/>
      <c r="T3612" s="217"/>
    </row>
    <row r="3613" spans="2:20">
      <c r="B3613" s="204"/>
      <c r="C3613" s="204"/>
      <c r="D3613" s="204"/>
      <c r="E3613" s="204"/>
      <c r="F3613" s="204"/>
      <c r="G3613" s="204"/>
      <c r="H3613" s="204"/>
      <c r="I3613" s="204"/>
      <c r="J3613" s="204"/>
      <c r="K3613" s="204"/>
      <c r="L3613" s="204"/>
      <c r="M3613" s="204"/>
      <c r="N3613" s="204"/>
      <c r="O3613" s="204"/>
      <c r="P3613" s="204"/>
      <c r="T3613" s="217"/>
    </row>
    <row r="3614" spans="2:20">
      <c r="B3614" s="204"/>
      <c r="C3614" s="204"/>
      <c r="D3614" s="204"/>
      <c r="E3614" s="204"/>
      <c r="F3614" s="204"/>
      <c r="G3614" s="204"/>
      <c r="H3614" s="204"/>
      <c r="I3614" s="204"/>
      <c r="J3614" s="204"/>
      <c r="K3614" s="204"/>
      <c r="L3614" s="204"/>
      <c r="M3614" s="204"/>
      <c r="N3614" s="204"/>
      <c r="O3614" s="204"/>
      <c r="P3614" s="204"/>
      <c r="T3614" s="217"/>
    </row>
    <row r="3615" spans="2:20">
      <c r="B3615" s="204"/>
      <c r="C3615" s="204"/>
      <c r="D3615" s="204"/>
      <c r="E3615" s="204"/>
      <c r="F3615" s="204"/>
      <c r="G3615" s="204"/>
      <c r="H3615" s="204"/>
      <c r="I3615" s="204"/>
      <c r="J3615" s="204"/>
      <c r="K3615" s="204"/>
      <c r="L3615" s="204"/>
      <c r="M3615" s="204"/>
      <c r="N3615" s="204"/>
      <c r="O3615" s="204"/>
      <c r="P3615" s="204"/>
      <c r="T3615" s="217"/>
    </row>
    <row r="3616" spans="2:20">
      <c r="B3616" s="204"/>
      <c r="C3616" s="204"/>
      <c r="D3616" s="204"/>
      <c r="E3616" s="204"/>
      <c r="F3616" s="204"/>
      <c r="G3616" s="204"/>
      <c r="H3616" s="204"/>
      <c r="I3616" s="204"/>
      <c r="J3616" s="204"/>
      <c r="K3616" s="204"/>
      <c r="L3616" s="204"/>
      <c r="M3616" s="204"/>
      <c r="N3616" s="204"/>
      <c r="O3616" s="204"/>
      <c r="P3616" s="204"/>
      <c r="T3616" s="217"/>
    </row>
    <row r="3617" spans="2:20">
      <c r="B3617" s="204"/>
      <c r="C3617" s="204"/>
      <c r="D3617" s="204"/>
      <c r="E3617" s="204"/>
      <c r="F3617" s="204"/>
      <c r="G3617" s="204"/>
      <c r="H3617" s="204"/>
      <c r="I3617" s="204"/>
      <c r="J3617" s="204"/>
      <c r="K3617" s="204"/>
      <c r="L3617" s="204"/>
      <c r="M3617" s="204"/>
      <c r="N3617" s="204"/>
      <c r="O3617" s="204"/>
      <c r="P3617" s="204"/>
      <c r="T3617" s="217"/>
    </row>
    <row r="3618" spans="2:20">
      <c r="B3618" s="204"/>
      <c r="C3618" s="204"/>
      <c r="D3618" s="204"/>
      <c r="E3618" s="204"/>
      <c r="F3618" s="204"/>
      <c r="G3618" s="204"/>
      <c r="H3618" s="204"/>
      <c r="I3618" s="204"/>
      <c r="J3618" s="204"/>
      <c r="K3618" s="204"/>
      <c r="L3618" s="204"/>
      <c r="M3618" s="204"/>
      <c r="N3618" s="204"/>
      <c r="O3618" s="204"/>
      <c r="P3618" s="204"/>
      <c r="T3618" s="217"/>
    </row>
    <row r="3619" spans="2:20">
      <c r="B3619" s="204"/>
      <c r="C3619" s="204"/>
      <c r="D3619" s="204"/>
      <c r="E3619" s="204"/>
      <c r="F3619" s="204"/>
      <c r="G3619" s="204"/>
      <c r="H3619" s="204"/>
      <c r="I3619" s="204"/>
      <c r="J3619" s="204"/>
      <c r="K3619" s="204"/>
      <c r="L3619" s="204"/>
      <c r="M3619" s="204"/>
      <c r="N3619" s="204"/>
      <c r="O3619" s="204"/>
      <c r="P3619" s="204"/>
      <c r="T3619" s="217"/>
    </row>
    <row r="3620" spans="2:20">
      <c r="B3620" s="204"/>
      <c r="C3620" s="204"/>
      <c r="D3620" s="204"/>
      <c r="E3620" s="204"/>
      <c r="F3620" s="204"/>
      <c r="G3620" s="204"/>
      <c r="H3620" s="204"/>
      <c r="I3620" s="204"/>
      <c r="J3620" s="204"/>
      <c r="K3620" s="204"/>
      <c r="L3620" s="204"/>
      <c r="M3620" s="204"/>
      <c r="N3620" s="204"/>
      <c r="O3620" s="204"/>
      <c r="P3620" s="204"/>
      <c r="T3620" s="217"/>
    </row>
    <row r="3621" spans="2:20">
      <c r="B3621" s="204"/>
      <c r="C3621" s="204"/>
      <c r="D3621" s="204"/>
      <c r="E3621" s="204"/>
      <c r="F3621" s="204"/>
      <c r="G3621" s="204"/>
      <c r="H3621" s="204"/>
      <c r="I3621" s="204"/>
      <c r="J3621" s="204"/>
      <c r="K3621" s="204"/>
      <c r="L3621" s="204"/>
      <c r="M3621" s="204"/>
      <c r="N3621" s="204"/>
      <c r="O3621" s="204"/>
      <c r="P3621" s="204"/>
      <c r="T3621" s="217"/>
    </row>
    <row r="3622" spans="2:20">
      <c r="B3622" s="204"/>
      <c r="C3622" s="204"/>
      <c r="D3622" s="204"/>
      <c r="E3622" s="204"/>
      <c r="F3622" s="204"/>
      <c r="G3622" s="204"/>
      <c r="H3622" s="204"/>
      <c r="I3622" s="204"/>
      <c r="J3622" s="204"/>
      <c r="K3622" s="204"/>
      <c r="L3622" s="204"/>
      <c r="M3622" s="204"/>
      <c r="N3622" s="204"/>
      <c r="O3622" s="204"/>
      <c r="P3622" s="204"/>
      <c r="T3622" s="217"/>
    </row>
    <row r="3623" spans="2:20">
      <c r="B3623" s="204"/>
      <c r="C3623" s="204"/>
      <c r="D3623" s="204"/>
      <c r="E3623" s="204"/>
      <c r="F3623" s="204"/>
      <c r="G3623" s="204"/>
      <c r="H3623" s="204"/>
      <c r="I3623" s="204"/>
      <c r="J3623" s="204"/>
      <c r="K3623" s="204"/>
      <c r="L3623" s="204"/>
      <c r="M3623" s="204"/>
      <c r="N3623" s="204"/>
      <c r="O3623" s="204"/>
      <c r="P3623" s="204"/>
      <c r="T3623" s="217"/>
    </row>
    <row r="3624" spans="2:20">
      <c r="B3624" s="204"/>
      <c r="C3624" s="204"/>
      <c r="D3624" s="204"/>
      <c r="E3624" s="204"/>
      <c r="F3624" s="204"/>
      <c r="G3624" s="204"/>
      <c r="H3624" s="204"/>
      <c r="I3624" s="204"/>
      <c r="J3624" s="204"/>
      <c r="K3624" s="204"/>
      <c r="L3624" s="204"/>
      <c r="M3624" s="204"/>
      <c r="N3624" s="204"/>
      <c r="O3624" s="204"/>
      <c r="P3624" s="204"/>
      <c r="T3624" s="217"/>
    </row>
    <row r="3625" spans="2:20">
      <c r="B3625" s="204"/>
      <c r="C3625" s="204"/>
      <c r="D3625" s="204"/>
      <c r="E3625" s="204"/>
      <c r="F3625" s="204"/>
      <c r="G3625" s="204"/>
      <c r="H3625" s="204"/>
      <c r="I3625" s="204"/>
      <c r="J3625" s="204"/>
      <c r="K3625" s="204"/>
      <c r="L3625" s="204"/>
      <c r="M3625" s="204"/>
      <c r="N3625" s="204"/>
      <c r="O3625" s="204"/>
      <c r="P3625" s="204"/>
      <c r="T3625" s="217"/>
    </row>
    <row r="3626" spans="2:20">
      <c r="B3626" s="204"/>
      <c r="C3626" s="204"/>
      <c r="D3626" s="204"/>
      <c r="E3626" s="204"/>
      <c r="F3626" s="204"/>
      <c r="G3626" s="204"/>
      <c r="H3626" s="204"/>
      <c r="I3626" s="204"/>
      <c r="J3626" s="204"/>
      <c r="K3626" s="204"/>
      <c r="L3626" s="204"/>
      <c r="M3626" s="204"/>
      <c r="N3626" s="204"/>
      <c r="O3626" s="204"/>
      <c r="P3626" s="204"/>
      <c r="T3626" s="217"/>
    </row>
    <row r="3627" spans="2:20">
      <c r="B3627" s="204"/>
      <c r="C3627" s="204"/>
      <c r="D3627" s="204"/>
      <c r="E3627" s="204"/>
      <c r="F3627" s="204"/>
      <c r="G3627" s="204"/>
      <c r="H3627" s="204"/>
      <c r="I3627" s="204"/>
      <c r="J3627" s="204"/>
      <c r="K3627" s="204"/>
      <c r="L3627" s="204"/>
      <c r="M3627" s="204"/>
      <c r="N3627" s="204"/>
      <c r="O3627" s="204"/>
      <c r="P3627" s="204"/>
      <c r="T3627" s="217"/>
    </row>
    <row r="3628" spans="2:20">
      <c r="B3628" s="204"/>
      <c r="C3628" s="204"/>
      <c r="D3628" s="204"/>
      <c r="E3628" s="204"/>
      <c r="F3628" s="204"/>
      <c r="G3628" s="204"/>
      <c r="H3628" s="204"/>
      <c r="I3628" s="204"/>
      <c r="J3628" s="204"/>
      <c r="K3628" s="204"/>
      <c r="L3628" s="204"/>
      <c r="M3628" s="204"/>
      <c r="N3628" s="204"/>
      <c r="O3628" s="204"/>
      <c r="P3628" s="204"/>
      <c r="T3628" s="217"/>
    </row>
    <row r="3629" spans="2:20">
      <c r="B3629" s="204"/>
      <c r="C3629" s="204"/>
      <c r="D3629" s="204"/>
      <c r="E3629" s="204"/>
      <c r="F3629" s="204"/>
      <c r="G3629" s="204"/>
      <c r="H3629" s="204"/>
      <c r="I3629" s="204"/>
      <c r="J3629" s="204"/>
      <c r="K3629" s="204"/>
      <c r="L3629" s="204"/>
      <c r="M3629" s="204"/>
      <c r="N3629" s="204"/>
      <c r="O3629" s="204"/>
      <c r="P3629" s="204"/>
      <c r="T3629" s="217"/>
    </row>
    <row r="3630" spans="2:20">
      <c r="B3630" s="204"/>
      <c r="C3630" s="204"/>
      <c r="D3630" s="204"/>
      <c r="E3630" s="204"/>
      <c r="F3630" s="204"/>
      <c r="G3630" s="204"/>
      <c r="H3630" s="204"/>
      <c r="I3630" s="204"/>
      <c r="J3630" s="204"/>
      <c r="K3630" s="204"/>
      <c r="L3630" s="204"/>
      <c r="M3630" s="204"/>
      <c r="N3630" s="204"/>
      <c r="O3630" s="204"/>
      <c r="P3630" s="204"/>
      <c r="T3630" s="217"/>
    </row>
    <row r="3631" spans="2:20">
      <c r="B3631" s="204"/>
      <c r="C3631" s="204"/>
      <c r="D3631" s="204"/>
      <c r="E3631" s="204"/>
      <c r="F3631" s="204"/>
      <c r="G3631" s="204"/>
      <c r="H3631" s="204"/>
      <c r="I3631" s="204"/>
      <c r="J3631" s="204"/>
      <c r="K3631" s="204"/>
      <c r="L3631" s="204"/>
      <c r="M3631" s="204"/>
      <c r="N3631" s="204"/>
      <c r="O3631" s="204"/>
      <c r="P3631" s="204"/>
      <c r="T3631" s="217"/>
    </row>
    <row r="3632" spans="2:20">
      <c r="B3632" s="204"/>
      <c r="C3632" s="204"/>
      <c r="D3632" s="204"/>
      <c r="E3632" s="204"/>
      <c r="F3632" s="204"/>
      <c r="G3632" s="204"/>
      <c r="H3632" s="204"/>
      <c r="I3632" s="204"/>
      <c r="J3632" s="204"/>
      <c r="K3632" s="204"/>
      <c r="L3632" s="204"/>
      <c r="M3632" s="204"/>
      <c r="N3632" s="204"/>
      <c r="O3632" s="204"/>
      <c r="P3632" s="204"/>
      <c r="T3632" s="217"/>
    </row>
    <row r="3633" spans="2:20">
      <c r="B3633" s="204"/>
      <c r="C3633" s="204"/>
      <c r="D3633" s="204"/>
      <c r="E3633" s="204"/>
      <c r="F3633" s="204"/>
      <c r="G3633" s="204"/>
      <c r="H3633" s="204"/>
      <c r="I3633" s="204"/>
      <c r="J3633" s="204"/>
      <c r="K3633" s="204"/>
      <c r="L3633" s="204"/>
      <c r="M3633" s="204"/>
      <c r="N3633" s="204"/>
      <c r="O3633" s="204"/>
      <c r="P3633" s="204"/>
      <c r="T3633" s="217"/>
    </row>
    <row r="3634" spans="2:20">
      <c r="B3634" s="204"/>
      <c r="C3634" s="204"/>
      <c r="D3634" s="204"/>
      <c r="E3634" s="204"/>
      <c r="F3634" s="204"/>
      <c r="G3634" s="204"/>
      <c r="H3634" s="204"/>
      <c r="I3634" s="204"/>
      <c r="J3634" s="204"/>
      <c r="K3634" s="204"/>
      <c r="L3634" s="204"/>
      <c r="M3634" s="204"/>
      <c r="N3634" s="204"/>
      <c r="O3634" s="204"/>
      <c r="P3634" s="204"/>
      <c r="T3634" s="217"/>
    </row>
    <row r="3635" spans="2:20">
      <c r="B3635" s="204"/>
      <c r="C3635" s="204"/>
      <c r="D3635" s="204"/>
      <c r="E3635" s="204"/>
      <c r="F3635" s="204"/>
      <c r="G3635" s="204"/>
      <c r="H3635" s="204"/>
      <c r="I3635" s="204"/>
      <c r="J3635" s="204"/>
      <c r="K3635" s="204"/>
      <c r="L3635" s="204"/>
      <c r="M3635" s="204"/>
      <c r="N3635" s="204"/>
      <c r="O3635" s="204"/>
      <c r="P3635" s="204"/>
      <c r="T3635" s="217"/>
    </row>
    <row r="3636" spans="2:20">
      <c r="B3636" s="204"/>
      <c r="C3636" s="204"/>
      <c r="D3636" s="204"/>
      <c r="E3636" s="204"/>
      <c r="F3636" s="204"/>
      <c r="G3636" s="204"/>
      <c r="H3636" s="204"/>
      <c r="I3636" s="204"/>
      <c r="J3636" s="204"/>
      <c r="K3636" s="204"/>
      <c r="L3636" s="204"/>
      <c r="M3636" s="204"/>
      <c r="N3636" s="204"/>
      <c r="O3636" s="204"/>
      <c r="P3636" s="204"/>
      <c r="T3636" s="217"/>
    </row>
    <row r="3637" spans="2:20">
      <c r="B3637" s="204"/>
      <c r="C3637" s="204"/>
      <c r="D3637" s="204"/>
      <c r="E3637" s="204"/>
      <c r="F3637" s="204"/>
      <c r="G3637" s="204"/>
      <c r="H3637" s="204"/>
      <c r="I3637" s="204"/>
      <c r="J3637" s="204"/>
      <c r="K3637" s="204"/>
      <c r="L3637" s="204"/>
      <c r="M3637" s="204"/>
      <c r="N3637" s="204"/>
      <c r="O3637" s="204"/>
      <c r="P3637" s="204"/>
      <c r="T3637" s="217"/>
    </row>
    <row r="3638" spans="2:20">
      <c r="B3638" s="204"/>
      <c r="C3638" s="204"/>
      <c r="D3638" s="204"/>
      <c r="E3638" s="204"/>
      <c r="F3638" s="204"/>
      <c r="G3638" s="204"/>
      <c r="H3638" s="204"/>
      <c r="I3638" s="204"/>
      <c r="J3638" s="204"/>
      <c r="K3638" s="204"/>
      <c r="L3638" s="204"/>
      <c r="M3638" s="204"/>
      <c r="N3638" s="204"/>
      <c r="O3638" s="204"/>
      <c r="P3638" s="204"/>
      <c r="T3638" s="217"/>
    </row>
    <row r="3639" spans="2:20">
      <c r="B3639" s="204"/>
      <c r="C3639" s="204"/>
      <c r="D3639" s="204"/>
      <c r="E3639" s="204"/>
      <c r="F3639" s="204"/>
      <c r="G3639" s="204"/>
      <c r="H3639" s="204"/>
      <c r="I3639" s="204"/>
      <c r="J3639" s="204"/>
      <c r="K3639" s="204"/>
      <c r="L3639" s="204"/>
      <c r="M3639" s="204"/>
      <c r="N3639" s="204"/>
      <c r="O3639" s="204"/>
      <c r="P3639" s="204"/>
      <c r="T3639" s="217"/>
    </row>
    <row r="3640" spans="2:20">
      <c r="B3640" s="204"/>
      <c r="C3640" s="204"/>
      <c r="D3640" s="204"/>
      <c r="E3640" s="204"/>
      <c r="F3640" s="204"/>
      <c r="G3640" s="204"/>
      <c r="H3640" s="204"/>
      <c r="I3640" s="204"/>
      <c r="J3640" s="204"/>
      <c r="K3640" s="204"/>
      <c r="L3640" s="204"/>
      <c r="M3640" s="204"/>
      <c r="N3640" s="204"/>
      <c r="O3640" s="204"/>
      <c r="P3640" s="204"/>
      <c r="T3640" s="217"/>
    </row>
    <row r="3641" spans="2:20">
      <c r="B3641" s="204"/>
      <c r="C3641" s="204"/>
      <c r="D3641" s="204"/>
      <c r="E3641" s="204"/>
      <c r="F3641" s="204"/>
      <c r="G3641" s="204"/>
      <c r="H3641" s="204"/>
      <c r="I3641" s="204"/>
      <c r="J3641" s="204"/>
      <c r="K3641" s="204"/>
      <c r="L3641" s="204"/>
      <c r="M3641" s="204"/>
      <c r="N3641" s="204"/>
      <c r="O3641" s="204"/>
      <c r="P3641" s="204"/>
      <c r="T3641" s="217"/>
    </row>
    <row r="3642" spans="2:20">
      <c r="B3642" s="204"/>
      <c r="C3642" s="204"/>
      <c r="D3642" s="204"/>
      <c r="E3642" s="204"/>
      <c r="F3642" s="204"/>
      <c r="G3642" s="204"/>
      <c r="H3642" s="204"/>
      <c r="I3642" s="204"/>
      <c r="J3642" s="204"/>
      <c r="K3642" s="204"/>
      <c r="L3642" s="204"/>
      <c r="M3642" s="204"/>
      <c r="N3642" s="204"/>
      <c r="O3642" s="204"/>
      <c r="P3642" s="204"/>
      <c r="T3642" s="217"/>
    </row>
    <row r="3643" spans="2:20">
      <c r="B3643" s="204"/>
      <c r="C3643" s="204"/>
      <c r="D3643" s="204"/>
      <c r="E3643" s="204"/>
      <c r="F3643" s="204"/>
      <c r="G3643" s="204"/>
      <c r="H3643" s="204"/>
      <c r="I3643" s="204"/>
      <c r="J3643" s="204"/>
      <c r="K3643" s="204"/>
      <c r="L3643" s="204"/>
      <c r="M3643" s="204"/>
      <c r="N3643" s="204"/>
      <c r="O3643" s="204"/>
      <c r="P3643" s="204"/>
      <c r="T3643" s="217"/>
    </row>
    <row r="3644" spans="2:20">
      <c r="B3644" s="204"/>
      <c r="C3644" s="204"/>
      <c r="D3644" s="204"/>
      <c r="E3644" s="204"/>
      <c r="F3644" s="204"/>
      <c r="G3644" s="204"/>
      <c r="H3644" s="204"/>
      <c r="I3644" s="204"/>
      <c r="J3644" s="204"/>
      <c r="K3644" s="204"/>
      <c r="L3644" s="204"/>
      <c r="M3644" s="204"/>
      <c r="N3644" s="204"/>
      <c r="O3644" s="204"/>
      <c r="P3644" s="204"/>
      <c r="T3644" s="217"/>
    </row>
    <row r="3645" spans="2:20">
      <c r="B3645" s="204"/>
      <c r="C3645" s="204"/>
      <c r="D3645" s="204"/>
      <c r="E3645" s="204"/>
      <c r="F3645" s="204"/>
      <c r="G3645" s="204"/>
      <c r="H3645" s="204"/>
      <c r="I3645" s="204"/>
      <c r="J3645" s="204"/>
      <c r="K3645" s="204"/>
      <c r="L3645" s="204"/>
      <c r="M3645" s="204"/>
      <c r="N3645" s="204"/>
      <c r="O3645" s="204"/>
      <c r="P3645" s="204"/>
      <c r="T3645" s="217"/>
    </row>
    <row r="3646" spans="2:20">
      <c r="B3646" s="204"/>
      <c r="C3646" s="204"/>
      <c r="D3646" s="204"/>
      <c r="E3646" s="204"/>
      <c r="F3646" s="204"/>
      <c r="G3646" s="204"/>
      <c r="H3646" s="204"/>
      <c r="I3646" s="204"/>
      <c r="J3646" s="204"/>
      <c r="K3646" s="204"/>
      <c r="L3646" s="204"/>
      <c r="M3646" s="204"/>
      <c r="N3646" s="204"/>
      <c r="O3646" s="204"/>
      <c r="P3646" s="204"/>
      <c r="T3646" s="217"/>
    </row>
    <row r="3647" spans="2:20">
      <c r="B3647" s="204"/>
      <c r="C3647" s="204"/>
      <c r="D3647" s="204"/>
      <c r="E3647" s="204"/>
      <c r="F3647" s="204"/>
      <c r="G3647" s="204"/>
      <c r="H3647" s="204"/>
      <c r="I3647" s="204"/>
      <c r="J3647" s="204"/>
      <c r="K3647" s="204"/>
      <c r="L3647" s="204"/>
      <c r="M3647" s="204"/>
      <c r="N3647" s="204"/>
      <c r="O3647" s="204"/>
      <c r="P3647" s="204"/>
      <c r="T3647" s="217"/>
    </row>
    <row r="3648" spans="2:20">
      <c r="B3648" s="204"/>
      <c r="C3648" s="204"/>
      <c r="D3648" s="204"/>
      <c r="E3648" s="204"/>
      <c r="F3648" s="204"/>
      <c r="G3648" s="204"/>
      <c r="H3648" s="204"/>
      <c r="I3648" s="204"/>
      <c r="J3648" s="204"/>
      <c r="K3648" s="204"/>
      <c r="L3648" s="204"/>
      <c r="M3648" s="204"/>
      <c r="N3648" s="204"/>
      <c r="O3648" s="204"/>
      <c r="P3648" s="204"/>
      <c r="T3648" s="217"/>
    </row>
    <row r="3649" spans="2:20">
      <c r="B3649" s="204"/>
      <c r="C3649" s="204"/>
      <c r="D3649" s="204"/>
      <c r="E3649" s="204"/>
      <c r="F3649" s="204"/>
      <c r="G3649" s="204"/>
      <c r="H3649" s="204"/>
      <c r="I3649" s="204"/>
      <c r="J3649" s="204"/>
      <c r="K3649" s="204"/>
      <c r="L3649" s="204"/>
      <c r="M3649" s="204"/>
      <c r="N3649" s="204"/>
      <c r="O3649" s="204"/>
      <c r="P3649" s="204"/>
      <c r="T3649" s="217"/>
    </row>
    <row r="3650" spans="2:20">
      <c r="B3650" s="204"/>
      <c r="C3650" s="204"/>
      <c r="D3650" s="204"/>
      <c r="E3650" s="204"/>
      <c r="F3650" s="204"/>
      <c r="G3650" s="204"/>
      <c r="H3650" s="204"/>
      <c r="I3650" s="204"/>
      <c r="J3650" s="204"/>
      <c r="K3650" s="204"/>
      <c r="L3650" s="204"/>
      <c r="M3650" s="204"/>
      <c r="N3650" s="204"/>
      <c r="O3650" s="204"/>
      <c r="P3650" s="204"/>
      <c r="T3650" s="217"/>
    </row>
    <row r="3651" spans="2:20">
      <c r="B3651" s="204"/>
      <c r="C3651" s="204"/>
      <c r="D3651" s="204"/>
      <c r="E3651" s="204"/>
      <c r="F3651" s="204"/>
      <c r="G3651" s="204"/>
      <c r="H3651" s="204"/>
      <c r="I3651" s="204"/>
      <c r="J3651" s="204"/>
      <c r="K3651" s="204"/>
      <c r="L3651" s="204"/>
      <c r="M3651" s="204"/>
      <c r="N3651" s="204"/>
      <c r="O3651" s="204"/>
      <c r="P3651" s="204"/>
      <c r="T3651" s="217"/>
    </row>
    <row r="3652" spans="2:20">
      <c r="B3652" s="204"/>
      <c r="C3652" s="204"/>
      <c r="D3652" s="204"/>
      <c r="E3652" s="204"/>
      <c r="F3652" s="204"/>
      <c r="G3652" s="204"/>
      <c r="H3652" s="204"/>
      <c r="I3652" s="204"/>
      <c r="J3652" s="204"/>
      <c r="K3652" s="204"/>
      <c r="L3652" s="204"/>
      <c r="M3652" s="204"/>
      <c r="N3652" s="204"/>
      <c r="O3652" s="204"/>
      <c r="P3652" s="204"/>
      <c r="T3652" s="217"/>
    </row>
    <row r="3653" spans="2:20">
      <c r="B3653" s="204"/>
      <c r="C3653" s="204"/>
      <c r="D3653" s="204"/>
      <c r="E3653" s="204"/>
      <c r="F3653" s="204"/>
      <c r="G3653" s="204"/>
      <c r="H3653" s="204"/>
      <c r="I3653" s="204"/>
      <c r="J3653" s="204"/>
      <c r="K3653" s="204"/>
      <c r="L3653" s="204"/>
      <c r="M3653" s="204"/>
      <c r="N3653" s="204"/>
      <c r="O3653" s="204"/>
      <c r="P3653" s="204"/>
      <c r="T3653" s="217"/>
    </row>
    <row r="3654" spans="2:20">
      <c r="B3654" s="204"/>
      <c r="C3654" s="204"/>
      <c r="D3654" s="204"/>
      <c r="E3654" s="204"/>
      <c r="F3654" s="204"/>
      <c r="G3654" s="204"/>
      <c r="H3654" s="204"/>
      <c r="I3654" s="204"/>
      <c r="J3654" s="204"/>
      <c r="K3654" s="204"/>
      <c r="L3654" s="204"/>
      <c r="M3654" s="204"/>
      <c r="N3654" s="204"/>
      <c r="O3654" s="204"/>
      <c r="P3654" s="204"/>
      <c r="T3654" s="217"/>
    </row>
    <row r="3655" spans="2:20">
      <c r="B3655" s="204"/>
      <c r="C3655" s="204"/>
      <c r="D3655" s="204"/>
      <c r="E3655" s="204"/>
      <c r="F3655" s="204"/>
      <c r="G3655" s="204"/>
      <c r="H3655" s="204"/>
      <c r="I3655" s="204"/>
      <c r="J3655" s="204"/>
      <c r="K3655" s="204"/>
      <c r="L3655" s="204"/>
      <c r="M3655" s="204"/>
      <c r="N3655" s="204"/>
      <c r="O3655" s="204"/>
      <c r="P3655" s="204"/>
      <c r="T3655" s="217"/>
    </row>
    <row r="3656" spans="2:20">
      <c r="B3656" s="204"/>
      <c r="C3656" s="204"/>
      <c r="D3656" s="204"/>
      <c r="E3656" s="204"/>
      <c r="F3656" s="204"/>
      <c r="G3656" s="204"/>
      <c r="H3656" s="204"/>
      <c r="I3656" s="204"/>
      <c r="J3656" s="204"/>
      <c r="K3656" s="204"/>
      <c r="L3656" s="204"/>
      <c r="M3656" s="204"/>
      <c r="N3656" s="204"/>
      <c r="O3656" s="204"/>
      <c r="P3656" s="204"/>
      <c r="T3656" s="217"/>
    </row>
    <row r="3657" spans="2:20">
      <c r="B3657" s="204"/>
      <c r="C3657" s="204"/>
      <c r="D3657" s="204"/>
      <c r="E3657" s="204"/>
      <c r="F3657" s="204"/>
      <c r="G3657" s="204"/>
      <c r="H3657" s="204"/>
      <c r="I3657" s="204"/>
      <c r="J3657" s="204"/>
      <c r="K3657" s="204"/>
      <c r="L3657" s="204"/>
      <c r="M3657" s="204"/>
      <c r="N3657" s="204"/>
      <c r="O3657" s="204"/>
      <c r="P3657" s="204"/>
      <c r="T3657" s="217"/>
    </row>
    <row r="3658" spans="2:20">
      <c r="B3658" s="204"/>
      <c r="C3658" s="204"/>
      <c r="D3658" s="204"/>
      <c r="E3658" s="204"/>
      <c r="F3658" s="204"/>
      <c r="G3658" s="204"/>
      <c r="H3658" s="204"/>
      <c r="I3658" s="204"/>
      <c r="J3658" s="204"/>
      <c r="K3658" s="204"/>
      <c r="L3658" s="204"/>
      <c r="M3658" s="204"/>
      <c r="N3658" s="204"/>
      <c r="O3658" s="204"/>
      <c r="P3658" s="204"/>
      <c r="T3658" s="217"/>
    </row>
    <row r="3659" spans="2:20">
      <c r="B3659" s="204"/>
      <c r="C3659" s="204"/>
      <c r="D3659" s="204"/>
      <c r="E3659" s="204"/>
      <c r="F3659" s="204"/>
      <c r="G3659" s="204"/>
      <c r="H3659" s="204"/>
      <c r="I3659" s="204"/>
      <c r="J3659" s="204"/>
      <c r="K3659" s="204"/>
      <c r="L3659" s="204"/>
      <c r="M3659" s="204"/>
      <c r="N3659" s="204"/>
      <c r="O3659" s="204"/>
      <c r="P3659" s="204"/>
      <c r="T3659" s="217"/>
    </row>
    <row r="3660" spans="2:20">
      <c r="B3660" s="204"/>
      <c r="C3660" s="204"/>
      <c r="D3660" s="204"/>
      <c r="E3660" s="204"/>
      <c r="F3660" s="204"/>
      <c r="G3660" s="204"/>
      <c r="H3660" s="204"/>
      <c r="I3660" s="204"/>
      <c r="J3660" s="204"/>
      <c r="K3660" s="204"/>
      <c r="L3660" s="204"/>
      <c r="M3660" s="204"/>
      <c r="N3660" s="204"/>
      <c r="O3660" s="204"/>
      <c r="P3660" s="204"/>
      <c r="T3660" s="217"/>
    </row>
    <row r="3661" spans="2:20">
      <c r="B3661" s="204"/>
      <c r="C3661" s="204"/>
      <c r="D3661" s="204"/>
      <c r="E3661" s="204"/>
      <c r="F3661" s="204"/>
      <c r="G3661" s="204"/>
      <c r="H3661" s="204"/>
      <c r="I3661" s="204"/>
      <c r="J3661" s="204"/>
      <c r="K3661" s="204"/>
      <c r="L3661" s="204"/>
      <c r="M3661" s="204"/>
      <c r="N3661" s="204"/>
      <c r="O3661" s="204"/>
      <c r="P3661" s="204"/>
      <c r="T3661" s="217"/>
    </row>
    <row r="3662" spans="2:20">
      <c r="B3662" s="204"/>
      <c r="C3662" s="204"/>
      <c r="D3662" s="204"/>
      <c r="E3662" s="204"/>
      <c r="F3662" s="204"/>
      <c r="G3662" s="204"/>
      <c r="H3662" s="204"/>
      <c r="I3662" s="204"/>
      <c r="J3662" s="204"/>
      <c r="K3662" s="204"/>
      <c r="L3662" s="204"/>
      <c r="M3662" s="204"/>
      <c r="N3662" s="204"/>
      <c r="O3662" s="204"/>
      <c r="P3662" s="204"/>
      <c r="T3662" s="217"/>
    </row>
    <row r="3663" spans="2:20">
      <c r="B3663" s="204"/>
      <c r="C3663" s="204"/>
      <c r="D3663" s="204"/>
      <c r="E3663" s="204"/>
      <c r="F3663" s="204"/>
      <c r="G3663" s="204"/>
      <c r="H3663" s="204"/>
      <c r="I3663" s="204"/>
      <c r="J3663" s="204"/>
      <c r="K3663" s="204"/>
      <c r="L3663" s="204"/>
      <c r="M3663" s="204"/>
      <c r="N3663" s="204"/>
      <c r="O3663" s="204"/>
      <c r="P3663" s="204"/>
      <c r="T3663" s="217"/>
    </row>
    <row r="3664" spans="2:20">
      <c r="B3664" s="204"/>
      <c r="C3664" s="204"/>
      <c r="D3664" s="204"/>
      <c r="E3664" s="204"/>
      <c r="F3664" s="204"/>
      <c r="G3664" s="204"/>
      <c r="H3664" s="204"/>
      <c r="I3664" s="204"/>
      <c r="J3664" s="204"/>
      <c r="K3664" s="204"/>
      <c r="L3664" s="204"/>
      <c r="M3664" s="204"/>
      <c r="N3664" s="204"/>
      <c r="O3664" s="204"/>
      <c r="P3664" s="204"/>
      <c r="T3664" s="217"/>
    </row>
    <row r="3665" spans="2:20">
      <c r="B3665" s="204"/>
      <c r="C3665" s="204"/>
      <c r="D3665" s="204"/>
      <c r="E3665" s="204"/>
      <c r="F3665" s="204"/>
      <c r="G3665" s="204"/>
      <c r="H3665" s="204"/>
      <c r="I3665" s="204"/>
      <c r="J3665" s="204"/>
      <c r="K3665" s="204"/>
      <c r="L3665" s="204"/>
      <c r="M3665" s="204"/>
      <c r="N3665" s="204"/>
      <c r="O3665" s="204"/>
      <c r="P3665" s="204"/>
      <c r="T3665" s="217"/>
    </row>
    <row r="3666" spans="2:20">
      <c r="B3666" s="204"/>
      <c r="C3666" s="204"/>
      <c r="D3666" s="204"/>
      <c r="E3666" s="204"/>
      <c r="F3666" s="204"/>
      <c r="G3666" s="204"/>
      <c r="H3666" s="204"/>
      <c r="I3666" s="204"/>
      <c r="J3666" s="204"/>
      <c r="K3666" s="204"/>
      <c r="L3666" s="204"/>
      <c r="M3666" s="204"/>
      <c r="N3666" s="204"/>
      <c r="O3666" s="204"/>
      <c r="P3666" s="204"/>
      <c r="T3666" s="217"/>
    </row>
    <row r="3667" spans="2:20">
      <c r="B3667" s="204"/>
      <c r="C3667" s="204"/>
      <c r="D3667" s="204"/>
      <c r="E3667" s="204"/>
      <c r="F3667" s="204"/>
      <c r="G3667" s="204"/>
      <c r="H3667" s="204"/>
      <c r="I3667" s="204"/>
      <c r="J3667" s="204"/>
      <c r="K3667" s="204"/>
      <c r="L3667" s="204"/>
      <c r="M3667" s="204"/>
      <c r="N3667" s="204"/>
      <c r="O3667" s="204"/>
      <c r="P3667" s="204"/>
      <c r="T3667" s="217"/>
    </row>
    <row r="3668" spans="2:20">
      <c r="B3668" s="204"/>
      <c r="C3668" s="204"/>
      <c r="D3668" s="204"/>
      <c r="E3668" s="204"/>
      <c r="F3668" s="204"/>
      <c r="G3668" s="204"/>
      <c r="H3668" s="204"/>
      <c r="I3668" s="204"/>
      <c r="J3668" s="204"/>
      <c r="K3668" s="204"/>
      <c r="L3668" s="204"/>
      <c r="M3668" s="204"/>
      <c r="N3668" s="204"/>
      <c r="O3668" s="204"/>
      <c r="P3668" s="204"/>
      <c r="T3668" s="217"/>
    </row>
    <row r="3669" spans="2:20">
      <c r="B3669" s="204"/>
      <c r="C3669" s="204"/>
      <c r="D3669" s="204"/>
      <c r="E3669" s="204"/>
      <c r="F3669" s="204"/>
      <c r="G3669" s="204"/>
      <c r="H3669" s="204"/>
      <c r="I3669" s="204"/>
      <c r="J3669" s="204"/>
      <c r="K3669" s="204"/>
      <c r="L3669" s="204"/>
      <c r="M3669" s="204"/>
      <c r="N3669" s="204"/>
      <c r="O3669" s="204"/>
      <c r="P3669" s="204"/>
      <c r="T3669" s="217"/>
    </row>
    <row r="3670" spans="2:20">
      <c r="B3670" s="204"/>
      <c r="C3670" s="204"/>
      <c r="D3670" s="204"/>
      <c r="E3670" s="204"/>
      <c r="F3670" s="204"/>
      <c r="G3670" s="204"/>
      <c r="H3670" s="204"/>
      <c r="I3670" s="204"/>
      <c r="J3670" s="204"/>
      <c r="K3670" s="204"/>
      <c r="L3670" s="204"/>
      <c r="M3670" s="204"/>
      <c r="N3670" s="204"/>
      <c r="O3670" s="204"/>
      <c r="P3670" s="204"/>
      <c r="T3670" s="217"/>
    </row>
    <row r="3671" spans="2:20">
      <c r="B3671" s="204"/>
      <c r="C3671" s="204"/>
      <c r="D3671" s="204"/>
      <c r="E3671" s="204"/>
      <c r="F3671" s="204"/>
      <c r="G3671" s="204"/>
      <c r="H3671" s="204"/>
      <c r="I3671" s="204"/>
      <c r="J3671" s="204"/>
      <c r="K3671" s="204"/>
      <c r="L3671" s="204"/>
      <c r="M3671" s="204"/>
      <c r="N3671" s="204"/>
      <c r="O3671" s="204"/>
      <c r="P3671" s="204"/>
      <c r="T3671" s="217"/>
    </row>
    <row r="3672" spans="2:20">
      <c r="B3672" s="204"/>
      <c r="C3672" s="204"/>
      <c r="D3672" s="204"/>
      <c r="E3672" s="204"/>
      <c r="F3672" s="204"/>
      <c r="G3672" s="204"/>
      <c r="H3672" s="204"/>
      <c r="I3672" s="204"/>
      <c r="J3672" s="204"/>
      <c r="K3672" s="204"/>
      <c r="L3672" s="204"/>
      <c r="M3672" s="204"/>
      <c r="N3672" s="204"/>
      <c r="O3672" s="204"/>
      <c r="P3672" s="204"/>
      <c r="T3672" s="217"/>
    </row>
    <row r="3673" spans="2:20">
      <c r="B3673" s="204"/>
      <c r="C3673" s="204"/>
      <c r="D3673" s="204"/>
      <c r="E3673" s="204"/>
      <c r="F3673" s="204"/>
      <c r="G3673" s="204"/>
      <c r="H3673" s="204"/>
      <c r="I3673" s="204"/>
      <c r="J3673" s="204"/>
      <c r="K3673" s="204"/>
      <c r="L3673" s="204"/>
      <c r="M3673" s="204"/>
      <c r="N3673" s="204"/>
      <c r="O3673" s="204"/>
      <c r="P3673" s="204"/>
      <c r="T3673" s="217"/>
    </row>
    <row r="3674" spans="2:20">
      <c r="B3674" s="204"/>
      <c r="C3674" s="204"/>
      <c r="D3674" s="204"/>
      <c r="E3674" s="204"/>
      <c r="F3674" s="204"/>
      <c r="G3674" s="204"/>
      <c r="H3674" s="204"/>
      <c r="I3674" s="204"/>
      <c r="J3674" s="204"/>
      <c r="K3674" s="204"/>
      <c r="L3674" s="204"/>
      <c r="M3674" s="204"/>
      <c r="N3674" s="204"/>
      <c r="O3674" s="204"/>
      <c r="P3674" s="204"/>
      <c r="T3674" s="217"/>
    </row>
    <row r="3675" spans="2:20">
      <c r="B3675" s="204"/>
      <c r="C3675" s="204"/>
      <c r="D3675" s="204"/>
      <c r="E3675" s="204"/>
      <c r="F3675" s="204"/>
      <c r="G3675" s="204"/>
      <c r="H3675" s="204"/>
      <c r="I3675" s="204"/>
      <c r="J3675" s="204"/>
      <c r="K3675" s="204"/>
      <c r="L3675" s="204"/>
      <c r="M3675" s="204"/>
      <c r="N3675" s="204"/>
      <c r="O3675" s="204"/>
      <c r="P3675" s="204"/>
      <c r="T3675" s="217"/>
    </row>
    <row r="3676" spans="2:20">
      <c r="B3676" s="204"/>
      <c r="C3676" s="204"/>
      <c r="D3676" s="204"/>
      <c r="E3676" s="204"/>
      <c r="F3676" s="204"/>
      <c r="G3676" s="204"/>
      <c r="H3676" s="204"/>
      <c r="I3676" s="204"/>
      <c r="J3676" s="204"/>
      <c r="K3676" s="204"/>
      <c r="L3676" s="204"/>
      <c r="M3676" s="204"/>
      <c r="N3676" s="204"/>
      <c r="O3676" s="204"/>
      <c r="P3676" s="204"/>
      <c r="T3676" s="217"/>
    </row>
    <row r="3677" spans="2:20">
      <c r="B3677" s="204"/>
      <c r="C3677" s="204"/>
      <c r="D3677" s="204"/>
      <c r="E3677" s="204"/>
      <c r="F3677" s="204"/>
      <c r="G3677" s="204"/>
      <c r="H3677" s="204"/>
      <c r="I3677" s="204"/>
      <c r="J3677" s="204"/>
      <c r="K3677" s="204"/>
      <c r="L3677" s="204"/>
      <c r="M3677" s="204"/>
      <c r="N3677" s="204"/>
      <c r="O3677" s="204"/>
      <c r="P3677" s="204"/>
      <c r="T3677" s="217"/>
    </row>
    <row r="3678" spans="2:20">
      <c r="B3678" s="204"/>
      <c r="C3678" s="204"/>
      <c r="D3678" s="204"/>
      <c r="E3678" s="204"/>
      <c r="F3678" s="204"/>
      <c r="G3678" s="204"/>
      <c r="H3678" s="204"/>
      <c r="I3678" s="204"/>
      <c r="J3678" s="204"/>
      <c r="K3678" s="204"/>
      <c r="L3678" s="204"/>
      <c r="M3678" s="204"/>
      <c r="N3678" s="204"/>
      <c r="O3678" s="204"/>
      <c r="P3678" s="204"/>
      <c r="T3678" s="217"/>
    </row>
    <row r="3679" spans="2:20">
      <c r="B3679" s="204"/>
      <c r="C3679" s="204"/>
      <c r="D3679" s="204"/>
      <c r="E3679" s="204"/>
      <c r="F3679" s="204"/>
      <c r="G3679" s="204"/>
      <c r="H3679" s="204"/>
      <c r="I3679" s="204"/>
      <c r="J3679" s="204"/>
      <c r="K3679" s="204"/>
      <c r="L3679" s="204"/>
      <c r="M3679" s="204"/>
      <c r="N3679" s="204"/>
      <c r="O3679" s="204"/>
      <c r="P3679" s="204"/>
      <c r="T3679" s="217"/>
    </row>
    <row r="3680" spans="2:20">
      <c r="B3680" s="204"/>
      <c r="C3680" s="204"/>
      <c r="D3680" s="204"/>
      <c r="E3680" s="204"/>
      <c r="F3680" s="204"/>
      <c r="G3680" s="204"/>
      <c r="H3680" s="204"/>
      <c r="I3680" s="204"/>
      <c r="J3680" s="204"/>
      <c r="K3680" s="204"/>
      <c r="L3680" s="204"/>
      <c r="M3680" s="204"/>
      <c r="N3680" s="204"/>
      <c r="O3680" s="204"/>
      <c r="P3680" s="204"/>
      <c r="T3680" s="217"/>
    </row>
    <row r="3681" spans="2:20">
      <c r="B3681" s="204"/>
      <c r="C3681" s="204"/>
      <c r="D3681" s="204"/>
      <c r="E3681" s="204"/>
      <c r="F3681" s="204"/>
      <c r="G3681" s="204"/>
      <c r="H3681" s="204"/>
      <c r="I3681" s="204"/>
      <c r="J3681" s="204"/>
      <c r="K3681" s="204"/>
      <c r="L3681" s="204"/>
      <c r="M3681" s="204"/>
      <c r="N3681" s="204"/>
      <c r="O3681" s="204"/>
      <c r="P3681" s="204"/>
      <c r="T3681" s="217"/>
    </row>
    <row r="3682" spans="2:20">
      <c r="B3682" s="204"/>
      <c r="C3682" s="204"/>
      <c r="D3682" s="204"/>
      <c r="E3682" s="204"/>
      <c r="F3682" s="204"/>
      <c r="G3682" s="204"/>
      <c r="H3682" s="204"/>
      <c r="I3682" s="204"/>
      <c r="J3682" s="204"/>
      <c r="K3682" s="204"/>
      <c r="L3682" s="204"/>
      <c r="M3682" s="204"/>
      <c r="N3682" s="204"/>
      <c r="O3682" s="204"/>
      <c r="P3682" s="204"/>
      <c r="T3682" s="217"/>
    </row>
    <row r="3683" spans="2:20">
      <c r="B3683" s="204"/>
      <c r="C3683" s="204"/>
      <c r="D3683" s="204"/>
      <c r="E3683" s="204"/>
      <c r="F3683" s="204"/>
      <c r="G3683" s="204"/>
      <c r="H3683" s="204"/>
      <c r="I3683" s="204"/>
      <c r="J3683" s="204"/>
      <c r="K3683" s="204"/>
      <c r="L3683" s="204"/>
      <c r="M3683" s="204"/>
      <c r="N3683" s="204"/>
      <c r="O3683" s="204"/>
      <c r="P3683" s="204"/>
      <c r="T3683" s="217"/>
    </row>
    <row r="3684" spans="2:20">
      <c r="B3684" s="204"/>
      <c r="C3684" s="204"/>
      <c r="D3684" s="204"/>
      <c r="E3684" s="204"/>
      <c r="F3684" s="204"/>
      <c r="G3684" s="204"/>
      <c r="H3684" s="204"/>
      <c r="I3684" s="204"/>
      <c r="J3684" s="204"/>
      <c r="K3684" s="204"/>
      <c r="L3684" s="204"/>
      <c r="M3684" s="204"/>
      <c r="N3684" s="204"/>
      <c r="O3684" s="204"/>
      <c r="P3684" s="204"/>
      <c r="T3684" s="217"/>
    </row>
    <row r="3685" spans="2:20">
      <c r="B3685" s="204"/>
      <c r="C3685" s="204"/>
      <c r="D3685" s="204"/>
      <c r="E3685" s="204"/>
      <c r="F3685" s="204"/>
      <c r="G3685" s="204"/>
      <c r="H3685" s="204"/>
      <c r="I3685" s="204"/>
      <c r="J3685" s="204"/>
      <c r="K3685" s="204"/>
      <c r="L3685" s="204"/>
      <c r="M3685" s="204"/>
      <c r="N3685" s="204"/>
      <c r="O3685" s="204"/>
      <c r="P3685" s="204"/>
      <c r="T3685" s="217"/>
    </row>
    <row r="3686" spans="2:20">
      <c r="B3686" s="204"/>
      <c r="C3686" s="204"/>
      <c r="D3686" s="204"/>
      <c r="E3686" s="204"/>
      <c r="F3686" s="204"/>
      <c r="G3686" s="204"/>
      <c r="H3686" s="204"/>
      <c r="I3686" s="204"/>
      <c r="J3686" s="204"/>
      <c r="K3686" s="204"/>
      <c r="L3686" s="204"/>
      <c r="M3686" s="204"/>
      <c r="N3686" s="204"/>
      <c r="O3686" s="204"/>
      <c r="P3686" s="204"/>
      <c r="T3686" s="217"/>
    </row>
    <row r="3687" spans="2:20">
      <c r="B3687" s="204"/>
      <c r="C3687" s="204"/>
      <c r="D3687" s="204"/>
      <c r="E3687" s="204"/>
      <c r="F3687" s="204"/>
      <c r="G3687" s="204"/>
      <c r="H3687" s="204"/>
      <c r="I3687" s="204"/>
      <c r="J3687" s="204"/>
      <c r="K3687" s="204"/>
      <c r="L3687" s="204"/>
      <c r="M3687" s="204"/>
      <c r="N3687" s="204"/>
      <c r="O3687" s="204"/>
      <c r="P3687" s="204"/>
      <c r="T3687" s="217"/>
    </row>
    <row r="3688" spans="2:20">
      <c r="B3688" s="204"/>
      <c r="C3688" s="204"/>
      <c r="D3688" s="204"/>
      <c r="E3688" s="204"/>
      <c r="F3688" s="204"/>
      <c r="G3688" s="204"/>
      <c r="H3688" s="204"/>
      <c r="I3688" s="204"/>
      <c r="J3688" s="204"/>
      <c r="K3688" s="204"/>
      <c r="L3688" s="204"/>
      <c r="M3688" s="204"/>
      <c r="N3688" s="204"/>
      <c r="O3688" s="204"/>
      <c r="P3688" s="204"/>
      <c r="T3688" s="217"/>
    </row>
    <row r="3689" spans="2:20">
      <c r="B3689" s="204"/>
      <c r="C3689" s="204"/>
      <c r="D3689" s="204"/>
      <c r="E3689" s="204"/>
      <c r="F3689" s="204"/>
      <c r="G3689" s="204"/>
      <c r="H3689" s="204"/>
      <c r="I3689" s="204"/>
      <c r="J3689" s="204"/>
      <c r="K3689" s="204"/>
      <c r="L3689" s="204"/>
      <c r="M3689" s="204"/>
      <c r="N3689" s="204"/>
      <c r="O3689" s="204"/>
      <c r="P3689" s="204"/>
      <c r="T3689" s="217"/>
    </row>
    <row r="3690" spans="2:20">
      <c r="B3690" s="204"/>
      <c r="C3690" s="204"/>
      <c r="D3690" s="204"/>
      <c r="E3690" s="204"/>
      <c r="F3690" s="204"/>
      <c r="G3690" s="204"/>
      <c r="H3690" s="204"/>
      <c r="I3690" s="204"/>
      <c r="J3690" s="204"/>
      <c r="K3690" s="204"/>
      <c r="L3690" s="204"/>
      <c r="M3690" s="204"/>
      <c r="N3690" s="204"/>
      <c r="O3690" s="204"/>
      <c r="P3690" s="204"/>
      <c r="T3690" s="217"/>
    </row>
    <row r="3691" spans="2:20">
      <c r="B3691" s="204"/>
      <c r="C3691" s="204"/>
      <c r="D3691" s="204"/>
      <c r="E3691" s="204"/>
      <c r="F3691" s="204"/>
      <c r="G3691" s="204"/>
      <c r="H3691" s="204"/>
      <c r="I3691" s="204"/>
      <c r="J3691" s="204"/>
      <c r="K3691" s="204"/>
      <c r="L3691" s="204"/>
      <c r="M3691" s="204"/>
      <c r="N3691" s="204"/>
      <c r="O3691" s="204"/>
      <c r="P3691" s="204"/>
      <c r="T3691" s="217"/>
    </row>
    <row r="3692" spans="2:20">
      <c r="B3692" s="204"/>
      <c r="C3692" s="204"/>
      <c r="D3692" s="204"/>
      <c r="E3692" s="204"/>
      <c r="F3692" s="204"/>
      <c r="G3692" s="204"/>
      <c r="H3692" s="204"/>
      <c r="I3692" s="204"/>
      <c r="J3692" s="204"/>
      <c r="K3692" s="204"/>
      <c r="L3692" s="204"/>
      <c r="M3692" s="204"/>
      <c r="N3692" s="204"/>
      <c r="O3692" s="204"/>
      <c r="P3692" s="204"/>
      <c r="T3692" s="217"/>
    </row>
    <row r="3693" spans="2:20">
      <c r="B3693" s="204"/>
      <c r="C3693" s="204"/>
      <c r="D3693" s="204"/>
      <c r="E3693" s="204"/>
      <c r="F3693" s="204"/>
      <c r="G3693" s="204"/>
      <c r="H3693" s="204"/>
      <c r="I3693" s="204"/>
      <c r="J3693" s="204"/>
      <c r="K3693" s="204"/>
      <c r="L3693" s="204"/>
      <c r="M3693" s="204"/>
      <c r="N3693" s="204"/>
      <c r="O3693" s="204"/>
      <c r="P3693" s="204"/>
      <c r="T3693" s="217"/>
    </row>
    <row r="3694" spans="2:20">
      <c r="B3694" s="204"/>
      <c r="C3694" s="204"/>
      <c r="D3694" s="204"/>
      <c r="E3694" s="204"/>
      <c r="F3694" s="204"/>
      <c r="G3694" s="204"/>
      <c r="H3694" s="204"/>
      <c r="I3694" s="204"/>
      <c r="J3694" s="204"/>
      <c r="K3694" s="204"/>
      <c r="L3694" s="204"/>
      <c r="M3694" s="204"/>
      <c r="N3694" s="204"/>
      <c r="O3694" s="204"/>
      <c r="P3694" s="204"/>
      <c r="T3694" s="217"/>
    </row>
    <row r="3695" spans="2:20">
      <c r="B3695" s="204"/>
      <c r="C3695" s="204"/>
      <c r="D3695" s="204"/>
      <c r="E3695" s="204"/>
      <c r="F3695" s="204"/>
      <c r="G3695" s="204"/>
      <c r="H3695" s="204"/>
      <c r="I3695" s="204"/>
      <c r="J3695" s="204"/>
      <c r="K3695" s="204"/>
      <c r="L3695" s="204"/>
      <c r="M3695" s="204"/>
      <c r="N3695" s="204"/>
      <c r="O3695" s="204"/>
      <c r="P3695" s="204"/>
      <c r="T3695" s="217"/>
    </row>
    <row r="3696" spans="2:20">
      <c r="B3696" s="204"/>
      <c r="C3696" s="204"/>
      <c r="D3696" s="204"/>
      <c r="E3696" s="204"/>
      <c r="F3696" s="204"/>
      <c r="G3696" s="204"/>
      <c r="H3696" s="204"/>
      <c r="I3696" s="204"/>
      <c r="J3696" s="204"/>
      <c r="K3696" s="204"/>
      <c r="L3696" s="204"/>
      <c r="M3696" s="204"/>
      <c r="N3696" s="204"/>
      <c r="O3696" s="204"/>
      <c r="P3696" s="204"/>
      <c r="T3696" s="217"/>
    </row>
    <row r="3697" spans="2:20">
      <c r="B3697" s="204"/>
      <c r="C3697" s="204"/>
      <c r="D3697" s="204"/>
      <c r="E3697" s="204"/>
      <c r="F3697" s="204"/>
      <c r="G3697" s="204"/>
      <c r="H3697" s="204"/>
      <c r="I3697" s="204"/>
      <c r="J3697" s="204"/>
      <c r="K3697" s="204"/>
      <c r="L3697" s="204"/>
      <c r="M3697" s="204"/>
      <c r="N3697" s="204"/>
      <c r="O3697" s="204"/>
      <c r="P3697" s="204"/>
      <c r="T3697" s="217"/>
    </row>
    <row r="3698" spans="2:20">
      <c r="B3698" s="204"/>
      <c r="C3698" s="204"/>
      <c r="D3698" s="204"/>
      <c r="E3698" s="204"/>
      <c r="F3698" s="204"/>
      <c r="G3698" s="204"/>
      <c r="H3698" s="204"/>
      <c r="I3698" s="204"/>
      <c r="J3698" s="204"/>
      <c r="K3698" s="204"/>
      <c r="L3698" s="204"/>
      <c r="M3698" s="204"/>
      <c r="N3698" s="204"/>
      <c r="O3698" s="204"/>
      <c r="P3698" s="204"/>
      <c r="T3698" s="217"/>
    </row>
    <row r="3699" spans="2:20">
      <c r="B3699" s="204"/>
      <c r="C3699" s="204"/>
      <c r="D3699" s="204"/>
      <c r="E3699" s="204"/>
      <c r="F3699" s="204"/>
      <c r="G3699" s="204"/>
      <c r="H3699" s="204"/>
      <c r="I3699" s="204"/>
      <c r="J3699" s="204"/>
      <c r="K3699" s="204"/>
      <c r="L3699" s="204"/>
      <c r="M3699" s="204"/>
      <c r="N3699" s="204"/>
      <c r="O3699" s="204"/>
      <c r="P3699" s="204"/>
      <c r="T3699" s="217"/>
    </row>
    <row r="3700" spans="2:20">
      <c r="B3700" s="204"/>
      <c r="C3700" s="204"/>
      <c r="D3700" s="204"/>
      <c r="E3700" s="204"/>
      <c r="F3700" s="204"/>
      <c r="G3700" s="204"/>
      <c r="H3700" s="204"/>
      <c r="I3700" s="204"/>
      <c r="J3700" s="204"/>
      <c r="K3700" s="204"/>
      <c r="L3700" s="204"/>
      <c r="M3700" s="204"/>
      <c r="N3700" s="204"/>
      <c r="O3700" s="204"/>
      <c r="P3700" s="204"/>
      <c r="T3700" s="217"/>
    </row>
    <row r="3701" spans="2:20">
      <c r="B3701" s="204"/>
      <c r="C3701" s="204"/>
      <c r="D3701" s="204"/>
      <c r="E3701" s="204"/>
      <c r="F3701" s="204"/>
      <c r="G3701" s="204"/>
      <c r="H3701" s="204"/>
      <c r="I3701" s="204"/>
      <c r="J3701" s="204"/>
      <c r="K3701" s="204"/>
      <c r="L3701" s="204"/>
      <c r="M3701" s="204"/>
      <c r="N3701" s="204"/>
      <c r="O3701" s="204"/>
      <c r="P3701" s="204"/>
      <c r="T3701" s="217"/>
    </row>
    <row r="3702" spans="2:20">
      <c r="B3702" s="204"/>
      <c r="C3702" s="204"/>
      <c r="D3702" s="204"/>
      <c r="E3702" s="204"/>
      <c r="F3702" s="204"/>
      <c r="G3702" s="204"/>
      <c r="H3702" s="204"/>
      <c r="I3702" s="204"/>
      <c r="J3702" s="204"/>
      <c r="K3702" s="204"/>
      <c r="L3702" s="204"/>
      <c r="M3702" s="204"/>
      <c r="N3702" s="204"/>
      <c r="O3702" s="204"/>
      <c r="P3702" s="204"/>
      <c r="T3702" s="217"/>
    </row>
    <row r="3703" spans="2:20">
      <c r="B3703" s="204"/>
      <c r="C3703" s="204"/>
      <c r="D3703" s="204"/>
      <c r="E3703" s="204"/>
      <c r="F3703" s="204"/>
      <c r="G3703" s="204"/>
      <c r="H3703" s="204"/>
      <c r="I3703" s="204"/>
      <c r="J3703" s="204"/>
      <c r="K3703" s="204"/>
      <c r="L3703" s="204"/>
      <c r="M3703" s="204"/>
      <c r="N3703" s="204"/>
      <c r="O3703" s="204"/>
      <c r="P3703" s="204"/>
      <c r="T3703" s="217"/>
    </row>
    <row r="3704" spans="2:20">
      <c r="B3704" s="204"/>
      <c r="C3704" s="204"/>
      <c r="D3704" s="204"/>
      <c r="E3704" s="204"/>
      <c r="F3704" s="204"/>
      <c r="G3704" s="204"/>
      <c r="H3704" s="204"/>
      <c r="I3704" s="204"/>
      <c r="J3704" s="204"/>
      <c r="K3704" s="204"/>
      <c r="L3704" s="204"/>
      <c r="M3704" s="204"/>
      <c r="N3704" s="204"/>
      <c r="O3704" s="204"/>
      <c r="P3704" s="204"/>
      <c r="T3704" s="217"/>
    </row>
    <row r="3705" spans="2:20">
      <c r="B3705" s="204"/>
      <c r="C3705" s="204"/>
      <c r="D3705" s="204"/>
      <c r="E3705" s="204"/>
      <c r="F3705" s="204"/>
      <c r="G3705" s="204"/>
      <c r="H3705" s="204"/>
      <c r="I3705" s="204"/>
      <c r="J3705" s="204"/>
      <c r="K3705" s="204"/>
      <c r="L3705" s="204"/>
      <c r="M3705" s="204"/>
      <c r="N3705" s="204"/>
      <c r="O3705" s="204"/>
      <c r="P3705" s="204"/>
      <c r="T3705" s="217"/>
    </row>
    <row r="3706" spans="2:20">
      <c r="B3706" s="204"/>
      <c r="C3706" s="204"/>
      <c r="D3706" s="204"/>
      <c r="E3706" s="204"/>
      <c r="F3706" s="204"/>
      <c r="G3706" s="204"/>
      <c r="H3706" s="204"/>
      <c r="I3706" s="204"/>
      <c r="J3706" s="204"/>
      <c r="K3706" s="204"/>
      <c r="L3706" s="204"/>
      <c r="M3706" s="204"/>
      <c r="N3706" s="204"/>
      <c r="O3706" s="204"/>
      <c r="P3706" s="204"/>
      <c r="T3706" s="217"/>
    </row>
    <row r="3707" spans="2:20">
      <c r="B3707" s="204"/>
      <c r="C3707" s="204"/>
      <c r="D3707" s="204"/>
      <c r="E3707" s="204"/>
      <c r="F3707" s="204"/>
      <c r="G3707" s="204"/>
      <c r="H3707" s="204"/>
      <c r="I3707" s="204"/>
      <c r="J3707" s="204"/>
      <c r="K3707" s="204"/>
      <c r="L3707" s="204"/>
      <c r="M3707" s="204"/>
      <c r="N3707" s="204"/>
      <c r="O3707" s="204"/>
      <c r="P3707" s="204"/>
      <c r="T3707" s="217"/>
    </row>
    <row r="3708" spans="2:20">
      <c r="B3708" s="204"/>
      <c r="C3708" s="204"/>
      <c r="D3708" s="204"/>
      <c r="E3708" s="204"/>
      <c r="F3708" s="204"/>
      <c r="G3708" s="204"/>
      <c r="H3708" s="204"/>
      <c r="I3708" s="204"/>
      <c r="J3708" s="204"/>
      <c r="K3708" s="204"/>
      <c r="L3708" s="204"/>
      <c r="M3708" s="204"/>
      <c r="N3708" s="204"/>
      <c r="O3708" s="204"/>
      <c r="P3708" s="204"/>
      <c r="T3708" s="217"/>
    </row>
    <row r="3709" spans="2:20">
      <c r="B3709" s="204"/>
      <c r="C3709" s="204"/>
      <c r="D3709" s="204"/>
      <c r="E3709" s="204"/>
      <c r="F3709" s="204"/>
      <c r="G3709" s="204"/>
      <c r="H3709" s="204"/>
      <c r="I3709" s="204"/>
      <c r="J3709" s="204"/>
      <c r="K3709" s="204"/>
      <c r="L3709" s="204"/>
      <c r="M3709" s="204"/>
      <c r="N3709" s="204"/>
      <c r="O3709" s="204"/>
      <c r="P3709" s="204"/>
      <c r="T3709" s="217"/>
    </row>
    <row r="3710" spans="2:20">
      <c r="B3710" s="204"/>
      <c r="C3710" s="204"/>
      <c r="D3710" s="204"/>
      <c r="E3710" s="204"/>
      <c r="F3710" s="204"/>
      <c r="G3710" s="204"/>
      <c r="H3710" s="204"/>
      <c r="I3710" s="204"/>
      <c r="J3710" s="204"/>
      <c r="K3710" s="204"/>
      <c r="L3710" s="204"/>
      <c r="M3710" s="204"/>
      <c r="N3710" s="204"/>
      <c r="O3710" s="204"/>
      <c r="P3710" s="204"/>
      <c r="T3710" s="217"/>
    </row>
    <row r="3711" spans="2:20">
      <c r="B3711" s="204"/>
      <c r="C3711" s="204"/>
      <c r="D3711" s="204"/>
      <c r="E3711" s="204"/>
      <c r="F3711" s="204"/>
      <c r="G3711" s="204"/>
      <c r="H3711" s="204"/>
      <c r="I3711" s="204"/>
      <c r="J3711" s="204"/>
      <c r="K3711" s="204"/>
      <c r="L3711" s="204"/>
      <c r="M3711" s="204"/>
      <c r="N3711" s="204"/>
      <c r="O3711" s="204"/>
      <c r="P3711" s="204"/>
      <c r="T3711" s="217"/>
    </row>
    <row r="3712" spans="2:20">
      <c r="B3712" s="204"/>
      <c r="C3712" s="204"/>
      <c r="D3712" s="204"/>
      <c r="E3712" s="204"/>
      <c r="F3712" s="204"/>
      <c r="G3712" s="204"/>
      <c r="H3712" s="204"/>
      <c r="I3712" s="204"/>
      <c r="J3712" s="204"/>
      <c r="K3712" s="204"/>
      <c r="L3712" s="204"/>
      <c r="M3712" s="204"/>
      <c r="N3712" s="204"/>
      <c r="O3712" s="204"/>
      <c r="P3712" s="204"/>
      <c r="T3712" s="217"/>
    </row>
    <row r="3713" spans="2:20">
      <c r="B3713" s="204"/>
      <c r="C3713" s="204"/>
      <c r="D3713" s="204"/>
      <c r="E3713" s="204"/>
      <c r="F3713" s="204"/>
      <c r="G3713" s="204"/>
      <c r="H3713" s="204"/>
      <c r="I3713" s="204"/>
      <c r="J3713" s="204"/>
      <c r="K3713" s="204"/>
      <c r="L3713" s="204"/>
      <c r="M3713" s="204"/>
      <c r="N3713" s="204"/>
      <c r="O3713" s="204"/>
      <c r="P3713" s="204"/>
      <c r="T3713" s="217"/>
    </row>
    <row r="3714" spans="2:20">
      <c r="B3714" s="204"/>
      <c r="C3714" s="204"/>
      <c r="D3714" s="204"/>
      <c r="E3714" s="204"/>
      <c r="F3714" s="204"/>
      <c r="G3714" s="204"/>
      <c r="H3714" s="204"/>
      <c r="I3714" s="204"/>
      <c r="J3714" s="204"/>
      <c r="K3714" s="204"/>
      <c r="L3714" s="204"/>
      <c r="M3714" s="204"/>
      <c r="N3714" s="204"/>
      <c r="O3714" s="204"/>
      <c r="P3714" s="204"/>
      <c r="T3714" s="217"/>
    </row>
    <row r="3715" spans="2:20">
      <c r="B3715" s="204"/>
      <c r="C3715" s="204"/>
      <c r="D3715" s="204"/>
      <c r="E3715" s="204"/>
      <c r="F3715" s="204"/>
      <c r="G3715" s="204"/>
      <c r="H3715" s="204"/>
      <c r="I3715" s="204"/>
      <c r="J3715" s="204"/>
      <c r="K3715" s="204"/>
      <c r="L3715" s="204"/>
      <c r="M3715" s="204"/>
      <c r="N3715" s="204"/>
      <c r="O3715" s="204"/>
      <c r="P3715" s="204"/>
      <c r="T3715" s="217"/>
    </row>
    <row r="3716" spans="2:20">
      <c r="B3716" s="204"/>
      <c r="C3716" s="204"/>
      <c r="D3716" s="204"/>
      <c r="E3716" s="204"/>
      <c r="F3716" s="204"/>
      <c r="G3716" s="204"/>
      <c r="H3716" s="204"/>
      <c r="I3716" s="204"/>
      <c r="J3716" s="204"/>
      <c r="K3716" s="204"/>
      <c r="L3716" s="204"/>
      <c r="M3716" s="204"/>
      <c r="N3716" s="204"/>
      <c r="O3716" s="204"/>
      <c r="P3716" s="204"/>
      <c r="T3716" s="217"/>
    </row>
    <row r="3717" spans="2:20">
      <c r="B3717" s="204"/>
      <c r="C3717" s="204"/>
      <c r="D3717" s="204"/>
      <c r="E3717" s="204"/>
      <c r="F3717" s="204"/>
      <c r="G3717" s="204"/>
      <c r="H3717" s="204"/>
      <c r="I3717" s="204"/>
      <c r="J3717" s="204"/>
      <c r="K3717" s="204"/>
      <c r="L3717" s="204"/>
      <c r="M3717" s="204"/>
      <c r="N3717" s="204"/>
      <c r="O3717" s="204"/>
      <c r="P3717" s="204"/>
      <c r="T3717" s="217"/>
    </row>
    <row r="3718" spans="2:20">
      <c r="B3718" s="204"/>
      <c r="C3718" s="204"/>
      <c r="D3718" s="204"/>
      <c r="E3718" s="204"/>
      <c r="F3718" s="204"/>
      <c r="G3718" s="204"/>
      <c r="H3718" s="204"/>
      <c r="I3718" s="204"/>
      <c r="J3718" s="204"/>
      <c r="K3718" s="204"/>
      <c r="L3718" s="204"/>
      <c r="M3718" s="204"/>
      <c r="N3718" s="204"/>
      <c r="O3718" s="204"/>
      <c r="P3718" s="204"/>
      <c r="T3718" s="217"/>
    </row>
    <row r="3719" spans="2:20">
      <c r="B3719" s="204"/>
      <c r="C3719" s="204"/>
      <c r="D3719" s="204"/>
      <c r="E3719" s="204"/>
      <c r="F3719" s="204"/>
      <c r="G3719" s="204"/>
      <c r="H3719" s="204"/>
      <c r="I3719" s="204"/>
      <c r="J3719" s="204"/>
      <c r="K3719" s="204"/>
      <c r="L3719" s="204"/>
      <c r="M3719" s="204"/>
      <c r="N3719" s="204"/>
      <c r="O3719" s="204"/>
      <c r="P3719" s="204"/>
      <c r="T3719" s="217"/>
    </row>
    <row r="3720" spans="2:20">
      <c r="B3720" s="204"/>
      <c r="C3720" s="204"/>
      <c r="D3720" s="204"/>
      <c r="E3720" s="204"/>
      <c r="F3720" s="204"/>
      <c r="G3720" s="204"/>
      <c r="H3720" s="204"/>
      <c r="I3720" s="204"/>
      <c r="J3720" s="204"/>
      <c r="K3720" s="204"/>
      <c r="L3720" s="204"/>
      <c r="M3720" s="204"/>
      <c r="N3720" s="204"/>
      <c r="O3720" s="204"/>
      <c r="P3720" s="204"/>
      <c r="T3720" s="217"/>
    </row>
    <row r="3721" spans="2:20">
      <c r="B3721" s="204"/>
      <c r="C3721" s="204"/>
      <c r="D3721" s="204"/>
      <c r="E3721" s="204"/>
      <c r="F3721" s="204"/>
      <c r="G3721" s="204"/>
      <c r="H3721" s="204"/>
      <c r="I3721" s="204"/>
      <c r="J3721" s="204"/>
      <c r="K3721" s="204"/>
      <c r="L3721" s="204"/>
      <c r="M3721" s="204"/>
      <c r="N3721" s="204"/>
      <c r="O3721" s="204"/>
      <c r="P3721" s="204"/>
      <c r="T3721" s="217"/>
    </row>
    <row r="3722" spans="2:20">
      <c r="B3722" s="204"/>
      <c r="C3722" s="204"/>
      <c r="D3722" s="204"/>
      <c r="E3722" s="204"/>
      <c r="F3722" s="204"/>
      <c r="G3722" s="204"/>
      <c r="H3722" s="204"/>
      <c r="I3722" s="204"/>
      <c r="J3722" s="204"/>
      <c r="K3722" s="204"/>
      <c r="L3722" s="204"/>
      <c r="M3722" s="204"/>
      <c r="N3722" s="204"/>
      <c r="O3722" s="204"/>
      <c r="P3722" s="204"/>
      <c r="T3722" s="217"/>
    </row>
    <row r="3723" spans="2:20">
      <c r="B3723" s="204"/>
      <c r="C3723" s="204"/>
      <c r="D3723" s="204"/>
      <c r="E3723" s="204"/>
      <c r="F3723" s="204"/>
      <c r="G3723" s="204"/>
      <c r="H3723" s="204"/>
      <c r="I3723" s="204"/>
      <c r="J3723" s="204"/>
      <c r="K3723" s="204"/>
      <c r="L3723" s="204"/>
      <c r="M3723" s="204"/>
      <c r="N3723" s="204"/>
      <c r="O3723" s="204"/>
      <c r="P3723" s="204"/>
      <c r="T3723" s="217"/>
    </row>
    <row r="3724" spans="2:20">
      <c r="B3724" s="204"/>
      <c r="C3724" s="204"/>
      <c r="D3724" s="204"/>
      <c r="E3724" s="204"/>
      <c r="F3724" s="204"/>
      <c r="G3724" s="204"/>
      <c r="H3724" s="204"/>
      <c r="I3724" s="204"/>
      <c r="J3724" s="204"/>
      <c r="K3724" s="204"/>
      <c r="L3724" s="204"/>
      <c r="M3724" s="204"/>
      <c r="N3724" s="204"/>
      <c r="O3724" s="204"/>
      <c r="P3724" s="204"/>
      <c r="T3724" s="217"/>
    </row>
    <row r="3725" spans="2:20">
      <c r="B3725" s="204"/>
      <c r="C3725" s="204"/>
      <c r="D3725" s="204"/>
      <c r="E3725" s="204"/>
      <c r="F3725" s="204"/>
      <c r="G3725" s="204"/>
      <c r="H3725" s="204"/>
      <c r="I3725" s="204"/>
      <c r="J3725" s="204"/>
      <c r="K3725" s="204"/>
      <c r="L3725" s="204"/>
      <c r="M3725" s="204"/>
      <c r="N3725" s="204"/>
      <c r="O3725" s="204"/>
      <c r="P3725" s="204"/>
      <c r="T3725" s="217"/>
    </row>
    <row r="3726" spans="2:20">
      <c r="B3726" s="204"/>
      <c r="C3726" s="204"/>
      <c r="D3726" s="204"/>
      <c r="E3726" s="204"/>
      <c r="F3726" s="204"/>
      <c r="G3726" s="204"/>
      <c r="H3726" s="204"/>
      <c r="I3726" s="204"/>
      <c r="J3726" s="204"/>
      <c r="K3726" s="204"/>
      <c r="L3726" s="204"/>
      <c r="M3726" s="204"/>
      <c r="N3726" s="204"/>
      <c r="O3726" s="204"/>
      <c r="P3726" s="204"/>
      <c r="T3726" s="217"/>
    </row>
    <row r="3727" spans="2:20">
      <c r="B3727" s="204"/>
      <c r="C3727" s="204"/>
      <c r="D3727" s="204"/>
      <c r="E3727" s="204"/>
      <c r="F3727" s="204"/>
      <c r="G3727" s="204"/>
      <c r="H3727" s="204"/>
      <c r="I3727" s="204"/>
      <c r="J3727" s="204"/>
      <c r="K3727" s="204"/>
      <c r="L3727" s="204"/>
      <c r="M3727" s="204"/>
      <c r="N3727" s="204"/>
      <c r="O3727" s="204"/>
      <c r="P3727" s="204"/>
      <c r="T3727" s="217"/>
    </row>
    <row r="3728" spans="2:20">
      <c r="B3728" s="204"/>
      <c r="C3728" s="204"/>
      <c r="D3728" s="204"/>
      <c r="E3728" s="204"/>
      <c r="F3728" s="204"/>
      <c r="G3728" s="204"/>
      <c r="H3728" s="204"/>
      <c r="I3728" s="204"/>
      <c r="J3728" s="204"/>
      <c r="K3728" s="204"/>
      <c r="L3728" s="204"/>
      <c r="M3728" s="204"/>
      <c r="N3728" s="204"/>
      <c r="O3728" s="204"/>
      <c r="P3728" s="204"/>
      <c r="T3728" s="217"/>
    </row>
    <row r="3729" spans="2:20">
      <c r="B3729" s="204"/>
      <c r="C3729" s="204"/>
      <c r="D3729" s="204"/>
      <c r="E3729" s="204"/>
      <c r="F3729" s="204"/>
      <c r="G3729" s="204"/>
      <c r="H3729" s="204"/>
      <c r="I3729" s="204"/>
      <c r="J3729" s="204"/>
      <c r="K3729" s="204"/>
      <c r="L3729" s="204"/>
      <c r="M3729" s="204"/>
      <c r="N3729" s="204"/>
      <c r="O3729" s="204"/>
      <c r="P3729" s="204"/>
      <c r="T3729" s="217"/>
    </row>
    <row r="3730" spans="2:20">
      <c r="B3730" s="204"/>
      <c r="C3730" s="204"/>
      <c r="D3730" s="204"/>
      <c r="E3730" s="204"/>
      <c r="F3730" s="204"/>
      <c r="G3730" s="204"/>
      <c r="H3730" s="204"/>
      <c r="I3730" s="204"/>
      <c r="J3730" s="204"/>
      <c r="K3730" s="204"/>
      <c r="L3730" s="204"/>
      <c r="M3730" s="204"/>
      <c r="N3730" s="204"/>
      <c r="O3730" s="204"/>
      <c r="P3730" s="204"/>
      <c r="T3730" s="217"/>
    </row>
    <row r="3731" spans="2:20">
      <c r="B3731" s="204"/>
      <c r="C3731" s="204"/>
      <c r="D3731" s="204"/>
      <c r="E3731" s="204"/>
      <c r="F3731" s="204"/>
      <c r="G3731" s="204"/>
      <c r="H3731" s="204"/>
      <c r="I3731" s="204"/>
      <c r="J3731" s="204"/>
      <c r="K3731" s="204"/>
      <c r="L3731" s="204"/>
      <c r="M3731" s="204"/>
      <c r="N3731" s="204"/>
      <c r="O3731" s="204"/>
      <c r="P3731" s="204"/>
      <c r="T3731" s="217"/>
    </row>
    <row r="3732" spans="2:20">
      <c r="B3732" s="204"/>
      <c r="C3732" s="204"/>
      <c r="D3732" s="204"/>
      <c r="E3732" s="204"/>
      <c r="F3732" s="204"/>
      <c r="G3732" s="204"/>
      <c r="H3732" s="204"/>
      <c r="I3732" s="204"/>
      <c r="J3732" s="204"/>
      <c r="K3732" s="204"/>
      <c r="L3732" s="204"/>
      <c r="M3732" s="204"/>
      <c r="N3732" s="204"/>
      <c r="O3732" s="204"/>
      <c r="P3732" s="204"/>
      <c r="T3732" s="217"/>
    </row>
    <row r="3733" spans="2:20">
      <c r="B3733" s="204"/>
      <c r="C3733" s="204"/>
      <c r="D3733" s="204"/>
      <c r="E3733" s="204"/>
      <c r="F3733" s="204"/>
      <c r="G3733" s="204"/>
      <c r="H3733" s="204"/>
      <c r="I3733" s="204"/>
      <c r="J3733" s="204"/>
      <c r="K3733" s="204"/>
      <c r="L3733" s="204"/>
      <c r="M3733" s="204"/>
      <c r="N3733" s="204"/>
      <c r="O3733" s="204"/>
      <c r="P3733" s="204"/>
      <c r="T3733" s="217"/>
    </row>
    <row r="3734" spans="2:20">
      <c r="B3734" s="204"/>
      <c r="C3734" s="204"/>
      <c r="D3734" s="204"/>
      <c r="E3734" s="204"/>
      <c r="F3734" s="204"/>
      <c r="G3734" s="204"/>
      <c r="H3734" s="204"/>
      <c r="I3734" s="204"/>
      <c r="J3734" s="204"/>
      <c r="K3734" s="204"/>
      <c r="L3734" s="204"/>
      <c r="M3734" s="204"/>
      <c r="N3734" s="204"/>
      <c r="O3734" s="204"/>
      <c r="P3734" s="204"/>
      <c r="T3734" s="217"/>
    </row>
    <row r="3735" spans="2:20">
      <c r="B3735" s="204"/>
      <c r="C3735" s="204"/>
      <c r="D3735" s="204"/>
      <c r="E3735" s="204"/>
      <c r="F3735" s="204"/>
      <c r="G3735" s="204"/>
      <c r="H3735" s="204"/>
      <c r="I3735" s="204"/>
      <c r="J3735" s="204"/>
      <c r="K3735" s="204"/>
      <c r="L3735" s="204"/>
      <c r="M3735" s="204"/>
      <c r="N3735" s="204"/>
      <c r="O3735" s="204"/>
      <c r="P3735" s="204"/>
      <c r="T3735" s="217"/>
    </row>
    <row r="3736" spans="2:20">
      <c r="B3736" s="204"/>
      <c r="C3736" s="204"/>
      <c r="D3736" s="204"/>
      <c r="E3736" s="204"/>
      <c r="F3736" s="204"/>
      <c r="G3736" s="204"/>
      <c r="H3736" s="204"/>
      <c r="I3736" s="204"/>
      <c r="J3736" s="204"/>
      <c r="K3736" s="204"/>
      <c r="L3736" s="204"/>
      <c r="M3736" s="204"/>
      <c r="N3736" s="204"/>
      <c r="O3736" s="204"/>
      <c r="P3736" s="204"/>
      <c r="T3736" s="217"/>
    </row>
    <row r="3737" spans="2:20">
      <c r="B3737" s="204"/>
      <c r="C3737" s="204"/>
      <c r="D3737" s="204"/>
      <c r="E3737" s="204"/>
      <c r="F3737" s="204"/>
      <c r="G3737" s="204"/>
      <c r="H3737" s="204"/>
      <c r="I3737" s="204"/>
      <c r="J3737" s="204"/>
      <c r="K3737" s="204"/>
      <c r="L3737" s="204"/>
      <c r="M3737" s="204"/>
      <c r="N3737" s="204"/>
      <c r="O3737" s="204"/>
      <c r="P3737" s="204"/>
      <c r="T3737" s="217"/>
    </row>
    <row r="3738" spans="2:20">
      <c r="B3738" s="204"/>
      <c r="C3738" s="204"/>
      <c r="D3738" s="204"/>
      <c r="E3738" s="204"/>
      <c r="F3738" s="204"/>
      <c r="G3738" s="204"/>
      <c r="H3738" s="204"/>
      <c r="I3738" s="204"/>
      <c r="J3738" s="204"/>
      <c r="K3738" s="204"/>
      <c r="L3738" s="204"/>
      <c r="M3738" s="204"/>
      <c r="N3738" s="204"/>
      <c r="O3738" s="204"/>
      <c r="P3738" s="204"/>
      <c r="T3738" s="217"/>
    </row>
    <row r="3739" spans="2:20">
      <c r="B3739" s="204"/>
      <c r="C3739" s="204"/>
      <c r="D3739" s="204"/>
      <c r="E3739" s="204"/>
      <c r="F3739" s="204"/>
      <c r="G3739" s="204"/>
      <c r="H3739" s="204"/>
      <c r="I3739" s="204"/>
      <c r="J3739" s="204"/>
      <c r="K3739" s="204"/>
      <c r="L3739" s="204"/>
      <c r="M3739" s="204"/>
      <c r="N3739" s="204"/>
      <c r="O3739" s="204"/>
      <c r="P3739" s="204"/>
      <c r="T3739" s="217"/>
    </row>
    <row r="3740" spans="2:20">
      <c r="B3740" s="204"/>
      <c r="C3740" s="204"/>
      <c r="D3740" s="204"/>
      <c r="E3740" s="204"/>
      <c r="F3740" s="204"/>
      <c r="G3740" s="204"/>
      <c r="H3740" s="204"/>
      <c r="I3740" s="204"/>
      <c r="J3740" s="204"/>
      <c r="K3740" s="204"/>
      <c r="L3740" s="204"/>
      <c r="M3740" s="204"/>
      <c r="N3740" s="204"/>
      <c r="O3740" s="204"/>
      <c r="P3740" s="204"/>
      <c r="T3740" s="217"/>
    </row>
    <row r="3741" spans="2:20">
      <c r="B3741" s="204"/>
      <c r="C3741" s="204"/>
      <c r="D3741" s="204"/>
      <c r="E3741" s="204"/>
      <c r="F3741" s="204"/>
      <c r="G3741" s="204"/>
      <c r="H3741" s="204"/>
      <c r="I3741" s="204"/>
      <c r="J3741" s="204"/>
      <c r="K3741" s="204"/>
      <c r="L3741" s="204"/>
      <c r="M3741" s="204"/>
      <c r="N3741" s="204"/>
      <c r="O3741" s="204"/>
      <c r="P3741" s="204"/>
      <c r="T3741" s="217"/>
    </row>
    <row r="3742" spans="2:20">
      <c r="B3742" s="204"/>
      <c r="C3742" s="204"/>
      <c r="D3742" s="204"/>
      <c r="E3742" s="204"/>
      <c r="F3742" s="204"/>
      <c r="G3742" s="204"/>
      <c r="H3742" s="204"/>
      <c r="I3742" s="204"/>
      <c r="J3742" s="204"/>
      <c r="K3742" s="204"/>
      <c r="L3742" s="204"/>
      <c r="M3742" s="204"/>
      <c r="N3742" s="204"/>
      <c r="O3742" s="204"/>
      <c r="P3742" s="204"/>
      <c r="T3742" s="217"/>
    </row>
    <row r="3743" spans="2:20">
      <c r="B3743" s="204"/>
      <c r="C3743" s="204"/>
      <c r="D3743" s="204"/>
      <c r="E3743" s="204"/>
      <c r="F3743" s="204"/>
      <c r="G3743" s="204"/>
      <c r="H3743" s="204"/>
      <c r="I3743" s="204"/>
      <c r="J3743" s="204"/>
      <c r="K3743" s="204"/>
      <c r="L3743" s="204"/>
      <c r="M3743" s="204"/>
      <c r="N3743" s="204"/>
      <c r="O3743" s="204"/>
      <c r="P3743" s="204"/>
      <c r="T3743" s="217"/>
    </row>
    <row r="3744" spans="2:20">
      <c r="B3744" s="204"/>
      <c r="C3744" s="204"/>
      <c r="D3744" s="204"/>
      <c r="E3744" s="204"/>
      <c r="F3744" s="204"/>
      <c r="G3744" s="204"/>
      <c r="H3744" s="204"/>
      <c r="I3744" s="204"/>
      <c r="J3744" s="204"/>
      <c r="K3744" s="204"/>
      <c r="L3744" s="204"/>
      <c r="M3744" s="204"/>
      <c r="N3744" s="204"/>
      <c r="O3744" s="204"/>
      <c r="P3744" s="204"/>
      <c r="T3744" s="217"/>
    </row>
    <row r="3745" spans="2:20">
      <c r="B3745" s="204"/>
      <c r="C3745" s="204"/>
      <c r="D3745" s="204"/>
      <c r="E3745" s="204"/>
      <c r="F3745" s="204"/>
      <c r="G3745" s="204"/>
      <c r="H3745" s="204"/>
      <c r="I3745" s="204"/>
      <c r="J3745" s="204"/>
      <c r="K3745" s="204"/>
      <c r="L3745" s="204"/>
      <c r="M3745" s="204"/>
      <c r="N3745" s="204"/>
      <c r="O3745" s="204"/>
      <c r="P3745" s="204"/>
      <c r="T3745" s="217"/>
    </row>
    <row r="3746" spans="2:20">
      <c r="B3746" s="204"/>
      <c r="C3746" s="204"/>
      <c r="D3746" s="204"/>
      <c r="E3746" s="204"/>
      <c r="F3746" s="204"/>
      <c r="G3746" s="204"/>
      <c r="H3746" s="204"/>
      <c r="I3746" s="204"/>
      <c r="J3746" s="204"/>
      <c r="K3746" s="204"/>
      <c r="L3746" s="204"/>
      <c r="M3746" s="204"/>
      <c r="N3746" s="204"/>
      <c r="O3746" s="204"/>
      <c r="P3746" s="204"/>
      <c r="T3746" s="217"/>
    </row>
    <row r="3747" spans="2:20">
      <c r="B3747" s="204"/>
      <c r="C3747" s="204"/>
      <c r="D3747" s="204"/>
      <c r="E3747" s="204"/>
      <c r="F3747" s="204"/>
      <c r="G3747" s="204"/>
      <c r="H3747" s="204"/>
      <c r="I3747" s="204"/>
      <c r="J3747" s="204"/>
      <c r="K3747" s="204"/>
      <c r="L3747" s="204"/>
      <c r="M3747" s="204"/>
      <c r="N3747" s="204"/>
      <c r="O3747" s="204"/>
      <c r="P3747" s="204"/>
      <c r="T3747" s="217"/>
    </row>
    <row r="3748" spans="2:20">
      <c r="B3748" s="204"/>
      <c r="C3748" s="204"/>
      <c r="D3748" s="204"/>
      <c r="E3748" s="204"/>
      <c r="F3748" s="204"/>
      <c r="G3748" s="204"/>
      <c r="H3748" s="204"/>
      <c r="I3748" s="204"/>
      <c r="J3748" s="204"/>
      <c r="K3748" s="204"/>
      <c r="L3748" s="204"/>
      <c r="M3748" s="204"/>
      <c r="N3748" s="204"/>
      <c r="O3748" s="204"/>
      <c r="P3748" s="204"/>
      <c r="T3748" s="217"/>
    </row>
    <row r="3749" spans="2:20">
      <c r="B3749" s="204"/>
      <c r="C3749" s="204"/>
      <c r="D3749" s="204"/>
      <c r="E3749" s="204"/>
      <c r="F3749" s="204"/>
      <c r="G3749" s="204"/>
      <c r="H3749" s="204"/>
      <c r="I3749" s="204"/>
      <c r="J3749" s="204"/>
      <c r="K3749" s="204"/>
      <c r="L3749" s="204"/>
      <c r="M3749" s="204"/>
      <c r="N3749" s="204"/>
      <c r="O3749" s="204"/>
      <c r="P3749" s="204"/>
      <c r="T3749" s="217"/>
    </row>
    <row r="3750" spans="2:20">
      <c r="B3750" s="204"/>
      <c r="C3750" s="204"/>
      <c r="D3750" s="204"/>
      <c r="E3750" s="204"/>
      <c r="F3750" s="204"/>
      <c r="G3750" s="204"/>
      <c r="H3750" s="204"/>
      <c r="I3750" s="204"/>
      <c r="J3750" s="204"/>
      <c r="K3750" s="204"/>
      <c r="L3750" s="204"/>
      <c r="M3750" s="204"/>
      <c r="N3750" s="204"/>
      <c r="O3750" s="204"/>
      <c r="P3750" s="204"/>
      <c r="T3750" s="217"/>
    </row>
    <row r="3751" spans="2:20">
      <c r="B3751" s="204"/>
      <c r="C3751" s="204"/>
      <c r="D3751" s="204"/>
      <c r="E3751" s="204"/>
      <c r="F3751" s="204"/>
      <c r="G3751" s="204"/>
      <c r="H3751" s="204"/>
      <c r="I3751" s="204"/>
      <c r="J3751" s="204"/>
      <c r="K3751" s="204"/>
      <c r="L3751" s="204"/>
      <c r="M3751" s="204"/>
      <c r="N3751" s="204"/>
      <c r="O3751" s="204"/>
      <c r="P3751" s="204"/>
      <c r="T3751" s="217"/>
    </row>
    <row r="3752" spans="2:20">
      <c r="B3752" s="204"/>
      <c r="C3752" s="204"/>
      <c r="D3752" s="204"/>
      <c r="E3752" s="204"/>
      <c r="F3752" s="204"/>
      <c r="G3752" s="204"/>
      <c r="H3752" s="204"/>
      <c r="I3752" s="204"/>
      <c r="J3752" s="204"/>
      <c r="K3752" s="204"/>
      <c r="L3752" s="204"/>
      <c r="M3752" s="204"/>
      <c r="N3752" s="204"/>
      <c r="O3752" s="204"/>
      <c r="P3752" s="204"/>
      <c r="T3752" s="217"/>
    </row>
    <row r="3753" spans="2:20">
      <c r="B3753" s="204"/>
      <c r="C3753" s="204"/>
      <c r="D3753" s="204"/>
      <c r="E3753" s="204"/>
      <c r="F3753" s="204"/>
      <c r="G3753" s="204"/>
      <c r="H3753" s="204"/>
      <c r="I3753" s="204"/>
      <c r="J3753" s="204"/>
      <c r="K3753" s="204"/>
      <c r="L3753" s="204"/>
      <c r="M3753" s="204"/>
      <c r="N3753" s="204"/>
      <c r="O3753" s="204"/>
      <c r="P3753" s="204"/>
      <c r="T3753" s="217"/>
    </row>
    <row r="3754" spans="2:20">
      <c r="B3754" s="204"/>
      <c r="C3754" s="204"/>
      <c r="D3754" s="204"/>
      <c r="E3754" s="204"/>
      <c r="F3754" s="204"/>
      <c r="G3754" s="204"/>
      <c r="H3754" s="204"/>
      <c r="I3754" s="204"/>
      <c r="J3754" s="204"/>
      <c r="K3754" s="204"/>
      <c r="L3754" s="204"/>
      <c r="M3754" s="204"/>
      <c r="N3754" s="204"/>
      <c r="O3754" s="204"/>
      <c r="P3754" s="204"/>
      <c r="T3754" s="217"/>
    </row>
    <row r="3755" spans="2:20">
      <c r="B3755" s="204"/>
      <c r="C3755" s="204"/>
      <c r="D3755" s="204"/>
      <c r="E3755" s="204"/>
      <c r="F3755" s="204"/>
      <c r="G3755" s="204"/>
      <c r="H3755" s="204"/>
      <c r="I3755" s="204"/>
      <c r="J3755" s="204"/>
      <c r="K3755" s="204"/>
      <c r="L3755" s="204"/>
      <c r="M3755" s="204"/>
      <c r="N3755" s="204"/>
      <c r="O3755" s="204"/>
      <c r="P3755" s="204"/>
      <c r="T3755" s="217"/>
    </row>
    <row r="3756" spans="2:20">
      <c r="B3756" s="204"/>
      <c r="C3756" s="204"/>
      <c r="D3756" s="204"/>
      <c r="E3756" s="204"/>
      <c r="F3756" s="204"/>
      <c r="G3756" s="204"/>
      <c r="H3756" s="204"/>
      <c r="I3756" s="204"/>
      <c r="J3756" s="204"/>
      <c r="K3756" s="204"/>
      <c r="L3756" s="204"/>
      <c r="M3756" s="204"/>
      <c r="N3756" s="204"/>
      <c r="O3756" s="204"/>
      <c r="P3756" s="204"/>
      <c r="T3756" s="217"/>
    </row>
    <row r="3757" spans="2:20">
      <c r="B3757" s="204"/>
      <c r="C3757" s="204"/>
      <c r="D3757" s="204"/>
      <c r="E3757" s="204"/>
      <c r="F3757" s="204"/>
      <c r="G3757" s="204"/>
      <c r="H3757" s="204"/>
      <c r="I3757" s="204"/>
      <c r="J3757" s="204"/>
      <c r="K3757" s="204"/>
      <c r="L3757" s="204"/>
      <c r="M3757" s="204"/>
      <c r="N3757" s="204"/>
      <c r="O3757" s="204"/>
      <c r="P3757" s="204"/>
      <c r="T3757" s="217"/>
    </row>
    <row r="3758" spans="2:20">
      <c r="B3758" s="204"/>
      <c r="C3758" s="204"/>
      <c r="D3758" s="204"/>
      <c r="E3758" s="204"/>
      <c r="F3758" s="204"/>
      <c r="G3758" s="204"/>
      <c r="H3758" s="204"/>
      <c r="I3758" s="204"/>
      <c r="J3758" s="204"/>
      <c r="K3758" s="204"/>
      <c r="L3758" s="204"/>
      <c r="M3758" s="204"/>
      <c r="N3758" s="204"/>
      <c r="O3758" s="204"/>
      <c r="P3758" s="204"/>
      <c r="T3758" s="217"/>
    </row>
    <row r="3759" spans="2:20">
      <c r="B3759" s="204"/>
      <c r="C3759" s="204"/>
      <c r="D3759" s="204"/>
      <c r="E3759" s="204"/>
      <c r="F3759" s="204"/>
      <c r="G3759" s="204"/>
      <c r="H3759" s="204"/>
      <c r="I3759" s="204"/>
      <c r="J3759" s="204"/>
      <c r="K3759" s="204"/>
      <c r="L3759" s="204"/>
      <c r="M3759" s="204"/>
      <c r="N3759" s="204"/>
      <c r="O3759" s="204"/>
      <c r="P3759" s="204"/>
      <c r="T3759" s="217"/>
    </row>
    <row r="3760" spans="2:20">
      <c r="B3760" s="204"/>
      <c r="C3760" s="204"/>
      <c r="D3760" s="204"/>
      <c r="E3760" s="204"/>
      <c r="F3760" s="204"/>
      <c r="G3760" s="204"/>
      <c r="H3760" s="204"/>
      <c r="I3760" s="204"/>
      <c r="J3760" s="204"/>
      <c r="K3760" s="204"/>
      <c r="L3760" s="204"/>
      <c r="M3760" s="204"/>
      <c r="N3760" s="204"/>
      <c r="O3760" s="204"/>
      <c r="P3760" s="204"/>
      <c r="T3760" s="217"/>
    </row>
    <row r="3761" spans="2:20">
      <c r="B3761" s="204"/>
      <c r="C3761" s="204"/>
      <c r="D3761" s="204"/>
      <c r="E3761" s="204"/>
      <c r="F3761" s="204"/>
      <c r="G3761" s="204"/>
      <c r="H3761" s="204"/>
      <c r="I3761" s="204"/>
      <c r="J3761" s="204"/>
      <c r="K3761" s="204"/>
      <c r="L3761" s="204"/>
      <c r="M3761" s="204"/>
      <c r="N3761" s="204"/>
      <c r="O3761" s="204"/>
      <c r="P3761" s="204"/>
      <c r="T3761" s="217"/>
    </row>
    <row r="3762" spans="2:20">
      <c r="B3762" s="204"/>
      <c r="C3762" s="204"/>
      <c r="D3762" s="204"/>
      <c r="E3762" s="204"/>
      <c r="F3762" s="204"/>
      <c r="G3762" s="204"/>
      <c r="H3762" s="204"/>
      <c r="I3762" s="204"/>
      <c r="J3762" s="204"/>
      <c r="K3762" s="204"/>
      <c r="L3762" s="204"/>
      <c r="M3762" s="204"/>
      <c r="N3762" s="204"/>
      <c r="O3762" s="204"/>
      <c r="P3762" s="204"/>
      <c r="T3762" s="217"/>
    </row>
    <row r="3763" spans="2:20">
      <c r="B3763" s="204"/>
      <c r="C3763" s="204"/>
      <c r="D3763" s="204"/>
      <c r="E3763" s="204"/>
      <c r="F3763" s="204"/>
      <c r="G3763" s="204"/>
      <c r="H3763" s="204"/>
      <c r="I3763" s="204"/>
      <c r="J3763" s="204"/>
      <c r="K3763" s="204"/>
      <c r="L3763" s="204"/>
      <c r="M3763" s="204"/>
      <c r="N3763" s="204"/>
      <c r="O3763" s="204"/>
      <c r="P3763" s="204"/>
      <c r="T3763" s="217"/>
    </row>
    <row r="3764" spans="2:20">
      <c r="B3764" s="204"/>
      <c r="C3764" s="204"/>
      <c r="D3764" s="204"/>
      <c r="E3764" s="204"/>
      <c r="F3764" s="204"/>
      <c r="G3764" s="204"/>
      <c r="H3764" s="204"/>
      <c r="I3764" s="204"/>
      <c r="J3764" s="204"/>
      <c r="K3764" s="204"/>
      <c r="L3764" s="204"/>
      <c r="M3764" s="204"/>
      <c r="N3764" s="204"/>
      <c r="O3764" s="204"/>
      <c r="P3764" s="204"/>
      <c r="T3764" s="217"/>
    </row>
    <row r="3765" spans="2:20">
      <c r="B3765" s="204"/>
      <c r="C3765" s="204"/>
      <c r="D3765" s="204"/>
      <c r="E3765" s="204"/>
      <c r="F3765" s="204"/>
      <c r="G3765" s="204"/>
      <c r="H3765" s="204"/>
      <c r="I3765" s="204"/>
      <c r="J3765" s="204"/>
      <c r="K3765" s="204"/>
      <c r="L3765" s="204"/>
      <c r="M3765" s="204"/>
      <c r="N3765" s="204"/>
      <c r="O3765" s="204"/>
      <c r="P3765" s="204"/>
      <c r="T3765" s="217"/>
    </row>
    <row r="3766" spans="2:20">
      <c r="B3766" s="204"/>
      <c r="C3766" s="204"/>
      <c r="D3766" s="204"/>
      <c r="E3766" s="204"/>
      <c r="F3766" s="204"/>
      <c r="G3766" s="204"/>
      <c r="H3766" s="204"/>
      <c r="I3766" s="204"/>
      <c r="J3766" s="204"/>
      <c r="K3766" s="204"/>
      <c r="L3766" s="204"/>
      <c r="M3766" s="204"/>
      <c r="N3766" s="204"/>
      <c r="O3766" s="204"/>
      <c r="P3766" s="204"/>
      <c r="T3766" s="217"/>
    </row>
    <row r="3767" spans="2:20">
      <c r="B3767" s="204"/>
      <c r="C3767" s="204"/>
      <c r="D3767" s="204"/>
      <c r="E3767" s="204"/>
      <c r="F3767" s="204"/>
      <c r="G3767" s="204"/>
      <c r="H3767" s="204"/>
      <c r="I3767" s="204"/>
      <c r="J3767" s="204"/>
      <c r="K3767" s="204"/>
      <c r="L3767" s="204"/>
      <c r="M3767" s="204"/>
      <c r="N3767" s="204"/>
      <c r="O3767" s="204"/>
      <c r="P3767" s="204"/>
      <c r="T3767" s="217"/>
    </row>
    <row r="3768" spans="2:20">
      <c r="B3768" s="204"/>
      <c r="C3768" s="204"/>
      <c r="D3768" s="204"/>
      <c r="E3768" s="204"/>
      <c r="F3768" s="204"/>
      <c r="G3768" s="204"/>
      <c r="H3768" s="204"/>
      <c r="I3768" s="204"/>
      <c r="J3768" s="204"/>
      <c r="K3768" s="204"/>
      <c r="L3768" s="204"/>
      <c r="M3768" s="204"/>
      <c r="N3768" s="204"/>
      <c r="O3768" s="204"/>
      <c r="P3768" s="204"/>
      <c r="T3768" s="217"/>
    </row>
    <row r="3769" spans="2:20">
      <c r="B3769" s="204"/>
      <c r="C3769" s="204"/>
      <c r="D3769" s="204"/>
      <c r="E3769" s="204"/>
      <c r="F3769" s="204"/>
      <c r="G3769" s="204"/>
      <c r="H3769" s="204"/>
      <c r="I3769" s="204"/>
      <c r="J3769" s="204"/>
      <c r="K3769" s="204"/>
      <c r="L3769" s="204"/>
      <c r="M3769" s="204"/>
      <c r="N3769" s="204"/>
      <c r="O3769" s="204"/>
      <c r="P3769" s="204"/>
      <c r="T3769" s="217"/>
    </row>
    <row r="3770" spans="2:20">
      <c r="B3770" s="204"/>
      <c r="C3770" s="204"/>
      <c r="D3770" s="204"/>
      <c r="E3770" s="204"/>
      <c r="F3770" s="204"/>
      <c r="G3770" s="204"/>
      <c r="H3770" s="204"/>
      <c r="I3770" s="204"/>
      <c r="J3770" s="204"/>
      <c r="K3770" s="204"/>
      <c r="L3770" s="204"/>
      <c r="M3770" s="204"/>
      <c r="N3770" s="204"/>
      <c r="O3770" s="204"/>
      <c r="P3770" s="204"/>
      <c r="T3770" s="217"/>
    </row>
    <row r="3771" spans="2:20">
      <c r="B3771" s="204"/>
      <c r="C3771" s="204"/>
      <c r="D3771" s="204"/>
      <c r="E3771" s="204"/>
      <c r="F3771" s="204"/>
      <c r="G3771" s="204"/>
      <c r="H3771" s="204"/>
      <c r="I3771" s="204"/>
      <c r="J3771" s="204"/>
      <c r="K3771" s="204"/>
      <c r="L3771" s="204"/>
      <c r="M3771" s="204"/>
      <c r="N3771" s="204"/>
      <c r="O3771" s="204"/>
      <c r="P3771" s="204"/>
      <c r="T3771" s="217"/>
    </row>
    <row r="3772" spans="2:20">
      <c r="B3772" s="204"/>
      <c r="C3772" s="204"/>
      <c r="D3772" s="204"/>
      <c r="E3772" s="204"/>
      <c r="F3772" s="204"/>
      <c r="G3772" s="204"/>
      <c r="H3772" s="204"/>
      <c r="I3772" s="204"/>
      <c r="J3772" s="204"/>
      <c r="K3772" s="204"/>
      <c r="L3772" s="204"/>
      <c r="M3772" s="204"/>
      <c r="N3772" s="204"/>
      <c r="O3772" s="204"/>
      <c r="P3772" s="204"/>
      <c r="T3772" s="217"/>
    </row>
    <row r="3773" spans="2:20">
      <c r="B3773" s="204"/>
      <c r="C3773" s="204"/>
      <c r="D3773" s="204"/>
      <c r="E3773" s="204"/>
      <c r="F3773" s="204"/>
      <c r="G3773" s="204"/>
      <c r="H3773" s="204"/>
      <c r="I3773" s="204"/>
      <c r="J3773" s="204"/>
      <c r="K3773" s="204"/>
      <c r="L3773" s="204"/>
      <c r="M3773" s="204"/>
      <c r="N3773" s="204"/>
      <c r="O3773" s="204"/>
      <c r="P3773" s="204"/>
      <c r="T3773" s="217"/>
    </row>
    <row r="3774" spans="2:20">
      <c r="B3774" s="204"/>
      <c r="C3774" s="204"/>
      <c r="D3774" s="204"/>
      <c r="E3774" s="204"/>
      <c r="F3774" s="204"/>
      <c r="G3774" s="204"/>
      <c r="H3774" s="204"/>
      <c r="I3774" s="204"/>
      <c r="J3774" s="204"/>
      <c r="K3774" s="204"/>
      <c r="L3774" s="204"/>
      <c r="M3774" s="204"/>
      <c r="N3774" s="204"/>
      <c r="O3774" s="204"/>
      <c r="P3774" s="204"/>
      <c r="T3774" s="217"/>
    </row>
    <row r="3775" spans="2:20">
      <c r="B3775" s="204"/>
      <c r="C3775" s="204"/>
      <c r="D3775" s="204"/>
      <c r="E3775" s="204"/>
      <c r="F3775" s="204"/>
      <c r="G3775" s="204"/>
      <c r="H3775" s="204"/>
      <c r="I3775" s="204"/>
      <c r="J3775" s="204"/>
      <c r="K3775" s="204"/>
      <c r="L3775" s="204"/>
      <c r="M3775" s="204"/>
      <c r="N3775" s="204"/>
      <c r="O3775" s="204"/>
      <c r="P3775" s="204"/>
      <c r="T3775" s="217"/>
    </row>
    <row r="3776" spans="2:20">
      <c r="B3776" s="204"/>
      <c r="C3776" s="204"/>
      <c r="D3776" s="204"/>
      <c r="E3776" s="204"/>
      <c r="F3776" s="204"/>
      <c r="G3776" s="204"/>
      <c r="H3776" s="204"/>
      <c r="I3776" s="204"/>
      <c r="J3776" s="204"/>
      <c r="K3776" s="204"/>
      <c r="L3776" s="204"/>
      <c r="M3776" s="204"/>
      <c r="N3776" s="204"/>
      <c r="O3776" s="204"/>
      <c r="P3776" s="204"/>
      <c r="T3776" s="217"/>
    </row>
    <row r="3777" spans="2:20">
      <c r="B3777" s="204"/>
      <c r="C3777" s="204"/>
      <c r="D3777" s="204"/>
      <c r="E3777" s="204"/>
      <c r="F3777" s="204"/>
      <c r="G3777" s="204"/>
      <c r="H3777" s="204"/>
      <c r="I3777" s="204"/>
      <c r="J3777" s="204"/>
      <c r="K3777" s="204"/>
      <c r="L3777" s="204"/>
      <c r="M3777" s="204"/>
      <c r="N3777" s="204"/>
      <c r="O3777" s="204"/>
      <c r="P3777" s="204"/>
      <c r="T3777" s="217"/>
    </row>
    <row r="3778" spans="2:20">
      <c r="B3778" s="204"/>
      <c r="C3778" s="204"/>
      <c r="D3778" s="204"/>
      <c r="E3778" s="204"/>
      <c r="F3778" s="204"/>
      <c r="G3778" s="204"/>
      <c r="H3778" s="204"/>
      <c r="I3778" s="204"/>
      <c r="J3778" s="204"/>
      <c r="K3778" s="204"/>
      <c r="L3778" s="204"/>
      <c r="M3778" s="204"/>
      <c r="N3778" s="204"/>
      <c r="O3778" s="204"/>
      <c r="P3778" s="204"/>
      <c r="T3778" s="217"/>
    </row>
    <row r="3779" spans="2:20">
      <c r="B3779" s="204"/>
      <c r="C3779" s="204"/>
      <c r="D3779" s="204"/>
      <c r="E3779" s="204"/>
      <c r="F3779" s="204"/>
      <c r="G3779" s="204"/>
      <c r="H3779" s="204"/>
      <c r="I3779" s="204"/>
      <c r="J3779" s="204"/>
      <c r="K3779" s="204"/>
      <c r="L3779" s="204"/>
      <c r="M3779" s="204"/>
      <c r="N3779" s="204"/>
      <c r="O3779" s="204"/>
      <c r="P3779" s="204"/>
      <c r="T3779" s="217"/>
    </row>
    <row r="3780" spans="2:20">
      <c r="B3780" s="204"/>
      <c r="C3780" s="204"/>
      <c r="D3780" s="204"/>
      <c r="E3780" s="204"/>
      <c r="F3780" s="204"/>
      <c r="G3780" s="204"/>
      <c r="H3780" s="204"/>
      <c r="I3780" s="204"/>
      <c r="J3780" s="204"/>
      <c r="K3780" s="204"/>
      <c r="L3780" s="204"/>
      <c r="M3780" s="204"/>
      <c r="N3780" s="204"/>
      <c r="O3780" s="204"/>
      <c r="P3780" s="204"/>
      <c r="T3780" s="217"/>
    </row>
    <row r="3781" spans="2:20">
      <c r="B3781" s="204"/>
      <c r="C3781" s="204"/>
      <c r="D3781" s="204"/>
      <c r="E3781" s="204"/>
      <c r="F3781" s="204"/>
      <c r="G3781" s="204"/>
      <c r="H3781" s="204"/>
      <c r="I3781" s="204"/>
      <c r="J3781" s="204"/>
      <c r="K3781" s="204"/>
      <c r="L3781" s="204"/>
      <c r="M3781" s="204"/>
      <c r="N3781" s="204"/>
      <c r="O3781" s="204"/>
      <c r="P3781" s="204"/>
      <c r="T3781" s="217"/>
    </row>
    <row r="3782" spans="2:20">
      <c r="B3782" s="204"/>
      <c r="C3782" s="204"/>
      <c r="D3782" s="204"/>
      <c r="E3782" s="204"/>
      <c r="F3782" s="204"/>
      <c r="G3782" s="204"/>
      <c r="H3782" s="204"/>
      <c r="I3782" s="204"/>
      <c r="J3782" s="204"/>
      <c r="K3782" s="204"/>
      <c r="L3782" s="204"/>
      <c r="M3782" s="204"/>
      <c r="N3782" s="204"/>
      <c r="O3782" s="204"/>
      <c r="P3782" s="204"/>
      <c r="T3782" s="217"/>
    </row>
    <row r="3783" spans="2:20">
      <c r="B3783" s="204"/>
      <c r="C3783" s="204"/>
      <c r="D3783" s="204"/>
      <c r="E3783" s="204"/>
      <c r="F3783" s="204"/>
      <c r="G3783" s="204"/>
      <c r="H3783" s="204"/>
      <c r="I3783" s="204"/>
      <c r="J3783" s="204"/>
      <c r="K3783" s="204"/>
      <c r="L3783" s="204"/>
      <c r="M3783" s="204"/>
      <c r="N3783" s="204"/>
      <c r="O3783" s="204"/>
      <c r="P3783" s="204"/>
      <c r="T3783" s="217"/>
    </row>
    <row r="3784" spans="2:20">
      <c r="B3784" s="204"/>
      <c r="C3784" s="204"/>
      <c r="D3784" s="204"/>
      <c r="E3784" s="204"/>
      <c r="F3784" s="204"/>
      <c r="G3784" s="204"/>
      <c r="H3784" s="204"/>
      <c r="I3784" s="204"/>
      <c r="J3784" s="204"/>
      <c r="K3784" s="204"/>
      <c r="L3784" s="204"/>
      <c r="M3784" s="204"/>
      <c r="N3784" s="204"/>
      <c r="O3784" s="204"/>
      <c r="P3784" s="204"/>
      <c r="T3784" s="217"/>
    </row>
    <row r="3785" spans="2:20">
      <c r="B3785" s="204"/>
      <c r="C3785" s="204"/>
      <c r="D3785" s="204"/>
      <c r="E3785" s="204"/>
      <c r="F3785" s="204"/>
      <c r="G3785" s="204"/>
      <c r="H3785" s="204"/>
      <c r="I3785" s="204"/>
      <c r="J3785" s="204"/>
      <c r="K3785" s="204"/>
      <c r="L3785" s="204"/>
      <c r="M3785" s="204"/>
      <c r="N3785" s="204"/>
      <c r="O3785" s="204"/>
      <c r="P3785" s="204"/>
      <c r="T3785" s="217"/>
    </row>
    <row r="3786" spans="2:20">
      <c r="B3786" s="204"/>
      <c r="C3786" s="204"/>
      <c r="D3786" s="204"/>
      <c r="E3786" s="204"/>
      <c r="F3786" s="204"/>
      <c r="G3786" s="204"/>
      <c r="H3786" s="204"/>
      <c r="I3786" s="204"/>
      <c r="J3786" s="204"/>
      <c r="K3786" s="204"/>
      <c r="L3786" s="204"/>
      <c r="M3786" s="204"/>
      <c r="N3786" s="204"/>
      <c r="O3786" s="204"/>
      <c r="P3786" s="204"/>
      <c r="T3786" s="217"/>
    </row>
    <row r="3787" spans="2:20">
      <c r="B3787" s="204"/>
      <c r="C3787" s="204"/>
      <c r="D3787" s="204"/>
      <c r="E3787" s="204"/>
      <c r="F3787" s="204"/>
      <c r="G3787" s="204"/>
      <c r="H3787" s="204"/>
      <c r="I3787" s="204"/>
      <c r="J3787" s="204"/>
      <c r="K3787" s="204"/>
      <c r="L3787" s="204"/>
      <c r="M3787" s="204"/>
      <c r="N3787" s="204"/>
      <c r="O3787" s="204"/>
      <c r="P3787" s="204"/>
      <c r="T3787" s="217"/>
    </row>
    <row r="3788" spans="2:20">
      <c r="B3788" s="204"/>
      <c r="C3788" s="204"/>
      <c r="D3788" s="204"/>
      <c r="E3788" s="204"/>
      <c r="F3788" s="204"/>
      <c r="G3788" s="204"/>
      <c r="H3788" s="204"/>
      <c r="I3788" s="204"/>
      <c r="J3788" s="204"/>
      <c r="K3788" s="204"/>
      <c r="L3788" s="204"/>
      <c r="M3788" s="204"/>
      <c r="N3788" s="204"/>
      <c r="O3788" s="204"/>
      <c r="P3788" s="204"/>
      <c r="T3788" s="217"/>
    </row>
    <row r="3789" spans="2:20">
      <c r="B3789" s="204"/>
      <c r="C3789" s="204"/>
      <c r="D3789" s="204"/>
      <c r="E3789" s="204"/>
      <c r="F3789" s="204"/>
      <c r="G3789" s="204"/>
      <c r="H3789" s="204"/>
      <c r="I3789" s="204"/>
      <c r="J3789" s="204"/>
      <c r="K3789" s="204"/>
      <c r="L3789" s="204"/>
      <c r="M3789" s="204"/>
      <c r="N3789" s="204"/>
      <c r="O3789" s="204"/>
      <c r="P3789" s="204"/>
      <c r="T3789" s="217"/>
    </row>
    <row r="3790" spans="2:20">
      <c r="B3790" s="204"/>
      <c r="C3790" s="204"/>
      <c r="D3790" s="204"/>
      <c r="E3790" s="204"/>
      <c r="F3790" s="204"/>
      <c r="G3790" s="204"/>
      <c r="H3790" s="204"/>
      <c r="I3790" s="204"/>
      <c r="J3790" s="204"/>
      <c r="K3790" s="204"/>
      <c r="L3790" s="204"/>
      <c r="M3790" s="204"/>
      <c r="N3790" s="204"/>
      <c r="O3790" s="204"/>
      <c r="P3790" s="204"/>
      <c r="T3790" s="217"/>
    </row>
    <row r="3791" spans="2:20">
      <c r="B3791" s="204"/>
      <c r="C3791" s="204"/>
      <c r="D3791" s="204"/>
      <c r="E3791" s="204"/>
      <c r="F3791" s="204"/>
      <c r="G3791" s="204"/>
      <c r="H3791" s="204"/>
      <c r="I3791" s="204"/>
      <c r="J3791" s="204"/>
      <c r="K3791" s="204"/>
      <c r="L3791" s="204"/>
      <c r="M3791" s="204"/>
      <c r="N3791" s="204"/>
      <c r="O3791" s="204"/>
      <c r="P3791" s="204"/>
      <c r="T3791" s="217"/>
    </row>
    <row r="3792" spans="2:20">
      <c r="B3792" s="204"/>
      <c r="C3792" s="204"/>
      <c r="D3792" s="204"/>
      <c r="E3792" s="204"/>
      <c r="F3792" s="204"/>
      <c r="G3792" s="204"/>
      <c r="H3792" s="204"/>
      <c r="I3792" s="204"/>
      <c r="J3792" s="204"/>
      <c r="K3792" s="204"/>
      <c r="L3792" s="204"/>
      <c r="M3792" s="204"/>
      <c r="N3792" s="204"/>
      <c r="O3792" s="204"/>
      <c r="P3792" s="204"/>
      <c r="T3792" s="217"/>
    </row>
    <row r="3793" spans="2:20">
      <c r="B3793" s="204"/>
      <c r="C3793" s="204"/>
      <c r="D3793" s="204"/>
      <c r="E3793" s="204"/>
      <c r="F3793" s="204"/>
      <c r="G3793" s="204"/>
      <c r="H3793" s="204"/>
      <c r="I3793" s="204"/>
      <c r="J3793" s="204"/>
      <c r="K3793" s="204"/>
      <c r="L3793" s="204"/>
      <c r="M3793" s="204"/>
      <c r="N3793" s="204"/>
      <c r="O3793" s="204"/>
      <c r="P3793" s="204"/>
      <c r="T3793" s="217"/>
    </row>
    <row r="3794" spans="2:20">
      <c r="B3794" s="204"/>
      <c r="C3794" s="204"/>
      <c r="D3794" s="204"/>
      <c r="E3794" s="204"/>
      <c r="F3794" s="204"/>
      <c r="G3794" s="204"/>
      <c r="H3794" s="204"/>
      <c r="I3794" s="204"/>
      <c r="J3794" s="204"/>
      <c r="K3794" s="204"/>
      <c r="L3794" s="204"/>
      <c r="M3794" s="204"/>
      <c r="N3794" s="204"/>
      <c r="O3794" s="204"/>
      <c r="P3794" s="204"/>
      <c r="T3794" s="217"/>
    </row>
    <row r="3795" spans="2:20">
      <c r="B3795" s="204"/>
      <c r="C3795" s="204"/>
      <c r="D3795" s="204"/>
      <c r="E3795" s="204"/>
      <c r="F3795" s="204"/>
      <c r="G3795" s="204"/>
      <c r="H3795" s="204"/>
      <c r="I3795" s="204"/>
      <c r="J3795" s="204"/>
      <c r="K3795" s="204"/>
      <c r="L3795" s="204"/>
      <c r="M3795" s="204"/>
      <c r="N3795" s="204"/>
      <c r="O3795" s="204"/>
      <c r="P3795" s="204"/>
      <c r="T3795" s="217"/>
    </row>
    <row r="3796" spans="2:20">
      <c r="B3796" s="204"/>
      <c r="C3796" s="204"/>
      <c r="D3796" s="204"/>
      <c r="E3796" s="204"/>
      <c r="F3796" s="204"/>
      <c r="G3796" s="204"/>
      <c r="H3796" s="204"/>
      <c r="I3796" s="204"/>
      <c r="J3796" s="204"/>
      <c r="K3796" s="204"/>
      <c r="L3796" s="204"/>
      <c r="M3796" s="204"/>
      <c r="N3796" s="204"/>
      <c r="O3796" s="204"/>
      <c r="P3796" s="204"/>
      <c r="T3796" s="217"/>
    </row>
    <row r="3797" spans="2:20">
      <c r="B3797" s="204"/>
      <c r="C3797" s="204"/>
      <c r="D3797" s="204"/>
      <c r="E3797" s="204"/>
      <c r="F3797" s="204"/>
      <c r="G3797" s="204"/>
      <c r="H3797" s="204"/>
      <c r="I3797" s="204"/>
      <c r="J3797" s="204"/>
      <c r="K3797" s="204"/>
      <c r="L3797" s="204"/>
      <c r="M3797" s="204"/>
      <c r="N3797" s="204"/>
      <c r="O3797" s="204"/>
      <c r="P3797" s="204"/>
      <c r="T3797" s="217"/>
    </row>
    <row r="3798" spans="2:20">
      <c r="B3798" s="204"/>
      <c r="C3798" s="204"/>
      <c r="D3798" s="204"/>
      <c r="E3798" s="204"/>
      <c r="F3798" s="204"/>
      <c r="G3798" s="204"/>
      <c r="H3798" s="204"/>
      <c r="I3798" s="204"/>
      <c r="J3798" s="204"/>
      <c r="K3798" s="204"/>
      <c r="L3798" s="204"/>
      <c r="M3798" s="204"/>
      <c r="N3798" s="204"/>
      <c r="O3798" s="204"/>
      <c r="P3798" s="204"/>
      <c r="T3798" s="217"/>
    </row>
    <row r="3799" spans="2:20">
      <c r="B3799" s="204"/>
      <c r="C3799" s="204"/>
      <c r="D3799" s="204"/>
      <c r="E3799" s="204"/>
      <c r="F3799" s="204"/>
      <c r="G3799" s="204"/>
      <c r="H3799" s="204"/>
      <c r="I3799" s="204"/>
      <c r="J3799" s="204"/>
      <c r="K3799" s="204"/>
      <c r="L3799" s="204"/>
      <c r="M3799" s="204"/>
      <c r="N3799" s="204"/>
      <c r="O3799" s="204"/>
      <c r="P3799" s="204"/>
      <c r="T3799" s="217"/>
    </row>
    <row r="3800" spans="2:20">
      <c r="B3800" s="204"/>
      <c r="C3800" s="204"/>
      <c r="D3800" s="204"/>
      <c r="E3800" s="204"/>
      <c r="F3800" s="204"/>
      <c r="G3800" s="204"/>
      <c r="H3800" s="204"/>
      <c r="I3800" s="204"/>
      <c r="J3800" s="204"/>
      <c r="K3800" s="204"/>
      <c r="L3800" s="204"/>
      <c r="M3800" s="204"/>
      <c r="N3800" s="204"/>
      <c r="O3800" s="204"/>
      <c r="P3800" s="204"/>
      <c r="T3800" s="217"/>
    </row>
    <row r="3801" spans="2:20">
      <c r="B3801" s="204"/>
      <c r="C3801" s="204"/>
      <c r="D3801" s="204"/>
      <c r="E3801" s="204"/>
      <c r="F3801" s="204"/>
      <c r="G3801" s="204"/>
      <c r="H3801" s="204"/>
      <c r="I3801" s="204"/>
      <c r="J3801" s="204"/>
      <c r="K3801" s="204"/>
      <c r="L3801" s="204"/>
      <c r="M3801" s="204"/>
      <c r="N3801" s="204"/>
      <c r="O3801" s="204"/>
      <c r="P3801" s="204"/>
      <c r="T3801" s="217"/>
    </row>
    <row r="3802" spans="2:20">
      <c r="B3802" s="204"/>
      <c r="C3802" s="204"/>
      <c r="D3802" s="204"/>
      <c r="E3802" s="204"/>
      <c r="F3802" s="204"/>
      <c r="G3802" s="204"/>
      <c r="H3802" s="204"/>
      <c r="I3802" s="204"/>
      <c r="J3802" s="204"/>
      <c r="K3802" s="204"/>
      <c r="L3802" s="204"/>
      <c r="M3802" s="204"/>
      <c r="N3802" s="204"/>
      <c r="O3802" s="204"/>
      <c r="P3802" s="204"/>
      <c r="T3802" s="217"/>
    </row>
    <row r="3803" spans="2:20">
      <c r="B3803" s="204"/>
      <c r="C3803" s="204"/>
      <c r="D3803" s="204"/>
      <c r="E3803" s="204"/>
      <c r="F3803" s="204"/>
      <c r="G3803" s="204"/>
      <c r="H3803" s="204"/>
      <c r="I3803" s="204"/>
      <c r="J3803" s="204"/>
      <c r="K3803" s="204"/>
      <c r="L3803" s="204"/>
      <c r="M3803" s="204"/>
      <c r="N3803" s="204"/>
      <c r="O3803" s="204"/>
      <c r="P3803" s="204"/>
      <c r="T3803" s="217"/>
    </row>
    <row r="3804" spans="2:20">
      <c r="B3804" s="204"/>
      <c r="C3804" s="204"/>
      <c r="D3804" s="204"/>
      <c r="E3804" s="204"/>
      <c r="F3804" s="204"/>
      <c r="G3804" s="204"/>
      <c r="H3804" s="204"/>
      <c r="I3804" s="204"/>
      <c r="J3804" s="204"/>
      <c r="K3804" s="204"/>
      <c r="L3804" s="204"/>
      <c r="M3804" s="204"/>
      <c r="N3804" s="204"/>
      <c r="O3804" s="204"/>
      <c r="P3804" s="204"/>
      <c r="T3804" s="217"/>
    </row>
    <row r="3805" spans="2:20">
      <c r="B3805" s="204"/>
      <c r="C3805" s="204"/>
      <c r="D3805" s="204"/>
      <c r="E3805" s="204"/>
      <c r="F3805" s="204"/>
      <c r="G3805" s="204"/>
      <c r="H3805" s="204"/>
      <c r="I3805" s="204"/>
      <c r="J3805" s="204"/>
      <c r="K3805" s="204"/>
      <c r="L3805" s="204"/>
      <c r="M3805" s="204"/>
      <c r="N3805" s="204"/>
      <c r="O3805" s="204"/>
      <c r="P3805" s="204"/>
      <c r="T3805" s="217"/>
    </row>
    <row r="3806" spans="2:20">
      <c r="B3806" s="204"/>
      <c r="C3806" s="204"/>
      <c r="D3806" s="204"/>
      <c r="E3806" s="204"/>
      <c r="F3806" s="204"/>
      <c r="G3806" s="204"/>
      <c r="H3806" s="204"/>
      <c r="I3806" s="204"/>
      <c r="J3806" s="204"/>
      <c r="K3806" s="204"/>
      <c r="L3806" s="204"/>
      <c r="M3806" s="204"/>
      <c r="N3806" s="204"/>
      <c r="O3806" s="204"/>
      <c r="P3806" s="204"/>
      <c r="T3806" s="217"/>
    </row>
    <row r="3807" spans="2:20">
      <c r="B3807" s="204"/>
      <c r="C3807" s="204"/>
      <c r="D3807" s="204"/>
      <c r="E3807" s="204"/>
      <c r="F3807" s="204"/>
      <c r="G3807" s="204"/>
      <c r="H3807" s="204"/>
      <c r="I3807" s="204"/>
      <c r="J3807" s="204"/>
      <c r="K3807" s="204"/>
      <c r="L3807" s="204"/>
      <c r="M3807" s="204"/>
      <c r="N3807" s="204"/>
      <c r="O3807" s="204"/>
      <c r="P3807" s="204"/>
      <c r="T3807" s="217"/>
    </row>
    <row r="3808" spans="2:20">
      <c r="B3808" s="204"/>
      <c r="C3808" s="204"/>
      <c r="D3808" s="204"/>
      <c r="E3808" s="204"/>
      <c r="F3808" s="204"/>
      <c r="G3808" s="204"/>
      <c r="H3808" s="204"/>
      <c r="I3808" s="204"/>
      <c r="J3808" s="204"/>
      <c r="K3808" s="204"/>
      <c r="L3808" s="204"/>
      <c r="M3808" s="204"/>
      <c r="N3808" s="204"/>
      <c r="O3808" s="204"/>
      <c r="P3808" s="204"/>
      <c r="T3808" s="217"/>
    </row>
    <row r="3809" spans="2:20">
      <c r="B3809" s="204"/>
      <c r="C3809" s="204"/>
      <c r="D3809" s="204"/>
      <c r="E3809" s="204"/>
      <c r="F3809" s="204"/>
      <c r="G3809" s="204"/>
      <c r="H3809" s="204"/>
      <c r="I3809" s="204"/>
      <c r="J3809" s="204"/>
      <c r="K3809" s="204"/>
      <c r="L3809" s="204"/>
      <c r="M3809" s="204"/>
      <c r="N3809" s="204"/>
      <c r="O3809" s="204"/>
      <c r="P3809" s="204"/>
      <c r="T3809" s="217"/>
    </row>
    <row r="3810" spans="2:20">
      <c r="B3810" s="204"/>
      <c r="C3810" s="204"/>
      <c r="D3810" s="204"/>
      <c r="E3810" s="204"/>
      <c r="F3810" s="204"/>
      <c r="G3810" s="204"/>
      <c r="H3810" s="204"/>
      <c r="I3810" s="204"/>
      <c r="J3810" s="204"/>
      <c r="K3810" s="204"/>
      <c r="L3810" s="204"/>
      <c r="M3810" s="204"/>
      <c r="N3810" s="204"/>
      <c r="O3810" s="204"/>
      <c r="P3810" s="204"/>
      <c r="T3810" s="217"/>
    </row>
    <row r="3811" spans="2:20">
      <c r="B3811" s="204"/>
      <c r="C3811" s="204"/>
      <c r="D3811" s="204"/>
      <c r="E3811" s="204"/>
      <c r="F3811" s="204"/>
      <c r="G3811" s="204"/>
      <c r="H3811" s="204"/>
      <c r="I3811" s="204"/>
      <c r="J3811" s="204"/>
      <c r="K3811" s="204"/>
      <c r="L3811" s="204"/>
      <c r="M3811" s="204"/>
      <c r="N3811" s="204"/>
      <c r="O3811" s="204"/>
      <c r="P3811" s="204"/>
      <c r="T3811" s="217"/>
    </row>
    <row r="3812" spans="2:20">
      <c r="B3812" s="204"/>
      <c r="C3812" s="204"/>
      <c r="D3812" s="204"/>
      <c r="E3812" s="204"/>
      <c r="F3812" s="204"/>
      <c r="G3812" s="204"/>
      <c r="H3812" s="204"/>
      <c r="I3812" s="204"/>
      <c r="J3812" s="204"/>
      <c r="K3812" s="204"/>
      <c r="L3812" s="204"/>
      <c r="M3812" s="204"/>
      <c r="N3812" s="204"/>
      <c r="O3812" s="204"/>
      <c r="P3812" s="204"/>
      <c r="T3812" s="217"/>
    </row>
    <row r="3813" spans="2:20">
      <c r="B3813" s="204"/>
      <c r="C3813" s="204"/>
      <c r="D3813" s="204"/>
      <c r="E3813" s="204"/>
      <c r="F3813" s="204"/>
      <c r="G3813" s="204"/>
      <c r="H3813" s="204"/>
      <c r="I3813" s="204"/>
      <c r="J3813" s="204"/>
      <c r="K3813" s="204"/>
      <c r="L3813" s="204"/>
      <c r="M3813" s="204"/>
      <c r="N3813" s="204"/>
      <c r="O3813" s="204"/>
      <c r="P3813" s="204"/>
      <c r="T3813" s="217"/>
    </row>
    <row r="3814" spans="2:20">
      <c r="B3814" s="204"/>
      <c r="C3814" s="204"/>
      <c r="D3814" s="204"/>
      <c r="E3814" s="204"/>
      <c r="F3814" s="204"/>
      <c r="G3814" s="204"/>
      <c r="H3814" s="204"/>
      <c r="I3814" s="204"/>
      <c r="J3814" s="204"/>
      <c r="K3814" s="204"/>
      <c r="L3814" s="204"/>
      <c r="M3814" s="204"/>
      <c r="N3814" s="204"/>
      <c r="O3814" s="204"/>
      <c r="P3814" s="204"/>
      <c r="T3814" s="217"/>
    </row>
    <row r="3815" spans="2:20">
      <c r="B3815" s="204"/>
      <c r="C3815" s="204"/>
      <c r="D3815" s="204"/>
      <c r="E3815" s="204"/>
      <c r="F3815" s="204"/>
      <c r="G3815" s="204"/>
      <c r="H3815" s="204"/>
      <c r="I3815" s="204"/>
      <c r="J3815" s="204"/>
      <c r="K3815" s="204"/>
      <c r="L3815" s="204"/>
      <c r="M3815" s="204"/>
      <c r="N3815" s="204"/>
      <c r="O3815" s="204"/>
      <c r="P3815" s="204"/>
      <c r="T3815" s="217"/>
    </row>
    <row r="3816" spans="2:20">
      <c r="B3816" s="204"/>
      <c r="C3816" s="204"/>
      <c r="D3816" s="204"/>
      <c r="E3816" s="204"/>
      <c r="F3816" s="204"/>
      <c r="G3816" s="204"/>
      <c r="H3816" s="204"/>
      <c r="I3816" s="204"/>
      <c r="J3816" s="204"/>
      <c r="K3816" s="204"/>
      <c r="L3816" s="204"/>
      <c r="M3816" s="204"/>
      <c r="N3816" s="204"/>
      <c r="O3816" s="204"/>
      <c r="P3816" s="204"/>
      <c r="T3816" s="217"/>
    </row>
    <row r="3817" spans="2:20">
      <c r="B3817" s="204"/>
      <c r="C3817" s="204"/>
      <c r="D3817" s="204"/>
      <c r="E3817" s="204"/>
      <c r="F3817" s="204"/>
      <c r="G3817" s="204"/>
      <c r="H3817" s="204"/>
      <c r="I3817" s="204"/>
      <c r="J3817" s="204"/>
      <c r="K3817" s="204"/>
      <c r="L3817" s="204"/>
      <c r="M3817" s="204"/>
      <c r="N3817" s="204"/>
      <c r="O3817" s="204"/>
      <c r="P3817" s="204"/>
      <c r="T3817" s="217"/>
    </row>
    <row r="3818" spans="2:20">
      <c r="B3818" s="204"/>
      <c r="C3818" s="204"/>
      <c r="D3818" s="204"/>
      <c r="E3818" s="204"/>
      <c r="F3818" s="204"/>
      <c r="G3818" s="204"/>
      <c r="H3818" s="204"/>
      <c r="I3818" s="204"/>
      <c r="J3818" s="204"/>
      <c r="K3818" s="204"/>
      <c r="L3818" s="204"/>
      <c r="M3818" s="204"/>
      <c r="N3818" s="204"/>
      <c r="O3818" s="204"/>
      <c r="P3818" s="204"/>
      <c r="T3818" s="217"/>
    </row>
    <row r="3819" spans="2:20">
      <c r="B3819" s="204"/>
      <c r="C3819" s="204"/>
      <c r="D3819" s="204"/>
      <c r="E3819" s="204"/>
      <c r="F3819" s="204"/>
      <c r="G3819" s="204"/>
      <c r="H3819" s="204"/>
      <c r="I3819" s="204"/>
      <c r="J3819" s="204"/>
      <c r="K3819" s="204"/>
      <c r="L3819" s="204"/>
      <c r="M3819" s="204"/>
      <c r="N3819" s="204"/>
      <c r="O3819" s="204"/>
      <c r="P3819" s="204"/>
      <c r="T3819" s="217"/>
    </row>
    <row r="3820" spans="2:20">
      <c r="B3820" s="204"/>
      <c r="C3820" s="204"/>
      <c r="D3820" s="204"/>
      <c r="E3820" s="204"/>
      <c r="F3820" s="204"/>
      <c r="G3820" s="204"/>
      <c r="H3820" s="204"/>
      <c r="I3820" s="204"/>
      <c r="J3820" s="204"/>
      <c r="K3820" s="204"/>
      <c r="L3820" s="204"/>
      <c r="M3820" s="204"/>
      <c r="N3820" s="204"/>
      <c r="O3820" s="204"/>
      <c r="P3820" s="204"/>
      <c r="T3820" s="217"/>
    </row>
    <row r="3821" spans="2:20">
      <c r="B3821" s="204"/>
      <c r="C3821" s="204"/>
      <c r="D3821" s="204"/>
      <c r="E3821" s="204"/>
      <c r="F3821" s="204"/>
      <c r="G3821" s="204"/>
      <c r="H3821" s="204"/>
      <c r="I3821" s="204"/>
      <c r="J3821" s="204"/>
      <c r="K3821" s="204"/>
      <c r="L3821" s="204"/>
      <c r="M3821" s="204"/>
      <c r="N3821" s="204"/>
      <c r="O3821" s="204"/>
      <c r="P3821" s="204"/>
      <c r="T3821" s="217"/>
    </row>
    <row r="3822" spans="2:20">
      <c r="B3822" s="204"/>
      <c r="C3822" s="204"/>
      <c r="D3822" s="204"/>
      <c r="E3822" s="204"/>
      <c r="F3822" s="204"/>
      <c r="G3822" s="204"/>
      <c r="H3822" s="204"/>
      <c r="I3822" s="204"/>
      <c r="J3822" s="204"/>
      <c r="K3822" s="204"/>
      <c r="L3822" s="204"/>
      <c r="M3822" s="204"/>
      <c r="N3822" s="204"/>
      <c r="O3822" s="204"/>
      <c r="P3822" s="204"/>
      <c r="T3822" s="217"/>
    </row>
    <row r="3823" spans="2:20">
      <c r="B3823" s="204"/>
      <c r="C3823" s="204"/>
      <c r="D3823" s="204"/>
      <c r="E3823" s="204"/>
      <c r="F3823" s="204"/>
      <c r="G3823" s="204"/>
      <c r="H3823" s="204"/>
      <c r="I3823" s="204"/>
      <c r="J3823" s="204"/>
      <c r="K3823" s="204"/>
      <c r="L3823" s="204"/>
      <c r="M3823" s="204"/>
      <c r="N3823" s="204"/>
      <c r="O3823" s="204"/>
      <c r="P3823" s="204"/>
      <c r="T3823" s="217"/>
    </row>
    <row r="3824" spans="2:20">
      <c r="B3824" s="204"/>
      <c r="C3824" s="204"/>
      <c r="D3824" s="204"/>
      <c r="E3824" s="204"/>
      <c r="F3824" s="204"/>
      <c r="G3824" s="204"/>
      <c r="H3824" s="204"/>
      <c r="I3824" s="204"/>
      <c r="J3824" s="204"/>
      <c r="K3824" s="204"/>
      <c r="L3824" s="204"/>
      <c r="M3824" s="204"/>
      <c r="N3824" s="204"/>
      <c r="O3824" s="204"/>
      <c r="P3824" s="204"/>
      <c r="T3824" s="217"/>
    </row>
    <row r="3825" spans="2:20">
      <c r="B3825" s="204"/>
      <c r="C3825" s="204"/>
      <c r="D3825" s="204"/>
      <c r="E3825" s="204"/>
      <c r="F3825" s="204"/>
      <c r="G3825" s="204"/>
      <c r="H3825" s="204"/>
      <c r="I3825" s="204"/>
      <c r="J3825" s="204"/>
      <c r="K3825" s="204"/>
      <c r="L3825" s="204"/>
      <c r="M3825" s="204"/>
      <c r="N3825" s="204"/>
      <c r="O3825" s="204"/>
      <c r="P3825" s="204"/>
      <c r="T3825" s="217"/>
    </row>
    <row r="3826" spans="2:20">
      <c r="B3826" s="204"/>
      <c r="C3826" s="204"/>
      <c r="D3826" s="204"/>
      <c r="E3826" s="204"/>
      <c r="F3826" s="204"/>
      <c r="G3826" s="204"/>
      <c r="H3826" s="204"/>
      <c r="I3826" s="204"/>
      <c r="J3826" s="204"/>
      <c r="K3826" s="204"/>
      <c r="L3826" s="204"/>
      <c r="M3826" s="204"/>
      <c r="N3826" s="204"/>
      <c r="O3826" s="204"/>
      <c r="P3826" s="204"/>
      <c r="T3826" s="217"/>
    </row>
    <row r="3827" spans="2:20">
      <c r="B3827" s="204"/>
      <c r="C3827" s="204"/>
      <c r="D3827" s="204"/>
      <c r="E3827" s="204"/>
      <c r="F3827" s="204"/>
      <c r="G3827" s="204"/>
      <c r="H3827" s="204"/>
      <c r="I3827" s="204"/>
      <c r="J3827" s="204"/>
      <c r="K3827" s="204"/>
      <c r="L3827" s="204"/>
      <c r="M3827" s="204"/>
      <c r="N3827" s="204"/>
      <c r="O3827" s="204"/>
      <c r="P3827" s="204"/>
      <c r="T3827" s="217"/>
    </row>
    <row r="3828" spans="2:20">
      <c r="B3828" s="204"/>
      <c r="C3828" s="204"/>
      <c r="D3828" s="204"/>
      <c r="E3828" s="204"/>
      <c r="F3828" s="204"/>
      <c r="G3828" s="204"/>
      <c r="H3828" s="204"/>
      <c r="I3828" s="204"/>
      <c r="J3828" s="204"/>
      <c r="K3828" s="204"/>
      <c r="L3828" s="204"/>
      <c r="M3828" s="204"/>
      <c r="N3828" s="204"/>
      <c r="O3828" s="204"/>
      <c r="P3828" s="204"/>
      <c r="T3828" s="217"/>
    </row>
    <row r="3829" spans="2:20">
      <c r="B3829" s="204"/>
      <c r="C3829" s="204"/>
      <c r="D3829" s="204"/>
      <c r="E3829" s="204"/>
      <c r="F3829" s="204"/>
      <c r="G3829" s="204"/>
      <c r="H3829" s="204"/>
      <c r="I3829" s="204"/>
      <c r="J3829" s="204"/>
      <c r="K3829" s="204"/>
      <c r="L3829" s="204"/>
      <c r="M3829" s="204"/>
      <c r="N3829" s="204"/>
      <c r="O3829" s="204"/>
      <c r="P3829" s="204"/>
      <c r="T3829" s="217"/>
    </row>
    <row r="3830" spans="2:20">
      <c r="B3830" s="204"/>
      <c r="C3830" s="204"/>
      <c r="D3830" s="204"/>
      <c r="E3830" s="204"/>
      <c r="F3830" s="204"/>
      <c r="G3830" s="204"/>
      <c r="H3830" s="204"/>
      <c r="I3830" s="204"/>
      <c r="J3830" s="204"/>
      <c r="K3830" s="204"/>
      <c r="L3830" s="204"/>
      <c r="M3830" s="204"/>
      <c r="N3830" s="204"/>
      <c r="O3830" s="204"/>
      <c r="P3830" s="204"/>
      <c r="T3830" s="217"/>
    </row>
    <row r="3831" spans="2:20">
      <c r="B3831" s="204"/>
      <c r="C3831" s="204"/>
      <c r="D3831" s="204"/>
      <c r="E3831" s="204"/>
      <c r="F3831" s="204"/>
      <c r="G3831" s="204"/>
      <c r="H3831" s="204"/>
      <c r="I3831" s="204"/>
      <c r="J3831" s="204"/>
      <c r="K3831" s="204"/>
      <c r="L3831" s="204"/>
      <c r="M3831" s="204"/>
      <c r="N3831" s="204"/>
      <c r="O3831" s="204"/>
      <c r="P3831" s="204"/>
      <c r="T3831" s="217"/>
    </row>
    <row r="3832" spans="2:20">
      <c r="B3832" s="204"/>
      <c r="C3832" s="204"/>
      <c r="D3832" s="204"/>
      <c r="E3832" s="204"/>
      <c r="F3832" s="204"/>
      <c r="G3832" s="204"/>
      <c r="H3832" s="204"/>
      <c r="I3832" s="204"/>
      <c r="J3832" s="204"/>
      <c r="K3832" s="204"/>
      <c r="L3832" s="204"/>
      <c r="M3832" s="204"/>
      <c r="N3832" s="204"/>
      <c r="O3832" s="204"/>
      <c r="P3832" s="204"/>
      <c r="T3832" s="217"/>
    </row>
    <row r="3833" spans="2:20">
      <c r="B3833" s="204"/>
      <c r="C3833" s="204"/>
      <c r="D3833" s="204"/>
      <c r="E3833" s="204"/>
      <c r="F3833" s="204"/>
      <c r="G3833" s="204"/>
      <c r="H3833" s="204"/>
      <c r="I3833" s="204"/>
      <c r="J3833" s="204"/>
      <c r="K3833" s="204"/>
      <c r="L3833" s="204"/>
      <c r="M3833" s="204"/>
      <c r="N3833" s="204"/>
      <c r="O3833" s="204"/>
      <c r="P3833" s="204"/>
      <c r="T3833" s="217"/>
    </row>
    <row r="3834" spans="2:20">
      <c r="B3834" s="204"/>
      <c r="C3834" s="204"/>
      <c r="D3834" s="204"/>
      <c r="E3834" s="204"/>
      <c r="F3834" s="204"/>
      <c r="G3834" s="204"/>
      <c r="H3834" s="204"/>
      <c r="I3834" s="204"/>
      <c r="J3834" s="204"/>
      <c r="K3834" s="204"/>
      <c r="L3834" s="204"/>
      <c r="M3834" s="204"/>
      <c r="N3834" s="204"/>
      <c r="O3834" s="204"/>
      <c r="P3834" s="204"/>
      <c r="T3834" s="217"/>
    </row>
    <row r="3835" spans="2:20">
      <c r="B3835" s="204"/>
      <c r="C3835" s="204"/>
      <c r="D3835" s="204"/>
      <c r="E3835" s="204"/>
      <c r="F3835" s="204"/>
      <c r="G3835" s="204"/>
      <c r="H3835" s="204"/>
      <c r="I3835" s="204"/>
      <c r="J3835" s="204"/>
      <c r="K3835" s="204"/>
      <c r="L3835" s="204"/>
      <c r="M3835" s="204"/>
      <c r="N3835" s="204"/>
      <c r="O3835" s="204"/>
      <c r="P3835" s="204"/>
      <c r="T3835" s="217"/>
    </row>
    <row r="3836" spans="2:20">
      <c r="B3836" s="204"/>
      <c r="C3836" s="204"/>
      <c r="D3836" s="204"/>
      <c r="E3836" s="204"/>
      <c r="F3836" s="204"/>
      <c r="G3836" s="204"/>
      <c r="H3836" s="204"/>
      <c r="I3836" s="204"/>
      <c r="J3836" s="204"/>
      <c r="K3836" s="204"/>
      <c r="L3836" s="204"/>
      <c r="M3836" s="204"/>
      <c r="N3836" s="204"/>
      <c r="O3836" s="204"/>
      <c r="P3836" s="204"/>
      <c r="T3836" s="217"/>
    </row>
    <row r="3837" spans="2:20">
      <c r="B3837" s="204"/>
      <c r="C3837" s="204"/>
      <c r="D3837" s="204"/>
      <c r="E3837" s="204"/>
      <c r="F3837" s="204"/>
      <c r="G3837" s="204"/>
      <c r="H3837" s="204"/>
      <c r="I3837" s="204"/>
      <c r="J3837" s="204"/>
      <c r="K3837" s="204"/>
      <c r="L3837" s="204"/>
      <c r="M3837" s="204"/>
      <c r="N3837" s="204"/>
      <c r="O3837" s="204"/>
      <c r="P3837" s="204"/>
      <c r="T3837" s="217"/>
    </row>
    <row r="3838" spans="2:20">
      <c r="B3838" s="204"/>
      <c r="C3838" s="204"/>
      <c r="D3838" s="204"/>
      <c r="E3838" s="204"/>
      <c r="F3838" s="204"/>
      <c r="G3838" s="204"/>
      <c r="H3838" s="204"/>
      <c r="I3838" s="204"/>
      <c r="J3838" s="204"/>
      <c r="K3838" s="204"/>
      <c r="L3838" s="204"/>
      <c r="M3838" s="204"/>
      <c r="N3838" s="204"/>
      <c r="O3838" s="204"/>
      <c r="P3838" s="204"/>
      <c r="T3838" s="217"/>
    </row>
    <row r="3839" spans="2:20">
      <c r="B3839" s="204"/>
      <c r="C3839" s="204"/>
      <c r="D3839" s="204"/>
      <c r="E3839" s="204"/>
      <c r="F3839" s="204"/>
      <c r="G3839" s="204"/>
      <c r="H3839" s="204"/>
      <c r="I3839" s="204"/>
      <c r="J3839" s="204"/>
      <c r="K3839" s="204"/>
      <c r="L3839" s="204"/>
      <c r="M3839" s="204"/>
      <c r="N3839" s="204"/>
      <c r="O3839" s="204"/>
      <c r="P3839" s="204"/>
      <c r="T3839" s="217"/>
    </row>
    <row r="3840" spans="2:20">
      <c r="B3840" s="204"/>
      <c r="C3840" s="204"/>
      <c r="D3840" s="204"/>
      <c r="E3840" s="204"/>
      <c r="F3840" s="204"/>
      <c r="G3840" s="204"/>
      <c r="H3840" s="204"/>
      <c r="I3840" s="204"/>
      <c r="J3840" s="204"/>
      <c r="K3840" s="204"/>
      <c r="L3840" s="204"/>
      <c r="M3840" s="204"/>
      <c r="N3840" s="204"/>
      <c r="O3840" s="204"/>
      <c r="P3840" s="204"/>
      <c r="T3840" s="217"/>
    </row>
    <row r="3841" spans="2:20">
      <c r="B3841" s="204"/>
      <c r="C3841" s="204"/>
      <c r="D3841" s="204"/>
      <c r="E3841" s="204"/>
      <c r="F3841" s="204"/>
      <c r="G3841" s="204"/>
      <c r="H3841" s="204"/>
      <c r="I3841" s="204"/>
      <c r="J3841" s="204"/>
      <c r="K3841" s="204"/>
      <c r="L3841" s="204"/>
      <c r="M3841" s="204"/>
      <c r="N3841" s="204"/>
      <c r="O3841" s="204"/>
      <c r="P3841" s="204"/>
      <c r="T3841" s="217"/>
    </row>
    <row r="3842" spans="2:20">
      <c r="B3842" s="204"/>
      <c r="C3842" s="204"/>
      <c r="D3842" s="204"/>
      <c r="E3842" s="204"/>
      <c r="F3842" s="204"/>
      <c r="G3842" s="204"/>
      <c r="H3842" s="204"/>
      <c r="I3842" s="204"/>
      <c r="J3842" s="204"/>
      <c r="K3842" s="204"/>
      <c r="L3842" s="204"/>
      <c r="M3842" s="204"/>
      <c r="N3842" s="204"/>
      <c r="O3842" s="204"/>
      <c r="P3842" s="204"/>
      <c r="T3842" s="217"/>
    </row>
    <row r="3843" spans="2:20">
      <c r="B3843" s="204"/>
      <c r="C3843" s="204"/>
      <c r="D3843" s="204"/>
      <c r="E3843" s="204"/>
      <c r="F3843" s="204"/>
      <c r="G3843" s="204"/>
      <c r="H3843" s="204"/>
      <c r="I3843" s="204"/>
      <c r="J3843" s="204"/>
      <c r="K3843" s="204"/>
      <c r="L3843" s="204"/>
      <c r="M3843" s="204"/>
      <c r="N3843" s="204"/>
      <c r="O3843" s="204"/>
      <c r="P3843" s="204"/>
      <c r="T3843" s="217"/>
    </row>
    <row r="3844" spans="2:20">
      <c r="B3844" s="204"/>
      <c r="C3844" s="204"/>
      <c r="D3844" s="204"/>
      <c r="E3844" s="204"/>
      <c r="F3844" s="204"/>
      <c r="G3844" s="204"/>
      <c r="H3844" s="204"/>
      <c r="I3844" s="204"/>
      <c r="J3844" s="204"/>
      <c r="K3844" s="204"/>
      <c r="L3844" s="204"/>
      <c r="M3844" s="204"/>
      <c r="N3844" s="204"/>
      <c r="O3844" s="204"/>
      <c r="P3844" s="204"/>
      <c r="T3844" s="217"/>
    </row>
    <row r="3845" spans="2:20">
      <c r="B3845" s="204"/>
      <c r="C3845" s="204"/>
      <c r="D3845" s="204"/>
      <c r="E3845" s="204"/>
      <c r="F3845" s="204"/>
      <c r="G3845" s="204"/>
      <c r="H3845" s="204"/>
      <c r="I3845" s="204"/>
      <c r="J3845" s="204"/>
      <c r="K3845" s="204"/>
      <c r="L3845" s="204"/>
      <c r="M3845" s="204"/>
      <c r="N3845" s="204"/>
      <c r="O3845" s="204"/>
      <c r="P3845" s="204"/>
      <c r="T3845" s="217"/>
    </row>
    <row r="3846" spans="2:20">
      <c r="B3846" s="204"/>
      <c r="C3846" s="204"/>
      <c r="D3846" s="204"/>
      <c r="E3846" s="204"/>
      <c r="F3846" s="204"/>
      <c r="G3846" s="204"/>
      <c r="H3846" s="204"/>
      <c r="I3846" s="204"/>
      <c r="J3846" s="204"/>
      <c r="K3846" s="204"/>
      <c r="L3846" s="204"/>
      <c r="M3846" s="204"/>
      <c r="N3846" s="204"/>
      <c r="O3846" s="204"/>
      <c r="P3846" s="204"/>
      <c r="T3846" s="217"/>
    </row>
    <row r="3847" spans="2:20">
      <c r="B3847" s="204"/>
      <c r="C3847" s="204"/>
      <c r="D3847" s="204"/>
      <c r="E3847" s="204"/>
      <c r="F3847" s="204"/>
      <c r="G3847" s="204"/>
      <c r="H3847" s="204"/>
      <c r="I3847" s="204"/>
      <c r="J3847" s="204"/>
      <c r="K3847" s="204"/>
      <c r="L3847" s="204"/>
      <c r="M3847" s="204"/>
      <c r="N3847" s="204"/>
      <c r="O3847" s="204"/>
      <c r="P3847" s="204"/>
      <c r="T3847" s="217"/>
    </row>
    <row r="3848" spans="2:20">
      <c r="B3848" s="204"/>
      <c r="C3848" s="204"/>
      <c r="D3848" s="204"/>
      <c r="E3848" s="204"/>
      <c r="F3848" s="204"/>
      <c r="G3848" s="204"/>
      <c r="H3848" s="204"/>
      <c r="I3848" s="204"/>
      <c r="J3848" s="204"/>
      <c r="K3848" s="204"/>
      <c r="L3848" s="204"/>
      <c r="M3848" s="204"/>
      <c r="N3848" s="204"/>
      <c r="O3848" s="204"/>
      <c r="P3848" s="204"/>
      <c r="T3848" s="217"/>
    </row>
    <row r="3849" spans="2:20">
      <c r="B3849" s="204"/>
      <c r="C3849" s="204"/>
      <c r="D3849" s="204"/>
      <c r="E3849" s="204"/>
      <c r="F3849" s="204"/>
      <c r="G3849" s="204"/>
      <c r="H3849" s="204"/>
      <c r="I3849" s="204"/>
      <c r="J3849" s="204"/>
      <c r="K3849" s="204"/>
      <c r="L3849" s="204"/>
      <c r="M3849" s="204"/>
      <c r="N3849" s="204"/>
      <c r="O3849" s="204"/>
      <c r="P3849" s="204"/>
      <c r="T3849" s="217"/>
    </row>
    <row r="3850" spans="2:20">
      <c r="B3850" s="204"/>
      <c r="C3850" s="204"/>
      <c r="D3850" s="204"/>
      <c r="E3850" s="204"/>
      <c r="F3850" s="204"/>
      <c r="G3850" s="204"/>
      <c r="H3850" s="204"/>
      <c r="I3850" s="204"/>
      <c r="J3850" s="204"/>
      <c r="K3850" s="204"/>
      <c r="L3850" s="204"/>
      <c r="M3850" s="204"/>
      <c r="N3850" s="204"/>
      <c r="O3850" s="204"/>
      <c r="P3850" s="204"/>
      <c r="T3850" s="217"/>
    </row>
    <row r="3851" spans="2:20">
      <c r="B3851" s="204"/>
      <c r="C3851" s="204"/>
      <c r="D3851" s="204"/>
      <c r="E3851" s="204"/>
      <c r="F3851" s="204"/>
      <c r="G3851" s="204"/>
      <c r="H3851" s="204"/>
      <c r="I3851" s="204"/>
      <c r="J3851" s="204"/>
      <c r="K3851" s="204"/>
      <c r="L3851" s="204"/>
      <c r="M3851" s="204"/>
      <c r="N3851" s="204"/>
      <c r="O3851" s="204"/>
      <c r="P3851" s="204"/>
      <c r="T3851" s="217"/>
    </row>
    <row r="3852" spans="2:20">
      <c r="B3852" s="204"/>
      <c r="C3852" s="204"/>
      <c r="D3852" s="204"/>
      <c r="E3852" s="204"/>
      <c r="F3852" s="204"/>
      <c r="G3852" s="204"/>
      <c r="H3852" s="204"/>
      <c r="I3852" s="204"/>
      <c r="J3852" s="204"/>
      <c r="K3852" s="204"/>
      <c r="L3852" s="204"/>
      <c r="M3852" s="204"/>
      <c r="N3852" s="204"/>
      <c r="O3852" s="204"/>
      <c r="P3852" s="204"/>
      <c r="T3852" s="217"/>
    </row>
    <row r="3853" spans="2:20">
      <c r="B3853" s="204"/>
      <c r="C3853" s="204"/>
      <c r="D3853" s="204"/>
      <c r="E3853" s="204"/>
      <c r="F3853" s="204"/>
      <c r="G3853" s="204"/>
      <c r="H3853" s="204"/>
      <c r="I3853" s="204"/>
      <c r="J3853" s="204"/>
      <c r="K3853" s="204"/>
      <c r="L3853" s="204"/>
      <c r="M3853" s="204"/>
      <c r="N3853" s="204"/>
      <c r="O3853" s="204"/>
      <c r="P3853" s="204"/>
      <c r="T3853" s="217"/>
    </row>
    <row r="3854" spans="2:20">
      <c r="B3854" s="204"/>
      <c r="C3854" s="204"/>
      <c r="D3854" s="204"/>
      <c r="E3854" s="204"/>
      <c r="F3854" s="204"/>
      <c r="G3854" s="204"/>
      <c r="H3854" s="204"/>
      <c r="I3854" s="204"/>
      <c r="J3854" s="204"/>
      <c r="K3854" s="204"/>
      <c r="L3854" s="204"/>
      <c r="M3854" s="204"/>
      <c r="N3854" s="204"/>
      <c r="O3854" s="204"/>
      <c r="P3854" s="204"/>
      <c r="T3854" s="217"/>
    </row>
    <row r="3855" spans="2:20">
      <c r="B3855" s="204"/>
      <c r="C3855" s="204"/>
      <c r="D3855" s="204"/>
      <c r="E3855" s="204"/>
      <c r="F3855" s="204"/>
      <c r="G3855" s="204"/>
      <c r="H3855" s="204"/>
      <c r="I3855" s="204"/>
      <c r="J3855" s="204"/>
      <c r="K3855" s="204"/>
      <c r="L3855" s="204"/>
      <c r="M3855" s="204"/>
      <c r="N3855" s="204"/>
      <c r="O3855" s="204"/>
      <c r="P3855" s="204"/>
      <c r="T3855" s="217"/>
    </row>
    <row r="3856" spans="2:20">
      <c r="B3856" s="204"/>
      <c r="C3856" s="204"/>
      <c r="D3856" s="204"/>
      <c r="E3856" s="204"/>
      <c r="F3856" s="204"/>
      <c r="G3856" s="204"/>
      <c r="H3856" s="204"/>
      <c r="I3856" s="204"/>
      <c r="J3856" s="204"/>
      <c r="K3856" s="204"/>
      <c r="L3856" s="204"/>
      <c r="M3856" s="204"/>
      <c r="N3856" s="204"/>
      <c r="O3856" s="204"/>
      <c r="P3856" s="204"/>
      <c r="T3856" s="217"/>
    </row>
    <row r="3857" spans="2:20">
      <c r="B3857" s="204"/>
      <c r="C3857" s="204"/>
      <c r="D3857" s="204"/>
      <c r="E3857" s="204"/>
      <c r="F3857" s="204"/>
      <c r="G3857" s="204"/>
      <c r="H3857" s="204"/>
      <c r="I3857" s="204"/>
      <c r="J3857" s="204"/>
      <c r="K3857" s="204"/>
      <c r="L3857" s="204"/>
      <c r="M3857" s="204"/>
      <c r="N3857" s="204"/>
      <c r="O3857" s="204"/>
      <c r="P3857" s="204"/>
      <c r="T3857" s="217"/>
    </row>
    <row r="3858" spans="2:20">
      <c r="B3858" s="204"/>
      <c r="C3858" s="204"/>
      <c r="D3858" s="204"/>
      <c r="E3858" s="204"/>
      <c r="F3858" s="204"/>
      <c r="G3858" s="204"/>
      <c r="H3858" s="204"/>
      <c r="I3858" s="204"/>
      <c r="J3858" s="204"/>
      <c r="K3858" s="204"/>
      <c r="L3858" s="204"/>
      <c r="M3858" s="204"/>
      <c r="N3858" s="204"/>
      <c r="O3858" s="204"/>
      <c r="P3858" s="204"/>
      <c r="T3858" s="217"/>
    </row>
    <row r="3859" spans="2:20">
      <c r="B3859" s="204"/>
      <c r="C3859" s="204"/>
      <c r="D3859" s="204"/>
      <c r="E3859" s="204"/>
      <c r="F3859" s="204"/>
      <c r="G3859" s="204"/>
      <c r="H3859" s="204"/>
      <c r="I3859" s="204"/>
      <c r="J3859" s="204"/>
      <c r="K3859" s="204"/>
      <c r="L3859" s="204"/>
      <c r="M3859" s="204"/>
      <c r="N3859" s="204"/>
      <c r="O3859" s="204"/>
      <c r="P3859" s="204"/>
      <c r="T3859" s="217"/>
    </row>
    <row r="3860" spans="2:20">
      <c r="B3860" s="204"/>
      <c r="C3860" s="204"/>
      <c r="D3860" s="204"/>
      <c r="E3860" s="204"/>
      <c r="F3860" s="204"/>
      <c r="G3860" s="204"/>
      <c r="H3860" s="204"/>
      <c r="I3860" s="204"/>
      <c r="J3860" s="204"/>
      <c r="K3860" s="204"/>
      <c r="L3860" s="204"/>
      <c r="M3860" s="204"/>
      <c r="N3860" s="204"/>
      <c r="O3860" s="204"/>
      <c r="P3860" s="204"/>
      <c r="T3860" s="217"/>
    </row>
    <row r="3861" spans="2:20">
      <c r="B3861" s="204"/>
      <c r="C3861" s="204"/>
      <c r="D3861" s="204"/>
      <c r="E3861" s="204"/>
      <c r="F3861" s="204"/>
      <c r="G3861" s="204"/>
      <c r="H3861" s="204"/>
      <c r="I3861" s="204"/>
      <c r="J3861" s="204"/>
      <c r="K3861" s="204"/>
      <c r="L3861" s="204"/>
      <c r="M3861" s="204"/>
      <c r="N3861" s="204"/>
      <c r="O3861" s="204"/>
      <c r="P3861" s="204"/>
      <c r="T3861" s="217"/>
    </row>
    <row r="3862" spans="2:20">
      <c r="B3862" s="204"/>
      <c r="C3862" s="204"/>
      <c r="D3862" s="204"/>
      <c r="E3862" s="204"/>
      <c r="F3862" s="204"/>
      <c r="G3862" s="204"/>
      <c r="H3862" s="204"/>
      <c r="I3862" s="204"/>
      <c r="J3862" s="204"/>
      <c r="K3862" s="204"/>
      <c r="L3862" s="204"/>
      <c r="M3862" s="204"/>
      <c r="N3862" s="204"/>
      <c r="O3862" s="204"/>
      <c r="P3862" s="204"/>
      <c r="T3862" s="217"/>
    </row>
    <row r="3863" spans="2:20">
      <c r="B3863" s="204"/>
      <c r="C3863" s="204"/>
      <c r="D3863" s="204"/>
      <c r="E3863" s="204"/>
      <c r="F3863" s="204"/>
      <c r="G3863" s="204"/>
      <c r="H3863" s="204"/>
      <c r="I3863" s="204"/>
      <c r="J3863" s="204"/>
      <c r="K3863" s="204"/>
      <c r="L3863" s="204"/>
      <c r="M3863" s="204"/>
      <c r="N3863" s="204"/>
      <c r="O3863" s="204"/>
      <c r="P3863" s="204"/>
      <c r="T3863" s="217"/>
    </row>
    <row r="3864" spans="2:20">
      <c r="B3864" s="204"/>
      <c r="C3864" s="204"/>
      <c r="D3864" s="204"/>
      <c r="E3864" s="204"/>
      <c r="F3864" s="204"/>
      <c r="G3864" s="204"/>
      <c r="H3864" s="204"/>
      <c r="I3864" s="204"/>
      <c r="J3864" s="204"/>
      <c r="K3864" s="204"/>
      <c r="L3864" s="204"/>
      <c r="M3864" s="204"/>
      <c r="N3864" s="204"/>
      <c r="O3864" s="204"/>
      <c r="P3864" s="204"/>
      <c r="T3864" s="217"/>
    </row>
    <row r="3865" spans="2:20">
      <c r="B3865" s="204"/>
      <c r="C3865" s="204"/>
      <c r="D3865" s="204"/>
      <c r="E3865" s="204"/>
      <c r="F3865" s="204"/>
      <c r="G3865" s="204"/>
      <c r="H3865" s="204"/>
      <c r="I3865" s="204"/>
      <c r="J3865" s="204"/>
      <c r="K3865" s="204"/>
      <c r="L3865" s="204"/>
      <c r="M3865" s="204"/>
      <c r="N3865" s="204"/>
      <c r="O3865" s="204"/>
      <c r="P3865" s="204"/>
      <c r="T3865" s="217"/>
    </row>
    <row r="3866" spans="2:20">
      <c r="B3866" s="204"/>
      <c r="C3866" s="204"/>
      <c r="D3866" s="204"/>
      <c r="E3866" s="204"/>
      <c r="F3866" s="204"/>
      <c r="G3866" s="204"/>
      <c r="H3866" s="204"/>
      <c r="I3866" s="204"/>
      <c r="J3866" s="204"/>
      <c r="K3866" s="204"/>
      <c r="L3866" s="204"/>
      <c r="M3866" s="204"/>
      <c r="N3866" s="204"/>
      <c r="O3866" s="204"/>
      <c r="P3866" s="204"/>
      <c r="T3866" s="217"/>
    </row>
    <row r="3867" spans="2:20">
      <c r="B3867" s="204"/>
      <c r="C3867" s="204"/>
      <c r="D3867" s="204"/>
      <c r="E3867" s="204"/>
      <c r="F3867" s="204"/>
      <c r="G3867" s="204"/>
      <c r="H3867" s="204"/>
      <c r="I3867" s="204"/>
      <c r="J3867" s="204"/>
      <c r="K3867" s="204"/>
      <c r="L3867" s="204"/>
      <c r="M3867" s="204"/>
      <c r="N3867" s="204"/>
      <c r="O3867" s="204"/>
      <c r="P3867" s="204"/>
      <c r="T3867" s="217"/>
    </row>
    <row r="3868" spans="2:20">
      <c r="B3868" s="204"/>
      <c r="C3868" s="204"/>
      <c r="D3868" s="204"/>
      <c r="E3868" s="204"/>
      <c r="F3868" s="204"/>
      <c r="G3868" s="204"/>
      <c r="H3868" s="204"/>
      <c r="I3868" s="204"/>
      <c r="J3868" s="204"/>
      <c r="K3868" s="204"/>
      <c r="L3868" s="204"/>
      <c r="M3868" s="204"/>
      <c r="N3868" s="204"/>
      <c r="O3868" s="204"/>
      <c r="P3868" s="204"/>
      <c r="T3868" s="217"/>
    </row>
    <row r="3869" spans="2:20">
      <c r="B3869" s="204"/>
      <c r="C3869" s="204"/>
      <c r="D3869" s="204"/>
      <c r="E3869" s="204"/>
      <c r="F3869" s="204"/>
      <c r="G3869" s="204"/>
      <c r="H3869" s="204"/>
      <c r="I3869" s="204"/>
      <c r="J3869" s="204"/>
      <c r="K3869" s="204"/>
      <c r="L3869" s="204"/>
      <c r="M3869" s="204"/>
      <c r="N3869" s="204"/>
      <c r="O3869" s="204"/>
      <c r="P3869" s="204"/>
      <c r="T3869" s="217"/>
    </row>
    <row r="3870" spans="2:20">
      <c r="B3870" s="204"/>
      <c r="C3870" s="204"/>
      <c r="D3870" s="204"/>
      <c r="E3870" s="204"/>
      <c r="F3870" s="204"/>
      <c r="G3870" s="204"/>
      <c r="H3870" s="204"/>
      <c r="I3870" s="204"/>
      <c r="J3870" s="204"/>
      <c r="K3870" s="204"/>
      <c r="L3870" s="204"/>
      <c r="M3870" s="204"/>
      <c r="N3870" s="204"/>
      <c r="O3870" s="204"/>
      <c r="P3870" s="204"/>
      <c r="T3870" s="217"/>
    </row>
    <row r="3871" spans="2:20">
      <c r="B3871" s="204"/>
      <c r="C3871" s="204"/>
      <c r="D3871" s="204"/>
      <c r="E3871" s="204"/>
      <c r="F3871" s="204"/>
      <c r="G3871" s="204"/>
      <c r="H3871" s="204"/>
      <c r="I3871" s="204"/>
      <c r="J3871" s="204"/>
      <c r="K3871" s="204"/>
      <c r="L3871" s="204"/>
      <c r="M3871" s="204"/>
      <c r="N3871" s="204"/>
      <c r="O3871" s="204"/>
      <c r="P3871" s="204"/>
      <c r="T3871" s="217"/>
    </row>
    <row r="3872" spans="2:20">
      <c r="B3872" s="204"/>
      <c r="C3872" s="204"/>
      <c r="D3872" s="204"/>
      <c r="E3872" s="204"/>
      <c r="F3872" s="204"/>
      <c r="G3872" s="204"/>
      <c r="H3872" s="204"/>
      <c r="I3872" s="204"/>
      <c r="J3872" s="204"/>
      <c r="K3872" s="204"/>
      <c r="L3872" s="204"/>
      <c r="M3872" s="204"/>
      <c r="N3872" s="204"/>
      <c r="O3872" s="204"/>
      <c r="P3872" s="204"/>
      <c r="T3872" s="217"/>
    </row>
    <row r="3873" spans="2:20">
      <c r="B3873" s="204"/>
      <c r="C3873" s="204"/>
      <c r="D3873" s="204"/>
      <c r="E3873" s="204"/>
      <c r="F3873" s="204"/>
      <c r="G3873" s="204"/>
      <c r="H3873" s="204"/>
      <c r="I3873" s="204"/>
      <c r="J3873" s="204"/>
      <c r="K3873" s="204"/>
      <c r="L3873" s="204"/>
      <c r="M3873" s="204"/>
      <c r="N3873" s="204"/>
      <c r="O3873" s="204"/>
      <c r="P3873" s="204"/>
      <c r="T3873" s="217"/>
    </row>
    <row r="3874" spans="2:20">
      <c r="B3874" s="204"/>
      <c r="C3874" s="204"/>
      <c r="D3874" s="204"/>
      <c r="E3874" s="204"/>
      <c r="F3874" s="204"/>
      <c r="G3874" s="204"/>
      <c r="H3874" s="204"/>
      <c r="I3874" s="204"/>
      <c r="J3874" s="204"/>
      <c r="K3874" s="204"/>
      <c r="L3874" s="204"/>
      <c r="M3874" s="204"/>
      <c r="N3874" s="204"/>
      <c r="O3874" s="204"/>
      <c r="P3874" s="204"/>
      <c r="T3874" s="217"/>
    </row>
    <row r="3875" spans="2:20">
      <c r="B3875" s="204"/>
      <c r="C3875" s="204"/>
      <c r="D3875" s="204"/>
      <c r="E3875" s="204"/>
      <c r="F3875" s="204"/>
      <c r="G3875" s="204"/>
      <c r="H3875" s="204"/>
      <c r="I3875" s="204"/>
      <c r="J3875" s="204"/>
      <c r="K3875" s="204"/>
      <c r="L3875" s="204"/>
      <c r="M3875" s="204"/>
      <c r="N3875" s="204"/>
      <c r="O3875" s="204"/>
      <c r="P3875" s="204"/>
      <c r="T3875" s="217"/>
    </row>
    <row r="3876" spans="2:20">
      <c r="B3876" s="204"/>
      <c r="C3876" s="204"/>
      <c r="D3876" s="204"/>
      <c r="E3876" s="204"/>
      <c r="F3876" s="204"/>
      <c r="G3876" s="204"/>
      <c r="H3876" s="204"/>
      <c r="I3876" s="204"/>
      <c r="J3876" s="204"/>
      <c r="K3876" s="204"/>
      <c r="L3876" s="204"/>
      <c r="M3876" s="204"/>
      <c r="N3876" s="204"/>
      <c r="O3876" s="204"/>
      <c r="P3876" s="204"/>
      <c r="T3876" s="217"/>
    </row>
    <row r="3877" spans="2:20">
      <c r="B3877" s="204"/>
      <c r="C3877" s="204"/>
      <c r="D3877" s="204"/>
      <c r="E3877" s="204"/>
      <c r="F3877" s="204"/>
      <c r="G3877" s="204"/>
      <c r="H3877" s="204"/>
      <c r="I3877" s="204"/>
      <c r="J3877" s="204"/>
      <c r="K3877" s="204"/>
      <c r="L3877" s="204"/>
      <c r="M3877" s="204"/>
      <c r="N3877" s="204"/>
      <c r="O3877" s="204"/>
      <c r="P3877" s="204"/>
      <c r="T3877" s="217"/>
    </row>
    <row r="3878" spans="2:20">
      <c r="B3878" s="204"/>
      <c r="C3878" s="204"/>
      <c r="D3878" s="204"/>
      <c r="E3878" s="204"/>
      <c r="F3878" s="204"/>
      <c r="G3878" s="204"/>
      <c r="H3878" s="204"/>
      <c r="I3878" s="204"/>
      <c r="J3878" s="204"/>
      <c r="K3878" s="204"/>
      <c r="L3878" s="204"/>
      <c r="M3878" s="204"/>
      <c r="N3878" s="204"/>
      <c r="O3878" s="204"/>
      <c r="P3878" s="204"/>
      <c r="T3878" s="217"/>
    </row>
    <row r="3879" spans="2:20">
      <c r="B3879" s="204"/>
      <c r="C3879" s="204"/>
      <c r="D3879" s="204"/>
      <c r="E3879" s="204"/>
      <c r="F3879" s="204"/>
      <c r="G3879" s="204"/>
      <c r="H3879" s="204"/>
      <c r="I3879" s="204"/>
      <c r="J3879" s="204"/>
      <c r="K3879" s="204"/>
      <c r="L3879" s="204"/>
      <c r="M3879" s="204"/>
      <c r="N3879" s="204"/>
      <c r="O3879" s="204"/>
      <c r="P3879" s="204"/>
      <c r="T3879" s="217"/>
    </row>
    <row r="3880" spans="2:20">
      <c r="B3880" s="204"/>
      <c r="C3880" s="204"/>
      <c r="D3880" s="204"/>
      <c r="E3880" s="204"/>
      <c r="F3880" s="204"/>
      <c r="G3880" s="204"/>
      <c r="H3880" s="204"/>
      <c r="I3880" s="204"/>
      <c r="J3880" s="204"/>
      <c r="K3880" s="204"/>
      <c r="L3880" s="204"/>
      <c r="M3880" s="204"/>
      <c r="N3880" s="204"/>
      <c r="O3880" s="204"/>
      <c r="P3880" s="204"/>
      <c r="T3880" s="217"/>
    </row>
    <row r="3881" spans="2:20">
      <c r="B3881" s="204"/>
      <c r="C3881" s="204"/>
      <c r="D3881" s="204"/>
      <c r="E3881" s="204"/>
      <c r="F3881" s="204"/>
      <c r="G3881" s="204"/>
      <c r="H3881" s="204"/>
      <c r="I3881" s="204"/>
      <c r="J3881" s="204"/>
      <c r="K3881" s="204"/>
      <c r="L3881" s="204"/>
      <c r="M3881" s="204"/>
      <c r="N3881" s="204"/>
      <c r="O3881" s="204"/>
      <c r="P3881" s="204"/>
      <c r="T3881" s="217"/>
    </row>
    <row r="3882" spans="2:20">
      <c r="B3882" s="204"/>
      <c r="C3882" s="204"/>
      <c r="D3882" s="204"/>
      <c r="E3882" s="204"/>
      <c r="F3882" s="204"/>
      <c r="G3882" s="204"/>
      <c r="H3882" s="204"/>
      <c r="I3882" s="204"/>
      <c r="J3882" s="204"/>
      <c r="K3882" s="204"/>
      <c r="L3882" s="204"/>
      <c r="M3882" s="204"/>
      <c r="N3882" s="204"/>
      <c r="O3882" s="204"/>
      <c r="P3882" s="204"/>
      <c r="T3882" s="217"/>
    </row>
    <row r="3883" spans="2:20">
      <c r="B3883" s="204"/>
      <c r="C3883" s="204"/>
      <c r="D3883" s="204"/>
      <c r="E3883" s="204"/>
      <c r="F3883" s="204"/>
      <c r="G3883" s="204"/>
      <c r="H3883" s="204"/>
      <c r="I3883" s="204"/>
      <c r="J3883" s="204"/>
      <c r="K3883" s="204"/>
      <c r="L3883" s="204"/>
      <c r="M3883" s="204"/>
      <c r="N3883" s="204"/>
      <c r="O3883" s="204"/>
      <c r="P3883" s="204"/>
      <c r="T3883" s="217"/>
    </row>
    <row r="3884" spans="2:20">
      <c r="B3884" s="204"/>
      <c r="C3884" s="204"/>
      <c r="D3884" s="204"/>
      <c r="E3884" s="204"/>
      <c r="F3884" s="204"/>
      <c r="G3884" s="204"/>
      <c r="H3884" s="204"/>
      <c r="I3884" s="204"/>
      <c r="J3884" s="204"/>
      <c r="K3884" s="204"/>
      <c r="L3884" s="204"/>
      <c r="M3884" s="204"/>
      <c r="N3884" s="204"/>
      <c r="O3884" s="204"/>
      <c r="P3884" s="204"/>
      <c r="T3884" s="217"/>
    </row>
    <row r="3885" spans="2:20">
      <c r="B3885" s="204"/>
      <c r="C3885" s="204"/>
      <c r="D3885" s="204"/>
      <c r="E3885" s="204"/>
      <c r="F3885" s="204"/>
      <c r="G3885" s="204"/>
      <c r="H3885" s="204"/>
      <c r="I3885" s="204"/>
      <c r="J3885" s="204"/>
      <c r="K3885" s="204"/>
      <c r="L3885" s="204"/>
      <c r="M3885" s="204"/>
      <c r="N3885" s="204"/>
      <c r="O3885" s="204"/>
      <c r="P3885" s="204"/>
      <c r="T3885" s="217"/>
    </row>
    <row r="3886" spans="2:20">
      <c r="B3886" s="204"/>
      <c r="C3886" s="204"/>
      <c r="D3886" s="204"/>
      <c r="E3886" s="204"/>
      <c r="F3886" s="204"/>
      <c r="G3886" s="204"/>
      <c r="H3886" s="204"/>
      <c r="I3886" s="204"/>
      <c r="J3886" s="204"/>
      <c r="K3886" s="204"/>
      <c r="L3886" s="204"/>
      <c r="M3886" s="204"/>
      <c r="N3886" s="204"/>
      <c r="O3886" s="204"/>
      <c r="P3886" s="204"/>
      <c r="T3886" s="217"/>
    </row>
    <row r="3887" spans="2:20">
      <c r="B3887" s="204"/>
      <c r="C3887" s="204"/>
      <c r="D3887" s="204"/>
      <c r="E3887" s="204"/>
      <c r="F3887" s="204"/>
      <c r="G3887" s="204"/>
      <c r="H3887" s="204"/>
      <c r="I3887" s="204"/>
      <c r="J3887" s="204"/>
      <c r="K3887" s="204"/>
      <c r="L3887" s="204"/>
      <c r="M3887" s="204"/>
      <c r="N3887" s="204"/>
      <c r="O3887" s="204"/>
      <c r="P3887" s="204"/>
      <c r="T3887" s="217"/>
    </row>
    <row r="3888" spans="2:20">
      <c r="B3888" s="204"/>
      <c r="C3888" s="204"/>
      <c r="D3888" s="204"/>
      <c r="E3888" s="204"/>
      <c r="F3888" s="204"/>
      <c r="G3888" s="204"/>
      <c r="H3888" s="204"/>
      <c r="I3888" s="204"/>
      <c r="J3888" s="204"/>
      <c r="K3888" s="204"/>
      <c r="L3888" s="204"/>
      <c r="M3888" s="204"/>
      <c r="N3888" s="204"/>
      <c r="O3888" s="204"/>
      <c r="P3888" s="204"/>
      <c r="T3888" s="217"/>
    </row>
    <row r="3889" spans="2:20">
      <c r="B3889" s="204"/>
      <c r="C3889" s="204"/>
      <c r="D3889" s="204"/>
      <c r="E3889" s="204"/>
      <c r="F3889" s="204"/>
      <c r="G3889" s="204"/>
      <c r="H3889" s="204"/>
      <c r="I3889" s="204"/>
      <c r="J3889" s="204"/>
      <c r="K3889" s="204"/>
      <c r="L3889" s="204"/>
      <c r="M3889" s="204"/>
      <c r="N3889" s="204"/>
      <c r="O3889" s="204"/>
      <c r="P3889" s="204"/>
      <c r="T3889" s="217"/>
    </row>
    <row r="3890" spans="2:20">
      <c r="B3890" s="204"/>
      <c r="C3890" s="204"/>
      <c r="D3890" s="204"/>
      <c r="E3890" s="204"/>
      <c r="F3890" s="204"/>
      <c r="G3890" s="204"/>
      <c r="H3890" s="204"/>
      <c r="I3890" s="204"/>
      <c r="J3890" s="204"/>
      <c r="K3890" s="204"/>
      <c r="L3890" s="204"/>
      <c r="M3890" s="204"/>
      <c r="N3890" s="204"/>
      <c r="O3890" s="204"/>
      <c r="P3890" s="204"/>
      <c r="T3890" s="217"/>
    </row>
    <row r="3891" spans="2:20">
      <c r="B3891" s="204"/>
      <c r="C3891" s="204"/>
      <c r="D3891" s="204"/>
      <c r="E3891" s="204"/>
      <c r="F3891" s="204"/>
      <c r="G3891" s="204"/>
      <c r="H3891" s="204"/>
      <c r="I3891" s="204"/>
      <c r="J3891" s="204"/>
      <c r="K3891" s="204"/>
      <c r="L3891" s="204"/>
      <c r="M3891" s="204"/>
      <c r="N3891" s="204"/>
      <c r="O3891" s="204"/>
      <c r="P3891" s="204"/>
      <c r="T3891" s="217"/>
    </row>
    <row r="3892" spans="2:20">
      <c r="B3892" s="204"/>
      <c r="C3892" s="204"/>
      <c r="D3892" s="204"/>
      <c r="E3892" s="204"/>
      <c r="F3892" s="204"/>
      <c r="G3892" s="204"/>
      <c r="H3892" s="204"/>
      <c r="I3892" s="204"/>
      <c r="J3892" s="204"/>
      <c r="K3892" s="204"/>
      <c r="L3892" s="204"/>
      <c r="M3892" s="204"/>
      <c r="N3892" s="204"/>
      <c r="O3892" s="204"/>
      <c r="P3892" s="204"/>
      <c r="T3892" s="217"/>
    </row>
    <row r="3893" spans="2:20">
      <c r="B3893" s="204"/>
      <c r="C3893" s="204"/>
      <c r="D3893" s="204"/>
      <c r="E3893" s="204"/>
      <c r="F3893" s="204"/>
      <c r="G3893" s="204"/>
      <c r="H3893" s="204"/>
      <c r="I3893" s="204"/>
      <c r="J3893" s="204"/>
      <c r="K3893" s="204"/>
      <c r="L3893" s="204"/>
      <c r="M3893" s="204"/>
      <c r="N3893" s="204"/>
      <c r="O3893" s="204"/>
      <c r="P3893" s="204"/>
      <c r="T3893" s="217"/>
    </row>
    <row r="3894" spans="2:20">
      <c r="B3894" s="204"/>
      <c r="C3894" s="204"/>
      <c r="D3894" s="204"/>
      <c r="E3894" s="204"/>
      <c r="F3894" s="204"/>
      <c r="G3894" s="204"/>
      <c r="H3894" s="204"/>
      <c r="I3894" s="204"/>
      <c r="J3894" s="204"/>
      <c r="K3894" s="204"/>
      <c r="L3894" s="204"/>
      <c r="M3894" s="204"/>
      <c r="N3894" s="204"/>
      <c r="O3894" s="204"/>
      <c r="P3894" s="204"/>
      <c r="T3894" s="217"/>
    </row>
    <row r="3895" spans="2:20">
      <c r="B3895" s="204"/>
      <c r="C3895" s="204"/>
      <c r="D3895" s="204"/>
      <c r="E3895" s="204"/>
      <c r="F3895" s="204"/>
      <c r="G3895" s="204"/>
      <c r="H3895" s="204"/>
      <c r="I3895" s="204"/>
      <c r="J3895" s="204"/>
      <c r="K3895" s="204"/>
      <c r="L3895" s="204"/>
      <c r="M3895" s="204"/>
      <c r="N3895" s="204"/>
      <c r="O3895" s="204"/>
      <c r="P3895" s="204"/>
      <c r="T3895" s="217"/>
    </row>
    <row r="3896" spans="2:20">
      <c r="B3896" s="204"/>
      <c r="C3896" s="204"/>
      <c r="D3896" s="204"/>
      <c r="E3896" s="204"/>
      <c r="F3896" s="204"/>
      <c r="G3896" s="204"/>
      <c r="H3896" s="204"/>
      <c r="I3896" s="204"/>
      <c r="J3896" s="204"/>
      <c r="K3896" s="204"/>
      <c r="L3896" s="204"/>
      <c r="M3896" s="204"/>
      <c r="N3896" s="204"/>
      <c r="O3896" s="204"/>
      <c r="P3896" s="204"/>
      <c r="T3896" s="217"/>
    </row>
    <row r="3897" spans="2:20">
      <c r="B3897" s="204"/>
      <c r="C3897" s="204"/>
      <c r="D3897" s="204"/>
      <c r="E3897" s="204"/>
      <c r="F3897" s="204"/>
      <c r="G3897" s="204"/>
      <c r="H3897" s="204"/>
      <c r="I3897" s="204"/>
      <c r="J3897" s="204"/>
      <c r="K3897" s="204"/>
      <c r="L3897" s="204"/>
      <c r="M3897" s="204"/>
      <c r="N3897" s="204"/>
      <c r="O3897" s="204"/>
      <c r="P3897" s="204"/>
      <c r="T3897" s="217"/>
    </row>
    <row r="3898" spans="2:20">
      <c r="B3898" s="204"/>
      <c r="C3898" s="204"/>
      <c r="D3898" s="204"/>
      <c r="E3898" s="204"/>
      <c r="F3898" s="204"/>
      <c r="G3898" s="204"/>
      <c r="H3898" s="204"/>
      <c r="I3898" s="204"/>
      <c r="J3898" s="204"/>
      <c r="K3898" s="204"/>
      <c r="L3898" s="204"/>
      <c r="M3898" s="204"/>
      <c r="N3898" s="204"/>
      <c r="O3898" s="204"/>
      <c r="P3898" s="204"/>
      <c r="T3898" s="217"/>
    </row>
    <row r="3899" spans="2:20">
      <c r="B3899" s="204"/>
      <c r="C3899" s="204"/>
      <c r="D3899" s="204"/>
      <c r="E3899" s="204"/>
      <c r="F3899" s="204"/>
      <c r="G3899" s="204"/>
      <c r="H3899" s="204"/>
      <c r="I3899" s="204"/>
      <c r="J3899" s="204"/>
      <c r="K3899" s="204"/>
      <c r="L3899" s="204"/>
      <c r="M3899" s="204"/>
      <c r="N3899" s="204"/>
      <c r="O3899" s="204"/>
      <c r="P3899" s="204"/>
      <c r="T3899" s="217"/>
    </row>
    <row r="3900" spans="2:20">
      <c r="B3900" s="204"/>
      <c r="C3900" s="204"/>
      <c r="D3900" s="204"/>
      <c r="E3900" s="204"/>
      <c r="F3900" s="204"/>
      <c r="G3900" s="204"/>
      <c r="H3900" s="204"/>
      <c r="I3900" s="204"/>
      <c r="J3900" s="204"/>
      <c r="K3900" s="204"/>
      <c r="L3900" s="204"/>
      <c r="M3900" s="204"/>
      <c r="N3900" s="204"/>
      <c r="O3900" s="204"/>
      <c r="P3900" s="204"/>
      <c r="T3900" s="217"/>
    </row>
    <row r="3901" spans="2:20">
      <c r="B3901" s="204"/>
      <c r="C3901" s="204"/>
      <c r="D3901" s="204"/>
      <c r="E3901" s="204"/>
      <c r="F3901" s="204"/>
      <c r="G3901" s="204"/>
      <c r="H3901" s="204"/>
      <c r="I3901" s="204"/>
      <c r="J3901" s="204"/>
      <c r="K3901" s="204"/>
      <c r="L3901" s="204"/>
      <c r="M3901" s="204"/>
      <c r="N3901" s="204"/>
      <c r="O3901" s="204"/>
      <c r="P3901" s="204"/>
      <c r="T3901" s="217"/>
    </row>
    <row r="3902" spans="2:20">
      <c r="B3902" s="204"/>
      <c r="C3902" s="204"/>
      <c r="D3902" s="204"/>
      <c r="E3902" s="204"/>
      <c r="F3902" s="204"/>
      <c r="G3902" s="204"/>
      <c r="H3902" s="204"/>
      <c r="I3902" s="204"/>
      <c r="J3902" s="204"/>
      <c r="K3902" s="204"/>
      <c r="L3902" s="204"/>
      <c r="M3902" s="204"/>
      <c r="N3902" s="204"/>
      <c r="O3902" s="204"/>
      <c r="P3902" s="204"/>
      <c r="T3902" s="217"/>
    </row>
    <row r="3903" spans="2:20">
      <c r="B3903" s="204"/>
      <c r="C3903" s="204"/>
      <c r="D3903" s="204"/>
      <c r="E3903" s="204"/>
      <c r="F3903" s="204"/>
      <c r="G3903" s="204"/>
      <c r="H3903" s="204"/>
      <c r="I3903" s="204"/>
      <c r="J3903" s="204"/>
      <c r="K3903" s="204"/>
      <c r="L3903" s="204"/>
      <c r="M3903" s="204"/>
      <c r="N3903" s="204"/>
      <c r="O3903" s="204"/>
      <c r="P3903" s="204"/>
      <c r="T3903" s="217"/>
    </row>
    <row r="3904" spans="2:20">
      <c r="B3904" s="204"/>
      <c r="C3904" s="204"/>
      <c r="D3904" s="204"/>
      <c r="E3904" s="204"/>
      <c r="F3904" s="204"/>
      <c r="G3904" s="204"/>
      <c r="H3904" s="204"/>
      <c r="I3904" s="204"/>
      <c r="J3904" s="204"/>
      <c r="K3904" s="204"/>
      <c r="L3904" s="204"/>
      <c r="M3904" s="204"/>
      <c r="N3904" s="204"/>
      <c r="O3904" s="204"/>
      <c r="P3904" s="204"/>
      <c r="T3904" s="217"/>
    </row>
    <row r="3905" spans="2:20">
      <c r="B3905" s="204"/>
      <c r="C3905" s="204"/>
      <c r="D3905" s="204"/>
      <c r="E3905" s="204"/>
      <c r="F3905" s="204"/>
      <c r="G3905" s="204"/>
      <c r="H3905" s="204"/>
      <c r="I3905" s="204"/>
      <c r="J3905" s="204"/>
      <c r="K3905" s="204"/>
      <c r="L3905" s="204"/>
      <c r="M3905" s="204"/>
      <c r="N3905" s="204"/>
      <c r="O3905" s="204"/>
      <c r="P3905" s="204"/>
      <c r="T3905" s="217"/>
    </row>
    <row r="3906" spans="2:20">
      <c r="B3906" s="204"/>
      <c r="C3906" s="204"/>
      <c r="D3906" s="204"/>
      <c r="E3906" s="204"/>
      <c r="F3906" s="204"/>
      <c r="G3906" s="204"/>
      <c r="H3906" s="204"/>
      <c r="I3906" s="204"/>
      <c r="J3906" s="204"/>
      <c r="K3906" s="204"/>
      <c r="L3906" s="204"/>
      <c r="M3906" s="204"/>
      <c r="N3906" s="204"/>
      <c r="O3906" s="204"/>
      <c r="P3906" s="204"/>
      <c r="T3906" s="217"/>
    </row>
    <row r="3907" spans="2:20">
      <c r="B3907" s="204"/>
      <c r="C3907" s="204"/>
      <c r="D3907" s="204"/>
      <c r="E3907" s="204"/>
      <c r="F3907" s="204"/>
      <c r="G3907" s="204"/>
      <c r="H3907" s="204"/>
      <c r="I3907" s="204"/>
      <c r="J3907" s="204"/>
      <c r="K3907" s="204"/>
      <c r="L3907" s="204"/>
      <c r="M3907" s="204"/>
      <c r="N3907" s="204"/>
      <c r="O3907" s="204"/>
      <c r="P3907" s="204"/>
      <c r="T3907" s="217"/>
    </row>
    <row r="3908" spans="2:20">
      <c r="B3908" s="204"/>
      <c r="C3908" s="204"/>
      <c r="D3908" s="204"/>
      <c r="E3908" s="204"/>
      <c r="F3908" s="204"/>
      <c r="G3908" s="204"/>
      <c r="H3908" s="204"/>
      <c r="I3908" s="204"/>
      <c r="J3908" s="204"/>
      <c r="K3908" s="204"/>
      <c r="L3908" s="204"/>
      <c r="M3908" s="204"/>
      <c r="N3908" s="204"/>
      <c r="O3908" s="204"/>
      <c r="P3908" s="204"/>
      <c r="T3908" s="217"/>
    </row>
    <row r="3909" spans="2:20">
      <c r="B3909" s="204"/>
      <c r="C3909" s="204"/>
      <c r="D3909" s="204"/>
      <c r="E3909" s="204"/>
      <c r="F3909" s="204"/>
      <c r="G3909" s="204"/>
      <c r="H3909" s="204"/>
      <c r="I3909" s="204"/>
      <c r="J3909" s="204"/>
      <c r="K3909" s="204"/>
      <c r="L3909" s="204"/>
      <c r="M3909" s="204"/>
      <c r="N3909" s="204"/>
      <c r="O3909" s="204"/>
      <c r="P3909" s="204"/>
      <c r="T3909" s="217"/>
    </row>
    <row r="3910" spans="2:20">
      <c r="B3910" s="204"/>
      <c r="C3910" s="204"/>
      <c r="D3910" s="204"/>
      <c r="E3910" s="204"/>
      <c r="F3910" s="204"/>
      <c r="G3910" s="204"/>
      <c r="H3910" s="204"/>
      <c r="I3910" s="204"/>
      <c r="J3910" s="204"/>
      <c r="K3910" s="204"/>
      <c r="L3910" s="204"/>
      <c r="M3910" s="204"/>
      <c r="N3910" s="204"/>
      <c r="O3910" s="204"/>
      <c r="P3910" s="204"/>
      <c r="T3910" s="217"/>
    </row>
    <row r="3911" spans="2:20">
      <c r="B3911" s="204"/>
      <c r="C3911" s="204"/>
      <c r="D3911" s="204"/>
      <c r="E3911" s="204"/>
      <c r="F3911" s="204"/>
      <c r="G3911" s="204"/>
      <c r="H3911" s="204"/>
      <c r="I3911" s="204"/>
      <c r="J3911" s="204"/>
      <c r="K3911" s="204"/>
      <c r="L3911" s="204"/>
      <c r="M3911" s="204"/>
      <c r="N3911" s="204"/>
      <c r="O3911" s="204"/>
      <c r="P3911" s="204"/>
      <c r="T3911" s="217"/>
    </row>
    <row r="3912" spans="2:20">
      <c r="B3912" s="204"/>
      <c r="C3912" s="204"/>
      <c r="D3912" s="204"/>
      <c r="E3912" s="204"/>
      <c r="F3912" s="204"/>
      <c r="G3912" s="204"/>
      <c r="H3912" s="204"/>
      <c r="I3912" s="204"/>
      <c r="J3912" s="204"/>
      <c r="K3912" s="204"/>
      <c r="L3912" s="204"/>
      <c r="M3912" s="204"/>
      <c r="N3912" s="204"/>
      <c r="O3912" s="204"/>
      <c r="P3912" s="204"/>
      <c r="T3912" s="217"/>
    </row>
    <row r="3913" spans="2:20">
      <c r="B3913" s="204"/>
      <c r="C3913" s="204"/>
      <c r="D3913" s="204"/>
      <c r="E3913" s="204"/>
      <c r="F3913" s="204"/>
      <c r="G3913" s="204"/>
      <c r="H3913" s="204"/>
      <c r="I3913" s="204"/>
      <c r="J3913" s="204"/>
      <c r="K3913" s="204"/>
      <c r="L3913" s="204"/>
      <c r="M3913" s="204"/>
      <c r="N3913" s="204"/>
      <c r="O3913" s="204"/>
      <c r="P3913" s="204"/>
      <c r="T3913" s="217"/>
    </row>
    <row r="3914" spans="2:20">
      <c r="B3914" s="204"/>
      <c r="C3914" s="204"/>
      <c r="D3914" s="204"/>
      <c r="E3914" s="204"/>
      <c r="F3914" s="204"/>
      <c r="G3914" s="204"/>
      <c r="H3914" s="204"/>
      <c r="I3914" s="204"/>
      <c r="J3914" s="204"/>
      <c r="K3914" s="204"/>
      <c r="L3914" s="204"/>
      <c r="M3914" s="204"/>
      <c r="N3914" s="204"/>
      <c r="O3914" s="204"/>
      <c r="P3914" s="204"/>
      <c r="T3914" s="217"/>
    </row>
    <row r="3915" spans="2:20">
      <c r="B3915" s="204"/>
      <c r="C3915" s="204"/>
      <c r="D3915" s="204"/>
      <c r="E3915" s="204"/>
      <c r="F3915" s="204"/>
      <c r="G3915" s="204"/>
      <c r="H3915" s="204"/>
      <c r="I3915" s="204"/>
      <c r="J3915" s="204"/>
      <c r="K3915" s="204"/>
      <c r="L3915" s="204"/>
      <c r="M3915" s="204"/>
      <c r="N3915" s="204"/>
      <c r="O3915" s="204"/>
      <c r="P3915" s="204"/>
      <c r="T3915" s="217"/>
    </row>
    <row r="3916" spans="2:20">
      <c r="B3916" s="204"/>
      <c r="C3916" s="204"/>
      <c r="D3916" s="204"/>
      <c r="E3916" s="204"/>
      <c r="F3916" s="204"/>
      <c r="G3916" s="204"/>
      <c r="H3916" s="204"/>
      <c r="I3916" s="204"/>
      <c r="J3916" s="204"/>
      <c r="K3916" s="204"/>
      <c r="L3916" s="204"/>
      <c r="M3916" s="204"/>
      <c r="N3916" s="204"/>
      <c r="O3916" s="204"/>
      <c r="P3916" s="204"/>
      <c r="T3916" s="217"/>
    </row>
    <row r="3917" spans="2:20">
      <c r="B3917" s="204"/>
      <c r="C3917" s="204"/>
      <c r="D3917" s="204"/>
      <c r="E3917" s="204"/>
      <c r="F3917" s="204"/>
      <c r="G3917" s="204"/>
      <c r="H3917" s="204"/>
      <c r="I3917" s="204"/>
      <c r="J3917" s="204"/>
      <c r="K3917" s="204"/>
      <c r="L3917" s="204"/>
      <c r="M3917" s="204"/>
      <c r="N3917" s="204"/>
      <c r="O3917" s="204"/>
      <c r="P3917" s="204"/>
      <c r="T3917" s="217"/>
    </row>
    <row r="3918" spans="2:20">
      <c r="B3918" s="204"/>
      <c r="C3918" s="204"/>
      <c r="D3918" s="204"/>
      <c r="E3918" s="204"/>
      <c r="F3918" s="204"/>
      <c r="G3918" s="204"/>
      <c r="H3918" s="204"/>
      <c r="I3918" s="204"/>
      <c r="J3918" s="204"/>
      <c r="K3918" s="204"/>
      <c r="L3918" s="204"/>
      <c r="M3918" s="204"/>
      <c r="N3918" s="204"/>
      <c r="O3918" s="204"/>
      <c r="P3918" s="204"/>
      <c r="T3918" s="217"/>
    </row>
    <row r="3919" spans="2:20">
      <c r="B3919" s="204"/>
      <c r="C3919" s="204"/>
      <c r="D3919" s="204"/>
      <c r="E3919" s="204"/>
      <c r="F3919" s="204"/>
      <c r="G3919" s="204"/>
      <c r="H3919" s="204"/>
      <c r="I3919" s="204"/>
      <c r="J3919" s="204"/>
      <c r="K3919" s="204"/>
      <c r="L3919" s="204"/>
      <c r="M3919" s="204"/>
      <c r="N3919" s="204"/>
      <c r="O3919" s="204"/>
      <c r="P3919" s="204"/>
      <c r="T3919" s="217"/>
    </row>
    <row r="3920" spans="2:20">
      <c r="B3920" s="204"/>
      <c r="C3920" s="204"/>
      <c r="D3920" s="204"/>
      <c r="E3920" s="204"/>
      <c r="F3920" s="204"/>
      <c r="G3920" s="204"/>
      <c r="H3920" s="204"/>
      <c r="I3920" s="204"/>
      <c r="J3920" s="204"/>
      <c r="K3920" s="204"/>
      <c r="L3920" s="204"/>
      <c r="M3920" s="204"/>
      <c r="N3920" s="204"/>
      <c r="O3920" s="204"/>
      <c r="P3920" s="204"/>
      <c r="T3920" s="217"/>
    </row>
    <row r="3921" spans="2:20">
      <c r="B3921" s="204"/>
      <c r="C3921" s="204"/>
      <c r="D3921" s="204"/>
      <c r="E3921" s="204"/>
      <c r="F3921" s="204"/>
      <c r="G3921" s="204"/>
      <c r="H3921" s="204"/>
      <c r="I3921" s="204"/>
      <c r="J3921" s="204"/>
      <c r="K3921" s="204"/>
      <c r="L3921" s="204"/>
      <c r="M3921" s="204"/>
      <c r="N3921" s="204"/>
      <c r="O3921" s="204"/>
      <c r="P3921" s="204"/>
      <c r="T3921" s="217"/>
    </row>
    <row r="3922" spans="2:20">
      <c r="B3922" s="204"/>
      <c r="C3922" s="204"/>
      <c r="D3922" s="204"/>
      <c r="E3922" s="204"/>
      <c r="F3922" s="204"/>
      <c r="G3922" s="204"/>
      <c r="H3922" s="204"/>
      <c r="I3922" s="204"/>
      <c r="J3922" s="204"/>
      <c r="K3922" s="204"/>
      <c r="L3922" s="204"/>
      <c r="M3922" s="204"/>
      <c r="N3922" s="204"/>
      <c r="O3922" s="204"/>
      <c r="P3922" s="204"/>
      <c r="T3922" s="217"/>
    </row>
  </sheetData>
  <conditionalFormatting sqref="B1">
    <cfRule type="cellIs" dxfId="1899" priority="207" operator="between">
      <formula>0.1</formula>
      <formula>49.99</formula>
    </cfRule>
    <cfRule type="cellIs" dxfId="1898" priority="208" operator="between">
      <formula>50</formula>
      <formula>59.99</formula>
    </cfRule>
    <cfRule type="cellIs" dxfId="1897" priority="209" operator="between">
      <formula>60</formula>
      <formula>69.99</formula>
    </cfRule>
    <cfRule type="cellIs" dxfId="1896" priority="210" operator="between">
      <formula>70</formula>
      <formula>100</formula>
    </cfRule>
  </conditionalFormatting>
  <conditionalFormatting sqref="C1">
    <cfRule type="cellIs" dxfId="1895" priority="199" operator="between">
      <formula>0.1</formula>
      <formula>49.99</formula>
    </cfRule>
    <cfRule type="cellIs" dxfId="1894" priority="200" operator="between">
      <formula>50</formula>
      <formula>59.99</formula>
    </cfRule>
    <cfRule type="cellIs" dxfId="1893" priority="201" operator="between">
      <formula>60</formula>
      <formula>69.99</formula>
    </cfRule>
    <cfRule type="cellIs" dxfId="1892" priority="202" operator="between">
      <formula>70</formula>
      <formula>100</formula>
    </cfRule>
  </conditionalFormatting>
  <conditionalFormatting sqref="D1">
    <cfRule type="cellIs" dxfId="1891" priority="191" operator="between">
      <formula>0.1</formula>
      <formula>49.99</formula>
    </cfRule>
    <cfRule type="cellIs" dxfId="1890" priority="192" operator="between">
      <formula>50</formula>
      <formula>59.99</formula>
    </cfRule>
    <cfRule type="cellIs" dxfId="1889" priority="193" operator="between">
      <formula>60</formula>
      <formula>69.99</formula>
    </cfRule>
    <cfRule type="cellIs" dxfId="1888" priority="194" operator="between">
      <formula>70</formula>
      <formula>100</formula>
    </cfRule>
  </conditionalFormatting>
  <conditionalFormatting sqref="E1">
    <cfRule type="cellIs" dxfId="1887" priority="183" operator="between">
      <formula>0.1</formula>
      <formula>49.99</formula>
    </cfRule>
    <cfRule type="cellIs" dxfId="1886" priority="184" operator="between">
      <formula>50</formula>
      <formula>59.99</formula>
    </cfRule>
    <cfRule type="cellIs" dxfId="1885" priority="185" operator="between">
      <formula>60</formula>
      <formula>69.99</formula>
    </cfRule>
    <cfRule type="cellIs" dxfId="1884" priority="186" operator="between">
      <formula>70</formula>
      <formula>100</formula>
    </cfRule>
  </conditionalFormatting>
  <conditionalFormatting sqref="F1">
    <cfRule type="cellIs" dxfId="1883" priority="175" operator="between">
      <formula>0.1</formula>
      <formula>49.99</formula>
    </cfRule>
    <cfRule type="cellIs" dxfId="1882" priority="176" operator="between">
      <formula>50</formula>
      <formula>59.99</formula>
    </cfRule>
    <cfRule type="cellIs" dxfId="1881" priority="177" operator="between">
      <formula>60</formula>
      <formula>69.99</formula>
    </cfRule>
    <cfRule type="cellIs" dxfId="1880" priority="178" operator="between">
      <formula>70</formula>
      <formula>100</formula>
    </cfRule>
  </conditionalFormatting>
  <conditionalFormatting sqref="G1">
    <cfRule type="cellIs" dxfId="1879" priority="167" operator="between">
      <formula>0.1</formula>
      <formula>49.99</formula>
    </cfRule>
    <cfRule type="cellIs" dxfId="1878" priority="168" operator="between">
      <formula>50</formula>
      <formula>59.99</formula>
    </cfRule>
    <cfRule type="cellIs" dxfId="1877" priority="169" operator="between">
      <formula>60</formula>
      <formula>69.99</formula>
    </cfRule>
    <cfRule type="cellIs" dxfId="1876" priority="170" operator="between">
      <formula>70</formula>
      <formula>100</formula>
    </cfRule>
  </conditionalFormatting>
  <conditionalFormatting sqref="H1">
    <cfRule type="cellIs" dxfId="1875" priority="159" operator="between">
      <formula>0.1</formula>
      <formula>49.99</formula>
    </cfRule>
    <cfRule type="cellIs" dxfId="1874" priority="160" operator="between">
      <formula>50</formula>
      <formula>59.99</formula>
    </cfRule>
    <cfRule type="cellIs" dxfId="1873" priority="161" operator="between">
      <formula>60</formula>
      <formula>69.99</formula>
    </cfRule>
    <cfRule type="cellIs" dxfId="1872" priority="162" operator="between">
      <formula>70</formula>
      <formula>100</formula>
    </cfRule>
  </conditionalFormatting>
  <conditionalFormatting sqref="I1">
    <cfRule type="cellIs" dxfId="1871" priority="151" operator="between">
      <formula>0.1</formula>
      <formula>49.99</formula>
    </cfRule>
    <cfRule type="cellIs" dxfId="1870" priority="152" operator="between">
      <formula>50</formula>
      <formula>59.99</formula>
    </cfRule>
    <cfRule type="cellIs" dxfId="1869" priority="153" operator="between">
      <formula>60</formula>
      <formula>69.99</formula>
    </cfRule>
    <cfRule type="cellIs" dxfId="1868" priority="154" operator="between">
      <formula>70</formula>
      <formula>100</formula>
    </cfRule>
  </conditionalFormatting>
  <conditionalFormatting sqref="J1">
    <cfRule type="cellIs" dxfId="1867" priority="143" operator="between">
      <formula>0.1</formula>
      <formula>49.99</formula>
    </cfRule>
    <cfRule type="cellIs" dxfId="1866" priority="144" operator="between">
      <formula>50</formula>
      <formula>59.99</formula>
    </cfRule>
    <cfRule type="cellIs" dxfId="1865" priority="145" operator="between">
      <formula>60</formula>
      <formula>69.99</formula>
    </cfRule>
    <cfRule type="cellIs" dxfId="1864" priority="146" operator="between">
      <formula>70</formula>
      <formula>100</formula>
    </cfRule>
  </conditionalFormatting>
  <conditionalFormatting sqref="K1">
    <cfRule type="cellIs" dxfId="1863" priority="119" operator="between">
      <formula>0.1</formula>
      <formula>49.99</formula>
    </cfRule>
    <cfRule type="cellIs" dxfId="1862" priority="120" operator="between">
      <formula>50</formula>
      <formula>59.99</formula>
    </cfRule>
    <cfRule type="cellIs" dxfId="1861" priority="121" operator="between">
      <formula>60</formula>
      <formula>69.99</formula>
    </cfRule>
    <cfRule type="cellIs" dxfId="1860" priority="122" operator="between">
      <formula>70</formula>
      <formula>100</formula>
    </cfRule>
  </conditionalFormatting>
  <conditionalFormatting sqref="L1">
    <cfRule type="cellIs" dxfId="1859" priority="111" operator="between">
      <formula>0.1</formula>
      <formula>49.99</formula>
    </cfRule>
    <cfRule type="cellIs" dxfId="1858" priority="112" operator="between">
      <formula>50</formula>
      <formula>59.99</formula>
    </cfRule>
    <cfRule type="cellIs" dxfId="1857" priority="113" operator="between">
      <formula>60</formula>
      <formula>69.99</formula>
    </cfRule>
    <cfRule type="cellIs" dxfId="1856" priority="114" operator="between">
      <formula>70</formula>
      <formula>100</formula>
    </cfRule>
  </conditionalFormatting>
  <conditionalFormatting sqref="M1">
    <cfRule type="cellIs" dxfId="1855" priority="103" operator="between">
      <formula>0.1</formula>
      <formula>49.99</formula>
    </cfRule>
    <cfRule type="cellIs" dxfId="1854" priority="104" operator="between">
      <formula>50</formula>
      <formula>59.99</formula>
    </cfRule>
    <cfRule type="cellIs" dxfId="1853" priority="105" operator="between">
      <formula>60</formula>
      <formula>69.99</formula>
    </cfRule>
    <cfRule type="cellIs" dxfId="1852" priority="106" operator="between">
      <formula>70</formula>
      <formula>100</formula>
    </cfRule>
  </conditionalFormatting>
  <conditionalFormatting sqref="N1">
    <cfRule type="cellIs" dxfId="1851" priority="95" operator="between">
      <formula>0.1</formula>
      <formula>49.99</formula>
    </cfRule>
    <cfRule type="cellIs" dxfId="1850" priority="96" operator="between">
      <formula>50</formula>
      <formula>59.99</formula>
    </cfRule>
    <cfRule type="cellIs" dxfId="1849" priority="97" operator="between">
      <formula>60</formula>
      <formula>69.99</formula>
    </cfRule>
    <cfRule type="cellIs" dxfId="1848" priority="98" operator="between">
      <formula>70</formula>
      <formula>100</formula>
    </cfRule>
  </conditionalFormatting>
  <conditionalFormatting sqref="O1">
    <cfRule type="cellIs" dxfId="1847" priority="87" operator="between">
      <formula>0.1</formula>
      <formula>49.99</formula>
    </cfRule>
    <cfRule type="cellIs" dxfId="1846" priority="88" operator="between">
      <formula>50</formula>
      <formula>59.99</formula>
    </cfRule>
    <cfRule type="cellIs" dxfId="1845" priority="89" operator="between">
      <formula>60</formula>
      <formula>69.99</formula>
    </cfRule>
    <cfRule type="cellIs" dxfId="1844" priority="90" operator="between">
      <formula>70</formula>
      <formula>100</formula>
    </cfRule>
  </conditionalFormatting>
  <conditionalFormatting sqref="P1">
    <cfRule type="cellIs" dxfId="1843" priority="79" operator="between">
      <formula>0.1</formula>
      <formula>49.99</formula>
    </cfRule>
    <cfRule type="cellIs" dxfId="1842" priority="80" operator="between">
      <formula>50</formula>
      <formula>59.99</formula>
    </cfRule>
    <cfRule type="cellIs" dxfId="1841" priority="81" operator="between">
      <formula>60</formula>
      <formula>69.99</formula>
    </cfRule>
    <cfRule type="cellIs" dxfId="1840" priority="82" operator="between">
      <formula>70</formula>
      <formula>100</formula>
    </cfRule>
  </conditionalFormatting>
  <conditionalFormatting sqref="A30">
    <cfRule type="containsText" dxfId="1839" priority="2189" operator="containsText" text="5-2">
      <formula>NOT(ISERROR(SEARCH("5-2",A30)))</formula>
    </cfRule>
    <cfRule type="containsText" dxfId="1838" priority="2190" operator="containsText" text="0-5">
      <formula>NOT(ISERROR(SEARCH("0-5",A30)))</formula>
    </cfRule>
    <cfRule type="containsText" dxfId="1837" priority="2191" operator="containsText" text="3-4">
      <formula>NOT(ISERROR(SEARCH("3-4",A30)))</formula>
    </cfRule>
    <cfRule type="containsText" dxfId="1836" priority="2192" operator="containsText" text="4-0">
      <formula>NOT(ISERROR(SEARCH("4-0",A30)))</formula>
    </cfRule>
    <cfRule type="containsText" dxfId="1835" priority="2193" operator="containsText" text="2-4">
      <formula>NOT(ISERROR(SEARCH("2-4",A30)))</formula>
    </cfRule>
    <cfRule type="containsText" dxfId="1834" priority="2194" operator="containsText" text="5-0">
      <formula>NOT(ISERROR(SEARCH("5-0",A30)))</formula>
    </cfRule>
    <cfRule type="containsText" dxfId="1833" priority="2195" operator="containsText" text="4-3">
      <formula>NOT(ISERROR(SEARCH("4-3",A30)))</formula>
    </cfRule>
    <cfRule type="containsText" dxfId="1832" priority="2196" operator="containsText" text="6-0">
      <formula>NOT(ISERROR(SEARCH("6-0",A30)))</formula>
    </cfRule>
    <cfRule type="containsText" dxfId="1831" priority="2197" operator="containsText" text="6-0">
      <formula>NOT(ISERROR(SEARCH("6-0",A30)))</formula>
    </cfRule>
    <cfRule type="containsText" dxfId="1830" priority="2198" operator="containsText" text="5-1">
      <formula>NOT(ISERROR(SEARCH("5-1",A30)))</formula>
    </cfRule>
    <cfRule type="containsText" dxfId="1829" priority="2199" operator="containsText" text="1-4">
      <formula>NOT(ISERROR(SEARCH("1-4",A30)))</formula>
    </cfRule>
    <cfRule type="containsText" dxfId="1828" priority="2200" operator="containsText" text="0-4">
      <formula>NOT(ISERROR(SEARCH("0-4",A30)))</formula>
    </cfRule>
    <cfRule type="containsText" dxfId="1827" priority="2201" operator="containsText" text="2-3">
      <formula>NOT(ISERROR(SEARCH("2-3",A30)))</formula>
    </cfRule>
    <cfRule type="containsText" dxfId="1826" priority="2202" operator="containsText" text="1-3">
      <formula>NOT(ISERROR(SEARCH("1-3",A30)))</formula>
    </cfRule>
    <cfRule type="containsText" dxfId="1825" priority="2203" operator="containsText" text="0-3">
      <formula>NOT(ISERROR(SEARCH("0-3",A30)))</formula>
    </cfRule>
    <cfRule type="containsText" dxfId="1824" priority="2204" operator="containsText" text="1-2">
      <formula>NOT(ISERROR(SEARCH("1-2",A30)))</formula>
    </cfRule>
    <cfRule type="containsText" dxfId="1823" priority="2205" operator="containsText" text="0-2">
      <formula>NOT(ISERROR(SEARCH("0-2",A30)))</formula>
    </cfRule>
    <cfRule type="containsText" dxfId="1822" priority="2206" operator="containsText" text="0-1">
      <formula>NOT(ISERROR(SEARCH("0-1",A30)))</formula>
    </cfRule>
    <cfRule type="containsText" dxfId="1821" priority="2207" operator="containsText" text="4-2">
      <formula>NOT(ISERROR(SEARCH("4-2",A30)))</formula>
    </cfRule>
    <cfRule type="containsText" dxfId="1820" priority="2208" operator="containsText" text="4-1">
      <formula>NOT(ISERROR(SEARCH("4-1",A30)))</formula>
    </cfRule>
    <cfRule type="containsText" dxfId="1819" priority="2209" operator="containsText" text="3-2">
      <formula>NOT(ISERROR(SEARCH("3-2",A30)))</formula>
    </cfRule>
    <cfRule type="containsText" dxfId="1818" priority="2210" operator="containsText" text="3-1">
      <formula>NOT(ISERROR(SEARCH("3-1",A30)))</formula>
    </cfRule>
    <cfRule type="containsText" dxfId="1817" priority="2211" operator="containsText" text="3-0">
      <formula>NOT(ISERROR(SEARCH("3-0",A30)))</formula>
    </cfRule>
    <cfRule type="containsText" dxfId="1816" priority="2212" operator="containsText" text="2-1">
      <formula>NOT(ISERROR(SEARCH("2-1",A30)))</formula>
    </cfRule>
    <cfRule type="containsText" dxfId="1815" priority="2213" operator="containsText" text="2-0">
      <formula>NOT(ISERROR(SEARCH("2-0",A30)))</formula>
    </cfRule>
    <cfRule type="containsText" dxfId="1814" priority="2214" operator="containsText" text="1-0">
      <formula>NOT(ISERROR(SEARCH("1-0",A30)))</formula>
    </cfRule>
    <cfRule type="containsText" dxfId="1813" priority="2215" operator="containsText" text="4-4">
      <formula>NOT(ISERROR(SEARCH("4-4",A30)))</formula>
    </cfRule>
    <cfRule type="containsText" dxfId="1812" priority="2216" operator="containsText" text="3-3">
      <formula>NOT(ISERROR(SEARCH("3-3",A30)))</formula>
    </cfRule>
    <cfRule type="containsText" dxfId="1811" priority="2217" operator="containsText" text="2-2">
      <formula>NOT(ISERROR(SEARCH("2-2",A30)))</formula>
    </cfRule>
    <cfRule type="containsText" dxfId="1810" priority="2218" operator="containsText" text="1-1">
      <formula>NOT(ISERROR(SEARCH("1-1",A30)))</formula>
    </cfRule>
    <cfRule type="containsText" dxfId="1809" priority="2219" operator="containsText" text="0-0">
      <formula>NOT(ISERROR(SEARCH("0-0",A30)))</formula>
    </cfRule>
  </conditionalFormatting>
  <conditionalFormatting sqref="A261">
    <cfRule type="containsText" dxfId="1808" priority="1792" operator="containsText" text="5-2">
      <formula>NOT(ISERROR(SEARCH("5-2",A261)))</formula>
    </cfRule>
    <cfRule type="containsText" dxfId="1807" priority="1793" operator="containsText" text="0-5">
      <formula>NOT(ISERROR(SEARCH("0-5",A261)))</formula>
    </cfRule>
    <cfRule type="containsText" dxfId="1806" priority="1794" operator="containsText" text="3-4">
      <formula>NOT(ISERROR(SEARCH("3-4",A261)))</formula>
    </cfRule>
    <cfRule type="containsText" dxfId="1805" priority="1795" operator="containsText" text="4-0">
      <formula>NOT(ISERROR(SEARCH("4-0",A261)))</formula>
    </cfRule>
    <cfRule type="containsText" dxfId="1804" priority="1796" operator="containsText" text="2-4">
      <formula>NOT(ISERROR(SEARCH("2-4",A261)))</formula>
    </cfRule>
    <cfRule type="containsText" dxfId="1803" priority="1797" operator="containsText" text="5-0">
      <formula>NOT(ISERROR(SEARCH("5-0",A261)))</formula>
    </cfRule>
    <cfRule type="containsText" dxfId="1802" priority="1798" operator="containsText" text="4-3">
      <formula>NOT(ISERROR(SEARCH("4-3",A261)))</formula>
    </cfRule>
    <cfRule type="containsText" dxfId="1801" priority="1799" operator="containsText" text="6-0">
      <formula>NOT(ISERROR(SEARCH("6-0",A261)))</formula>
    </cfRule>
    <cfRule type="containsText" dxfId="1800" priority="1800" operator="containsText" text="6-0">
      <formula>NOT(ISERROR(SEARCH("6-0",A261)))</formula>
    </cfRule>
    <cfRule type="containsText" dxfId="1799" priority="1801" operator="containsText" text="5-1">
      <formula>NOT(ISERROR(SEARCH("5-1",A261)))</formula>
    </cfRule>
    <cfRule type="containsText" dxfId="1798" priority="1802" operator="containsText" text="1-4">
      <formula>NOT(ISERROR(SEARCH("1-4",A261)))</formula>
    </cfRule>
    <cfRule type="containsText" dxfId="1797" priority="1803" operator="containsText" text="0-4">
      <formula>NOT(ISERROR(SEARCH("0-4",A261)))</formula>
    </cfRule>
    <cfRule type="containsText" dxfId="1796" priority="1804" operator="containsText" text="2-3">
      <formula>NOT(ISERROR(SEARCH("2-3",A261)))</formula>
    </cfRule>
    <cfRule type="containsText" dxfId="1795" priority="1805" operator="containsText" text="1-3">
      <formula>NOT(ISERROR(SEARCH("1-3",A261)))</formula>
    </cfRule>
    <cfRule type="containsText" dxfId="1794" priority="1806" operator="containsText" text="0-3">
      <formula>NOT(ISERROR(SEARCH("0-3",A261)))</formula>
    </cfRule>
    <cfRule type="containsText" dxfId="1793" priority="1807" operator="containsText" text="1-2">
      <formula>NOT(ISERROR(SEARCH("1-2",A261)))</formula>
    </cfRule>
    <cfRule type="containsText" dxfId="1792" priority="1808" operator="containsText" text="0-2">
      <formula>NOT(ISERROR(SEARCH("0-2",A261)))</formula>
    </cfRule>
    <cfRule type="containsText" dxfId="1791" priority="1809" operator="containsText" text="0-1">
      <formula>NOT(ISERROR(SEARCH("0-1",A261)))</formula>
    </cfRule>
    <cfRule type="containsText" dxfId="1790" priority="1810" operator="containsText" text="4-2">
      <formula>NOT(ISERROR(SEARCH("4-2",A261)))</formula>
    </cfRule>
    <cfRule type="containsText" dxfId="1789" priority="1811" operator="containsText" text="4-1">
      <formula>NOT(ISERROR(SEARCH("4-1",A261)))</formula>
    </cfRule>
    <cfRule type="containsText" dxfId="1788" priority="1812" operator="containsText" text="3-2">
      <formula>NOT(ISERROR(SEARCH("3-2",A261)))</formula>
    </cfRule>
    <cfRule type="containsText" dxfId="1787" priority="1813" operator="containsText" text="3-1">
      <formula>NOT(ISERROR(SEARCH("3-1",A261)))</formula>
    </cfRule>
    <cfRule type="containsText" dxfId="1786" priority="1814" operator="containsText" text="3-0">
      <formula>NOT(ISERROR(SEARCH("3-0",A261)))</formula>
    </cfRule>
    <cfRule type="containsText" dxfId="1785" priority="1815" operator="containsText" text="2-1">
      <formula>NOT(ISERROR(SEARCH("2-1",A261)))</formula>
    </cfRule>
    <cfRule type="containsText" dxfId="1784" priority="1816" operator="containsText" text="2-0">
      <formula>NOT(ISERROR(SEARCH("2-0",A261)))</formula>
    </cfRule>
    <cfRule type="containsText" dxfId="1783" priority="1817" operator="containsText" text="1-0">
      <formula>NOT(ISERROR(SEARCH("1-0",A261)))</formula>
    </cfRule>
    <cfRule type="containsText" dxfId="1782" priority="1818" operator="containsText" text="4-4">
      <formula>NOT(ISERROR(SEARCH("4-4",A261)))</formula>
    </cfRule>
    <cfRule type="containsText" dxfId="1781" priority="1819" operator="containsText" text="3-3">
      <formula>NOT(ISERROR(SEARCH("3-3",A261)))</formula>
    </cfRule>
    <cfRule type="containsText" dxfId="1780" priority="1820" operator="containsText" text="2-2">
      <formula>NOT(ISERROR(SEARCH("2-2",A261)))</formula>
    </cfRule>
    <cfRule type="containsText" dxfId="1779" priority="1821" operator="containsText" text="1-1">
      <formula>NOT(ISERROR(SEARCH("1-1",A261)))</formula>
    </cfRule>
    <cfRule type="containsText" dxfId="1778" priority="1822" operator="containsText" text="0-0">
      <formula>NOT(ISERROR(SEARCH("0-0",A261)))</formula>
    </cfRule>
  </conditionalFormatting>
  <conditionalFormatting sqref="A262">
    <cfRule type="containsText" dxfId="1777" priority="1823" operator="containsText" text="5-2">
      <formula>NOT(ISERROR(SEARCH("5-2",A262)))</formula>
    </cfRule>
    <cfRule type="containsText" dxfId="1776" priority="1824" operator="containsText" text="0-5">
      <formula>NOT(ISERROR(SEARCH("0-5",A262)))</formula>
    </cfRule>
    <cfRule type="containsText" dxfId="1775" priority="1825" operator="containsText" text="3-4">
      <formula>NOT(ISERROR(SEARCH("3-4",A262)))</formula>
    </cfRule>
    <cfRule type="containsText" dxfId="1774" priority="1826" operator="containsText" text="4-0">
      <formula>NOT(ISERROR(SEARCH("4-0",A262)))</formula>
    </cfRule>
    <cfRule type="containsText" dxfId="1773" priority="1827" operator="containsText" text="2-4">
      <formula>NOT(ISERROR(SEARCH("2-4",A262)))</formula>
    </cfRule>
    <cfRule type="containsText" dxfId="1772" priority="1828" operator="containsText" text="5-0">
      <formula>NOT(ISERROR(SEARCH("5-0",A262)))</formula>
    </cfRule>
    <cfRule type="containsText" dxfId="1771" priority="1829" operator="containsText" text="4-3">
      <formula>NOT(ISERROR(SEARCH("4-3",A262)))</formula>
    </cfRule>
    <cfRule type="containsText" dxfId="1770" priority="1830" operator="containsText" text="6-0">
      <formula>NOT(ISERROR(SEARCH("6-0",A262)))</formula>
    </cfRule>
    <cfRule type="containsText" dxfId="1769" priority="1831" operator="containsText" text="6-0">
      <formula>NOT(ISERROR(SEARCH("6-0",A262)))</formula>
    </cfRule>
    <cfRule type="containsText" dxfId="1768" priority="1832" operator="containsText" text="5-1">
      <formula>NOT(ISERROR(SEARCH("5-1",A262)))</formula>
    </cfRule>
    <cfRule type="containsText" dxfId="1767" priority="1833" operator="containsText" text="1-4">
      <formula>NOT(ISERROR(SEARCH("1-4",A262)))</formula>
    </cfRule>
    <cfRule type="containsText" dxfId="1766" priority="1834" operator="containsText" text="0-4">
      <formula>NOT(ISERROR(SEARCH("0-4",A262)))</formula>
    </cfRule>
    <cfRule type="containsText" dxfId="1765" priority="1835" operator="containsText" text="2-3">
      <formula>NOT(ISERROR(SEARCH("2-3",A262)))</formula>
    </cfRule>
    <cfRule type="containsText" dxfId="1764" priority="1836" operator="containsText" text="1-3">
      <formula>NOT(ISERROR(SEARCH("1-3",A262)))</formula>
    </cfRule>
    <cfRule type="containsText" dxfId="1763" priority="1837" operator="containsText" text="0-3">
      <formula>NOT(ISERROR(SEARCH("0-3",A262)))</formula>
    </cfRule>
    <cfRule type="containsText" dxfId="1762" priority="1838" operator="containsText" text="1-2">
      <formula>NOT(ISERROR(SEARCH("1-2",A262)))</formula>
    </cfRule>
    <cfRule type="containsText" dxfId="1761" priority="1839" operator="containsText" text="0-2">
      <formula>NOT(ISERROR(SEARCH("0-2",A262)))</formula>
    </cfRule>
    <cfRule type="containsText" dxfId="1760" priority="1840" operator="containsText" text="0-1">
      <formula>NOT(ISERROR(SEARCH("0-1",A262)))</formula>
    </cfRule>
    <cfRule type="containsText" dxfId="1759" priority="1841" operator="containsText" text="4-2">
      <formula>NOT(ISERROR(SEARCH("4-2",A262)))</formula>
    </cfRule>
    <cfRule type="containsText" dxfId="1758" priority="1842" operator="containsText" text="4-1">
      <formula>NOT(ISERROR(SEARCH("4-1",A262)))</formula>
    </cfRule>
    <cfRule type="containsText" dxfId="1757" priority="1843" operator="containsText" text="3-2">
      <formula>NOT(ISERROR(SEARCH("3-2",A262)))</formula>
    </cfRule>
    <cfRule type="containsText" dxfId="1756" priority="1844" operator="containsText" text="3-1">
      <formula>NOT(ISERROR(SEARCH("3-1",A262)))</formula>
    </cfRule>
    <cfRule type="containsText" dxfId="1755" priority="1845" operator="containsText" text="3-0">
      <formula>NOT(ISERROR(SEARCH("3-0",A262)))</formula>
    </cfRule>
    <cfRule type="containsText" dxfId="1754" priority="1846" operator="containsText" text="2-1">
      <formula>NOT(ISERROR(SEARCH("2-1",A262)))</formula>
    </cfRule>
    <cfRule type="containsText" dxfId="1753" priority="1847" operator="containsText" text="2-0">
      <formula>NOT(ISERROR(SEARCH("2-0",A262)))</formula>
    </cfRule>
    <cfRule type="containsText" dxfId="1752" priority="1848" operator="containsText" text="1-0">
      <formula>NOT(ISERROR(SEARCH("1-0",A262)))</formula>
    </cfRule>
    <cfRule type="containsText" dxfId="1751" priority="1849" operator="containsText" text="4-4">
      <formula>NOT(ISERROR(SEARCH("4-4",A262)))</formula>
    </cfRule>
    <cfRule type="containsText" dxfId="1750" priority="1850" operator="containsText" text="3-3">
      <formula>NOT(ISERROR(SEARCH("3-3",A262)))</formula>
    </cfRule>
    <cfRule type="containsText" dxfId="1749" priority="1851" operator="containsText" text="2-2">
      <formula>NOT(ISERROR(SEARCH("2-2",A262)))</formula>
    </cfRule>
    <cfRule type="containsText" dxfId="1748" priority="1852" operator="containsText" text="1-1">
      <formula>NOT(ISERROR(SEARCH("1-1",A262)))</formula>
    </cfRule>
    <cfRule type="containsText" dxfId="1747" priority="1853" operator="containsText" text="0-0">
      <formula>NOT(ISERROR(SEARCH("0-0",A262)))</formula>
    </cfRule>
  </conditionalFormatting>
  <conditionalFormatting sqref="A263">
    <cfRule type="containsText" dxfId="1746" priority="1885" operator="containsText" text="5-2">
      <formula>NOT(ISERROR(SEARCH("5-2",A263)))</formula>
    </cfRule>
    <cfRule type="containsText" dxfId="1745" priority="1886" operator="containsText" text="0-5">
      <formula>NOT(ISERROR(SEARCH("0-5",A263)))</formula>
    </cfRule>
    <cfRule type="containsText" dxfId="1744" priority="1887" operator="containsText" text="3-4">
      <formula>NOT(ISERROR(SEARCH("3-4",A263)))</formula>
    </cfRule>
    <cfRule type="containsText" dxfId="1743" priority="1888" operator="containsText" text="4-0">
      <formula>NOT(ISERROR(SEARCH("4-0",A263)))</formula>
    </cfRule>
    <cfRule type="containsText" dxfId="1742" priority="1889" operator="containsText" text="2-4">
      <formula>NOT(ISERROR(SEARCH("2-4",A263)))</formula>
    </cfRule>
    <cfRule type="containsText" dxfId="1741" priority="1890" operator="containsText" text="5-0">
      <formula>NOT(ISERROR(SEARCH("5-0",A263)))</formula>
    </cfRule>
    <cfRule type="containsText" dxfId="1740" priority="1891" operator="containsText" text="4-3">
      <formula>NOT(ISERROR(SEARCH("4-3",A263)))</formula>
    </cfRule>
    <cfRule type="containsText" dxfId="1739" priority="1892" operator="containsText" text="6-0">
      <formula>NOT(ISERROR(SEARCH("6-0",A263)))</formula>
    </cfRule>
    <cfRule type="containsText" dxfId="1738" priority="1893" operator="containsText" text="6-0">
      <formula>NOT(ISERROR(SEARCH("6-0",A263)))</formula>
    </cfRule>
    <cfRule type="containsText" dxfId="1737" priority="1894" operator="containsText" text="5-1">
      <formula>NOT(ISERROR(SEARCH("5-1",A263)))</formula>
    </cfRule>
    <cfRule type="containsText" dxfId="1736" priority="1895" operator="containsText" text="1-4">
      <formula>NOT(ISERROR(SEARCH("1-4",A263)))</formula>
    </cfRule>
    <cfRule type="containsText" dxfId="1735" priority="1896" operator="containsText" text="0-4">
      <formula>NOT(ISERROR(SEARCH("0-4",A263)))</formula>
    </cfRule>
    <cfRule type="containsText" dxfId="1734" priority="1897" operator="containsText" text="2-3">
      <formula>NOT(ISERROR(SEARCH("2-3",A263)))</formula>
    </cfRule>
    <cfRule type="containsText" dxfId="1733" priority="1898" operator="containsText" text="1-3">
      <formula>NOT(ISERROR(SEARCH("1-3",A263)))</formula>
    </cfRule>
    <cfRule type="containsText" dxfId="1732" priority="1899" operator="containsText" text="0-3">
      <formula>NOT(ISERROR(SEARCH("0-3",A263)))</formula>
    </cfRule>
    <cfRule type="containsText" dxfId="1731" priority="1900" operator="containsText" text="1-2">
      <formula>NOT(ISERROR(SEARCH("1-2",A263)))</formula>
    </cfRule>
    <cfRule type="containsText" dxfId="1730" priority="1901" operator="containsText" text="0-2">
      <formula>NOT(ISERROR(SEARCH("0-2",A263)))</formula>
    </cfRule>
    <cfRule type="containsText" dxfId="1729" priority="1902" operator="containsText" text="0-1">
      <formula>NOT(ISERROR(SEARCH("0-1",A263)))</formula>
    </cfRule>
    <cfRule type="containsText" dxfId="1728" priority="1903" operator="containsText" text="4-2">
      <formula>NOT(ISERROR(SEARCH("4-2",A263)))</formula>
    </cfRule>
    <cfRule type="containsText" dxfId="1727" priority="1904" operator="containsText" text="4-1">
      <formula>NOT(ISERROR(SEARCH("4-1",A263)))</formula>
    </cfRule>
    <cfRule type="containsText" dxfId="1726" priority="1905" operator="containsText" text="3-2">
      <formula>NOT(ISERROR(SEARCH("3-2",A263)))</formula>
    </cfRule>
    <cfRule type="containsText" dxfId="1725" priority="1906" operator="containsText" text="3-1">
      <formula>NOT(ISERROR(SEARCH("3-1",A263)))</formula>
    </cfRule>
    <cfRule type="containsText" dxfId="1724" priority="1907" operator="containsText" text="3-0">
      <formula>NOT(ISERROR(SEARCH("3-0",A263)))</formula>
    </cfRule>
    <cfRule type="containsText" dxfId="1723" priority="1908" operator="containsText" text="2-1">
      <formula>NOT(ISERROR(SEARCH("2-1",A263)))</formula>
    </cfRule>
    <cfRule type="containsText" dxfId="1722" priority="1909" operator="containsText" text="2-0">
      <formula>NOT(ISERROR(SEARCH("2-0",A263)))</formula>
    </cfRule>
    <cfRule type="containsText" dxfId="1721" priority="1910" operator="containsText" text="1-0">
      <formula>NOT(ISERROR(SEARCH("1-0",A263)))</formula>
    </cfRule>
    <cfRule type="containsText" dxfId="1720" priority="1911" operator="containsText" text="4-4">
      <formula>NOT(ISERROR(SEARCH("4-4",A263)))</formula>
    </cfRule>
    <cfRule type="containsText" dxfId="1719" priority="1912" operator="containsText" text="3-3">
      <formula>NOT(ISERROR(SEARCH("3-3",A263)))</formula>
    </cfRule>
    <cfRule type="containsText" dxfId="1718" priority="1913" operator="containsText" text="2-2">
      <formula>NOT(ISERROR(SEARCH("2-2",A263)))</formula>
    </cfRule>
    <cfRule type="containsText" dxfId="1717" priority="1914" operator="containsText" text="1-1">
      <formula>NOT(ISERROR(SEARCH("1-1",A263)))</formula>
    </cfRule>
    <cfRule type="containsText" dxfId="1716" priority="1915" operator="containsText" text="0-0">
      <formula>NOT(ISERROR(SEARCH("0-0",A263)))</formula>
    </cfRule>
  </conditionalFormatting>
  <conditionalFormatting sqref="A264">
    <cfRule type="containsText" dxfId="1715" priority="1854" operator="containsText" text="5-2">
      <formula>NOT(ISERROR(SEARCH("5-2",A264)))</formula>
    </cfRule>
    <cfRule type="containsText" dxfId="1714" priority="1855" operator="containsText" text="0-5">
      <formula>NOT(ISERROR(SEARCH("0-5",A264)))</formula>
    </cfRule>
    <cfRule type="containsText" dxfId="1713" priority="1856" operator="containsText" text="3-4">
      <formula>NOT(ISERROR(SEARCH("3-4",A264)))</formula>
    </cfRule>
    <cfRule type="containsText" dxfId="1712" priority="1857" operator="containsText" text="4-0">
      <formula>NOT(ISERROR(SEARCH("4-0",A264)))</formula>
    </cfRule>
    <cfRule type="containsText" dxfId="1711" priority="1858" operator="containsText" text="2-4">
      <formula>NOT(ISERROR(SEARCH("2-4",A264)))</formula>
    </cfRule>
    <cfRule type="containsText" dxfId="1710" priority="1859" operator="containsText" text="5-0">
      <formula>NOT(ISERROR(SEARCH("5-0",A264)))</formula>
    </cfRule>
    <cfRule type="containsText" dxfId="1709" priority="1860" operator="containsText" text="4-3">
      <formula>NOT(ISERROR(SEARCH("4-3",A264)))</formula>
    </cfRule>
    <cfRule type="containsText" dxfId="1708" priority="1861" operator="containsText" text="6-0">
      <formula>NOT(ISERROR(SEARCH("6-0",A264)))</formula>
    </cfRule>
    <cfRule type="containsText" dxfId="1707" priority="1862" operator="containsText" text="6-0">
      <formula>NOT(ISERROR(SEARCH("6-0",A264)))</formula>
    </cfRule>
    <cfRule type="containsText" dxfId="1706" priority="1863" operator="containsText" text="5-1">
      <formula>NOT(ISERROR(SEARCH("5-1",A264)))</formula>
    </cfRule>
    <cfRule type="containsText" dxfId="1705" priority="1864" operator="containsText" text="1-4">
      <formula>NOT(ISERROR(SEARCH("1-4",A264)))</formula>
    </cfRule>
    <cfRule type="containsText" dxfId="1704" priority="1865" operator="containsText" text="0-4">
      <formula>NOT(ISERROR(SEARCH("0-4",A264)))</formula>
    </cfRule>
    <cfRule type="containsText" dxfId="1703" priority="1866" operator="containsText" text="2-3">
      <formula>NOT(ISERROR(SEARCH("2-3",A264)))</formula>
    </cfRule>
    <cfRule type="containsText" dxfId="1702" priority="1867" operator="containsText" text="1-3">
      <formula>NOT(ISERROR(SEARCH("1-3",A264)))</formula>
    </cfRule>
    <cfRule type="containsText" dxfId="1701" priority="1868" operator="containsText" text="0-3">
      <formula>NOT(ISERROR(SEARCH("0-3",A264)))</formula>
    </cfRule>
    <cfRule type="containsText" dxfId="1700" priority="1869" operator="containsText" text="1-2">
      <formula>NOT(ISERROR(SEARCH("1-2",A264)))</formula>
    </cfRule>
    <cfRule type="containsText" dxfId="1699" priority="1870" operator="containsText" text="0-2">
      <formula>NOT(ISERROR(SEARCH("0-2",A264)))</formula>
    </cfRule>
    <cfRule type="containsText" dxfId="1698" priority="1871" operator="containsText" text="0-1">
      <formula>NOT(ISERROR(SEARCH("0-1",A264)))</formula>
    </cfRule>
    <cfRule type="containsText" dxfId="1697" priority="1872" operator="containsText" text="4-2">
      <formula>NOT(ISERROR(SEARCH("4-2",A264)))</formula>
    </cfRule>
    <cfRule type="containsText" dxfId="1696" priority="1873" operator="containsText" text="4-1">
      <formula>NOT(ISERROR(SEARCH("4-1",A264)))</formula>
    </cfRule>
    <cfRule type="containsText" dxfId="1695" priority="1874" operator="containsText" text="3-2">
      <formula>NOT(ISERROR(SEARCH("3-2",A264)))</formula>
    </cfRule>
    <cfRule type="containsText" dxfId="1694" priority="1875" operator="containsText" text="3-1">
      <formula>NOT(ISERROR(SEARCH("3-1",A264)))</formula>
    </cfRule>
    <cfRule type="containsText" dxfId="1693" priority="1876" operator="containsText" text="3-0">
      <formula>NOT(ISERROR(SEARCH("3-0",A264)))</formula>
    </cfRule>
    <cfRule type="containsText" dxfId="1692" priority="1877" operator="containsText" text="2-1">
      <formula>NOT(ISERROR(SEARCH("2-1",A264)))</formula>
    </cfRule>
    <cfRule type="containsText" dxfId="1691" priority="1878" operator="containsText" text="2-0">
      <formula>NOT(ISERROR(SEARCH("2-0",A264)))</formula>
    </cfRule>
    <cfRule type="containsText" dxfId="1690" priority="1879" operator="containsText" text="1-0">
      <formula>NOT(ISERROR(SEARCH("1-0",A264)))</formula>
    </cfRule>
    <cfRule type="containsText" dxfId="1689" priority="1880" operator="containsText" text="4-4">
      <formula>NOT(ISERROR(SEARCH("4-4",A264)))</formula>
    </cfRule>
    <cfRule type="containsText" dxfId="1688" priority="1881" operator="containsText" text="3-3">
      <formula>NOT(ISERROR(SEARCH("3-3",A264)))</formula>
    </cfRule>
    <cfRule type="containsText" dxfId="1687" priority="1882" operator="containsText" text="2-2">
      <formula>NOT(ISERROR(SEARCH("2-2",A264)))</formula>
    </cfRule>
    <cfRule type="containsText" dxfId="1686" priority="1883" operator="containsText" text="1-1">
      <formula>NOT(ISERROR(SEARCH("1-1",A264)))</formula>
    </cfRule>
    <cfRule type="containsText" dxfId="1685" priority="1884" operator="containsText" text="0-0">
      <formula>NOT(ISERROR(SEARCH("0-0",A264)))</formula>
    </cfRule>
  </conditionalFormatting>
  <conditionalFormatting sqref="A277">
    <cfRule type="containsText" dxfId="1684" priority="644" operator="containsText" text="5-2">
      <formula>NOT(ISERROR(SEARCH("5-2",A277)))</formula>
    </cfRule>
    <cfRule type="containsText" dxfId="1683" priority="645" operator="containsText" text="0-5">
      <formula>NOT(ISERROR(SEARCH("0-5",A277)))</formula>
    </cfRule>
    <cfRule type="containsText" dxfId="1682" priority="646" operator="containsText" text="3-4">
      <formula>NOT(ISERROR(SEARCH("3-4",A277)))</formula>
    </cfRule>
    <cfRule type="containsText" dxfId="1681" priority="647" operator="containsText" text="4-0">
      <formula>NOT(ISERROR(SEARCH("4-0",A277)))</formula>
    </cfRule>
    <cfRule type="containsText" dxfId="1680" priority="648" operator="containsText" text="2-4">
      <formula>NOT(ISERROR(SEARCH("2-4",A277)))</formula>
    </cfRule>
    <cfRule type="containsText" dxfId="1679" priority="649" operator="containsText" text="5-0">
      <formula>NOT(ISERROR(SEARCH("5-0",A277)))</formula>
    </cfRule>
    <cfRule type="containsText" dxfId="1678" priority="650" operator="containsText" text="4-3">
      <formula>NOT(ISERROR(SEARCH("4-3",A277)))</formula>
    </cfRule>
    <cfRule type="containsText" dxfId="1677" priority="651" operator="containsText" text="6-0">
      <formula>NOT(ISERROR(SEARCH("6-0",A277)))</formula>
    </cfRule>
    <cfRule type="containsText" dxfId="1676" priority="652" operator="containsText" text="6-0">
      <formula>NOT(ISERROR(SEARCH("6-0",A277)))</formula>
    </cfRule>
    <cfRule type="containsText" dxfId="1675" priority="653" operator="containsText" text="5-1">
      <formula>NOT(ISERROR(SEARCH("5-1",A277)))</formula>
    </cfRule>
    <cfRule type="containsText" dxfId="1674" priority="654" operator="containsText" text="1-4">
      <formula>NOT(ISERROR(SEARCH("1-4",A277)))</formula>
    </cfRule>
    <cfRule type="containsText" dxfId="1673" priority="655" operator="containsText" text="0-4">
      <formula>NOT(ISERROR(SEARCH("0-4",A277)))</formula>
    </cfRule>
    <cfRule type="containsText" dxfId="1672" priority="656" operator="containsText" text="2-3">
      <formula>NOT(ISERROR(SEARCH("2-3",A277)))</formula>
    </cfRule>
    <cfRule type="containsText" dxfId="1671" priority="657" operator="containsText" text="1-3">
      <formula>NOT(ISERROR(SEARCH("1-3",A277)))</formula>
    </cfRule>
    <cfRule type="containsText" dxfId="1670" priority="658" operator="containsText" text="0-3">
      <formula>NOT(ISERROR(SEARCH("0-3",A277)))</formula>
    </cfRule>
    <cfRule type="containsText" dxfId="1669" priority="659" operator="containsText" text="1-2">
      <formula>NOT(ISERROR(SEARCH("1-2",A277)))</formula>
    </cfRule>
    <cfRule type="containsText" dxfId="1668" priority="660" operator="containsText" text="0-2">
      <formula>NOT(ISERROR(SEARCH("0-2",A277)))</formula>
    </cfRule>
    <cfRule type="containsText" dxfId="1667" priority="661" operator="containsText" text="0-1">
      <formula>NOT(ISERROR(SEARCH("0-1",A277)))</formula>
    </cfRule>
    <cfRule type="containsText" dxfId="1666" priority="662" operator="containsText" text="4-2">
      <formula>NOT(ISERROR(SEARCH("4-2",A277)))</formula>
    </cfRule>
    <cfRule type="containsText" dxfId="1665" priority="663" operator="containsText" text="4-1">
      <formula>NOT(ISERROR(SEARCH("4-1",A277)))</formula>
    </cfRule>
    <cfRule type="containsText" dxfId="1664" priority="664" operator="containsText" text="3-2">
      <formula>NOT(ISERROR(SEARCH("3-2",A277)))</formula>
    </cfRule>
    <cfRule type="containsText" dxfId="1663" priority="665" operator="containsText" text="3-1">
      <formula>NOT(ISERROR(SEARCH("3-1",A277)))</formula>
    </cfRule>
    <cfRule type="containsText" dxfId="1662" priority="666" operator="containsText" text="3-0">
      <formula>NOT(ISERROR(SEARCH("3-0",A277)))</formula>
    </cfRule>
    <cfRule type="containsText" dxfId="1661" priority="667" operator="containsText" text="2-1">
      <formula>NOT(ISERROR(SEARCH("2-1",A277)))</formula>
    </cfRule>
    <cfRule type="containsText" dxfId="1660" priority="668" operator="containsText" text="2-0">
      <formula>NOT(ISERROR(SEARCH("2-0",A277)))</formula>
    </cfRule>
    <cfRule type="containsText" dxfId="1659" priority="669" operator="containsText" text="1-0">
      <formula>NOT(ISERROR(SEARCH("1-0",A277)))</formula>
    </cfRule>
    <cfRule type="containsText" dxfId="1658" priority="670" operator="containsText" text="4-4">
      <formula>NOT(ISERROR(SEARCH("4-4",A277)))</formula>
    </cfRule>
    <cfRule type="containsText" dxfId="1657" priority="671" operator="containsText" text="3-3">
      <formula>NOT(ISERROR(SEARCH("3-3",A277)))</formula>
    </cfRule>
    <cfRule type="containsText" dxfId="1656" priority="672" operator="containsText" text="2-2">
      <formula>NOT(ISERROR(SEARCH("2-2",A277)))</formula>
    </cfRule>
    <cfRule type="containsText" dxfId="1655" priority="673" operator="containsText" text="1-1">
      <formula>NOT(ISERROR(SEARCH("1-1",A277)))</formula>
    </cfRule>
    <cfRule type="containsText" dxfId="1654" priority="674" operator="containsText" text="0-0">
      <formula>NOT(ISERROR(SEARCH("0-0",A277)))</formula>
    </cfRule>
  </conditionalFormatting>
  <conditionalFormatting sqref="A472">
    <cfRule type="containsText" dxfId="1653" priority="1728" operator="containsText" text="5-2">
      <formula>NOT(ISERROR(SEARCH("5-2",A472)))</formula>
    </cfRule>
    <cfRule type="containsText" dxfId="1652" priority="1729" operator="containsText" text="0-5">
      <formula>NOT(ISERROR(SEARCH("0-5",A472)))</formula>
    </cfRule>
    <cfRule type="containsText" dxfId="1651" priority="1730" operator="containsText" text="3-4">
      <formula>NOT(ISERROR(SEARCH("3-4",A472)))</formula>
    </cfRule>
    <cfRule type="containsText" dxfId="1650" priority="1731" operator="containsText" text="4-0">
      <formula>NOT(ISERROR(SEARCH("4-0",A472)))</formula>
    </cfRule>
    <cfRule type="containsText" dxfId="1649" priority="1732" operator="containsText" text="2-4">
      <formula>NOT(ISERROR(SEARCH("2-4",A472)))</formula>
    </cfRule>
    <cfRule type="containsText" dxfId="1648" priority="1733" operator="containsText" text="5-0">
      <formula>NOT(ISERROR(SEARCH("5-0",A472)))</formula>
    </cfRule>
    <cfRule type="containsText" dxfId="1647" priority="1734" operator="containsText" text="4-3">
      <formula>NOT(ISERROR(SEARCH("4-3",A472)))</formula>
    </cfRule>
    <cfRule type="containsText" dxfId="1646" priority="1735" operator="containsText" text="6-0">
      <formula>NOT(ISERROR(SEARCH("6-0",A472)))</formula>
    </cfRule>
    <cfRule type="containsText" dxfId="1645" priority="1736" operator="containsText" text="6-0">
      <formula>NOT(ISERROR(SEARCH("6-0",A472)))</formula>
    </cfRule>
    <cfRule type="containsText" dxfId="1644" priority="1737" operator="containsText" text="5-1">
      <formula>NOT(ISERROR(SEARCH("5-1",A472)))</formula>
    </cfRule>
    <cfRule type="containsText" dxfId="1643" priority="1738" operator="containsText" text="1-4">
      <formula>NOT(ISERROR(SEARCH("1-4",A472)))</formula>
    </cfRule>
    <cfRule type="containsText" dxfId="1642" priority="1739" operator="containsText" text="0-4">
      <formula>NOT(ISERROR(SEARCH("0-4",A472)))</formula>
    </cfRule>
    <cfRule type="containsText" dxfId="1641" priority="1740" operator="containsText" text="2-3">
      <formula>NOT(ISERROR(SEARCH("2-3",A472)))</formula>
    </cfRule>
    <cfRule type="containsText" dxfId="1640" priority="1741" operator="containsText" text="1-3">
      <formula>NOT(ISERROR(SEARCH("1-3",A472)))</formula>
    </cfRule>
    <cfRule type="containsText" dxfId="1639" priority="1742" operator="containsText" text="0-3">
      <formula>NOT(ISERROR(SEARCH("0-3",A472)))</formula>
    </cfRule>
    <cfRule type="containsText" dxfId="1638" priority="1743" operator="containsText" text="1-2">
      <formula>NOT(ISERROR(SEARCH("1-2",A472)))</formula>
    </cfRule>
    <cfRule type="containsText" dxfId="1637" priority="1744" operator="containsText" text="0-2">
      <formula>NOT(ISERROR(SEARCH("0-2",A472)))</formula>
    </cfRule>
    <cfRule type="containsText" dxfId="1636" priority="1745" operator="containsText" text="0-1">
      <formula>NOT(ISERROR(SEARCH("0-1",A472)))</formula>
    </cfRule>
    <cfRule type="containsText" dxfId="1635" priority="1746" operator="containsText" text="4-2">
      <formula>NOT(ISERROR(SEARCH("4-2",A472)))</formula>
    </cfRule>
    <cfRule type="containsText" dxfId="1634" priority="1747" operator="containsText" text="4-1">
      <formula>NOT(ISERROR(SEARCH("4-1",A472)))</formula>
    </cfRule>
    <cfRule type="containsText" dxfId="1633" priority="1748" operator="containsText" text="3-2">
      <formula>NOT(ISERROR(SEARCH("3-2",A472)))</formula>
    </cfRule>
    <cfRule type="containsText" dxfId="1632" priority="1749" operator="containsText" text="3-1">
      <formula>NOT(ISERROR(SEARCH("3-1",A472)))</formula>
    </cfRule>
    <cfRule type="containsText" dxfId="1631" priority="1750" operator="containsText" text="3-0">
      <formula>NOT(ISERROR(SEARCH("3-0",A472)))</formula>
    </cfRule>
    <cfRule type="containsText" dxfId="1630" priority="1751" operator="containsText" text="2-1">
      <formula>NOT(ISERROR(SEARCH("2-1",A472)))</formula>
    </cfRule>
    <cfRule type="containsText" dxfId="1629" priority="1752" operator="containsText" text="2-0">
      <formula>NOT(ISERROR(SEARCH("2-0",A472)))</formula>
    </cfRule>
    <cfRule type="containsText" dxfId="1628" priority="1753" operator="containsText" text="1-0">
      <formula>NOT(ISERROR(SEARCH("1-0",A472)))</formula>
    </cfRule>
    <cfRule type="containsText" dxfId="1627" priority="1754" operator="containsText" text="4-4">
      <formula>NOT(ISERROR(SEARCH("4-4",A472)))</formula>
    </cfRule>
    <cfRule type="containsText" dxfId="1626" priority="1755" operator="containsText" text="3-3">
      <formula>NOT(ISERROR(SEARCH("3-3",A472)))</formula>
    </cfRule>
    <cfRule type="containsText" dxfId="1625" priority="1756" operator="containsText" text="2-2">
      <formula>NOT(ISERROR(SEARCH("2-2",A472)))</formula>
    </cfRule>
    <cfRule type="containsText" dxfId="1624" priority="1757" operator="containsText" text="1-1">
      <formula>NOT(ISERROR(SEARCH("1-1",A472)))</formula>
    </cfRule>
    <cfRule type="containsText" dxfId="1623" priority="1758" operator="containsText" text="0-0">
      <formula>NOT(ISERROR(SEARCH("0-0",A472)))</formula>
    </cfRule>
  </conditionalFormatting>
  <conditionalFormatting sqref="R472">
    <cfRule type="cellIs" dxfId="1622" priority="1559" operator="between">
      <formula>96</formula>
      <formula>140</formula>
    </cfRule>
    <cfRule type="cellIs" dxfId="1621" priority="1560" operator="between">
      <formula>85</formula>
      <formula>95</formula>
    </cfRule>
    <cfRule type="cellIs" dxfId="1620" priority="1561" operator="between">
      <formula>30</formula>
      <formula>84</formula>
    </cfRule>
  </conditionalFormatting>
  <conditionalFormatting sqref="S472">
    <cfRule type="cellIs" dxfId="1619" priority="1556" operator="between">
      <formula>96</formula>
      <formula>120</formula>
    </cfRule>
    <cfRule type="cellIs" dxfId="1618" priority="1557" operator="between">
      <formula>85</formula>
      <formula>95</formula>
    </cfRule>
    <cfRule type="cellIs" dxfId="1617" priority="1558" operator="between">
      <formula>30</formula>
      <formula>84</formula>
    </cfRule>
  </conditionalFormatting>
  <conditionalFormatting sqref="T472">
    <cfRule type="cellIs" dxfId="1616" priority="731" operator="equal">
      <formula>"模糊"</formula>
    </cfRule>
    <cfRule type="containsText" dxfId="1615" priority="732" operator="containsText" text="低一档">
      <formula>NOT(ISERROR(SEARCH("低一档",T472)))</formula>
    </cfRule>
    <cfRule type="containsText" dxfId="1614" priority="733" operator="containsText" text="高一档">
      <formula>NOT(ISERROR(SEARCH("高一档",T472)))</formula>
    </cfRule>
    <cfRule type="containsText" dxfId="1613" priority="734" operator="containsText" text="中水">
      <formula>NOT(ISERROR(SEARCH("中水",T472)))</formula>
    </cfRule>
    <cfRule type="containsText" dxfId="1612" priority="735" operator="containsText" text="高水">
      <formula>NOT(ISERROR(SEARCH("高水",T472)))</formula>
    </cfRule>
    <cfRule type="containsText" dxfId="1611" priority="736" operator="containsText" text="低水">
      <formula>NOT(ISERROR(SEARCH("低水",T472)))</formula>
    </cfRule>
  </conditionalFormatting>
  <conditionalFormatting sqref="A479">
    <cfRule type="containsText" dxfId="1610" priority="1695" operator="containsText" text="5-2">
      <formula>NOT(ISERROR(SEARCH("5-2",A479)))</formula>
    </cfRule>
    <cfRule type="containsText" dxfId="1609" priority="1696" operator="containsText" text="0-5">
      <formula>NOT(ISERROR(SEARCH("0-5",A479)))</formula>
    </cfRule>
    <cfRule type="containsText" dxfId="1608" priority="1697" operator="containsText" text="3-4">
      <formula>NOT(ISERROR(SEARCH("3-4",A479)))</formula>
    </cfRule>
    <cfRule type="containsText" dxfId="1607" priority="1698" operator="containsText" text="4-0">
      <formula>NOT(ISERROR(SEARCH("4-0",A479)))</formula>
    </cfRule>
    <cfRule type="containsText" dxfId="1606" priority="1699" operator="containsText" text="2-4">
      <formula>NOT(ISERROR(SEARCH("2-4",A479)))</formula>
    </cfRule>
    <cfRule type="containsText" dxfId="1605" priority="1700" operator="containsText" text="5-0">
      <formula>NOT(ISERROR(SEARCH("5-0",A479)))</formula>
    </cfRule>
    <cfRule type="containsText" dxfId="1604" priority="1701" operator="containsText" text="4-3">
      <formula>NOT(ISERROR(SEARCH("4-3",A479)))</formula>
    </cfRule>
    <cfRule type="containsText" dxfId="1603" priority="1702" operator="containsText" text="6-0">
      <formula>NOT(ISERROR(SEARCH("6-0",A479)))</formula>
    </cfRule>
    <cfRule type="containsText" dxfId="1602" priority="1703" operator="containsText" text="6-0">
      <formula>NOT(ISERROR(SEARCH("6-0",A479)))</formula>
    </cfRule>
    <cfRule type="containsText" dxfId="1601" priority="1704" operator="containsText" text="5-1">
      <formula>NOT(ISERROR(SEARCH("5-1",A479)))</formula>
    </cfRule>
    <cfRule type="containsText" dxfId="1600" priority="1705" operator="containsText" text="1-4">
      <formula>NOT(ISERROR(SEARCH("1-4",A479)))</formula>
    </cfRule>
    <cfRule type="containsText" dxfId="1599" priority="1706" operator="containsText" text="0-4">
      <formula>NOT(ISERROR(SEARCH("0-4",A479)))</formula>
    </cfRule>
    <cfRule type="containsText" dxfId="1598" priority="1707" operator="containsText" text="2-3">
      <formula>NOT(ISERROR(SEARCH("2-3",A479)))</formula>
    </cfRule>
    <cfRule type="containsText" dxfId="1597" priority="1708" operator="containsText" text="1-3">
      <formula>NOT(ISERROR(SEARCH("1-3",A479)))</formula>
    </cfRule>
    <cfRule type="containsText" dxfId="1596" priority="1709" operator="containsText" text="0-3">
      <formula>NOT(ISERROR(SEARCH("0-3",A479)))</formula>
    </cfRule>
    <cfRule type="containsText" dxfId="1595" priority="1710" operator="containsText" text="1-2">
      <formula>NOT(ISERROR(SEARCH("1-2",A479)))</formula>
    </cfRule>
    <cfRule type="containsText" dxfId="1594" priority="1711" operator="containsText" text="0-2">
      <formula>NOT(ISERROR(SEARCH("0-2",A479)))</formula>
    </cfRule>
    <cfRule type="containsText" dxfId="1593" priority="1712" operator="containsText" text="0-1">
      <formula>NOT(ISERROR(SEARCH("0-1",A479)))</formula>
    </cfRule>
    <cfRule type="containsText" dxfId="1592" priority="1713" operator="containsText" text="4-2">
      <formula>NOT(ISERROR(SEARCH("4-2",A479)))</formula>
    </cfRule>
    <cfRule type="containsText" dxfId="1591" priority="1714" operator="containsText" text="4-1">
      <formula>NOT(ISERROR(SEARCH("4-1",A479)))</formula>
    </cfRule>
    <cfRule type="containsText" dxfId="1590" priority="1715" operator="containsText" text="3-2">
      <formula>NOT(ISERROR(SEARCH("3-2",A479)))</formula>
    </cfRule>
    <cfRule type="containsText" dxfId="1589" priority="1716" operator="containsText" text="3-1">
      <formula>NOT(ISERROR(SEARCH("3-1",A479)))</formula>
    </cfRule>
    <cfRule type="containsText" dxfId="1588" priority="1717" operator="containsText" text="3-0">
      <formula>NOT(ISERROR(SEARCH("3-0",A479)))</formula>
    </cfRule>
    <cfRule type="containsText" dxfId="1587" priority="1718" operator="containsText" text="2-1">
      <formula>NOT(ISERROR(SEARCH("2-1",A479)))</formula>
    </cfRule>
    <cfRule type="containsText" dxfId="1586" priority="1719" operator="containsText" text="2-0">
      <formula>NOT(ISERROR(SEARCH("2-0",A479)))</formula>
    </cfRule>
    <cfRule type="containsText" dxfId="1585" priority="1720" operator="containsText" text="1-0">
      <formula>NOT(ISERROR(SEARCH("1-0",A479)))</formula>
    </cfRule>
    <cfRule type="containsText" dxfId="1584" priority="1721" operator="containsText" text="4-4">
      <formula>NOT(ISERROR(SEARCH("4-4",A479)))</formula>
    </cfRule>
    <cfRule type="containsText" dxfId="1583" priority="1722" operator="containsText" text="3-3">
      <formula>NOT(ISERROR(SEARCH("3-3",A479)))</formula>
    </cfRule>
    <cfRule type="containsText" dxfId="1582" priority="1723" operator="containsText" text="2-2">
      <formula>NOT(ISERROR(SEARCH("2-2",A479)))</formula>
    </cfRule>
    <cfRule type="containsText" dxfId="1581" priority="1724" operator="containsText" text="1-1">
      <formula>NOT(ISERROR(SEARCH("1-1",A479)))</formula>
    </cfRule>
    <cfRule type="containsText" dxfId="1580" priority="1725" operator="containsText" text="0-0">
      <formula>NOT(ISERROR(SEARCH("0-0",A479)))</formula>
    </cfRule>
  </conditionalFormatting>
  <conditionalFormatting sqref="R479">
    <cfRule type="cellIs" dxfId="1579" priority="1553" operator="between">
      <formula>96</formula>
      <formula>140</formula>
    </cfRule>
    <cfRule type="cellIs" dxfId="1578" priority="1554" operator="between">
      <formula>85</formula>
      <formula>95</formula>
    </cfRule>
    <cfRule type="cellIs" dxfId="1577" priority="1555" operator="between">
      <formula>30</formula>
      <formula>84</formula>
    </cfRule>
  </conditionalFormatting>
  <conditionalFormatting sqref="S479">
    <cfRule type="cellIs" dxfId="1576" priority="1550" operator="between">
      <formula>96</formula>
      <formula>120</formula>
    </cfRule>
    <cfRule type="cellIs" dxfId="1575" priority="1551" operator="between">
      <formula>85</formula>
      <formula>95</formula>
    </cfRule>
    <cfRule type="cellIs" dxfId="1574" priority="1552" operator="between">
      <formula>30</formula>
      <formula>84</formula>
    </cfRule>
  </conditionalFormatting>
  <conditionalFormatting sqref="T479">
    <cfRule type="cellIs" dxfId="1573" priority="725" operator="equal">
      <formula>"模糊"</formula>
    </cfRule>
    <cfRule type="containsText" dxfId="1572" priority="726" operator="containsText" text="低一档">
      <formula>NOT(ISERROR(SEARCH("低一档",T479)))</formula>
    </cfRule>
    <cfRule type="containsText" dxfId="1571" priority="727" operator="containsText" text="高一档">
      <formula>NOT(ISERROR(SEARCH("高一档",T479)))</formula>
    </cfRule>
    <cfRule type="containsText" dxfId="1570" priority="728" operator="containsText" text="中水">
      <formula>NOT(ISERROR(SEARCH("中水",T479)))</formula>
    </cfRule>
    <cfRule type="containsText" dxfId="1569" priority="729" operator="containsText" text="高水">
      <formula>NOT(ISERROR(SEARCH("高水",T479)))</formula>
    </cfRule>
    <cfRule type="containsText" dxfId="1568" priority="730" operator="containsText" text="低水">
      <formula>NOT(ISERROR(SEARCH("低水",T479)))</formula>
    </cfRule>
  </conditionalFormatting>
  <conditionalFormatting sqref="A528">
    <cfRule type="containsText" dxfId="1567" priority="613" operator="containsText" text="5-2">
      <formula>NOT(ISERROR(SEARCH("5-2",A528)))</formula>
    </cfRule>
    <cfRule type="containsText" dxfId="1566" priority="614" operator="containsText" text="0-5">
      <formula>NOT(ISERROR(SEARCH("0-5",A528)))</formula>
    </cfRule>
    <cfRule type="containsText" dxfId="1565" priority="615" operator="containsText" text="3-4">
      <formula>NOT(ISERROR(SEARCH("3-4",A528)))</formula>
    </cfRule>
    <cfRule type="containsText" dxfId="1564" priority="616" operator="containsText" text="4-0">
      <formula>NOT(ISERROR(SEARCH("4-0",A528)))</formula>
    </cfRule>
    <cfRule type="containsText" dxfId="1563" priority="617" operator="containsText" text="2-4">
      <formula>NOT(ISERROR(SEARCH("2-4",A528)))</formula>
    </cfRule>
    <cfRule type="containsText" dxfId="1562" priority="618" operator="containsText" text="5-0">
      <formula>NOT(ISERROR(SEARCH("5-0",A528)))</formula>
    </cfRule>
    <cfRule type="containsText" dxfId="1561" priority="619" operator="containsText" text="4-3">
      <formula>NOT(ISERROR(SEARCH("4-3",A528)))</formula>
    </cfRule>
    <cfRule type="containsText" dxfId="1560" priority="620" operator="containsText" text="6-0">
      <formula>NOT(ISERROR(SEARCH("6-0",A528)))</formula>
    </cfRule>
    <cfRule type="containsText" dxfId="1559" priority="621" operator="containsText" text="6-0">
      <formula>NOT(ISERROR(SEARCH("6-0",A528)))</formula>
    </cfRule>
    <cfRule type="containsText" dxfId="1558" priority="622" operator="containsText" text="5-1">
      <formula>NOT(ISERROR(SEARCH("5-1",A528)))</formula>
    </cfRule>
    <cfRule type="containsText" dxfId="1557" priority="623" operator="containsText" text="1-4">
      <formula>NOT(ISERROR(SEARCH("1-4",A528)))</formula>
    </cfRule>
    <cfRule type="containsText" dxfId="1556" priority="624" operator="containsText" text="0-4">
      <formula>NOT(ISERROR(SEARCH("0-4",A528)))</formula>
    </cfRule>
    <cfRule type="containsText" dxfId="1555" priority="625" operator="containsText" text="2-3">
      <formula>NOT(ISERROR(SEARCH("2-3",A528)))</formula>
    </cfRule>
    <cfRule type="containsText" dxfId="1554" priority="626" operator="containsText" text="1-3">
      <formula>NOT(ISERROR(SEARCH("1-3",A528)))</formula>
    </cfRule>
    <cfRule type="containsText" dxfId="1553" priority="627" operator="containsText" text="0-3">
      <formula>NOT(ISERROR(SEARCH("0-3",A528)))</formula>
    </cfRule>
    <cfRule type="containsText" dxfId="1552" priority="628" operator="containsText" text="1-2">
      <formula>NOT(ISERROR(SEARCH("1-2",A528)))</formula>
    </cfRule>
    <cfRule type="containsText" dxfId="1551" priority="629" operator="containsText" text="0-2">
      <formula>NOT(ISERROR(SEARCH("0-2",A528)))</formula>
    </cfRule>
    <cfRule type="containsText" dxfId="1550" priority="630" operator="containsText" text="0-1">
      <formula>NOT(ISERROR(SEARCH("0-1",A528)))</formula>
    </cfRule>
    <cfRule type="containsText" dxfId="1549" priority="631" operator="containsText" text="4-2">
      <formula>NOT(ISERROR(SEARCH("4-2",A528)))</formula>
    </cfRule>
    <cfRule type="containsText" dxfId="1548" priority="632" operator="containsText" text="4-1">
      <formula>NOT(ISERROR(SEARCH("4-1",A528)))</formula>
    </cfRule>
    <cfRule type="containsText" dxfId="1547" priority="633" operator="containsText" text="3-2">
      <formula>NOT(ISERROR(SEARCH("3-2",A528)))</formula>
    </cfRule>
    <cfRule type="containsText" dxfId="1546" priority="634" operator="containsText" text="3-1">
      <formula>NOT(ISERROR(SEARCH("3-1",A528)))</formula>
    </cfRule>
    <cfRule type="containsText" dxfId="1545" priority="635" operator="containsText" text="3-0">
      <formula>NOT(ISERROR(SEARCH("3-0",A528)))</formula>
    </cfRule>
    <cfRule type="containsText" dxfId="1544" priority="636" operator="containsText" text="2-1">
      <formula>NOT(ISERROR(SEARCH("2-1",A528)))</formula>
    </cfRule>
    <cfRule type="containsText" dxfId="1543" priority="637" operator="containsText" text="2-0">
      <formula>NOT(ISERROR(SEARCH("2-0",A528)))</formula>
    </cfRule>
    <cfRule type="containsText" dxfId="1542" priority="638" operator="containsText" text="1-0">
      <formula>NOT(ISERROR(SEARCH("1-0",A528)))</formula>
    </cfRule>
    <cfRule type="containsText" dxfId="1541" priority="639" operator="containsText" text="4-4">
      <formula>NOT(ISERROR(SEARCH("4-4",A528)))</formula>
    </cfRule>
    <cfRule type="containsText" dxfId="1540" priority="640" operator="containsText" text="3-3">
      <formula>NOT(ISERROR(SEARCH("3-3",A528)))</formula>
    </cfRule>
    <cfRule type="containsText" dxfId="1539" priority="641" operator="containsText" text="2-2">
      <formula>NOT(ISERROR(SEARCH("2-2",A528)))</formula>
    </cfRule>
    <cfRule type="containsText" dxfId="1538" priority="642" operator="containsText" text="1-1">
      <formula>NOT(ISERROR(SEARCH("1-1",A528)))</formula>
    </cfRule>
    <cfRule type="containsText" dxfId="1537" priority="643" operator="containsText" text="0-0">
      <formula>NOT(ISERROR(SEARCH("0-0",A528)))</formula>
    </cfRule>
  </conditionalFormatting>
  <conditionalFormatting sqref="A704">
    <cfRule type="containsText" dxfId="1536" priority="1419" operator="containsText" text="5-2">
      <formula>NOT(ISERROR(SEARCH("5-2",A704)))</formula>
    </cfRule>
    <cfRule type="containsText" dxfId="1535" priority="1420" operator="containsText" text="2-4">
      <formula>NOT(ISERROR(SEARCH("2-4",A704)))</formula>
    </cfRule>
    <cfRule type="containsText" dxfId="1534" priority="1421" operator="containsText" text="5-0">
      <formula>NOT(ISERROR(SEARCH("5-0",A704)))</formula>
    </cfRule>
    <cfRule type="containsText" dxfId="1533" priority="1422" operator="containsText" text="4-3">
      <formula>NOT(ISERROR(SEARCH("4-3",A704)))</formula>
    </cfRule>
    <cfRule type="containsText" dxfId="1532" priority="1423" operator="containsText" text="6-0">
      <formula>NOT(ISERROR(SEARCH("6-0",A704)))</formula>
    </cfRule>
    <cfRule type="containsText" dxfId="1531" priority="1424" operator="containsText" text="6-0">
      <formula>NOT(ISERROR(SEARCH("6-0",A704)))</formula>
    </cfRule>
    <cfRule type="containsText" dxfId="1530" priority="1425" operator="containsText" text="5-1">
      <formula>NOT(ISERROR(SEARCH("5-1",A704)))</formula>
    </cfRule>
    <cfRule type="containsText" dxfId="1529" priority="1426" operator="containsText" text="1-4">
      <formula>NOT(ISERROR(SEARCH("1-4",A704)))</formula>
    </cfRule>
    <cfRule type="containsText" dxfId="1528" priority="1427" operator="containsText" text="0-4">
      <formula>NOT(ISERROR(SEARCH("0-4",A704)))</formula>
    </cfRule>
    <cfRule type="containsText" dxfId="1527" priority="1428" operator="containsText" text="2-3">
      <formula>NOT(ISERROR(SEARCH("2-3",A704)))</formula>
    </cfRule>
    <cfRule type="containsText" dxfId="1526" priority="1429" operator="containsText" text="1-3">
      <formula>NOT(ISERROR(SEARCH("1-3",A704)))</formula>
    </cfRule>
    <cfRule type="containsText" dxfId="1525" priority="1430" operator="containsText" text="0-3">
      <formula>NOT(ISERROR(SEARCH("0-3",A704)))</formula>
    </cfRule>
    <cfRule type="containsText" dxfId="1524" priority="1431" operator="containsText" text="1-2">
      <formula>NOT(ISERROR(SEARCH("1-2",A704)))</formula>
    </cfRule>
    <cfRule type="containsText" dxfId="1523" priority="1432" operator="containsText" text="0-2">
      <formula>NOT(ISERROR(SEARCH("0-2",A704)))</formula>
    </cfRule>
    <cfRule type="containsText" dxfId="1522" priority="1433" operator="containsText" text="0-1">
      <formula>NOT(ISERROR(SEARCH("0-1",A704)))</formula>
    </cfRule>
    <cfRule type="containsText" dxfId="1521" priority="1434" operator="containsText" text="4-2">
      <formula>NOT(ISERROR(SEARCH("4-2",A704)))</formula>
    </cfRule>
    <cfRule type="containsText" dxfId="1520" priority="1435" operator="containsText" text="4-1">
      <formula>NOT(ISERROR(SEARCH("4-1",A704)))</formula>
    </cfRule>
    <cfRule type="containsText" dxfId="1519" priority="1436" operator="containsText" text="3-2">
      <formula>NOT(ISERROR(SEARCH("3-2",A704)))</formula>
    </cfRule>
    <cfRule type="containsText" dxfId="1518" priority="1437" operator="containsText" text="3-1">
      <formula>NOT(ISERROR(SEARCH("3-1",A704)))</formula>
    </cfRule>
    <cfRule type="containsText" dxfId="1517" priority="1438" operator="containsText" text="3-0">
      <formula>NOT(ISERROR(SEARCH("3-0",A704)))</formula>
    </cfRule>
    <cfRule type="containsText" dxfId="1516" priority="1439" operator="containsText" text="2-1">
      <formula>NOT(ISERROR(SEARCH("2-1",A704)))</formula>
    </cfRule>
    <cfRule type="containsText" dxfId="1515" priority="1440" operator="containsText" text="2-0">
      <formula>NOT(ISERROR(SEARCH("2-0",A704)))</formula>
    </cfRule>
    <cfRule type="containsText" dxfId="1514" priority="1441" operator="containsText" text="1-0">
      <formula>NOT(ISERROR(SEARCH("1-0",A704)))</formula>
    </cfRule>
    <cfRule type="containsText" dxfId="1513" priority="1442" operator="containsText" text="4-4">
      <formula>NOT(ISERROR(SEARCH("4-4",A704)))</formula>
    </cfRule>
    <cfRule type="containsText" dxfId="1512" priority="1443" operator="containsText" text="3-3">
      <formula>NOT(ISERROR(SEARCH("3-3",A704)))</formula>
    </cfRule>
    <cfRule type="containsText" dxfId="1511" priority="1444" operator="containsText" text="2-2">
      <formula>NOT(ISERROR(SEARCH("2-2",A704)))</formula>
    </cfRule>
    <cfRule type="containsText" dxfId="1510" priority="1445" operator="containsText" text="1-1">
      <formula>NOT(ISERROR(SEARCH("1-1",A704)))</formula>
    </cfRule>
    <cfRule type="containsText" dxfId="1509" priority="1446" operator="containsText" text="0-0">
      <formula>NOT(ISERROR(SEARCH("0-0",A704)))</formula>
    </cfRule>
  </conditionalFormatting>
  <conditionalFormatting sqref="A794">
    <cfRule type="containsText" dxfId="1508" priority="582" operator="containsText" text="5-2">
      <formula>NOT(ISERROR(SEARCH("5-2",A794)))</formula>
    </cfRule>
    <cfRule type="containsText" dxfId="1507" priority="583" operator="containsText" text="0-5">
      <formula>NOT(ISERROR(SEARCH("0-5",A794)))</formula>
    </cfRule>
    <cfRule type="containsText" dxfId="1506" priority="584" operator="containsText" text="3-4">
      <formula>NOT(ISERROR(SEARCH("3-4",A794)))</formula>
    </cfRule>
    <cfRule type="containsText" dxfId="1505" priority="585" operator="containsText" text="4-0">
      <formula>NOT(ISERROR(SEARCH("4-0",A794)))</formula>
    </cfRule>
    <cfRule type="containsText" dxfId="1504" priority="586" operator="containsText" text="2-4">
      <formula>NOT(ISERROR(SEARCH("2-4",A794)))</formula>
    </cfRule>
    <cfRule type="containsText" dxfId="1503" priority="587" operator="containsText" text="5-0">
      <formula>NOT(ISERROR(SEARCH("5-0",A794)))</formula>
    </cfRule>
    <cfRule type="containsText" dxfId="1502" priority="588" operator="containsText" text="4-3">
      <formula>NOT(ISERROR(SEARCH("4-3",A794)))</formula>
    </cfRule>
    <cfRule type="containsText" dxfId="1501" priority="589" operator="containsText" text="6-0">
      <formula>NOT(ISERROR(SEARCH("6-0",A794)))</formula>
    </cfRule>
    <cfRule type="containsText" dxfId="1500" priority="590" operator="containsText" text="6-0">
      <formula>NOT(ISERROR(SEARCH("6-0",A794)))</formula>
    </cfRule>
    <cfRule type="containsText" dxfId="1499" priority="591" operator="containsText" text="5-1">
      <formula>NOT(ISERROR(SEARCH("5-1",A794)))</formula>
    </cfRule>
    <cfRule type="containsText" dxfId="1498" priority="592" operator="containsText" text="1-4">
      <formula>NOT(ISERROR(SEARCH("1-4",A794)))</formula>
    </cfRule>
    <cfRule type="containsText" dxfId="1497" priority="593" operator="containsText" text="0-4">
      <formula>NOT(ISERROR(SEARCH("0-4",A794)))</formula>
    </cfRule>
    <cfRule type="containsText" dxfId="1496" priority="594" operator="containsText" text="2-3">
      <formula>NOT(ISERROR(SEARCH("2-3",A794)))</formula>
    </cfRule>
    <cfRule type="containsText" dxfId="1495" priority="595" operator="containsText" text="1-3">
      <formula>NOT(ISERROR(SEARCH("1-3",A794)))</formula>
    </cfRule>
    <cfRule type="containsText" dxfId="1494" priority="596" operator="containsText" text="0-3">
      <formula>NOT(ISERROR(SEARCH("0-3",A794)))</formula>
    </cfRule>
    <cfRule type="containsText" dxfId="1493" priority="597" operator="containsText" text="1-2">
      <formula>NOT(ISERROR(SEARCH("1-2",A794)))</formula>
    </cfRule>
    <cfRule type="containsText" dxfId="1492" priority="598" operator="containsText" text="0-2">
      <formula>NOT(ISERROR(SEARCH("0-2",A794)))</formula>
    </cfRule>
    <cfRule type="containsText" dxfId="1491" priority="599" operator="containsText" text="0-1">
      <formula>NOT(ISERROR(SEARCH("0-1",A794)))</formula>
    </cfRule>
    <cfRule type="containsText" dxfId="1490" priority="600" operator="containsText" text="4-2">
      <formula>NOT(ISERROR(SEARCH("4-2",A794)))</formula>
    </cfRule>
    <cfRule type="containsText" dxfId="1489" priority="601" operator="containsText" text="4-1">
      <formula>NOT(ISERROR(SEARCH("4-1",A794)))</formula>
    </cfRule>
    <cfRule type="containsText" dxfId="1488" priority="602" operator="containsText" text="3-2">
      <formula>NOT(ISERROR(SEARCH("3-2",A794)))</formula>
    </cfRule>
    <cfRule type="containsText" dxfId="1487" priority="603" operator="containsText" text="3-1">
      <formula>NOT(ISERROR(SEARCH("3-1",A794)))</formula>
    </cfRule>
    <cfRule type="containsText" dxfId="1486" priority="604" operator="containsText" text="3-0">
      <formula>NOT(ISERROR(SEARCH("3-0",A794)))</formula>
    </cfRule>
    <cfRule type="containsText" dxfId="1485" priority="605" operator="containsText" text="2-1">
      <formula>NOT(ISERROR(SEARCH("2-1",A794)))</formula>
    </cfRule>
    <cfRule type="containsText" dxfId="1484" priority="606" operator="containsText" text="2-0">
      <formula>NOT(ISERROR(SEARCH("2-0",A794)))</formula>
    </cfRule>
    <cfRule type="containsText" dxfId="1483" priority="607" operator="containsText" text="1-0">
      <formula>NOT(ISERROR(SEARCH("1-0",A794)))</formula>
    </cfRule>
    <cfRule type="containsText" dxfId="1482" priority="608" operator="containsText" text="4-4">
      <formula>NOT(ISERROR(SEARCH("4-4",A794)))</formula>
    </cfRule>
    <cfRule type="containsText" dxfId="1481" priority="609" operator="containsText" text="3-3">
      <formula>NOT(ISERROR(SEARCH("3-3",A794)))</formula>
    </cfRule>
    <cfRule type="containsText" dxfId="1480" priority="610" operator="containsText" text="2-2">
      <formula>NOT(ISERROR(SEARCH("2-2",A794)))</formula>
    </cfRule>
    <cfRule type="containsText" dxfId="1479" priority="611" operator="containsText" text="1-1">
      <formula>NOT(ISERROR(SEARCH("1-1",A794)))</formula>
    </cfRule>
    <cfRule type="containsText" dxfId="1478" priority="612" operator="containsText" text="0-0">
      <formula>NOT(ISERROR(SEARCH("0-0",A794)))</formula>
    </cfRule>
  </conditionalFormatting>
  <conditionalFormatting sqref="R906">
    <cfRule type="cellIs" dxfId="1477" priority="966" operator="between">
      <formula>96</formula>
      <formula>140</formula>
    </cfRule>
    <cfRule type="cellIs" dxfId="1476" priority="967" operator="between">
      <formula>85</formula>
      <formula>95</formula>
    </cfRule>
    <cfRule type="cellIs" dxfId="1475" priority="968" operator="between">
      <formula>30</formula>
      <formula>84</formula>
    </cfRule>
  </conditionalFormatting>
  <conditionalFormatting sqref="S906">
    <cfRule type="cellIs" dxfId="1474" priority="963" operator="between">
      <formula>96</formula>
      <formula>120</formula>
    </cfRule>
    <cfRule type="cellIs" dxfId="1473" priority="964" operator="between">
      <formula>85</formula>
      <formula>95</formula>
    </cfRule>
    <cfRule type="cellIs" dxfId="1472" priority="965" operator="between">
      <formula>30</formula>
      <formula>84</formula>
    </cfRule>
  </conditionalFormatting>
  <conditionalFormatting sqref="A972">
    <cfRule type="containsText" dxfId="1471" priority="929" operator="containsText" text="5-2">
      <formula>NOT(ISERROR(SEARCH("5-2",A972)))</formula>
    </cfRule>
    <cfRule type="containsText" dxfId="1470" priority="930" operator="containsText" text="0-5">
      <formula>NOT(ISERROR(SEARCH("0-5",A972)))</formula>
    </cfRule>
    <cfRule type="containsText" dxfId="1469" priority="931" operator="containsText" text="3-4">
      <formula>NOT(ISERROR(SEARCH("3-4",A972)))</formula>
    </cfRule>
    <cfRule type="containsText" dxfId="1468" priority="932" operator="containsText" text="4-0">
      <formula>NOT(ISERROR(SEARCH("4-0",A972)))</formula>
    </cfRule>
    <cfRule type="containsText" dxfId="1467" priority="933" operator="containsText" text="2-4">
      <formula>NOT(ISERROR(SEARCH("2-4",A972)))</formula>
    </cfRule>
    <cfRule type="containsText" dxfId="1466" priority="934" operator="containsText" text="5-0">
      <formula>NOT(ISERROR(SEARCH("5-0",A972)))</formula>
    </cfRule>
    <cfRule type="containsText" dxfId="1465" priority="935" operator="containsText" text="4-3">
      <formula>NOT(ISERROR(SEARCH("4-3",A972)))</formula>
    </cfRule>
    <cfRule type="containsText" dxfId="1464" priority="936" operator="containsText" text="6-0">
      <formula>NOT(ISERROR(SEARCH("6-0",A972)))</formula>
    </cfRule>
    <cfRule type="containsText" dxfId="1463" priority="937" operator="containsText" text="6-0">
      <formula>NOT(ISERROR(SEARCH("6-0",A972)))</formula>
    </cfRule>
    <cfRule type="containsText" dxfId="1462" priority="938" operator="containsText" text="5-1">
      <formula>NOT(ISERROR(SEARCH("5-1",A972)))</formula>
    </cfRule>
    <cfRule type="containsText" dxfId="1461" priority="939" operator="containsText" text="1-4">
      <formula>NOT(ISERROR(SEARCH("1-4",A972)))</formula>
    </cfRule>
    <cfRule type="containsText" dxfId="1460" priority="940" operator="containsText" text="0-4">
      <formula>NOT(ISERROR(SEARCH("0-4",A972)))</formula>
    </cfRule>
    <cfRule type="containsText" dxfId="1459" priority="941" operator="containsText" text="2-3">
      <formula>NOT(ISERROR(SEARCH("2-3",A972)))</formula>
    </cfRule>
    <cfRule type="containsText" dxfId="1458" priority="942" operator="containsText" text="1-3">
      <formula>NOT(ISERROR(SEARCH("1-3",A972)))</formula>
    </cfRule>
    <cfRule type="containsText" dxfId="1457" priority="943" operator="containsText" text="0-3">
      <formula>NOT(ISERROR(SEARCH("0-3",A972)))</formula>
    </cfRule>
    <cfRule type="containsText" dxfId="1456" priority="944" operator="containsText" text="1-2">
      <formula>NOT(ISERROR(SEARCH("1-2",A972)))</formula>
    </cfRule>
    <cfRule type="containsText" dxfId="1455" priority="945" operator="containsText" text="0-2">
      <formula>NOT(ISERROR(SEARCH("0-2",A972)))</formula>
    </cfRule>
    <cfRule type="containsText" dxfId="1454" priority="946" operator="containsText" text="0-1">
      <formula>NOT(ISERROR(SEARCH("0-1",A972)))</formula>
    </cfRule>
    <cfRule type="containsText" dxfId="1453" priority="947" operator="containsText" text="4-2">
      <formula>NOT(ISERROR(SEARCH("4-2",A972)))</formula>
    </cfRule>
    <cfRule type="containsText" dxfId="1452" priority="948" operator="containsText" text="4-1">
      <formula>NOT(ISERROR(SEARCH("4-1",A972)))</formula>
    </cfRule>
    <cfRule type="containsText" dxfId="1451" priority="949" operator="containsText" text="3-2">
      <formula>NOT(ISERROR(SEARCH("3-2",A972)))</formula>
    </cfRule>
    <cfRule type="containsText" dxfId="1450" priority="950" operator="containsText" text="3-1">
      <formula>NOT(ISERROR(SEARCH("3-1",A972)))</formula>
    </cfRule>
    <cfRule type="containsText" dxfId="1449" priority="951" operator="containsText" text="3-0">
      <formula>NOT(ISERROR(SEARCH("3-0",A972)))</formula>
    </cfRule>
    <cfRule type="containsText" dxfId="1448" priority="952" operator="containsText" text="2-1">
      <formula>NOT(ISERROR(SEARCH("2-1",A972)))</formula>
    </cfRule>
    <cfRule type="containsText" dxfId="1447" priority="953" operator="containsText" text="2-0">
      <formula>NOT(ISERROR(SEARCH("2-0",A972)))</formula>
    </cfRule>
    <cfRule type="containsText" dxfId="1446" priority="954" operator="containsText" text="1-0">
      <formula>NOT(ISERROR(SEARCH("1-0",A972)))</formula>
    </cfRule>
    <cfRule type="containsText" dxfId="1445" priority="955" operator="containsText" text="4-4">
      <formula>NOT(ISERROR(SEARCH("4-4",A972)))</formula>
    </cfRule>
    <cfRule type="containsText" dxfId="1444" priority="956" operator="containsText" text="3-3">
      <formula>NOT(ISERROR(SEARCH("3-3",A972)))</formula>
    </cfRule>
    <cfRule type="containsText" dxfId="1443" priority="957" operator="containsText" text="2-2">
      <formula>NOT(ISERROR(SEARCH("2-2",A972)))</formula>
    </cfRule>
    <cfRule type="containsText" dxfId="1442" priority="958" operator="containsText" text="1-1">
      <formula>NOT(ISERROR(SEARCH("1-1",A972)))</formula>
    </cfRule>
    <cfRule type="containsText" dxfId="1441" priority="959" operator="containsText" text="0-0">
      <formula>NOT(ISERROR(SEARCH("0-0",A972)))</formula>
    </cfRule>
  </conditionalFormatting>
  <conditionalFormatting sqref="R972">
    <cfRule type="cellIs" dxfId="1440" priority="881" operator="between">
      <formula>96</formula>
      <formula>140</formula>
    </cfRule>
    <cfRule type="cellIs" dxfId="1439" priority="882" operator="between">
      <formula>85</formula>
      <formula>95</formula>
    </cfRule>
    <cfRule type="cellIs" dxfId="1438" priority="883" operator="between">
      <formula>30</formula>
      <formula>84</formula>
    </cfRule>
  </conditionalFormatting>
  <conditionalFormatting sqref="S972">
    <cfRule type="cellIs" dxfId="1437" priority="878" operator="between">
      <formula>96</formula>
      <formula>120</formula>
    </cfRule>
    <cfRule type="cellIs" dxfId="1436" priority="879" operator="between">
      <formula>85</formula>
      <formula>95</formula>
    </cfRule>
    <cfRule type="cellIs" dxfId="1435" priority="880" operator="between">
      <formula>30</formula>
      <formula>84</formula>
    </cfRule>
  </conditionalFormatting>
  <conditionalFormatting sqref="T972">
    <cfRule type="cellIs" dxfId="1434" priority="683" operator="equal">
      <formula>"模糊"</formula>
    </cfRule>
    <cfRule type="containsText" dxfId="1433" priority="684" operator="containsText" text="低一档">
      <formula>NOT(ISERROR(SEARCH("低一档",T972)))</formula>
    </cfRule>
    <cfRule type="containsText" dxfId="1432" priority="685" operator="containsText" text="高一档">
      <formula>NOT(ISERROR(SEARCH("高一档",T972)))</formula>
    </cfRule>
    <cfRule type="containsText" dxfId="1431" priority="686" operator="containsText" text="中水">
      <formula>NOT(ISERROR(SEARCH("中水",T972)))</formula>
    </cfRule>
    <cfRule type="containsText" dxfId="1430" priority="687" operator="containsText" text="高水">
      <formula>NOT(ISERROR(SEARCH("高水",T972)))</formula>
    </cfRule>
    <cfRule type="containsText" dxfId="1429" priority="688" operator="containsText" text="低水">
      <formula>NOT(ISERROR(SEARCH("低水",T972)))</formula>
    </cfRule>
  </conditionalFormatting>
  <conditionalFormatting sqref="A400:A463">
    <cfRule type="containsText" dxfId="1428" priority="1662" operator="containsText" text="5-2">
      <formula>NOT(ISERROR(SEARCH("5-2",A400)))</formula>
    </cfRule>
    <cfRule type="containsText" dxfId="1427" priority="1663" operator="containsText" text="0-5">
      <formula>NOT(ISERROR(SEARCH("0-5",A400)))</formula>
    </cfRule>
    <cfRule type="containsText" dxfId="1426" priority="1664" operator="containsText" text="3-4">
      <formula>NOT(ISERROR(SEARCH("3-4",A400)))</formula>
    </cfRule>
    <cfRule type="containsText" dxfId="1425" priority="1665" operator="containsText" text="4-0">
      <formula>NOT(ISERROR(SEARCH("4-0",A400)))</formula>
    </cfRule>
    <cfRule type="containsText" dxfId="1424" priority="1666" operator="containsText" text="2-4">
      <formula>NOT(ISERROR(SEARCH("2-4",A400)))</formula>
    </cfRule>
    <cfRule type="containsText" dxfId="1423" priority="1667" operator="containsText" text="5-0">
      <formula>NOT(ISERROR(SEARCH("5-0",A400)))</formula>
    </cfRule>
    <cfRule type="containsText" dxfId="1422" priority="1668" operator="containsText" text="4-3">
      <formula>NOT(ISERROR(SEARCH("4-3",A400)))</formula>
    </cfRule>
    <cfRule type="containsText" dxfId="1421" priority="1669" operator="containsText" text="6-0">
      <formula>NOT(ISERROR(SEARCH("6-0",A400)))</formula>
    </cfRule>
    <cfRule type="containsText" dxfId="1420" priority="1670" operator="containsText" text="6-0">
      <formula>NOT(ISERROR(SEARCH("6-0",A400)))</formula>
    </cfRule>
    <cfRule type="containsText" dxfId="1419" priority="1671" operator="containsText" text="5-1">
      <formula>NOT(ISERROR(SEARCH("5-1",A400)))</formula>
    </cfRule>
    <cfRule type="containsText" dxfId="1418" priority="1672" operator="containsText" text="1-4">
      <formula>NOT(ISERROR(SEARCH("1-4",A400)))</formula>
    </cfRule>
    <cfRule type="containsText" dxfId="1417" priority="1673" operator="containsText" text="0-4">
      <formula>NOT(ISERROR(SEARCH("0-4",A400)))</formula>
    </cfRule>
    <cfRule type="containsText" dxfId="1416" priority="1674" operator="containsText" text="2-3">
      <formula>NOT(ISERROR(SEARCH("2-3",A400)))</formula>
    </cfRule>
    <cfRule type="containsText" dxfId="1415" priority="1675" operator="containsText" text="1-3">
      <formula>NOT(ISERROR(SEARCH("1-3",A400)))</formula>
    </cfRule>
    <cfRule type="containsText" dxfId="1414" priority="1676" operator="containsText" text="0-3">
      <formula>NOT(ISERROR(SEARCH("0-3",A400)))</formula>
    </cfRule>
    <cfRule type="containsText" dxfId="1413" priority="1677" operator="containsText" text="1-2">
      <formula>NOT(ISERROR(SEARCH("1-2",A400)))</formula>
    </cfRule>
    <cfRule type="containsText" dxfId="1412" priority="1678" operator="containsText" text="0-2">
      <formula>NOT(ISERROR(SEARCH("0-2",A400)))</formula>
    </cfRule>
    <cfRule type="containsText" dxfId="1411" priority="1679" operator="containsText" text="0-1">
      <formula>NOT(ISERROR(SEARCH("0-1",A400)))</formula>
    </cfRule>
    <cfRule type="containsText" dxfId="1410" priority="1680" operator="containsText" text="4-2">
      <formula>NOT(ISERROR(SEARCH("4-2",A400)))</formula>
    </cfRule>
    <cfRule type="containsText" dxfId="1409" priority="1681" operator="containsText" text="4-1">
      <formula>NOT(ISERROR(SEARCH("4-1",A400)))</formula>
    </cfRule>
    <cfRule type="containsText" dxfId="1408" priority="1682" operator="containsText" text="3-2">
      <formula>NOT(ISERROR(SEARCH("3-2",A400)))</formula>
    </cfRule>
    <cfRule type="containsText" dxfId="1407" priority="1683" operator="containsText" text="3-1">
      <formula>NOT(ISERROR(SEARCH("3-1",A400)))</formula>
    </cfRule>
    <cfRule type="containsText" dxfId="1406" priority="1684" operator="containsText" text="3-0">
      <formula>NOT(ISERROR(SEARCH("3-0",A400)))</formula>
    </cfRule>
    <cfRule type="containsText" dxfId="1405" priority="1685" operator="containsText" text="2-1">
      <formula>NOT(ISERROR(SEARCH("2-1",A400)))</formula>
    </cfRule>
    <cfRule type="containsText" dxfId="1404" priority="1686" operator="containsText" text="2-0">
      <formula>NOT(ISERROR(SEARCH("2-0",A400)))</formula>
    </cfRule>
    <cfRule type="containsText" dxfId="1403" priority="1687" operator="containsText" text="1-0">
      <formula>NOT(ISERROR(SEARCH("1-0",A400)))</formula>
    </cfRule>
    <cfRule type="containsText" dxfId="1402" priority="1688" operator="containsText" text="4-4">
      <formula>NOT(ISERROR(SEARCH("4-4",A400)))</formula>
    </cfRule>
    <cfRule type="containsText" dxfId="1401" priority="1689" operator="containsText" text="3-3">
      <formula>NOT(ISERROR(SEARCH("3-3",A400)))</formula>
    </cfRule>
    <cfRule type="containsText" dxfId="1400" priority="1690" operator="containsText" text="2-2">
      <formula>NOT(ISERROR(SEARCH("2-2",A400)))</formula>
    </cfRule>
    <cfRule type="containsText" dxfId="1399" priority="1691" operator="containsText" text="1-1">
      <formula>NOT(ISERROR(SEARCH("1-1",A400)))</formula>
    </cfRule>
    <cfRule type="containsText" dxfId="1398" priority="1692" operator="containsText" text="0-0">
      <formula>NOT(ISERROR(SEARCH("0-0",A400)))</formula>
    </cfRule>
  </conditionalFormatting>
  <conditionalFormatting sqref="A706:A756">
    <cfRule type="containsText" dxfId="1397" priority="1388" operator="containsText" text="5-2">
      <formula>NOT(ISERROR(SEARCH("5-2",A706)))</formula>
    </cfRule>
    <cfRule type="containsText" dxfId="1396" priority="1389" operator="containsText" text="0-5">
      <formula>NOT(ISERROR(SEARCH("0-5",A706)))</formula>
    </cfRule>
    <cfRule type="containsText" dxfId="1395" priority="1390" operator="containsText" text="3-4">
      <formula>NOT(ISERROR(SEARCH("3-4",A706)))</formula>
    </cfRule>
    <cfRule type="containsText" dxfId="1394" priority="1391" operator="containsText" text="4-0">
      <formula>NOT(ISERROR(SEARCH("4-0",A706)))</formula>
    </cfRule>
    <cfRule type="containsText" dxfId="1393" priority="1392" operator="containsText" text="2-4">
      <formula>NOT(ISERROR(SEARCH("2-4",A706)))</formula>
    </cfRule>
    <cfRule type="containsText" dxfId="1392" priority="1393" operator="containsText" text="5-0">
      <formula>NOT(ISERROR(SEARCH("5-0",A706)))</formula>
    </cfRule>
    <cfRule type="containsText" dxfId="1391" priority="1394" operator="containsText" text="4-3">
      <formula>NOT(ISERROR(SEARCH("4-3",A706)))</formula>
    </cfRule>
    <cfRule type="containsText" dxfId="1390" priority="1395" operator="containsText" text="6-0">
      <formula>NOT(ISERROR(SEARCH("6-0",A706)))</formula>
    </cfRule>
    <cfRule type="containsText" dxfId="1389" priority="1396" operator="containsText" text="6-0">
      <formula>NOT(ISERROR(SEARCH("6-0",A706)))</formula>
    </cfRule>
    <cfRule type="containsText" dxfId="1388" priority="1397" operator="containsText" text="5-1">
      <formula>NOT(ISERROR(SEARCH("5-1",A706)))</formula>
    </cfRule>
    <cfRule type="containsText" dxfId="1387" priority="1398" operator="containsText" text="1-4">
      <formula>NOT(ISERROR(SEARCH("1-4",A706)))</formula>
    </cfRule>
    <cfRule type="containsText" dxfId="1386" priority="1399" operator="containsText" text="0-4">
      <formula>NOT(ISERROR(SEARCH("0-4",A706)))</formula>
    </cfRule>
    <cfRule type="containsText" dxfId="1385" priority="1400" operator="containsText" text="2-3">
      <formula>NOT(ISERROR(SEARCH("2-3",A706)))</formula>
    </cfRule>
    <cfRule type="containsText" dxfId="1384" priority="1401" operator="containsText" text="1-3">
      <formula>NOT(ISERROR(SEARCH("1-3",A706)))</formula>
    </cfRule>
    <cfRule type="containsText" dxfId="1383" priority="1402" operator="containsText" text="0-3">
      <formula>NOT(ISERROR(SEARCH("0-3",A706)))</formula>
    </cfRule>
    <cfRule type="containsText" dxfId="1382" priority="1403" operator="containsText" text="1-2">
      <formula>NOT(ISERROR(SEARCH("1-2",A706)))</formula>
    </cfRule>
    <cfRule type="containsText" dxfId="1381" priority="1404" operator="containsText" text="0-2">
      <formula>NOT(ISERROR(SEARCH("0-2",A706)))</formula>
    </cfRule>
    <cfRule type="containsText" dxfId="1380" priority="1405" operator="containsText" text="0-1">
      <formula>NOT(ISERROR(SEARCH("0-1",A706)))</formula>
    </cfRule>
    <cfRule type="containsText" dxfId="1379" priority="1406" operator="containsText" text="4-2">
      <formula>NOT(ISERROR(SEARCH("4-2",A706)))</formula>
    </cfRule>
    <cfRule type="containsText" dxfId="1378" priority="1407" operator="containsText" text="4-1">
      <formula>NOT(ISERROR(SEARCH("4-1",A706)))</formula>
    </cfRule>
    <cfRule type="containsText" dxfId="1377" priority="1408" operator="containsText" text="3-2">
      <formula>NOT(ISERROR(SEARCH("3-2",A706)))</formula>
    </cfRule>
    <cfRule type="containsText" dxfId="1376" priority="1409" operator="containsText" text="3-1">
      <formula>NOT(ISERROR(SEARCH("3-1",A706)))</formula>
    </cfRule>
    <cfRule type="containsText" dxfId="1375" priority="1410" operator="containsText" text="3-0">
      <formula>NOT(ISERROR(SEARCH("3-0",A706)))</formula>
    </cfRule>
    <cfRule type="containsText" dxfId="1374" priority="1411" operator="containsText" text="2-1">
      <formula>NOT(ISERROR(SEARCH("2-1",A706)))</formula>
    </cfRule>
    <cfRule type="containsText" dxfId="1373" priority="1412" operator="containsText" text="2-0">
      <formula>NOT(ISERROR(SEARCH("2-0",A706)))</formula>
    </cfRule>
    <cfRule type="containsText" dxfId="1372" priority="1413" operator="containsText" text="1-0">
      <formula>NOT(ISERROR(SEARCH("1-0",A706)))</formula>
    </cfRule>
    <cfRule type="containsText" dxfId="1371" priority="1414" operator="containsText" text="4-4">
      <formula>NOT(ISERROR(SEARCH("4-4",A706)))</formula>
    </cfRule>
    <cfRule type="containsText" dxfId="1370" priority="1415" operator="containsText" text="3-3">
      <formula>NOT(ISERROR(SEARCH("3-3",A706)))</formula>
    </cfRule>
    <cfRule type="containsText" dxfId="1369" priority="1416" operator="containsText" text="2-2">
      <formula>NOT(ISERROR(SEARCH("2-2",A706)))</formula>
    </cfRule>
    <cfRule type="containsText" dxfId="1368" priority="1417" operator="containsText" text="1-1">
      <formula>NOT(ISERROR(SEARCH("1-1",A706)))</formula>
    </cfRule>
    <cfRule type="containsText" dxfId="1367" priority="1418" operator="containsText" text="0-0">
      <formula>NOT(ISERROR(SEARCH("0-0",A706)))</formula>
    </cfRule>
  </conditionalFormatting>
  <conditionalFormatting sqref="A757:A787">
    <cfRule type="containsText" dxfId="1366" priority="1291" operator="containsText" text="5-2">
      <formula>NOT(ISERROR(SEARCH("5-2",A757)))</formula>
    </cfRule>
    <cfRule type="containsText" dxfId="1365" priority="1292" operator="containsText" text="0-5">
      <formula>NOT(ISERROR(SEARCH("0-5",A757)))</formula>
    </cfRule>
    <cfRule type="containsText" dxfId="1364" priority="1293" operator="containsText" text="3-4">
      <formula>NOT(ISERROR(SEARCH("3-4",A757)))</formula>
    </cfRule>
    <cfRule type="containsText" dxfId="1363" priority="1294" operator="containsText" text="4-0">
      <formula>NOT(ISERROR(SEARCH("4-0",A757)))</formula>
    </cfRule>
    <cfRule type="containsText" dxfId="1362" priority="1295" operator="containsText" text="2-4">
      <formula>NOT(ISERROR(SEARCH("2-4",A757)))</formula>
    </cfRule>
    <cfRule type="containsText" dxfId="1361" priority="1296" operator="containsText" text="5-0">
      <formula>NOT(ISERROR(SEARCH("5-0",A757)))</formula>
    </cfRule>
    <cfRule type="containsText" dxfId="1360" priority="1297" operator="containsText" text="4-3">
      <formula>NOT(ISERROR(SEARCH("4-3",A757)))</formula>
    </cfRule>
    <cfRule type="containsText" dxfId="1359" priority="1298" operator="containsText" text="6-0">
      <formula>NOT(ISERROR(SEARCH("6-0",A757)))</formula>
    </cfRule>
    <cfRule type="containsText" dxfId="1358" priority="1299" operator="containsText" text="6-0">
      <formula>NOT(ISERROR(SEARCH("6-0",A757)))</formula>
    </cfRule>
    <cfRule type="containsText" dxfId="1357" priority="1300" operator="containsText" text="5-1">
      <formula>NOT(ISERROR(SEARCH("5-1",A757)))</formula>
    </cfRule>
    <cfRule type="containsText" dxfId="1356" priority="1301" operator="containsText" text="1-4">
      <formula>NOT(ISERROR(SEARCH("1-4",A757)))</formula>
    </cfRule>
    <cfRule type="containsText" dxfId="1355" priority="1302" operator="containsText" text="0-4">
      <formula>NOT(ISERROR(SEARCH("0-4",A757)))</formula>
    </cfRule>
    <cfRule type="containsText" dxfId="1354" priority="1303" operator="containsText" text="2-3">
      <formula>NOT(ISERROR(SEARCH("2-3",A757)))</formula>
    </cfRule>
    <cfRule type="containsText" dxfId="1353" priority="1304" operator="containsText" text="1-3">
      <formula>NOT(ISERROR(SEARCH("1-3",A757)))</formula>
    </cfRule>
    <cfRule type="containsText" dxfId="1352" priority="1305" operator="containsText" text="0-3">
      <formula>NOT(ISERROR(SEARCH("0-3",A757)))</formula>
    </cfRule>
    <cfRule type="containsText" dxfId="1351" priority="1306" operator="containsText" text="1-2">
      <formula>NOT(ISERROR(SEARCH("1-2",A757)))</formula>
    </cfRule>
    <cfRule type="containsText" dxfId="1350" priority="1307" operator="containsText" text="0-2">
      <formula>NOT(ISERROR(SEARCH("0-2",A757)))</formula>
    </cfRule>
    <cfRule type="containsText" dxfId="1349" priority="1308" operator="containsText" text="0-1">
      <formula>NOT(ISERROR(SEARCH("0-1",A757)))</formula>
    </cfRule>
    <cfRule type="containsText" dxfId="1348" priority="1309" operator="containsText" text="4-2">
      <formula>NOT(ISERROR(SEARCH("4-2",A757)))</formula>
    </cfRule>
    <cfRule type="containsText" dxfId="1347" priority="1310" operator="containsText" text="4-1">
      <formula>NOT(ISERROR(SEARCH("4-1",A757)))</formula>
    </cfRule>
    <cfRule type="containsText" dxfId="1346" priority="1311" operator="containsText" text="3-2">
      <formula>NOT(ISERROR(SEARCH("3-2",A757)))</formula>
    </cfRule>
    <cfRule type="containsText" dxfId="1345" priority="1312" operator="containsText" text="3-1">
      <formula>NOT(ISERROR(SEARCH("3-1",A757)))</formula>
    </cfRule>
    <cfRule type="containsText" dxfId="1344" priority="1313" operator="containsText" text="3-0">
      <formula>NOT(ISERROR(SEARCH("3-0",A757)))</formula>
    </cfRule>
    <cfRule type="containsText" dxfId="1343" priority="1314" operator="containsText" text="2-1">
      <formula>NOT(ISERROR(SEARCH("2-1",A757)))</formula>
    </cfRule>
    <cfRule type="containsText" dxfId="1342" priority="1315" operator="containsText" text="2-0">
      <formula>NOT(ISERROR(SEARCH("2-0",A757)))</formula>
    </cfRule>
    <cfRule type="containsText" dxfId="1341" priority="1316" operator="containsText" text="1-0">
      <formula>NOT(ISERROR(SEARCH("1-0",A757)))</formula>
    </cfRule>
    <cfRule type="containsText" dxfId="1340" priority="1317" operator="containsText" text="4-4">
      <formula>NOT(ISERROR(SEARCH("4-4",A757)))</formula>
    </cfRule>
    <cfRule type="containsText" dxfId="1339" priority="1318" operator="containsText" text="3-3">
      <formula>NOT(ISERROR(SEARCH("3-3",A757)))</formula>
    </cfRule>
    <cfRule type="containsText" dxfId="1338" priority="1319" operator="containsText" text="2-2">
      <formula>NOT(ISERROR(SEARCH("2-2",A757)))</formula>
    </cfRule>
    <cfRule type="containsText" dxfId="1337" priority="1320" operator="containsText" text="1-1">
      <formula>NOT(ISERROR(SEARCH("1-1",A757)))</formula>
    </cfRule>
    <cfRule type="containsText" dxfId="1336" priority="1321" operator="containsText" text="0-0">
      <formula>NOT(ISERROR(SEARCH("0-0",A757)))</formula>
    </cfRule>
  </conditionalFormatting>
  <conditionalFormatting sqref="A839:A889">
    <cfRule type="containsText" dxfId="1335" priority="1163" operator="containsText" text="5-2">
      <formula>NOT(ISERROR(SEARCH("5-2",A839)))</formula>
    </cfRule>
    <cfRule type="containsText" dxfId="1334" priority="1164" operator="containsText" text="0-5">
      <formula>NOT(ISERROR(SEARCH("0-5",A839)))</formula>
    </cfRule>
    <cfRule type="containsText" dxfId="1333" priority="1165" operator="containsText" text="3-4">
      <formula>NOT(ISERROR(SEARCH("3-4",A839)))</formula>
    </cfRule>
    <cfRule type="containsText" dxfId="1332" priority="1166" operator="containsText" text="4-0">
      <formula>NOT(ISERROR(SEARCH("4-0",A839)))</formula>
    </cfRule>
    <cfRule type="containsText" dxfId="1331" priority="1167" operator="containsText" text="2-4">
      <formula>NOT(ISERROR(SEARCH("2-4",A839)))</formula>
    </cfRule>
    <cfRule type="containsText" dxfId="1330" priority="1168" operator="containsText" text="5-0">
      <formula>NOT(ISERROR(SEARCH("5-0",A839)))</formula>
    </cfRule>
    <cfRule type="containsText" dxfId="1329" priority="1169" operator="containsText" text="4-3">
      <formula>NOT(ISERROR(SEARCH("4-3",A839)))</formula>
    </cfRule>
    <cfRule type="containsText" dxfId="1328" priority="1170" operator="containsText" text="6-0">
      <formula>NOT(ISERROR(SEARCH("6-0",A839)))</formula>
    </cfRule>
    <cfRule type="containsText" dxfId="1327" priority="1171" operator="containsText" text="6-0">
      <formula>NOT(ISERROR(SEARCH("6-0",A839)))</formula>
    </cfRule>
    <cfRule type="containsText" dxfId="1326" priority="1172" operator="containsText" text="5-1">
      <formula>NOT(ISERROR(SEARCH("5-1",A839)))</formula>
    </cfRule>
    <cfRule type="containsText" dxfId="1325" priority="1173" operator="containsText" text="1-4">
      <formula>NOT(ISERROR(SEARCH("1-4",A839)))</formula>
    </cfRule>
    <cfRule type="containsText" dxfId="1324" priority="1174" operator="containsText" text="0-4">
      <formula>NOT(ISERROR(SEARCH("0-4",A839)))</formula>
    </cfRule>
    <cfRule type="containsText" dxfId="1323" priority="1175" operator="containsText" text="2-3">
      <formula>NOT(ISERROR(SEARCH("2-3",A839)))</formula>
    </cfRule>
    <cfRule type="containsText" dxfId="1322" priority="1176" operator="containsText" text="1-3">
      <formula>NOT(ISERROR(SEARCH("1-3",A839)))</formula>
    </cfRule>
    <cfRule type="containsText" dxfId="1321" priority="1177" operator="containsText" text="0-3">
      <formula>NOT(ISERROR(SEARCH("0-3",A839)))</formula>
    </cfRule>
    <cfRule type="containsText" dxfId="1320" priority="1178" operator="containsText" text="1-2">
      <formula>NOT(ISERROR(SEARCH("1-2",A839)))</formula>
    </cfRule>
    <cfRule type="containsText" dxfId="1319" priority="1179" operator="containsText" text="0-2">
      <formula>NOT(ISERROR(SEARCH("0-2",A839)))</formula>
    </cfRule>
    <cfRule type="containsText" dxfId="1318" priority="1180" operator="containsText" text="0-1">
      <formula>NOT(ISERROR(SEARCH("0-1",A839)))</formula>
    </cfRule>
    <cfRule type="containsText" dxfId="1317" priority="1181" operator="containsText" text="4-2">
      <formula>NOT(ISERROR(SEARCH("4-2",A839)))</formula>
    </cfRule>
    <cfRule type="containsText" dxfId="1316" priority="1182" operator="containsText" text="4-1">
      <formula>NOT(ISERROR(SEARCH("4-1",A839)))</formula>
    </cfRule>
    <cfRule type="containsText" dxfId="1315" priority="1183" operator="containsText" text="3-2">
      <formula>NOT(ISERROR(SEARCH("3-2",A839)))</formula>
    </cfRule>
    <cfRule type="containsText" dxfId="1314" priority="1184" operator="containsText" text="3-1">
      <formula>NOT(ISERROR(SEARCH("3-1",A839)))</formula>
    </cfRule>
    <cfRule type="containsText" dxfId="1313" priority="1185" operator="containsText" text="3-0">
      <formula>NOT(ISERROR(SEARCH("3-0",A839)))</formula>
    </cfRule>
    <cfRule type="containsText" dxfId="1312" priority="1186" operator="containsText" text="2-1">
      <formula>NOT(ISERROR(SEARCH("2-1",A839)))</formula>
    </cfRule>
    <cfRule type="containsText" dxfId="1311" priority="1187" operator="containsText" text="2-0">
      <formula>NOT(ISERROR(SEARCH("2-0",A839)))</formula>
    </cfRule>
    <cfRule type="containsText" dxfId="1310" priority="1188" operator="containsText" text="1-0">
      <formula>NOT(ISERROR(SEARCH("1-0",A839)))</formula>
    </cfRule>
    <cfRule type="containsText" dxfId="1309" priority="1189" operator="containsText" text="4-4">
      <formula>NOT(ISERROR(SEARCH("4-4",A839)))</formula>
    </cfRule>
    <cfRule type="containsText" dxfId="1308" priority="1190" operator="containsText" text="3-3">
      <formula>NOT(ISERROR(SEARCH("3-3",A839)))</formula>
    </cfRule>
    <cfRule type="containsText" dxfId="1307" priority="1191" operator="containsText" text="2-2">
      <formula>NOT(ISERROR(SEARCH("2-2",A839)))</formula>
    </cfRule>
    <cfRule type="containsText" dxfId="1306" priority="1192" operator="containsText" text="1-1">
      <formula>NOT(ISERROR(SEARCH("1-1",A839)))</formula>
    </cfRule>
    <cfRule type="containsText" dxfId="1305" priority="1193" operator="containsText" text="0-0">
      <formula>NOT(ISERROR(SEARCH("0-0",A839)))</formula>
    </cfRule>
  </conditionalFormatting>
  <conditionalFormatting sqref="A890:A921">
    <cfRule type="containsText" dxfId="1304" priority="1066" operator="containsText" text="5-2">
      <formula>NOT(ISERROR(SEARCH("5-2",A890)))</formula>
    </cfRule>
    <cfRule type="containsText" dxfId="1303" priority="1067" operator="containsText" text="0-5">
      <formula>NOT(ISERROR(SEARCH("0-5",A890)))</formula>
    </cfRule>
    <cfRule type="containsText" dxfId="1302" priority="1068" operator="containsText" text="3-4">
      <formula>NOT(ISERROR(SEARCH("3-4",A890)))</formula>
    </cfRule>
    <cfRule type="containsText" dxfId="1301" priority="1069" operator="containsText" text="4-0">
      <formula>NOT(ISERROR(SEARCH("4-0",A890)))</formula>
    </cfRule>
    <cfRule type="containsText" dxfId="1300" priority="1070" operator="containsText" text="2-4">
      <formula>NOT(ISERROR(SEARCH("2-4",A890)))</formula>
    </cfRule>
    <cfRule type="containsText" dxfId="1299" priority="1071" operator="containsText" text="5-0">
      <formula>NOT(ISERROR(SEARCH("5-0",A890)))</formula>
    </cfRule>
    <cfRule type="containsText" dxfId="1298" priority="1072" operator="containsText" text="4-3">
      <formula>NOT(ISERROR(SEARCH("4-3",A890)))</formula>
    </cfRule>
    <cfRule type="containsText" dxfId="1297" priority="1073" operator="containsText" text="6-0">
      <formula>NOT(ISERROR(SEARCH("6-0",A890)))</formula>
    </cfRule>
    <cfRule type="containsText" dxfId="1296" priority="1074" operator="containsText" text="6-0">
      <formula>NOT(ISERROR(SEARCH("6-0",A890)))</formula>
    </cfRule>
    <cfRule type="containsText" dxfId="1295" priority="1075" operator="containsText" text="5-1">
      <formula>NOT(ISERROR(SEARCH("5-1",A890)))</formula>
    </cfRule>
    <cfRule type="containsText" dxfId="1294" priority="1076" operator="containsText" text="1-4">
      <formula>NOT(ISERROR(SEARCH("1-4",A890)))</formula>
    </cfRule>
    <cfRule type="containsText" dxfId="1293" priority="1077" operator="containsText" text="0-4">
      <formula>NOT(ISERROR(SEARCH("0-4",A890)))</formula>
    </cfRule>
    <cfRule type="containsText" dxfId="1292" priority="1078" operator="containsText" text="2-3">
      <formula>NOT(ISERROR(SEARCH("2-3",A890)))</formula>
    </cfRule>
    <cfRule type="containsText" dxfId="1291" priority="1079" operator="containsText" text="1-3">
      <formula>NOT(ISERROR(SEARCH("1-3",A890)))</formula>
    </cfRule>
    <cfRule type="containsText" dxfId="1290" priority="1080" operator="containsText" text="0-3">
      <formula>NOT(ISERROR(SEARCH("0-3",A890)))</formula>
    </cfRule>
    <cfRule type="containsText" dxfId="1289" priority="1081" operator="containsText" text="1-2">
      <formula>NOT(ISERROR(SEARCH("1-2",A890)))</formula>
    </cfRule>
    <cfRule type="containsText" dxfId="1288" priority="1082" operator="containsText" text="0-2">
      <formula>NOT(ISERROR(SEARCH("0-2",A890)))</formula>
    </cfRule>
    <cfRule type="containsText" dxfId="1287" priority="1083" operator="containsText" text="0-1">
      <formula>NOT(ISERROR(SEARCH("0-1",A890)))</formula>
    </cfRule>
    <cfRule type="containsText" dxfId="1286" priority="1084" operator="containsText" text="4-2">
      <formula>NOT(ISERROR(SEARCH("4-2",A890)))</formula>
    </cfRule>
    <cfRule type="containsText" dxfId="1285" priority="1085" operator="containsText" text="4-1">
      <formula>NOT(ISERROR(SEARCH("4-1",A890)))</formula>
    </cfRule>
    <cfRule type="containsText" dxfId="1284" priority="1086" operator="containsText" text="3-2">
      <formula>NOT(ISERROR(SEARCH("3-2",A890)))</formula>
    </cfRule>
    <cfRule type="containsText" dxfId="1283" priority="1087" operator="containsText" text="3-1">
      <formula>NOT(ISERROR(SEARCH("3-1",A890)))</formula>
    </cfRule>
    <cfRule type="containsText" dxfId="1282" priority="1088" operator="containsText" text="3-0">
      <formula>NOT(ISERROR(SEARCH("3-0",A890)))</formula>
    </cfRule>
    <cfRule type="containsText" dxfId="1281" priority="1089" operator="containsText" text="2-1">
      <formula>NOT(ISERROR(SEARCH("2-1",A890)))</formula>
    </cfRule>
    <cfRule type="containsText" dxfId="1280" priority="1090" operator="containsText" text="2-0">
      <formula>NOT(ISERROR(SEARCH("2-0",A890)))</formula>
    </cfRule>
    <cfRule type="containsText" dxfId="1279" priority="1091" operator="containsText" text="1-0">
      <formula>NOT(ISERROR(SEARCH("1-0",A890)))</formula>
    </cfRule>
    <cfRule type="containsText" dxfId="1278" priority="1092" operator="containsText" text="4-4">
      <formula>NOT(ISERROR(SEARCH("4-4",A890)))</formula>
    </cfRule>
    <cfRule type="containsText" dxfId="1277" priority="1093" operator="containsText" text="3-3">
      <formula>NOT(ISERROR(SEARCH("3-3",A890)))</formula>
    </cfRule>
    <cfRule type="containsText" dxfId="1276" priority="1094" operator="containsText" text="2-2">
      <formula>NOT(ISERROR(SEARCH("2-2",A890)))</formula>
    </cfRule>
    <cfRule type="containsText" dxfId="1275" priority="1095" operator="containsText" text="1-1">
      <formula>NOT(ISERROR(SEARCH("1-1",A890)))</formula>
    </cfRule>
    <cfRule type="containsText" dxfId="1274" priority="1096" operator="containsText" text="0-0">
      <formula>NOT(ISERROR(SEARCH("0-0",A890)))</formula>
    </cfRule>
  </conditionalFormatting>
  <conditionalFormatting sqref="A922:A969">
    <cfRule type="containsText" dxfId="1273" priority="1035" operator="containsText" text="5-2">
      <formula>NOT(ISERROR(SEARCH("5-2",A922)))</formula>
    </cfRule>
    <cfRule type="containsText" dxfId="1272" priority="1036" operator="containsText" text="0-5">
      <formula>NOT(ISERROR(SEARCH("0-5",A922)))</formula>
    </cfRule>
    <cfRule type="containsText" dxfId="1271" priority="1037" operator="containsText" text="3-4">
      <formula>NOT(ISERROR(SEARCH("3-4",A922)))</formula>
    </cfRule>
    <cfRule type="containsText" dxfId="1270" priority="1038" operator="containsText" text="4-0">
      <formula>NOT(ISERROR(SEARCH("4-0",A922)))</formula>
    </cfRule>
    <cfRule type="containsText" dxfId="1269" priority="1039" operator="containsText" text="2-4">
      <formula>NOT(ISERROR(SEARCH("2-4",A922)))</formula>
    </cfRule>
    <cfRule type="containsText" dxfId="1268" priority="1040" operator="containsText" text="5-0">
      <formula>NOT(ISERROR(SEARCH("5-0",A922)))</formula>
    </cfRule>
    <cfRule type="containsText" dxfId="1267" priority="1041" operator="containsText" text="4-3">
      <formula>NOT(ISERROR(SEARCH("4-3",A922)))</formula>
    </cfRule>
    <cfRule type="containsText" dxfId="1266" priority="1042" operator="containsText" text="6-0">
      <formula>NOT(ISERROR(SEARCH("6-0",A922)))</formula>
    </cfRule>
    <cfRule type="containsText" dxfId="1265" priority="1043" operator="containsText" text="6-0">
      <formula>NOT(ISERROR(SEARCH("6-0",A922)))</formula>
    </cfRule>
    <cfRule type="containsText" dxfId="1264" priority="1044" operator="containsText" text="5-1">
      <formula>NOT(ISERROR(SEARCH("5-1",A922)))</formula>
    </cfRule>
    <cfRule type="containsText" dxfId="1263" priority="1045" operator="containsText" text="1-4">
      <formula>NOT(ISERROR(SEARCH("1-4",A922)))</formula>
    </cfRule>
    <cfRule type="containsText" dxfId="1262" priority="1046" operator="containsText" text="0-4">
      <formula>NOT(ISERROR(SEARCH("0-4",A922)))</formula>
    </cfRule>
    <cfRule type="containsText" dxfId="1261" priority="1047" operator="containsText" text="2-3">
      <formula>NOT(ISERROR(SEARCH("2-3",A922)))</formula>
    </cfRule>
    <cfRule type="containsText" dxfId="1260" priority="1048" operator="containsText" text="1-3">
      <formula>NOT(ISERROR(SEARCH("1-3",A922)))</formula>
    </cfRule>
    <cfRule type="containsText" dxfId="1259" priority="1049" operator="containsText" text="0-3">
      <formula>NOT(ISERROR(SEARCH("0-3",A922)))</formula>
    </cfRule>
    <cfRule type="containsText" dxfId="1258" priority="1050" operator="containsText" text="1-2">
      <formula>NOT(ISERROR(SEARCH("1-2",A922)))</formula>
    </cfRule>
    <cfRule type="containsText" dxfId="1257" priority="1051" operator="containsText" text="0-2">
      <formula>NOT(ISERROR(SEARCH("0-2",A922)))</formula>
    </cfRule>
    <cfRule type="containsText" dxfId="1256" priority="1052" operator="containsText" text="0-1">
      <formula>NOT(ISERROR(SEARCH("0-1",A922)))</formula>
    </cfRule>
    <cfRule type="containsText" dxfId="1255" priority="1053" operator="containsText" text="4-2">
      <formula>NOT(ISERROR(SEARCH("4-2",A922)))</formula>
    </cfRule>
    <cfRule type="containsText" dxfId="1254" priority="1054" operator="containsText" text="4-1">
      <formula>NOT(ISERROR(SEARCH("4-1",A922)))</formula>
    </cfRule>
    <cfRule type="containsText" dxfId="1253" priority="1055" operator="containsText" text="3-2">
      <formula>NOT(ISERROR(SEARCH("3-2",A922)))</formula>
    </cfRule>
    <cfRule type="containsText" dxfId="1252" priority="1056" operator="containsText" text="3-1">
      <formula>NOT(ISERROR(SEARCH("3-1",A922)))</formula>
    </cfRule>
    <cfRule type="containsText" dxfId="1251" priority="1057" operator="containsText" text="3-0">
      <formula>NOT(ISERROR(SEARCH("3-0",A922)))</formula>
    </cfRule>
    <cfRule type="containsText" dxfId="1250" priority="1058" operator="containsText" text="2-1">
      <formula>NOT(ISERROR(SEARCH("2-1",A922)))</formula>
    </cfRule>
    <cfRule type="containsText" dxfId="1249" priority="1059" operator="containsText" text="2-0">
      <formula>NOT(ISERROR(SEARCH("2-0",A922)))</formula>
    </cfRule>
    <cfRule type="containsText" dxfId="1248" priority="1060" operator="containsText" text="1-0">
      <formula>NOT(ISERROR(SEARCH("1-0",A922)))</formula>
    </cfRule>
    <cfRule type="containsText" dxfId="1247" priority="1061" operator="containsText" text="4-4">
      <formula>NOT(ISERROR(SEARCH("4-4",A922)))</formula>
    </cfRule>
    <cfRule type="containsText" dxfId="1246" priority="1062" operator="containsText" text="3-3">
      <formula>NOT(ISERROR(SEARCH("3-3",A922)))</formula>
    </cfRule>
    <cfRule type="containsText" dxfId="1245" priority="1063" operator="containsText" text="2-2">
      <formula>NOT(ISERROR(SEARCH("2-2",A922)))</formula>
    </cfRule>
    <cfRule type="containsText" dxfId="1244" priority="1064" operator="containsText" text="1-1">
      <formula>NOT(ISERROR(SEARCH("1-1",A922)))</formula>
    </cfRule>
    <cfRule type="containsText" dxfId="1243" priority="1065" operator="containsText" text="0-0">
      <formula>NOT(ISERROR(SEARCH("0-0",A922)))</formula>
    </cfRule>
  </conditionalFormatting>
  <conditionalFormatting sqref="B2:B1048576">
    <cfRule type="cellIs" dxfId="1242" priority="211" operator="between">
      <formula>0.1</formula>
      <formula>49.99</formula>
    </cfRule>
    <cfRule type="cellIs" dxfId="1241" priority="212" operator="between">
      <formula>50</formula>
      <formula>59.99</formula>
    </cfRule>
    <cfRule type="cellIs" dxfId="1240" priority="213" operator="between">
      <formula>60</formula>
      <formula>69.99</formula>
    </cfRule>
    <cfRule type="cellIs" dxfId="1239" priority="214" operator="between">
      <formula>70</formula>
      <formula>100</formula>
    </cfRule>
  </conditionalFormatting>
  <conditionalFormatting sqref="C2:C1048576">
    <cfRule type="cellIs" dxfId="1238" priority="203" operator="between">
      <formula>0.1</formula>
      <formula>49.99</formula>
    </cfRule>
    <cfRule type="cellIs" dxfId="1237" priority="204" operator="between">
      <formula>50</formula>
      <formula>59.99</formula>
    </cfRule>
    <cfRule type="cellIs" dxfId="1236" priority="205" operator="between">
      <formula>60</formula>
      <formula>69.99</formula>
    </cfRule>
    <cfRule type="cellIs" dxfId="1235" priority="206" operator="between">
      <formula>70</formula>
      <formula>100</formula>
    </cfRule>
  </conditionalFormatting>
  <conditionalFormatting sqref="D2:D1048576">
    <cfRule type="cellIs" dxfId="1234" priority="195" operator="between">
      <formula>0.1</formula>
      <formula>49.99</formula>
    </cfRule>
    <cfRule type="cellIs" dxfId="1233" priority="196" operator="between">
      <formula>50</formula>
      <formula>59.99</formula>
    </cfRule>
    <cfRule type="cellIs" dxfId="1232" priority="197" operator="between">
      <formula>60</formula>
      <formula>69.99</formula>
    </cfRule>
    <cfRule type="cellIs" dxfId="1231" priority="198" operator="between">
      <formula>70</formula>
      <formula>100</formula>
    </cfRule>
  </conditionalFormatting>
  <conditionalFormatting sqref="E2:E1048576">
    <cfRule type="cellIs" dxfId="1230" priority="187" operator="between">
      <formula>0.1</formula>
      <formula>49.99</formula>
    </cfRule>
    <cfRule type="cellIs" dxfId="1229" priority="188" operator="between">
      <formula>50</formula>
      <formula>59.99</formula>
    </cfRule>
    <cfRule type="cellIs" dxfId="1228" priority="189" operator="between">
      <formula>60</formula>
      <formula>69.99</formula>
    </cfRule>
    <cfRule type="cellIs" dxfId="1227" priority="190" operator="between">
      <formula>70</formula>
      <formula>100</formula>
    </cfRule>
  </conditionalFormatting>
  <conditionalFormatting sqref="F2:F1048576">
    <cfRule type="cellIs" dxfId="1226" priority="179" operator="between">
      <formula>0.1</formula>
      <formula>49.99</formula>
    </cfRule>
    <cfRule type="cellIs" dxfId="1225" priority="180" operator="between">
      <formula>50</formula>
      <formula>59.99</formula>
    </cfRule>
    <cfRule type="cellIs" dxfId="1224" priority="181" operator="between">
      <formula>60</formula>
      <formula>69.99</formula>
    </cfRule>
    <cfRule type="cellIs" dxfId="1223" priority="182" operator="between">
      <formula>70</formula>
      <formula>100</formula>
    </cfRule>
  </conditionalFormatting>
  <conditionalFormatting sqref="G2:G1048576">
    <cfRule type="cellIs" dxfId="1222" priority="171" operator="between">
      <formula>0.1</formula>
      <formula>49.99</formula>
    </cfRule>
    <cfRule type="cellIs" dxfId="1221" priority="172" operator="between">
      <formula>50</formula>
      <formula>59.99</formula>
    </cfRule>
    <cfRule type="cellIs" dxfId="1220" priority="173" operator="between">
      <formula>60</formula>
      <formula>69.99</formula>
    </cfRule>
    <cfRule type="cellIs" dxfId="1219" priority="174" operator="between">
      <formula>70</formula>
      <formula>100</formula>
    </cfRule>
  </conditionalFormatting>
  <conditionalFormatting sqref="H2:H1048576">
    <cfRule type="cellIs" dxfId="1218" priority="163" operator="between">
      <formula>0.1</formula>
      <formula>49.99</formula>
    </cfRule>
    <cfRule type="cellIs" dxfId="1217" priority="164" operator="between">
      <formula>50</formula>
      <formula>59.99</formula>
    </cfRule>
    <cfRule type="cellIs" dxfId="1216" priority="165" operator="between">
      <formula>60</formula>
      <formula>69.99</formula>
    </cfRule>
    <cfRule type="cellIs" dxfId="1215" priority="166" operator="between">
      <formula>70</formula>
      <formula>100</formula>
    </cfRule>
  </conditionalFormatting>
  <conditionalFormatting sqref="I2:I1048576">
    <cfRule type="cellIs" dxfId="1214" priority="155" operator="between">
      <formula>0.1</formula>
      <formula>49.99</formula>
    </cfRule>
    <cfRule type="cellIs" dxfId="1213" priority="156" operator="between">
      <formula>50</formula>
      <formula>59.99</formula>
    </cfRule>
    <cfRule type="cellIs" dxfId="1212" priority="157" operator="between">
      <formula>60</formula>
      <formula>69.99</formula>
    </cfRule>
    <cfRule type="cellIs" dxfId="1211" priority="158" operator="between">
      <formula>70</formula>
      <formula>100</formula>
    </cfRule>
  </conditionalFormatting>
  <conditionalFormatting sqref="J2:J1048576">
    <cfRule type="cellIs" dxfId="1210" priority="147" operator="between">
      <formula>0.1</formula>
      <formula>49.99</formula>
    </cfRule>
    <cfRule type="cellIs" dxfId="1209" priority="148" operator="between">
      <formula>50</formula>
      <formula>59.99</formula>
    </cfRule>
    <cfRule type="cellIs" dxfId="1208" priority="149" operator="between">
      <formula>60</formula>
      <formula>69.99</formula>
    </cfRule>
    <cfRule type="cellIs" dxfId="1207" priority="150" operator="between">
      <formula>70</formula>
      <formula>100</formula>
    </cfRule>
  </conditionalFormatting>
  <conditionalFormatting sqref="K2:K1048576">
    <cfRule type="cellIs" dxfId="1206" priority="123" operator="between">
      <formula>0.1</formula>
      <formula>49.99</formula>
    </cfRule>
    <cfRule type="cellIs" dxfId="1205" priority="124" operator="between">
      <formula>50</formula>
      <formula>59.99</formula>
    </cfRule>
    <cfRule type="cellIs" dxfId="1204" priority="125" operator="between">
      <formula>60</formula>
      <formula>69.99</formula>
    </cfRule>
    <cfRule type="cellIs" dxfId="1203" priority="126" operator="between">
      <formula>70</formula>
      <formula>100</formula>
    </cfRule>
  </conditionalFormatting>
  <conditionalFormatting sqref="L2:L1048576">
    <cfRule type="cellIs" dxfId="1202" priority="115" operator="between">
      <formula>0.1</formula>
      <formula>49.99</formula>
    </cfRule>
    <cfRule type="cellIs" dxfId="1201" priority="116" operator="between">
      <formula>50</formula>
      <formula>59.99</formula>
    </cfRule>
    <cfRule type="cellIs" dxfId="1200" priority="117" operator="between">
      <formula>60</formula>
      <formula>69.99</formula>
    </cfRule>
    <cfRule type="cellIs" dxfId="1199" priority="118" operator="between">
      <formula>70</formula>
      <formula>100</formula>
    </cfRule>
  </conditionalFormatting>
  <conditionalFormatting sqref="M2:M1048576">
    <cfRule type="cellIs" dxfId="1198" priority="107" operator="between">
      <formula>0.1</formula>
      <formula>49.99</formula>
    </cfRule>
    <cfRule type="cellIs" dxfId="1197" priority="108" operator="between">
      <formula>50</formula>
      <formula>59.99</formula>
    </cfRule>
    <cfRule type="cellIs" dxfId="1196" priority="109" operator="between">
      <formula>60</formula>
      <formula>69.99</formula>
    </cfRule>
    <cfRule type="cellIs" dxfId="1195" priority="110" operator="between">
      <formula>70</formula>
      <formula>100</formula>
    </cfRule>
  </conditionalFormatting>
  <conditionalFormatting sqref="N2:N1048576">
    <cfRule type="cellIs" dxfId="1194" priority="99" operator="between">
      <formula>0.1</formula>
      <formula>49.99</formula>
    </cfRule>
    <cfRule type="cellIs" dxfId="1193" priority="100" operator="between">
      <formula>50</formula>
      <formula>59.99</formula>
    </cfRule>
    <cfRule type="cellIs" dxfId="1192" priority="101" operator="between">
      <formula>60</formula>
      <formula>69.99</formula>
    </cfRule>
    <cfRule type="cellIs" dxfId="1191" priority="102" operator="between">
      <formula>70</formula>
      <formula>100</formula>
    </cfRule>
  </conditionalFormatting>
  <conditionalFormatting sqref="O2:O1048576">
    <cfRule type="cellIs" dxfId="1190" priority="91" operator="between">
      <formula>0.1</formula>
      <formula>49.99</formula>
    </cfRule>
    <cfRule type="cellIs" dxfId="1189" priority="92" operator="between">
      <formula>50</formula>
      <formula>59.99</formula>
    </cfRule>
    <cfRule type="cellIs" dxfId="1188" priority="93" operator="between">
      <formula>60</formula>
      <formula>69.99</formula>
    </cfRule>
    <cfRule type="cellIs" dxfId="1187" priority="94" operator="between">
      <formula>70</formula>
      <formula>100</formula>
    </cfRule>
  </conditionalFormatting>
  <conditionalFormatting sqref="P2:P1048576">
    <cfRule type="cellIs" dxfId="1186" priority="83" operator="between">
      <formula>0.1</formula>
      <formula>49.99</formula>
    </cfRule>
    <cfRule type="cellIs" dxfId="1185" priority="84" operator="between">
      <formula>50</formula>
      <formula>59.99</formula>
    </cfRule>
    <cfRule type="cellIs" dxfId="1184" priority="85" operator="between">
      <formula>60</formula>
      <formula>69.99</formula>
    </cfRule>
    <cfRule type="cellIs" dxfId="1183" priority="86" operator="between">
      <formula>70</formula>
      <formula>100</formula>
    </cfRule>
  </conditionalFormatting>
  <conditionalFormatting sqref="R400:R463">
    <cfRule type="cellIs" dxfId="1182" priority="1547" operator="between">
      <formula>96</formula>
      <formula>140</formula>
    </cfRule>
    <cfRule type="cellIs" dxfId="1181" priority="1548" operator="between">
      <formula>85</formula>
      <formula>95</formula>
    </cfRule>
    <cfRule type="cellIs" dxfId="1180" priority="1549" operator="between">
      <formula>30</formula>
      <formula>84</formula>
    </cfRule>
  </conditionalFormatting>
  <conditionalFormatting sqref="R656:R705">
    <cfRule type="cellIs" dxfId="1179" priority="1465" operator="between">
      <formula>96</formula>
      <formula>140</formula>
    </cfRule>
    <cfRule type="cellIs" dxfId="1178" priority="1466" operator="between">
      <formula>85</formula>
      <formula>95</formula>
    </cfRule>
    <cfRule type="cellIs" dxfId="1177" priority="1467" operator="between">
      <formula>30</formula>
      <formula>84</formula>
    </cfRule>
  </conditionalFormatting>
  <conditionalFormatting sqref="R706:R756">
    <cfRule type="cellIs" dxfId="1176" priority="1340" operator="between">
      <formula>96</formula>
      <formula>140</formula>
    </cfRule>
    <cfRule type="cellIs" dxfId="1175" priority="1341" operator="between">
      <formula>85</formula>
      <formula>95</formula>
    </cfRule>
    <cfRule type="cellIs" dxfId="1174" priority="1342" operator="between">
      <formula>30</formula>
      <formula>84</formula>
    </cfRule>
  </conditionalFormatting>
  <conditionalFormatting sqref="R788:R838">
    <cfRule type="cellIs" dxfId="1173" priority="1212" operator="between">
      <formula>96</formula>
      <formula>140</formula>
    </cfRule>
    <cfRule type="cellIs" dxfId="1172" priority="1213" operator="between">
      <formula>85</formula>
      <formula>95</formula>
    </cfRule>
    <cfRule type="cellIs" dxfId="1171" priority="1214" operator="between">
      <formula>30</formula>
      <formula>84</formula>
    </cfRule>
  </conditionalFormatting>
  <conditionalFormatting sqref="R839:R889">
    <cfRule type="cellIs" dxfId="1170" priority="1115" operator="between">
      <formula>96</formula>
      <formula>140</formula>
    </cfRule>
    <cfRule type="cellIs" dxfId="1169" priority="1116" operator="between">
      <formula>85</formula>
      <formula>95</formula>
    </cfRule>
    <cfRule type="cellIs" dxfId="1168" priority="1117" operator="between">
      <formula>30</formula>
      <formula>84</formula>
    </cfRule>
  </conditionalFormatting>
  <conditionalFormatting sqref="R922:R969">
    <cfRule type="cellIs" dxfId="1167" priority="987" operator="between">
      <formula>96</formula>
      <formula>140</formula>
    </cfRule>
    <cfRule type="cellIs" dxfId="1166" priority="988" operator="between">
      <formula>85</formula>
      <formula>95</formula>
    </cfRule>
    <cfRule type="cellIs" dxfId="1165" priority="989" operator="between">
      <formula>30</formula>
      <formula>84</formula>
    </cfRule>
  </conditionalFormatting>
  <conditionalFormatting sqref="S400:S463">
    <cfRule type="cellIs" dxfId="1164" priority="1544" operator="between">
      <formula>96</formula>
      <formula>120</formula>
    </cfRule>
    <cfRule type="cellIs" dxfId="1163" priority="1545" operator="between">
      <formula>85</formula>
      <formula>95</formula>
    </cfRule>
    <cfRule type="cellIs" dxfId="1162" priority="1546" operator="between">
      <formula>30</formula>
      <formula>84</formula>
    </cfRule>
  </conditionalFormatting>
  <conditionalFormatting sqref="S656:S705">
    <cfRule type="cellIs" dxfId="1161" priority="1462" operator="between">
      <formula>96</formula>
      <formula>120</formula>
    </cfRule>
    <cfRule type="cellIs" dxfId="1160" priority="1463" operator="between">
      <formula>85</formula>
      <formula>95</formula>
    </cfRule>
    <cfRule type="cellIs" dxfId="1159" priority="1464" operator="between">
      <formula>30</formula>
      <formula>84</formula>
    </cfRule>
  </conditionalFormatting>
  <conditionalFormatting sqref="S706:S756">
    <cfRule type="cellIs" dxfId="1158" priority="1337" operator="between">
      <formula>96</formula>
      <formula>120</formula>
    </cfRule>
    <cfRule type="cellIs" dxfId="1157" priority="1338" operator="between">
      <formula>85</formula>
      <formula>95</formula>
    </cfRule>
    <cfRule type="cellIs" dxfId="1156" priority="1339" operator="between">
      <formula>30</formula>
      <formula>84</formula>
    </cfRule>
  </conditionalFormatting>
  <conditionalFormatting sqref="S788:S838">
    <cfRule type="cellIs" dxfId="1155" priority="1209" operator="between">
      <formula>96</formula>
      <formula>120</formula>
    </cfRule>
    <cfRule type="cellIs" dxfId="1154" priority="1210" operator="between">
      <formula>85</formula>
      <formula>95</formula>
    </cfRule>
    <cfRule type="cellIs" dxfId="1153" priority="1211" operator="between">
      <formula>30</formula>
      <formula>84</formula>
    </cfRule>
  </conditionalFormatting>
  <conditionalFormatting sqref="S839:S889">
    <cfRule type="cellIs" dxfId="1152" priority="1112" operator="between">
      <formula>96</formula>
      <formula>120</formula>
    </cfRule>
    <cfRule type="cellIs" dxfId="1151" priority="1113" operator="between">
      <formula>85</formula>
      <formula>95</formula>
    </cfRule>
    <cfRule type="cellIs" dxfId="1150" priority="1114" operator="between">
      <formula>30</formula>
      <formula>84</formula>
    </cfRule>
  </conditionalFormatting>
  <conditionalFormatting sqref="S922:S969">
    <cfRule type="cellIs" dxfId="1149" priority="984" operator="between">
      <formula>96</formula>
      <formula>120</formula>
    </cfRule>
    <cfRule type="cellIs" dxfId="1148" priority="985" operator="between">
      <formula>85</formula>
      <formula>95</formula>
    </cfRule>
    <cfRule type="cellIs" dxfId="1147" priority="986" operator="between">
      <formula>30</formula>
      <formula>84</formula>
    </cfRule>
  </conditionalFormatting>
  <conditionalFormatting sqref="T400:T463">
    <cfRule type="cellIs" dxfId="1146" priority="719" operator="equal">
      <formula>"模糊"</formula>
    </cfRule>
    <cfRule type="containsText" dxfId="1145" priority="720" operator="containsText" text="低一档">
      <formula>NOT(ISERROR(SEARCH("低一档",T400)))</formula>
    </cfRule>
    <cfRule type="containsText" dxfId="1144" priority="721" operator="containsText" text="高一档">
      <formula>NOT(ISERROR(SEARCH("高一档",T400)))</formula>
    </cfRule>
    <cfRule type="containsText" dxfId="1143" priority="722" operator="containsText" text="中水">
      <formula>NOT(ISERROR(SEARCH("中水",T400)))</formula>
    </cfRule>
    <cfRule type="containsText" dxfId="1142" priority="723" operator="containsText" text="高水">
      <formula>NOT(ISERROR(SEARCH("高水",T400)))</formula>
    </cfRule>
    <cfRule type="containsText" dxfId="1141" priority="724" operator="containsText" text="低水">
      <formula>NOT(ISERROR(SEARCH("低水",T400)))</formula>
    </cfRule>
  </conditionalFormatting>
  <conditionalFormatting sqref="T656:T705">
    <cfRule type="cellIs" dxfId="1140" priority="713" operator="equal">
      <formula>"模糊"</formula>
    </cfRule>
    <cfRule type="containsText" dxfId="1139" priority="714" operator="containsText" text="低一档">
      <formula>NOT(ISERROR(SEARCH("低一档",T656)))</formula>
    </cfRule>
    <cfRule type="containsText" dxfId="1138" priority="715" operator="containsText" text="高一档">
      <formula>NOT(ISERROR(SEARCH("高一档",T656)))</formula>
    </cfRule>
    <cfRule type="containsText" dxfId="1137" priority="716" operator="containsText" text="中水">
      <formula>NOT(ISERROR(SEARCH("中水",T656)))</formula>
    </cfRule>
    <cfRule type="containsText" dxfId="1136" priority="717" operator="containsText" text="高水">
      <formula>NOT(ISERROR(SEARCH("高水",T656)))</formula>
    </cfRule>
    <cfRule type="containsText" dxfId="1135" priority="718" operator="containsText" text="低水">
      <formula>NOT(ISERROR(SEARCH("低水",T656)))</formula>
    </cfRule>
  </conditionalFormatting>
  <conditionalFormatting sqref="T706:T756">
    <cfRule type="cellIs" dxfId="1134" priority="707" operator="equal">
      <formula>"模糊"</formula>
    </cfRule>
    <cfRule type="containsText" dxfId="1133" priority="708" operator="containsText" text="低一档">
      <formula>NOT(ISERROR(SEARCH("低一档",T706)))</formula>
    </cfRule>
    <cfRule type="containsText" dxfId="1132" priority="709" operator="containsText" text="高一档">
      <formula>NOT(ISERROR(SEARCH("高一档",T706)))</formula>
    </cfRule>
    <cfRule type="containsText" dxfId="1131" priority="710" operator="containsText" text="中水">
      <formula>NOT(ISERROR(SEARCH("中水",T706)))</formula>
    </cfRule>
    <cfRule type="containsText" dxfId="1130" priority="711" operator="containsText" text="高水">
      <formula>NOT(ISERROR(SEARCH("高水",T706)))</formula>
    </cfRule>
    <cfRule type="containsText" dxfId="1129" priority="712" operator="containsText" text="低水">
      <formula>NOT(ISERROR(SEARCH("低水",T706)))</formula>
    </cfRule>
  </conditionalFormatting>
  <conditionalFormatting sqref="T788:T838">
    <cfRule type="cellIs" dxfId="1128" priority="701" operator="equal">
      <formula>"模糊"</formula>
    </cfRule>
    <cfRule type="containsText" dxfId="1127" priority="702" operator="containsText" text="低一档">
      <formula>NOT(ISERROR(SEARCH("低一档",T788)))</formula>
    </cfRule>
    <cfRule type="containsText" dxfId="1126" priority="703" operator="containsText" text="高一档">
      <formula>NOT(ISERROR(SEARCH("高一档",T788)))</formula>
    </cfRule>
    <cfRule type="containsText" dxfId="1125" priority="704" operator="containsText" text="中水">
      <formula>NOT(ISERROR(SEARCH("中水",T788)))</formula>
    </cfRule>
    <cfRule type="containsText" dxfId="1124" priority="705" operator="containsText" text="高水">
      <formula>NOT(ISERROR(SEARCH("高水",T788)))</formula>
    </cfRule>
    <cfRule type="containsText" dxfId="1123" priority="706" operator="containsText" text="低水">
      <formula>NOT(ISERROR(SEARCH("低水",T788)))</formula>
    </cfRule>
  </conditionalFormatting>
  <conditionalFormatting sqref="T839:T889">
    <cfRule type="cellIs" dxfId="1122" priority="695" operator="equal">
      <formula>"模糊"</formula>
    </cfRule>
    <cfRule type="containsText" dxfId="1121" priority="696" operator="containsText" text="低一档">
      <formula>NOT(ISERROR(SEARCH("低一档",T839)))</formula>
    </cfRule>
    <cfRule type="containsText" dxfId="1120" priority="697" operator="containsText" text="高一档">
      <formula>NOT(ISERROR(SEARCH("高一档",T839)))</formula>
    </cfRule>
    <cfRule type="containsText" dxfId="1119" priority="698" operator="containsText" text="中水">
      <formula>NOT(ISERROR(SEARCH("中水",T839)))</formula>
    </cfRule>
    <cfRule type="containsText" dxfId="1118" priority="699" operator="containsText" text="高水">
      <formula>NOT(ISERROR(SEARCH("高水",T839)))</formula>
    </cfRule>
    <cfRule type="containsText" dxfId="1117" priority="700" operator="containsText" text="低水">
      <formula>NOT(ISERROR(SEARCH("低水",T839)))</formula>
    </cfRule>
  </conditionalFormatting>
  <conditionalFormatting sqref="T922:T969">
    <cfRule type="cellIs" dxfId="1116" priority="689" operator="equal">
      <formula>"模糊"</formula>
    </cfRule>
    <cfRule type="containsText" dxfId="1115" priority="690" operator="containsText" text="低一档">
      <formula>NOT(ISERROR(SEARCH("低一档",T922)))</formula>
    </cfRule>
    <cfRule type="containsText" dxfId="1114" priority="691" operator="containsText" text="高一档">
      <formula>NOT(ISERROR(SEARCH("高一档",T922)))</formula>
    </cfRule>
    <cfRule type="containsText" dxfId="1113" priority="692" operator="containsText" text="中水">
      <formula>NOT(ISERROR(SEARCH("中水",T922)))</formula>
    </cfRule>
    <cfRule type="containsText" dxfId="1112" priority="693" operator="containsText" text="高水">
      <formula>NOT(ISERROR(SEARCH("高水",T922)))</formula>
    </cfRule>
    <cfRule type="containsText" dxfId="1111" priority="694" operator="containsText" text="低水">
      <formula>NOT(ISERROR(SEARCH("低水",T922)))</formula>
    </cfRule>
  </conditionalFormatting>
  <conditionalFormatting sqref="R757:R787 R890:R905 R528:R655 R970:R971 R907:R921 R1:R271 R973:R1048576">
    <cfRule type="cellIs" dxfId="1110" priority="2113" operator="between">
      <formula>96</formula>
      <formula>140</formula>
    </cfRule>
    <cfRule type="cellIs" dxfId="1109" priority="2114" operator="between">
      <formula>85</formula>
      <formula>95</formula>
    </cfRule>
    <cfRule type="cellIs" dxfId="1108" priority="2115" operator="between">
      <formula>30</formula>
      <formula>84</formula>
    </cfRule>
  </conditionalFormatting>
  <conditionalFormatting sqref="T757:T787 T890:T921 T528:T655 T970:T971 T1:T271">
    <cfRule type="cellIs" dxfId="1107" priority="743" operator="equal">
      <formula>"模糊"</formula>
    </cfRule>
    <cfRule type="containsText" dxfId="1106" priority="744" operator="containsText" text="低一档">
      <formula>NOT(ISERROR(SEARCH("低一档",T1)))</formula>
    </cfRule>
    <cfRule type="containsText" dxfId="1105" priority="745" operator="containsText" text="高一档">
      <formula>NOT(ISERROR(SEARCH("高一档",T1)))</formula>
    </cfRule>
    <cfRule type="containsText" dxfId="1104" priority="746" operator="containsText" text="中水">
      <formula>NOT(ISERROR(SEARCH("中水",T1)))</formula>
    </cfRule>
    <cfRule type="containsText" dxfId="1103" priority="747" operator="containsText" text="高水">
      <formula>NOT(ISERROR(SEARCH("高水",T1)))</formula>
    </cfRule>
    <cfRule type="containsText" dxfId="1102" priority="748" operator="containsText" text="低水">
      <formula>NOT(ISERROR(SEARCH("低水",T1)))</formula>
    </cfRule>
  </conditionalFormatting>
  <conditionalFormatting sqref="A265:A271 A529:A655 A2:A29 A970:A971 A31:A260 A973:A1194 A1218:A1048576">
    <cfRule type="containsText" dxfId="1101" priority="2222" operator="containsText" text="5-2">
      <formula>NOT(ISERROR(SEARCH("5-2",A2)))</formula>
    </cfRule>
    <cfRule type="containsText" dxfId="1100" priority="2223" operator="containsText" text="0-5">
      <formula>NOT(ISERROR(SEARCH("0-5",A2)))</formula>
    </cfRule>
    <cfRule type="containsText" dxfId="1099" priority="2224" operator="containsText" text="3-4">
      <formula>NOT(ISERROR(SEARCH("3-4",A2)))</formula>
    </cfRule>
    <cfRule type="containsText" dxfId="1098" priority="2225" operator="containsText" text="4-0">
      <formula>NOT(ISERROR(SEARCH("4-0",A2)))</formula>
    </cfRule>
    <cfRule type="containsText" dxfId="1097" priority="2226" operator="containsText" text="2-4">
      <formula>NOT(ISERROR(SEARCH("2-4",A2)))</formula>
    </cfRule>
    <cfRule type="containsText" dxfId="1096" priority="2227" operator="containsText" text="5-0">
      <formula>NOT(ISERROR(SEARCH("5-0",A2)))</formula>
    </cfRule>
    <cfRule type="containsText" dxfId="1095" priority="2228" operator="containsText" text="4-3">
      <formula>NOT(ISERROR(SEARCH("4-3",A2)))</formula>
    </cfRule>
    <cfRule type="containsText" dxfId="1094" priority="2229" operator="containsText" text="6-0">
      <formula>NOT(ISERROR(SEARCH("6-0",A2)))</formula>
    </cfRule>
    <cfRule type="containsText" dxfId="1093" priority="2230" operator="containsText" text="6-0">
      <formula>NOT(ISERROR(SEARCH("6-0",A2)))</formula>
    </cfRule>
    <cfRule type="containsText" dxfId="1092" priority="2231" operator="containsText" text="5-1">
      <formula>NOT(ISERROR(SEARCH("5-1",A2)))</formula>
    </cfRule>
    <cfRule type="containsText" dxfId="1091" priority="2232" operator="containsText" text="1-4">
      <formula>NOT(ISERROR(SEARCH("1-4",A2)))</formula>
    </cfRule>
    <cfRule type="containsText" dxfId="1090" priority="2233" operator="containsText" text="0-4">
      <formula>NOT(ISERROR(SEARCH("0-4",A2)))</formula>
    </cfRule>
    <cfRule type="containsText" dxfId="1089" priority="2234" operator="containsText" text="2-3">
      <formula>NOT(ISERROR(SEARCH("2-3",A2)))</formula>
    </cfRule>
    <cfRule type="containsText" dxfId="1088" priority="2235" operator="containsText" text="1-3">
      <formula>NOT(ISERROR(SEARCH("1-3",A2)))</formula>
    </cfRule>
    <cfRule type="containsText" dxfId="1087" priority="2236" operator="containsText" text="0-3">
      <formula>NOT(ISERROR(SEARCH("0-3",A2)))</formula>
    </cfRule>
    <cfRule type="containsText" dxfId="1086" priority="2237" operator="containsText" text="1-2">
      <formula>NOT(ISERROR(SEARCH("1-2",A2)))</formula>
    </cfRule>
    <cfRule type="containsText" dxfId="1085" priority="2238" operator="containsText" text="0-2">
      <formula>NOT(ISERROR(SEARCH("0-2",A2)))</formula>
    </cfRule>
    <cfRule type="containsText" dxfId="1084" priority="2239" operator="containsText" text="0-1">
      <formula>NOT(ISERROR(SEARCH("0-1",A2)))</formula>
    </cfRule>
    <cfRule type="containsText" dxfId="1083" priority="2240" operator="containsText" text="4-2">
      <formula>NOT(ISERROR(SEARCH("4-2",A2)))</formula>
    </cfRule>
    <cfRule type="containsText" dxfId="1082" priority="2241" operator="containsText" text="4-1">
      <formula>NOT(ISERROR(SEARCH("4-1",A2)))</formula>
    </cfRule>
    <cfRule type="containsText" dxfId="1081" priority="2242" operator="containsText" text="3-2">
      <formula>NOT(ISERROR(SEARCH("3-2",A2)))</formula>
    </cfRule>
    <cfRule type="containsText" dxfId="1080" priority="2243" operator="containsText" text="3-1">
      <formula>NOT(ISERROR(SEARCH("3-1",A2)))</formula>
    </cfRule>
    <cfRule type="containsText" dxfId="1079" priority="2244" operator="containsText" text="3-0">
      <formula>NOT(ISERROR(SEARCH("3-0",A2)))</formula>
    </cfRule>
    <cfRule type="containsText" dxfId="1078" priority="2245" operator="containsText" text="2-1">
      <formula>NOT(ISERROR(SEARCH("2-1",A2)))</formula>
    </cfRule>
    <cfRule type="containsText" dxfId="1077" priority="2246" operator="containsText" text="2-0">
      <formula>NOT(ISERROR(SEARCH("2-0",A2)))</formula>
    </cfRule>
    <cfRule type="containsText" dxfId="1076" priority="2247" operator="containsText" text="1-0">
      <formula>NOT(ISERROR(SEARCH("1-0",A2)))</formula>
    </cfRule>
    <cfRule type="containsText" dxfId="1075" priority="2248" operator="containsText" text="4-4">
      <formula>NOT(ISERROR(SEARCH("4-4",A2)))</formula>
    </cfRule>
    <cfRule type="containsText" dxfId="1074" priority="2249" operator="containsText" text="3-3">
      <formula>NOT(ISERROR(SEARCH("3-3",A2)))</formula>
    </cfRule>
    <cfRule type="containsText" dxfId="1073" priority="2250" operator="containsText" text="2-2">
      <formula>NOT(ISERROR(SEARCH("2-2",A2)))</formula>
    </cfRule>
    <cfRule type="containsText" dxfId="1072" priority="2251" operator="containsText" text="1-1">
      <formula>NOT(ISERROR(SEARCH("1-1",A2)))</formula>
    </cfRule>
    <cfRule type="containsText" dxfId="1071" priority="2252" operator="containsText" text="0-0">
      <formula>NOT(ISERROR(SEARCH("0-0",A2)))</formula>
    </cfRule>
  </conditionalFormatting>
  <conditionalFormatting sqref="S757:S787 S890:S905 S528:S655 S970:S971 S907:S921 S2:S271 S973:S1048576">
    <cfRule type="cellIs" dxfId="1070" priority="2110" operator="between">
      <formula>96</formula>
      <formula>120</formula>
    </cfRule>
    <cfRule type="cellIs" dxfId="1069" priority="2111" operator="between">
      <formula>85</formula>
      <formula>95</formula>
    </cfRule>
    <cfRule type="cellIs" dxfId="1068" priority="2112" operator="between">
      <formula>30</formula>
      <formula>84</formula>
    </cfRule>
  </conditionalFormatting>
  <conditionalFormatting sqref="A473:A478 A464:A471 A272:A276 A480:A527 A278:A399">
    <cfRule type="containsText" dxfId="1067" priority="1761" operator="containsText" text="5-2">
      <formula>NOT(ISERROR(SEARCH("5-2",A272)))</formula>
    </cfRule>
    <cfRule type="containsText" dxfId="1066" priority="1762" operator="containsText" text="0-5">
      <formula>NOT(ISERROR(SEARCH("0-5",A272)))</formula>
    </cfRule>
    <cfRule type="containsText" dxfId="1065" priority="1763" operator="containsText" text="3-4">
      <formula>NOT(ISERROR(SEARCH("3-4",A272)))</formula>
    </cfRule>
    <cfRule type="containsText" dxfId="1064" priority="1764" operator="containsText" text="4-0">
      <formula>NOT(ISERROR(SEARCH("4-0",A272)))</formula>
    </cfRule>
    <cfRule type="containsText" dxfId="1063" priority="1765" operator="containsText" text="2-4">
      <formula>NOT(ISERROR(SEARCH("2-4",A272)))</formula>
    </cfRule>
    <cfRule type="containsText" dxfId="1062" priority="1766" operator="containsText" text="5-0">
      <formula>NOT(ISERROR(SEARCH("5-0",A272)))</formula>
    </cfRule>
    <cfRule type="containsText" dxfId="1061" priority="1767" operator="containsText" text="4-3">
      <formula>NOT(ISERROR(SEARCH("4-3",A272)))</formula>
    </cfRule>
    <cfRule type="containsText" dxfId="1060" priority="1768" operator="containsText" text="6-0">
      <formula>NOT(ISERROR(SEARCH("6-0",A272)))</formula>
    </cfRule>
    <cfRule type="containsText" dxfId="1059" priority="1769" operator="containsText" text="6-0">
      <formula>NOT(ISERROR(SEARCH("6-0",A272)))</formula>
    </cfRule>
    <cfRule type="containsText" dxfId="1058" priority="1770" operator="containsText" text="5-1">
      <formula>NOT(ISERROR(SEARCH("5-1",A272)))</formula>
    </cfRule>
    <cfRule type="containsText" dxfId="1057" priority="1771" operator="containsText" text="1-4">
      <formula>NOT(ISERROR(SEARCH("1-4",A272)))</formula>
    </cfRule>
    <cfRule type="containsText" dxfId="1056" priority="1772" operator="containsText" text="0-4">
      <formula>NOT(ISERROR(SEARCH("0-4",A272)))</formula>
    </cfRule>
    <cfRule type="containsText" dxfId="1055" priority="1773" operator="containsText" text="2-3">
      <formula>NOT(ISERROR(SEARCH("2-3",A272)))</formula>
    </cfRule>
    <cfRule type="containsText" dxfId="1054" priority="1774" operator="containsText" text="1-3">
      <formula>NOT(ISERROR(SEARCH("1-3",A272)))</formula>
    </cfRule>
    <cfRule type="containsText" dxfId="1053" priority="1775" operator="containsText" text="0-3">
      <formula>NOT(ISERROR(SEARCH("0-3",A272)))</formula>
    </cfRule>
    <cfRule type="containsText" dxfId="1052" priority="1776" operator="containsText" text="1-2">
      <formula>NOT(ISERROR(SEARCH("1-2",A272)))</formula>
    </cfRule>
    <cfRule type="containsText" dxfId="1051" priority="1777" operator="containsText" text="0-2">
      <formula>NOT(ISERROR(SEARCH("0-2",A272)))</formula>
    </cfRule>
    <cfRule type="containsText" dxfId="1050" priority="1778" operator="containsText" text="0-1">
      <formula>NOT(ISERROR(SEARCH("0-1",A272)))</formula>
    </cfRule>
    <cfRule type="containsText" dxfId="1049" priority="1779" operator="containsText" text="4-2">
      <formula>NOT(ISERROR(SEARCH("4-2",A272)))</formula>
    </cfRule>
    <cfRule type="containsText" dxfId="1048" priority="1780" operator="containsText" text="4-1">
      <formula>NOT(ISERROR(SEARCH("4-1",A272)))</formula>
    </cfRule>
    <cfRule type="containsText" dxfId="1047" priority="1781" operator="containsText" text="3-2">
      <formula>NOT(ISERROR(SEARCH("3-2",A272)))</formula>
    </cfRule>
    <cfRule type="containsText" dxfId="1046" priority="1782" operator="containsText" text="3-1">
      <formula>NOT(ISERROR(SEARCH("3-1",A272)))</formula>
    </cfRule>
    <cfRule type="containsText" dxfId="1045" priority="1783" operator="containsText" text="3-0">
      <formula>NOT(ISERROR(SEARCH("3-0",A272)))</formula>
    </cfRule>
    <cfRule type="containsText" dxfId="1044" priority="1784" operator="containsText" text="2-1">
      <formula>NOT(ISERROR(SEARCH("2-1",A272)))</formula>
    </cfRule>
    <cfRule type="containsText" dxfId="1043" priority="1785" operator="containsText" text="2-0">
      <formula>NOT(ISERROR(SEARCH("2-0",A272)))</formula>
    </cfRule>
    <cfRule type="containsText" dxfId="1042" priority="1786" operator="containsText" text="1-0">
      <formula>NOT(ISERROR(SEARCH("1-0",A272)))</formula>
    </cfRule>
    <cfRule type="containsText" dxfId="1041" priority="1787" operator="containsText" text="4-4">
      <formula>NOT(ISERROR(SEARCH("4-4",A272)))</formula>
    </cfRule>
    <cfRule type="containsText" dxfId="1040" priority="1788" operator="containsText" text="3-3">
      <formula>NOT(ISERROR(SEARCH("3-3",A272)))</formula>
    </cfRule>
    <cfRule type="containsText" dxfId="1039" priority="1789" operator="containsText" text="2-2">
      <formula>NOT(ISERROR(SEARCH("2-2",A272)))</formula>
    </cfRule>
    <cfRule type="containsText" dxfId="1038" priority="1790" operator="containsText" text="1-1">
      <formula>NOT(ISERROR(SEARCH("1-1",A272)))</formula>
    </cfRule>
    <cfRule type="containsText" dxfId="1037" priority="1791" operator="containsText" text="0-0">
      <formula>NOT(ISERROR(SEARCH("0-0",A272)))</formula>
    </cfRule>
  </conditionalFormatting>
  <conditionalFormatting sqref="R473:R478 R464:R471 R272:R399 R480:R527">
    <cfRule type="cellIs" dxfId="1036" priority="1565" operator="between">
      <formula>96</formula>
      <formula>140</formula>
    </cfRule>
    <cfRule type="cellIs" dxfId="1035" priority="1566" operator="between">
      <formula>85</formula>
      <formula>95</formula>
    </cfRule>
    <cfRule type="cellIs" dxfId="1034" priority="1567" operator="between">
      <formula>30</formula>
      <formula>84</formula>
    </cfRule>
  </conditionalFormatting>
  <conditionalFormatting sqref="S473:S478 S464:S471 S272:S399 S480:S527">
    <cfRule type="cellIs" dxfId="1033" priority="1562" operator="between">
      <formula>96</formula>
      <formula>120</formula>
    </cfRule>
    <cfRule type="cellIs" dxfId="1032" priority="1563" operator="between">
      <formula>85</formula>
      <formula>95</formula>
    </cfRule>
    <cfRule type="cellIs" dxfId="1031" priority="1564" operator="between">
      <formula>30</formula>
      <formula>84</formula>
    </cfRule>
  </conditionalFormatting>
  <conditionalFormatting sqref="T473:T478 T464:T471 T272:T399 T480:T527">
    <cfRule type="cellIs" dxfId="1030" priority="737" operator="equal">
      <formula>"模糊"</formula>
    </cfRule>
    <cfRule type="containsText" dxfId="1029" priority="738" operator="containsText" text="低一档">
      <formula>NOT(ISERROR(SEARCH("低一档",T272)))</formula>
    </cfRule>
    <cfRule type="containsText" dxfId="1028" priority="739" operator="containsText" text="高一档">
      <formula>NOT(ISERROR(SEARCH("高一档",T272)))</formula>
    </cfRule>
    <cfRule type="containsText" dxfId="1027" priority="740" operator="containsText" text="中水">
      <formula>NOT(ISERROR(SEARCH("中水",T272)))</formula>
    </cfRule>
    <cfRule type="containsText" dxfId="1026" priority="741" operator="containsText" text="高水">
      <formula>NOT(ISERROR(SEARCH("高水",T272)))</formula>
    </cfRule>
    <cfRule type="containsText" dxfId="1025" priority="742" operator="containsText" text="低水">
      <formula>NOT(ISERROR(SEARCH("低水",T272)))</formula>
    </cfRule>
  </conditionalFormatting>
  <conditionalFormatting sqref="A705 A656:A703">
    <cfRule type="containsText" dxfId="1024" priority="1513" operator="containsText" text="5-2">
      <formula>NOT(ISERROR(SEARCH("5-2",A656)))</formula>
    </cfRule>
    <cfRule type="containsText" dxfId="1023" priority="1514" operator="containsText" text="0-5">
      <formula>NOT(ISERROR(SEARCH("0-5",A656)))</formula>
    </cfRule>
    <cfRule type="containsText" dxfId="1022" priority="1515" operator="containsText" text="3-4">
      <formula>NOT(ISERROR(SEARCH("3-4",A656)))</formula>
    </cfRule>
    <cfRule type="containsText" dxfId="1021" priority="1516" operator="containsText" text="4-0">
      <formula>NOT(ISERROR(SEARCH("4-0",A656)))</formula>
    </cfRule>
    <cfRule type="containsText" dxfId="1020" priority="1517" operator="containsText" text="2-4">
      <formula>NOT(ISERROR(SEARCH("2-4",A656)))</formula>
    </cfRule>
    <cfRule type="containsText" dxfId="1019" priority="1518" operator="containsText" text="5-0">
      <formula>NOT(ISERROR(SEARCH("5-0",A656)))</formula>
    </cfRule>
    <cfRule type="containsText" dxfId="1018" priority="1519" operator="containsText" text="4-3">
      <formula>NOT(ISERROR(SEARCH("4-3",A656)))</formula>
    </cfRule>
    <cfRule type="containsText" dxfId="1017" priority="1520" operator="containsText" text="6-0">
      <formula>NOT(ISERROR(SEARCH("6-0",A656)))</formula>
    </cfRule>
    <cfRule type="containsText" dxfId="1016" priority="1521" operator="containsText" text="6-0">
      <formula>NOT(ISERROR(SEARCH("6-0",A656)))</formula>
    </cfRule>
    <cfRule type="containsText" dxfId="1015" priority="1522" operator="containsText" text="5-1">
      <formula>NOT(ISERROR(SEARCH("5-1",A656)))</formula>
    </cfRule>
    <cfRule type="containsText" dxfId="1014" priority="1523" operator="containsText" text="1-4">
      <formula>NOT(ISERROR(SEARCH("1-4",A656)))</formula>
    </cfRule>
    <cfRule type="containsText" dxfId="1013" priority="1524" operator="containsText" text="0-4">
      <formula>NOT(ISERROR(SEARCH("0-4",A656)))</formula>
    </cfRule>
    <cfRule type="containsText" dxfId="1012" priority="1525" operator="containsText" text="2-3">
      <formula>NOT(ISERROR(SEARCH("2-3",A656)))</formula>
    </cfRule>
    <cfRule type="containsText" dxfId="1011" priority="1526" operator="containsText" text="1-3">
      <formula>NOT(ISERROR(SEARCH("1-3",A656)))</formula>
    </cfRule>
    <cfRule type="containsText" dxfId="1010" priority="1527" operator="containsText" text="0-3">
      <formula>NOT(ISERROR(SEARCH("0-3",A656)))</formula>
    </cfRule>
    <cfRule type="containsText" dxfId="1009" priority="1528" operator="containsText" text="1-2">
      <formula>NOT(ISERROR(SEARCH("1-2",A656)))</formula>
    </cfRule>
    <cfRule type="containsText" dxfId="1008" priority="1529" operator="containsText" text="0-2">
      <formula>NOT(ISERROR(SEARCH("0-2",A656)))</formula>
    </cfRule>
    <cfRule type="containsText" dxfId="1007" priority="1530" operator="containsText" text="0-1">
      <formula>NOT(ISERROR(SEARCH("0-1",A656)))</formula>
    </cfRule>
    <cfRule type="containsText" dxfId="1006" priority="1531" operator="containsText" text="4-2">
      <formula>NOT(ISERROR(SEARCH("4-2",A656)))</formula>
    </cfRule>
    <cfRule type="containsText" dxfId="1005" priority="1532" operator="containsText" text="4-1">
      <formula>NOT(ISERROR(SEARCH("4-1",A656)))</formula>
    </cfRule>
    <cfRule type="containsText" dxfId="1004" priority="1533" operator="containsText" text="3-2">
      <formula>NOT(ISERROR(SEARCH("3-2",A656)))</formula>
    </cfRule>
    <cfRule type="containsText" dxfId="1003" priority="1534" operator="containsText" text="3-1">
      <formula>NOT(ISERROR(SEARCH("3-1",A656)))</formula>
    </cfRule>
    <cfRule type="containsText" dxfId="1002" priority="1535" operator="containsText" text="3-0">
      <formula>NOT(ISERROR(SEARCH("3-0",A656)))</formula>
    </cfRule>
    <cfRule type="containsText" dxfId="1001" priority="1536" operator="containsText" text="2-1">
      <formula>NOT(ISERROR(SEARCH("2-1",A656)))</formula>
    </cfRule>
    <cfRule type="containsText" dxfId="1000" priority="1537" operator="containsText" text="2-0">
      <formula>NOT(ISERROR(SEARCH("2-0",A656)))</formula>
    </cfRule>
    <cfRule type="containsText" dxfId="999" priority="1538" operator="containsText" text="1-0">
      <formula>NOT(ISERROR(SEARCH("1-0",A656)))</formula>
    </cfRule>
    <cfRule type="containsText" dxfId="998" priority="1539" operator="containsText" text="4-4">
      <formula>NOT(ISERROR(SEARCH("4-4",A656)))</formula>
    </cfRule>
    <cfRule type="containsText" dxfId="997" priority="1540" operator="containsText" text="3-3">
      <formula>NOT(ISERROR(SEARCH("3-3",A656)))</formula>
    </cfRule>
    <cfRule type="containsText" dxfId="996" priority="1541" operator="containsText" text="2-2">
      <formula>NOT(ISERROR(SEARCH("2-2",A656)))</formula>
    </cfRule>
    <cfRule type="containsText" dxfId="995" priority="1542" operator="containsText" text="1-1">
      <formula>NOT(ISERROR(SEARCH("1-1",A656)))</formula>
    </cfRule>
    <cfRule type="containsText" dxfId="994" priority="1543" operator="containsText" text="0-0">
      <formula>NOT(ISERROR(SEARCH("0-0",A656)))</formula>
    </cfRule>
  </conditionalFormatting>
  <conditionalFormatting sqref="A788:A793 A795:A838">
    <cfRule type="containsText" dxfId="993" priority="1260" operator="containsText" text="5-2">
      <formula>NOT(ISERROR(SEARCH("5-2",A788)))</formula>
    </cfRule>
    <cfRule type="containsText" dxfId="992" priority="1261" operator="containsText" text="0-5">
      <formula>NOT(ISERROR(SEARCH("0-5",A788)))</formula>
    </cfRule>
    <cfRule type="containsText" dxfId="991" priority="1262" operator="containsText" text="3-4">
      <formula>NOT(ISERROR(SEARCH("3-4",A788)))</formula>
    </cfRule>
    <cfRule type="containsText" dxfId="990" priority="1263" operator="containsText" text="4-0">
      <formula>NOT(ISERROR(SEARCH("4-0",A788)))</formula>
    </cfRule>
    <cfRule type="containsText" dxfId="989" priority="1264" operator="containsText" text="2-4">
      <formula>NOT(ISERROR(SEARCH("2-4",A788)))</formula>
    </cfRule>
    <cfRule type="containsText" dxfId="988" priority="1265" operator="containsText" text="5-0">
      <formula>NOT(ISERROR(SEARCH("5-0",A788)))</formula>
    </cfRule>
    <cfRule type="containsText" dxfId="987" priority="1266" operator="containsText" text="4-3">
      <formula>NOT(ISERROR(SEARCH("4-3",A788)))</formula>
    </cfRule>
    <cfRule type="containsText" dxfId="986" priority="1267" operator="containsText" text="6-0">
      <formula>NOT(ISERROR(SEARCH("6-0",A788)))</formula>
    </cfRule>
    <cfRule type="containsText" dxfId="985" priority="1268" operator="containsText" text="6-0">
      <formula>NOT(ISERROR(SEARCH("6-0",A788)))</formula>
    </cfRule>
    <cfRule type="containsText" dxfId="984" priority="1269" operator="containsText" text="5-1">
      <formula>NOT(ISERROR(SEARCH("5-1",A788)))</formula>
    </cfRule>
    <cfRule type="containsText" dxfId="983" priority="1270" operator="containsText" text="1-4">
      <formula>NOT(ISERROR(SEARCH("1-4",A788)))</formula>
    </cfRule>
    <cfRule type="containsText" dxfId="982" priority="1271" operator="containsText" text="0-4">
      <formula>NOT(ISERROR(SEARCH("0-4",A788)))</formula>
    </cfRule>
    <cfRule type="containsText" dxfId="981" priority="1272" operator="containsText" text="2-3">
      <formula>NOT(ISERROR(SEARCH("2-3",A788)))</formula>
    </cfRule>
    <cfRule type="containsText" dxfId="980" priority="1273" operator="containsText" text="1-3">
      <formula>NOT(ISERROR(SEARCH("1-3",A788)))</formula>
    </cfRule>
    <cfRule type="containsText" dxfId="979" priority="1274" operator="containsText" text="0-3">
      <formula>NOT(ISERROR(SEARCH("0-3",A788)))</formula>
    </cfRule>
    <cfRule type="containsText" dxfId="978" priority="1275" operator="containsText" text="1-2">
      <formula>NOT(ISERROR(SEARCH("1-2",A788)))</formula>
    </cfRule>
    <cfRule type="containsText" dxfId="977" priority="1276" operator="containsText" text="0-2">
      <formula>NOT(ISERROR(SEARCH("0-2",A788)))</formula>
    </cfRule>
    <cfRule type="containsText" dxfId="976" priority="1277" operator="containsText" text="0-1">
      <formula>NOT(ISERROR(SEARCH("0-1",A788)))</formula>
    </cfRule>
    <cfRule type="containsText" dxfId="975" priority="1278" operator="containsText" text="4-2">
      <formula>NOT(ISERROR(SEARCH("4-2",A788)))</formula>
    </cfRule>
    <cfRule type="containsText" dxfId="974" priority="1279" operator="containsText" text="4-1">
      <formula>NOT(ISERROR(SEARCH("4-1",A788)))</formula>
    </cfRule>
    <cfRule type="containsText" dxfId="973" priority="1280" operator="containsText" text="3-2">
      <formula>NOT(ISERROR(SEARCH("3-2",A788)))</formula>
    </cfRule>
    <cfRule type="containsText" dxfId="972" priority="1281" operator="containsText" text="3-1">
      <formula>NOT(ISERROR(SEARCH("3-1",A788)))</formula>
    </cfRule>
    <cfRule type="containsText" dxfId="971" priority="1282" operator="containsText" text="3-0">
      <formula>NOT(ISERROR(SEARCH("3-0",A788)))</formula>
    </cfRule>
    <cfRule type="containsText" dxfId="970" priority="1283" operator="containsText" text="2-1">
      <formula>NOT(ISERROR(SEARCH("2-1",A788)))</formula>
    </cfRule>
    <cfRule type="containsText" dxfId="969" priority="1284" operator="containsText" text="2-0">
      <formula>NOT(ISERROR(SEARCH("2-0",A788)))</formula>
    </cfRule>
    <cfRule type="containsText" dxfId="968" priority="1285" operator="containsText" text="1-0">
      <formula>NOT(ISERROR(SEARCH("1-0",A788)))</formula>
    </cfRule>
    <cfRule type="containsText" dxfId="967" priority="1286" operator="containsText" text="4-4">
      <formula>NOT(ISERROR(SEARCH("4-4",A788)))</formula>
    </cfRule>
    <cfRule type="containsText" dxfId="966" priority="1287" operator="containsText" text="3-3">
      <formula>NOT(ISERROR(SEARCH("3-3",A788)))</formula>
    </cfRule>
    <cfRule type="containsText" dxfId="965" priority="1288" operator="containsText" text="2-2">
      <formula>NOT(ISERROR(SEARCH("2-2",A788)))</formula>
    </cfRule>
    <cfRule type="containsText" dxfId="964" priority="1289" operator="containsText" text="1-1">
      <formula>NOT(ISERROR(SEARCH("1-1",A788)))</formula>
    </cfRule>
    <cfRule type="containsText" dxfId="963" priority="1290" operator="containsText" text="0-0">
      <formula>NOT(ISERROR(SEARCH("0-0",A788)))</formula>
    </cfRule>
  </conditionalFormatting>
  <conditionalFormatting sqref="T973:T1202 T1206:T1048576">
    <cfRule type="cellIs" dxfId="962" priority="2120" operator="equal">
      <formula>"模糊"</formula>
    </cfRule>
    <cfRule type="containsText" dxfId="961" priority="2121" operator="containsText" text="低一档">
      <formula>NOT(ISERROR(SEARCH("低一档",T973)))</formula>
    </cfRule>
    <cfRule type="containsText" dxfId="960" priority="2122" operator="containsText" text="高一档">
      <formula>NOT(ISERROR(SEARCH("高一档",T973)))</formula>
    </cfRule>
    <cfRule type="containsText" dxfId="959" priority="2123" operator="containsText" text="中水">
      <formula>NOT(ISERROR(SEARCH("中水",T973)))</formula>
    </cfRule>
    <cfRule type="containsText" dxfId="958" priority="2124" operator="containsText" text="高水">
      <formula>NOT(ISERROR(SEARCH("高水",T973)))</formula>
    </cfRule>
    <cfRule type="containsText" dxfId="957" priority="2125" operator="containsText" text="低水">
      <formula>NOT(ISERROR(SEARCH("低水",T973)))</formula>
    </cfRule>
  </conditionalFormatting>
  <dataValidations count="1">
    <dataValidation type="list" allowBlank="1" showInputMessage="1" showErrorMessage="1" sqref="T1:T1048576" xr:uid="{00000000-0002-0000-0000-000000000000}">
      <formula1>"低水上盘突破,低水下盘突破,中水上盘突破,中水下盘突破,高水上盘突破,高水下盘突破,高一档不降盘,低一档不升盘,上盘低水,上盘中水,上盘高水"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701"/>
  <sheetViews>
    <sheetView zoomScale="130" zoomScaleNormal="130" workbookViewId="0">
      <pane ySplit="1" topLeftCell="A1614" activePane="bottomLeft" state="frozen"/>
      <selection pane="bottomLeft" activeCell="F1654" sqref="F1654"/>
    </sheetView>
  </sheetViews>
  <sheetFormatPr defaultColWidth="9" defaultRowHeight="14.45"/>
  <cols>
    <col min="1" max="1" width="8.25" style="3" customWidth="1"/>
    <col min="2" max="2" width="17.75" style="4" customWidth="1"/>
    <col min="3" max="3" width="7.625" style="5" customWidth="1"/>
    <col min="4" max="4" width="11.875" style="6" customWidth="1"/>
    <col min="5" max="5" width="9.125" style="7" customWidth="1"/>
    <col min="6" max="6" width="12.75" customWidth="1"/>
    <col min="7" max="7" width="6.875" customWidth="1"/>
    <col min="8" max="8" width="7.375" customWidth="1"/>
    <col min="9" max="9" width="8.125" customWidth="1"/>
    <col min="10" max="10" width="7" style="8" customWidth="1"/>
    <col min="11" max="11" width="7.125" style="8" customWidth="1"/>
    <col min="12" max="12" width="11.875" customWidth="1"/>
    <col min="13" max="13" width="24.875" style="9" customWidth="1"/>
    <col min="14" max="14" width="8.875" style="10" customWidth="1"/>
    <col min="15" max="15" width="12.5" style="10" customWidth="1"/>
    <col min="16" max="16" width="6.25" style="9" customWidth="1"/>
    <col min="17" max="17" width="4.75" style="11" customWidth="1"/>
    <col min="18" max="19" width="6.75" customWidth="1"/>
    <col min="20" max="20" width="9.125" customWidth="1"/>
    <col min="21" max="21" width="15.25" style="12" customWidth="1"/>
    <col min="22" max="22" width="29.75" customWidth="1"/>
    <col min="23" max="23" width="13.125" customWidth="1"/>
    <col min="24" max="24" width="10.125" style="13" customWidth="1"/>
    <col min="25" max="25" width="11.75" style="6" customWidth="1"/>
  </cols>
  <sheetData>
    <row r="1" spans="1:25" s="1" customFormat="1" ht="26.25" customHeight="1">
      <c r="A1" s="14" t="s">
        <v>83</v>
      </c>
      <c r="B1" s="15" t="s">
        <v>84</v>
      </c>
      <c r="C1" s="14" t="s">
        <v>85</v>
      </c>
      <c r="D1" s="14" t="s">
        <v>86</v>
      </c>
      <c r="E1" s="16" t="s">
        <v>0</v>
      </c>
      <c r="F1" s="17" t="s">
        <v>87</v>
      </c>
      <c r="G1" s="17" t="s">
        <v>88</v>
      </c>
      <c r="H1" s="18" t="s">
        <v>89</v>
      </c>
      <c r="I1" s="19" t="s">
        <v>90</v>
      </c>
      <c r="J1" s="20" t="s">
        <v>91</v>
      </c>
      <c r="K1" s="20" t="s">
        <v>92</v>
      </c>
      <c r="L1" s="17" t="s">
        <v>93</v>
      </c>
      <c r="M1" s="17" t="s">
        <v>94</v>
      </c>
      <c r="N1" s="21" t="s">
        <v>95</v>
      </c>
      <c r="O1" s="22" t="s">
        <v>96</v>
      </c>
      <c r="P1" s="23" t="s">
        <v>97</v>
      </c>
      <c r="Q1" s="17" t="s">
        <v>98</v>
      </c>
      <c r="R1" s="24" t="s">
        <v>99</v>
      </c>
      <c r="S1" s="25" t="s">
        <v>100</v>
      </c>
      <c r="T1" s="26" t="s">
        <v>101</v>
      </c>
      <c r="U1" s="27" t="s">
        <v>102</v>
      </c>
      <c r="V1" s="28" t="s">
        <v>103</v>
      </c>
      <c r="W1" s="27" t="s">
        <v>104</v>
      </c>
      <c r="X1" s="29" t="s">
        <v>105</v>
      </c>
      <c r="Y1" s="23" t="s">
        <v>106</v>
      </c>
    </row>
    <row r="2" spans="1:25" ht="27" customHeight="1">
      <c r="A2" t="s">
        <v>107</v>
      </c>
      <c r="B2" s="4">
        <v>42749.649305555598</v>
      </c>
      <c r="C2" s="30" t="s">
        <v>108</v>
      </c>
      <c r="D2" s="6" t="s">
        <v>109</v>
      </c>
      <c r="E2" s="31" t="s">
        <v>36</v>
      </c>
      <c r="F2" t="s">
        <v>110</v>
      </c>
      <c r="G2" s="32">
        <v>70.400000000000006</v>
      </c>
      <c r="H2" s="32">
        <v>90.7</v>
      </c>
      <c r="I2" s="33">
        <f>表1_4[[#This Row],[主队2]]-表1_4[[#This Row],[客队2]]</f>
        <v>-20.3</v>
      </c>
      <c r="J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2" s="35" t="s">
        <v>111</v>
      </c>
      <c r="L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2" s="11"/>
      <c r="N2" s="10" t="s">
        <v>112</v>
      </c>
      <c r="O2" s="10" t="s">
        <v>40</v>
      </c>
      <c r="P2" s="9">
        <v>-2</v>
      </c>
      <c r="S2" s="37"/>
      <c r="U2" s="38" t="s">
        <v>113</v>
      </c>
      <c r="V2" s="39" t="s">
        <v>114</v>
      </c>
      <c r="W2" s="40"/>
      <c r="X2" s="41"/>
    </row>
    <row r="3" spans="1:25" ht="13.5" customHeight="1">
      <c r="A3" t="s">
        <v>107</v>
      </c>
      <c r="B3" s="4">
        <v>42817.15625</v>
      </c>
      <c r="C3" s="14" t="s">
        <v>115</v>
      </c>
      <c r="D3" s="6" t="s">
        <v>116</v>
      </c>
      <c r="E3" s="42" t="s">
        <v>31</v>
      </c>
      <c r="F3" t="s">
        <v>117</v>
      </c>
      <c r="G3" s="43">
        <v>96.9</v>
      </c>
      <c r="H3" s="43">
        <v>90.3</v>
      </c>
      <c r="I3" s="33">
        <f>表1_4[[#This Row],[主队2]]-表1_4[[#This Row],[客队2]]</f>
        <v>6.6000000000000103</v>
      </c>
      <c r="J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3" s="35" t="s">
        <v>118</v>
      </c>
      <c r="L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" s="11"/>
      <c r="N3" s="10" t="s">
        <v>119</v>
      </c>
      <c r="O3" s="10" t="s">
        <v>35</v>
      </c>
      <c r="P3" s="9">
        <v>-6</v>
      </c>
      <c r="S3" s="37"/>
      <c r="U3" s="230" t="s">
        <v>120</v>
      </c>
      <c r="V3" s="231" t="s">
        <v>121</v>
      </c>
      <c r="W3" s="44"/>
      <c r="X3" s="45"/>
    </row>
    <row r="4" spans="1:25" ht="13.5" customHeight="1">
      <c r="A4" t="s">
        <v>107</v>
      </c>
      <c r="B4" s="4">
        <v>42817.15625</v>
      </c>
      <c r="C4" s="5" t="s">
        <v>122</v>
      </c>
      <c r="D4" s="6" t="s">
        <v>123</v>
      </c>
      <c r="E4" s="31" t="s">
        <v>36</v>
      </c>
      <c r="F4" t="s">
        <v>124</v>
      </c>
      <c r="G4" s="43">
        <v>78.7</v>
      </c>
      <c r="H4" s="43">
        <v>72.2</v>
      </c>
      <c r="I4" s="33">
        <f>表1_4[[#This Row],[主队2]]-表1_4[[#This Row],[客队2]]</f>
        <v>6.5</v>
      </c>
      <c r="J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4" s="35" t="s">
        <v>125</v>
      </c>
      <c r="L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4" s="11"/>
      <c r="N4" s="10" t="s">
        <v>119</v>
      </c>
      <c r="O4" s="46" t="s">
        <v>40</v>
      </c>
      <c r="P4" s="9">
        <v>-14</v>
      </c>
      <c r="S4" s="37"/>
      <c r="U4" s="47" t="s">
        <v>126</v>
      </c>
      <c r="V4" s="231" t="s">
        <v>127</v>
      </c>
      <c r="W4" s="44"/>
      <c r="X4" s="45"/>
    </row>
    <row r="5" spans="1:25" ht="13.5" customHeight="1">
      <c r="A5" t="s">
        <v>128</v>
      </c>
      <c r="B5" s="4">
        <v>42817.833333333299</v>
      </c>
      <c r="C5" s="5" t="s">
        <v>129</v>
      </c>
      <c r="D5" s="6" t="s">
        <v>130</v>
      </c>
      <c r="E5" s="42" t="s">
        <v>31</v>
      </c>
      <c r="F5" t="s">
        <v>131</v>
      </c>
      <c r="G5" s="43">
        <v>71.2</v>
      </c>
      <c r="H5" s="43">
        <v>75.3</v>
      </c>
      <c r="I5" s="33">
        <f>表1_4[[#This Row],[主队2]]-表1_4[[#This Row],[客队2]]</f>
        <v>-4.0999999999999899</v>
      </c>
      <c r="J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5" s="35" t="s">
        <v>132</v>
      </c>
      <c r="L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" s="11"/>
      <c r="N5" s="10" t="s">
        <v>133</v>
      </c>
      <c r="O5" s="10" t="s">
        <v>40</v>
      </c>
      <c r="P5" s="9">
        <v>3</v>
      </c>
      <c r="S5" s="37"/>
      <c r="T5" s="232"/>
      <c r="U5" s="233" t="s">
        <v>134</v>
      </c>
      <c r="V5" s="231" t="s">
        <v>135</v>
      </c>
      <c r="W5" s="48"/>
      <c r="X5" s="45"/>
    </row>
    <row r="6" spans="1:25" ht="13.5" customHeight="1">
      <c r="A6" t="s">
        <v>128</v>
      </c>
      <c r="B6" s="4">
        <v>42817.833333333299</v>
      </c>
      <c r="C6" s="1" t="s">
        <v>136</v>
      </c>
      <c r="D6" s="6" t="s">
        <v>137</v>
      </c>
      <c r="E6" s="49" t="s">
        <v>64</v>
      </c>
      <c r="F6" t="s">
        <v>138</v>
      </c>
      <c r="G6" s="43">
        <v>61.3</v>
      </c>
      <c r="H6" s="43">
        <v>72.900000000000006</v>
      </c>
      <c r="I6" s="33">
        <f>表1_4[[#This Row],[主队2]]-表1_4[[#This Row],[客队2]]</f>
        <v>-11.6</v>
      </c>
      <c r="J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6" s="35" t="s">
        <v>132</v>
      </c>
      <c r="L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" s="11"/>
      <c r="N6" s="10" t="s">
        <v>119</v>
      </c>
      <c r="O6" s="10" t="s">
        <v>65</v>
      </c>
      <c r="P6" s="9">
        <v>20</v>
      </c>
      <c r="S6" s="37"/>
      <c r="U6" s="50"/>
      <c r="V6" s="234" t="s">
        <v>139</v>
      </c>
      <c r="W6" s="51"/>
      <c r="X6" s="45"/>
    </row>
    <row r="7" spans="1:25" ht="13.5" customHeight="1">
      <c r="A7" t="s">
        <v>128</v>
      </c>
      <c r="B7" s="4">
        <v>42817.833333333299</v>
      </c>
      <c r="C7" s="30" t="s">
        <v>140</v>
      </c>
      <c r="D7" s="6" t="s">
        <v>141</v>
      </c>
      <c r="E7" s="31" t="s">
        <v>36</v>
      </c>
      <c r="F7" t="s">
        <v>142</v>
      </c>
      <c r="G7" s="43">
        <v>69.400000000000006</v>
      </c>
      <c r="H7" s="43">
        <v>80.599999999999994</v>
      </c>
      <c r="I7" s="33">
        <f>表1_4[[#This Row],[主队2]]-表1_4[[#This Row],[客队2]]</f>
        <v>-11.2</v>
      </c>
      <c r="J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7" s="35" t="s">
        <v>111</v>
      </c>
      <c r="L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" s="11"/>
      <c r="N7" s="10" t="s">
        <v>112</v>
      </c>
      <c r="O7" s="10" t="s">
        <v>143</v>
      </c>
      <c r="P7" s="9">
        <v>12</v>
      </c>
      <c r="S7" s="37"/>
      <c r="T7" s="232"/>
      <c r="U7" s="47"/>
      <c r="V7" s="231" t="s">
        <v>144</v>
      </c>
      <c r="W7" s="52"/>
      <c r="X7" s="45"/>
    </row>
    <row r="8" spans="1:25" ht="13.5" customHeight="1">
      <c r="A8" t="s">
        <v>128</v>
      </c>
      <c r="B8" s="4">
        <v>42817.979166666701</v>
      </c>
      <c r="C8" s="1" t="s">
        <v>145</v>
      </c>
      <c r="D8" s="6" t="s">
        <v>146</v>
      </c>
      <c r="E8" s="49" t="s">
        <v>47</v>
      </c>
      <c r="F8" t="s">
        <v>147</v>
      </c>
      <c r="G8" s="43">
        <v>73.400000000000006</v>
      </c>
      <c r="H8" s="43">
        <v>81.7</v>
      </c>
      <c r="I8" s="33">
        <f>表1_4[[#This Row],[主队2]]-表1_4[[#This Row],[客队2]]</f>
        <v>-8.3000000000000007</v>
      </c>
      <c r="J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8" s="35" t="s">
        <v>132</v>
      </c>
      <c r="L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" s="11"/>
      <c r="N8" s="10" t="s">
        <v>112</v>
      </c>
      <c r="O8" s="10" t="s">
        <v>143</v>
      </c>
      <c r="P8" s="9">
        <v>6</v>
      </c>
      <c r="S8" s="37"/>
      <c r="U8" s="230"/>
      <c r="V8" s="231" t="s">
        <v>148</v>
      </c>
      <c r="W8" s="44"/>
      <c r="X8" s="45"/>
    </row>
    <row r="9" spans="1:25" ht="13.5" customHeight="1">
      <c r="A9" t="s">
        <v>128</v>
      </c>
      <c r="B9" s="4">
        <v>42818</v>
      </c>
      <c r="C9" s="5" t="s">
        <v>149</v>
      </c>
      <c r="D9" s="6" t="s">
        <v>150</v>
      </c>
      <c r="E9" s="49" t="s">
        <v>53</v>
      </c>
      <c r="F9" t="s">
        <v>151</v>
      </c>
      <c r="G9" s="43">
        <v>69.599999999999994</v>
      </c>
      <c r="H9" s="43">
        <v>80.099999999999994</v>
      </c>
      <c r="I9" s="33">
        <f>表1_4[[#This Row],[主队2]]-表1_4[[#This Row],[客队2]]</f>
        <v>-10.5</v>
      </c>
      <c r="J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9" s="35" t="s">
        <v>152</v>
      </c>
      <c r="L9" s="53" t="s">
        <v>153</v>
      </c>
      <c r="M9" s="11"/>
      <c r="N9" s="10" t="s">
        <v>119</v>
      </c>
      <c r="O9" s="10" t="s">
        <v>40</v>
      </c>
      <c r="P9" s="9">
        <v>8</v>
      </c>
      <c r="S9" s="37"/>
      <c r="T9" s="232"/>
      <c r="U9" s="230" t="s">
        <v>154</v>
      </c>
      <c r="V9" s="54" t="s">
        <v>155</v>
      </c>
      <c r="W9" s="142"/>
      <c r="X9" s="235"/>
    </row>
    <row r="10" spans="1:25" ht="13.5" customHeight="1">
      <c r="A10" t="s">
        <v>156</v>
      </c>
      <c r="B10" s="4">
        <v>42818.1875</v>
      </c>
      <c r="C10" s="1" t="s">
        <v>157</v>
      </c>
      <c r="D10" s="6" t="s">
        <v>158</v>
      </c>
      <c r="E10" s="42" t="s">
        <v>31</v>
      </c>
      <c r="F10" t="s">
        <v>159</v>
      </c>
      <c r="G10" s="43">
        <v>91.1</v>
      </c>
      <c r="H10" s="43">
        <v>72.900000000000006</v>
      </c>
      <c r="I10" s="33">
        <f>表1_4[[#This Row],[主队2]]-表1_4[[#This Row],[客队2]]</f>
        <v>18.2</v>
      </c>
      <c r="J1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0" s="35" t="s">
        <v>45</v>
      </c>
      <c r="L1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" s="11"/>
      <c r="N10" s="10" t="s">
        <v>160</v>
      </c>
      <c r="O10" s="10" t="s">
        <v>51</v>
      </c>
      <c r="P10" s="9" t="s">
        <v>161</v>
      </c>
      <c r="S10" s="37"/>
      <c r="U10" s="230"/>
      <c r="V10" s="54" t="s">
        <v>162</v>
      </c>
      <c r="W10" s="51"/>
      <c r="X10" s="45"/>
    </row>
    <row r="11" spans="1:25" ht="13.5" customHeight="1">
      <c r="A11" t="s">
        <v>156</v>
      </c>
      <c r="B11" s="4">
        <v>42818.291666666701</v>
      </c>
      <c r="C11" s="30" t="s">
        <v>163</v>
      </c>
      <c r="D11" s="6" t="s">
        <v>164</v>
      </c>
      <c r="E11" s="42" t="s">
        <v>33</v>
      </c>
      <c r="F11" t="s">
        <v>165</v>
      </c>
      <c r="G11" s="43">
        <v>83.2</v>
      </c>
      <c r="H11" s="43">
        <v>87.4</v>
      </c>
      <c r="I11" s="33">
        <f>表1_4[[#This Row],[主队2]]-表1_4[[#This Row],[客队2]]</f>
        <v>-4.2</v>
      </c>
      <c r="J1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1" s="35" t="s">
        <v>166</v>
      </c>
      <c r="L1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" s="11"/>
      <c r="N11" s="10" t="s">
        <v>119</v>
      </c>
      <c r="O11" s="10" t="s">
        <v>46</v>
      </c>
      <c r="P11" s="9">
        <v>0.1</v>
      </c>
      <c r="S11" s="37"/>
      <c r="U11" s="47" t="s">
        <v>167</v>
      </c>
      <c r="V11" s="55" t="s">
        <v>168</v>
      </c>
      <c r="W11" s="56"/>
      <c r="X11" s="45"/>
    </row>
    <row r="12" spans="1:25" ht="13.5" customHeight="1">
      <c r="A12" t="s">
        <v>156</v>
      </c>
      <c r="B12" s="4">
        <v>42818.291666666701</v>
      </c>
      <c r="C12" s="1" t="s">
        <v>169</v>
      </c>
      <c r="D12" s="6" t="s">
        <v>170</v>
      </c>
      <c r="E12" s="49" t="s">
        <v>75</v>
      </c>
      <c r="F12" t="s">
        <v>171</v>
      </c>
      <c r="G12" s="43">
        <v>91.7</v>
      </c>
      <c r="H12" s="43">
        <v>99.4</v>
      </c>
      <c r="I12" s="33">
        <f>表1_4[[#This Row],[主队2]]-表1_4[[#This Row],[客队2]]</f>
        <v>-7.7</v>
      </c>
      <c r="J1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2" s="35" t="s">
        <v>152</v>
      </c>
      <c r="L1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" s="11"/>
      <c r="N12" s="57" t="s">
        <v>119</v>
      </c>
      <c r="O12" s="10" t="s">
        <v>51</v>
      </c>
      <c r="P12" s="9">
        <v>13</v>
      </c>
      <c r="S12" s="236"/>
      <c r="T12" s="232"/>
      <c r="U12" s="47"/>
      <c r="V12" s="231" t="s">
        <v>172</v>
      </c>
      <c r="W12" s="51"/>
      <c r="X12" s="45"/>
    </row>
    <row r="13" spans="1:25" ht="13.5" customHeight="1">
      <c r="A13" t="s">
        <v>156</v>
      </c>
      <c r="B13" s="4">
        <v>42818.3125</v>
      </c>
      <c r="C13" s="14" t="s">
        <v>173</v>
      </c>
      <c r="D13" s="6" t="s">
        <v>174</v>
      </c>
      <c r="E13" s="42" t="s">
        <v>31</v>
      </c>
      <c r="F13" t="s">
        <v>175</v>
      </c>
      <c r="G13" s="43">
        <v>97.6</v>
      </c>
      <c r="H13" s="43">
        <v>92.4</v>
      </c>
      <c r="I13" s="33">
        <f>表1_4[[#This Row],[主队2]]-表1_4[[#This Row],[客队2]]</f>
        <v>5.1999999999999904</v>
      </c>
      <c r="J1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3" s="35" t="s">
        <v>176</v>
      </c>
      <c r="L1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" s="11"/>
      <c r="N13" s="46" t="s">
        <v>160</v>
      </c>
      <c r="O13" s="46" t="s">
        <v>35</v>
      </c>
      <c r="P13" s="9">
        <v>5</v>
      </c>
      <c r="S13" s="37"/>
      <c r="U13" s="230" t="s">
        <v>177</v>
      </c>
      <c r="V13" s="54" t="s">
        <v>178</v>
      </c>
      <c r="W13" s="52"/>
      <c r="X13" s="45"/>
    </row>
    <row r="14" spans="1:25" ht="13.5" customHeight="1">
      <c r="A14" t="s">
        <v>156</v>
      </c>
      <c r="B14" s="4">
        <v>42818.3125</v>
      </c>
      <c r="C14" s="5" t="s">
        <v>179</v>
      </c>
      <c r="D14" s="6" t="s">
        <v>180</v>
      </c>
      <c r="E14" s="31" t="s">
        <v>25</v>
      </c>
      <c r="F14" t="s">
        <v>181</v>
      </c>
      <c r="G14" s="43">
        <v>78.900000000000006</v>
      </c>
      <c r="H14" s="43">
        <v>86.5</v>
      </c>
      <c r="I14" s="33">
        <f>表1_4[[#This Row],[主队2]]-表1_4[[#This Row],[客队2]]</f>
        <v>-7.5999999999999899</v>
      </c>
      <c r="J1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4" s="35" t="s">
        <v>182</v>
      </c>
      <c r="L14" s="53" t="s">
        <v>183</v>
      </c>
      <c r="M14" s="11"/>
      <c r="N14" s="57" t="s">
        <v>133</v>
      </c>
      <c r="O14" s="10" t="s">
        <v>28</v>
      </c>
      <c r="P14" s="9">
        <v>-11</v>
      </c>
      <c r="S14" s="37"/>
      <c r="U14" s="237" t="s">
        <v>167</v>
      </c>
      <c r="V14" s="64" t="s">
        <v>184</v>
      </c>
      <c r="W14" s="48"/>
      <c r="X14" s="45"/>
    </row>
    <row r="15" spans="1:25" ht="13.5" customHeight="1">
      <c r="A15" s="58" t="s">
        <v>128</v>
      </c>
      <c r="C15" s="2" t="s">
        <v>166</v>
      </c>
      <c r="D15" s="59" t="s">
        <v>109</v>
      </c>
      <c r="E15" s="42" t="s">
        <v>31</v>
      </c>
      <c r="F15" s="37" t="s">
        <v>185</v>
      </c>
      <c r="G15" s="43">
        <v>70.900000000000006</v>
      </c>
      <c r="H15" s="43">
        <v>81.400000000000006</v>
      </c>
      <c r="I15" s="60">
        <f>表1_4[[#This Row],[主队2]]-表1_4[[#This Row],[客队2]]</f>
        <v>-10.5</v>
      </c>
      <c r="J1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5" s="35" t="s">
        <v>152</v>
      </c>
      <c r="L1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5" s="11"/>
      <c r="N15" s="10" t="s">
        <v>119</v>
      </c>
      <c r="O15" s="57" t="s">
        <v>46</v>
      </c>
      <c r="P15" s="9" t="s">
        <v>161</v>
      </c>
      <c r="S15" s="37"/>
      <c r="U15" s="25"/>
      <c r="V15" s="24" t="s">
        <v>186</v>
      </c>
      <c r="W15" s="51"/>
      <c r="X15" s="238" t="s">
        <v>187</v>
      </c>
      <c r="Y15" s="61">
        <v>86</v>
      </c>
    </row>
    <row r="16" spans="1:25" ht="13.5" customHeight="1">
      <c r="A16" t="s">
        <v>188</v>
      </c>
      <c r="B16" s="4">
        <v>42819.041666666701</v>
      </c>
      <c r="C16" s="5" t="s">
        <v>189</v>
      </c>
      <c r="D16" s="6" t="s">
        <v>190</v>
      </c>
      <c r="E16" s="42" t="s">
        <v>22</v>
      </c>
      <c r="F16" t="s">
        <v>191</v>
      </c>
      <c r="G16" s="43">
        <v>82</v>
      </c>
      <c r="H16" s="43">
        <v>74.099999999999994</v>
      </c>
      <c r="I16" s="33">
        <f>表1_4[[#This Row],[主队2]]-表1_4[[#This Row],[客队2]]</f>
        <v>7.9000000000000101</v>
      </c>
      <c r="J1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6" s="35" t="s">
        <v>125</v>
      </c>
      <c r="L1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6" s="11"/>
      <c r="N16" s="10" t="s">
        <v>133</v>
      </c>
      <c r="O16" s="10" t="s">
        <v>51</v>
      </c>
      <c r="P16" s="9">
        <v>3</v>
      </c>
      <c r="S16" s="37"/>
      <c r="U16" s="47"/>
      <c r="V16" s="231" t="s">
        <v>192</v>
      </c>
      <c r="W16" s="48"/>
      <c r="X16" s="45"/>
    </row>
    <row r="17" spans="1:24" ht="13.5" customHeight="1">
      <c r="A17" t="s">
        <v>188</v>
      </c>
      <c r="B17" s="4">
        <v>42819.15625</v>
      </c>
      <c r="C17" s="1" t="s">
        <v>193</v>
      </c>
      <c r="D17" s="6" t="s">
        <v>194</v>
      </c>
      <c r="E17" s="42" t="s">
        <v>22</v>
      </c>
      <c r="F17" t="s">
        <v>195</v>
      </c>
      <c r="G17" s="43">
        <v>78.400000000000006</v>
      </c>
      <c r="H17" s="43">
        <v>65</v>
      </c>
      <c r="I17" s="33">
        <f>表1_4[[#This Row],[主队2]]-表1_4[[#This Row],[客队2]]</f>
        <v>13.4</v>
      </c>
      <c r="J1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7" s="35" t="s">
        <v>63</v>
      </c>
      <c r="L1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7" s="11"/>
      <c r="N17" s="46" t="s">
        <v>112</v>
      </c>
      <c r="O17" s="10" t="s">
        <v>40</v>
      </c>
      <c r="P17" s="9">
        <v>-9</v>
      </c>
      <c r="S17" s="37"/>
      <c r="U17" s="230" t="s">
        <v>196</v>
      </c>
      <c r="V17" s="54" t="s">
        <v>197</v>
      </c>
      <c r="W17" s="52"/>
      <c r="X17" s="45"/>
    </row>
    <row r="18" spans="1:24" ht="13.5" customHeight="1">
      <c r="A18" t="s">
        <v>188</v>
      </c>
      <c r="B18" s="4">
        <v>42819.15625</v>
      </c>
      <c r="C18" s="30" t="s">
        <v>198</v>
      </c>
      <c r="D18" s="6" t="s">
        <v>199</v>
      </c>
      <c r="E18" s="31" t="s">
        <v>42</v>
      </c>
      <c r="F18" t="s">
        <v>200</v>
      </c>
      <c r="G18" s="43">
        <v>85</v>
      </c>
      <c r="H18" s="43">
        <v>79</v>
      </c>
      <c r="I18" s="33">
        <f>表1_4[[#This Row],[主队2]]-表1_4[[#This Row],[客队2]]</f>
        <v>6</v>
      </c>
      <c r="J1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8" s="35" t="s">
        <v>182</v>
      </c>
      <c r="L1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8" s="11"/>
      <c r="N18" s="10" t="s">
        <v>133</v>
      </c>
      <c r="O18" s="10" t="s">
        <v>46</v>
      </c>
      <c r="P18" s="9">
        <v>-7</v>
      </c>
      <c r="S18" s="37"/>
      <c r="U18" s="239" t="s">
        <v>201</v>
      </c>
      <c r="V18" s="55" t="s">
        <v>202</v>
      </c>
      <c r="W18" s="56"/>
      <c r="X18" s="45"/>
    </row>
    <row r="19" spans="1:24" ht="13.5" customHeight="1">
      <c r="A19" t="s">
        <v>188</v>
      </c>
      <c r="B19" s="4">
        <v>42819.15625</v>
      </c>
      <c r="C19" s="5" t="s">
        <v>203</v>
      </c>
      <c r="D19" s="240" t="s">
        <v>204</v>
      </c>
      <c r="E19" s="42" t="s">
        <v>22</v>
      </c>
      <c r="F19" t="s">
        <v>205</v>
      </c>
      <c r="G19" s="43">
        <v>89.9</v>
      </c>
      <c r="H19" s="43">
        <v>73.599999999999994</v>
      </c>
      <c r="I19" s="33">
        <f>表1_4[[#This Row],[主队2]]-表1_4[[#This Row],[客队2]]</f>
        <v>16.3</v>
      </c>
      <c r="J1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9" s="35" t="s">
        <v>63</v>
      </c>
      <c r="L1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9" s="11"/>
      <c r="N19" s="10" t="s">
        <v>119</v>
      </c>
      <c r="O19" s="10" t="s">
        <v>32</v>
      </c>
      <c r="P19" s="9">
        <v>3</v>
      </c>
      <c r="S19" s="37"/>
      <c r="U19" s="47"/>
      <c r="V19" s="62" t="s">
        <v>206</v>
      </c>
      <c r="W19" s="52" t="s">
        <v>207</v>
      </c>
      <c r="X19" s="45"/>
    </row>
    <row r="20" spans="1:24" ht="13.5" customHeight="1">
      <c r="A20" t="s">
        <v>188</v>
      </c>
      <c r="B20" s="4">
        <v>42819.15625</v>
      </c>
      <c r="C20" s="14" t="s">
        <v>208</v>
      </c>
      <c r="D20" s="6" t="s">
        <v>209</v>
      </c>
      <c r="E20" s="42" t="s">
        <v>43</v>
      </c>
      <c r="F20" t="s">
        <v>210</v>
      </c>
      <c r="G20" s="43">
        <v>96.1</v>
      </c>
      <c r="H20" s="43">
        <v>77.8</v>
      </c>
      <c r="I20" s="33">
        <f>表1_4[[#This Row],[主队2]]-表1_4[[#This Row],[客队2]]</f>
        <v>18.3</v>
      </c>
      <c r="J2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20" s="35" t="s">
        <v>23</v>
      </c>
      <c r="L2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20" s="11"/>
      <c r="N20" s="10" t="s">
        <v>133</v>
      </c>
      <c r="O20" s="10" t="s">
        <v>40</v>
      </c>
      <c r="P20" s="9" t="s">
        <v>161</v>
      </c>
      <c r="S20" s="37"/>
      <c r="T20" s="232"/>
      <c r="U20" s="230" t="s">
        <v>211</v>
      </c>
      <c r="V20" s="234" t="s">
        <v>212</v>
      </c>
      <c r="W20" s="48"/>
      <c r="X20" s="45"/>
    </row>
    <row r="21" spans="1:24" ht="13.5" customHeight="1">
      <c r="A21" t="s">
        <v>188</v>
      </c>
      <c r="B21" s="4">
        <v>42819.15625</v>
      </c>
      <c r="C21" s="14" t="s">
        <v>213</v>
      </c>
      <c r="D21" s="6" t="s">
        <v>110</v>
      </c>
      <c r="E21" s="42" t="s">
        <v>31</v>
      </c>
      <c r="F21" t="s">
        <v>214</v>
      </c>
      <c r="G21" s="43">
        <v>90.3</v>
      </c>
      <c r="H21" s="43">
        <v>84.4</v>
      </c>
      <c r="I21" s="33">
        <f>表1_4[[#This Row],[主队2]]-表1_4[[#This Row],[客队2]]</f>
        <v>5.8999999999999897</v>
      </c>
      <c r="J2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21" s="35" t="s">
        <v>176</v>
      </c>
      <c r="L2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1" s="11"/>
      <c r="N21" s="10" t="s">
        <v>119</v>
      </c>
      <c r="O21" s="10" t="s">
        <v>143</v>
      </c>
      <c r="P21" s="9">
        <v>-5</v>
      </c>
      <c r="S21" s="236"/>
      <c r="U21" s="230" t="s">
        <v>167</v>
      </c>
      <c r="V21" s="55" t="s">
        <v>215</v>
      </c>
      <c r="W21" s="241"/>
      <c r="X21" s="45"/>
    </row>
    <row r="22" spans="1:24" ht="13.5" customHeight="1">
      <c r="A22" t="s">
        <v>188</v>
      </c>
      <c r="B22" s="4">
        <v>42819.15625</v>
      </c>
      <c r="C22" s="14" t="s">
        <v>216</v>
      </c>
      <c r="D22" s="6" t="s">
        <v>217</v>
      </c>
      <c r="E22" s="49" t="s">
        <v>60</v>
      </c>
      <c r="F22" t="s">
        <v>218</v>
      </c>
      <c r="G22" s="43">
        <v>61.8</v>
      </c>
      <c r="H22" s="43">
        <v>78.5</v>
      </c>
      <c r="I22" s="33">
        <f>表1_4[[#This Row],[主队2]]-表1_4[[#This Row],[客队2]]</f>
        <v>-16.7</v>
      </c>
      <c r="J22" s="34">
        <v>-2</v>
      </c>
      <c r="K22" s="35" t="s">
        <v>219</v>
      </c>
      <c r="L2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22" s="11"/>
      <c r="N22" s="46" t="s">
        <v>112</v>
      </c>
      <c r="O22" s="46" t="s">
        <v>40</v>
      </c>
      <c r="P22" s="9">
        <v>1</v>
      </c>
      <c r="S22" s="37"/>
      <c r="U22" s="230" t="s">
        <v>220</v>
      </c>
      <c r="V22" s="54" t="s">
        <v>221</v>
      </c>
      <c r="W22" s="51"/>
      <c r="X22" s="45"/>
    </row>
    <row r="23" spans="1:24" ht="13.5" customHeight="1">
      <c r="A23" t="s">
        <v>222</v>
      </c>
      <c r="B23" s="4">
        <v>42819.291666666701</v>
      </c>
      <c r="C23" s="5" t="s">
        <v>223</v>
      </c>
      <c r="D23" s="6" t="s">
        <v>224</v>
      </c>
      <c r="E23" s="42" t="s">
        <v>31</v>
      </c>
      <c r="F23" t="s">
        <v>225</v>
      </c>
      <c r="G23" s="43">
        <v>66.8</v>
      </c>
      <c r="H23" s="43">
        <v>77.7</v>
      </c>
      <c r="I23" s="33">
        <f>表1_4[[#This Row],[主队2]]-表1_4[[#This Row],[客队2]]</f>
        <v>-10.9</v>
      </c>
      <c r="J2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23" s="35" t="s">
        <v>152</v>
      </c>
      <c r="L2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3" s="11"/>
      <c r="N23" s="10" t="s">
        <v>112</v>
      </c>
      <c r="O23" s="10" t="s">
        <v>35</v>
      </c>
      <c r="P23" s="9">
        <v>7</v>
      </c>
      <c r="S23" s="37"/>
      <c r="U23" s="47" t="s">
        <v>226</v>
      </c>
      <c r="V23" s="55" t="s">
        <v>227</v>
      </c>
      <c r="W23" s="44"/>
      <c r="X23" s="45"/>
    </row>
    <row r="24" spans="1:24" ht="13.5" customHeight="1">
      <c r="A24" t="s">
        <v>222</v>
      </c>
      <c r="B24" s="4">
        <v>42819.409722222197</v>
      </c>
      <c r="C24" s="14" t="s">
        <v>228</v>
      </c>
      <c r="D24" s="6" t="s">
        <v>229</v>
      </c>
      <c r="E24" s="42" t="s">
        <v>22</v>
      </c>
      <c r="F24" t="s">
        <v>230</v>
      </c>
      <c r="G24" s="43">
        <v>89</v>
      </c>
      <c r="H24" s="43">
        <v>83.2</v>
      </c>
      <c r="I24" s="33">
        <f>表1_4[[#This Row],[主队2]]-表1_4[[#This Row],[客队2]]</f>
        <v>5.8</v>
      </c>
      <c r="J2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24" s="35" t="s">
        <v>118</v>
      </c>
      <c r="L2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4" s="11"/>
      <c r="N24" s="10" t="s">
        <v>119</v>
      </c>
      <c r="O24" s="10" t="s">
        <v>40</v>
      </c>
      <c r="P24" s="9">
        <v>-10</v>
      </c>
      <c r="S24" s="37"/>
      <c r="U24" s="50" t="s">
        <v>231</v>
      </c>
      <c r="V24" s="54" t="s">
        <v>232</v>
      </c>
      <c r="W24" s="51"/>
      <c r="X24" s="45"/>
    </row>
    <row r="25" spans="1:24" ht="13.5" customHeight="1">
      <c r="A25" t="s">
        <v>222</v>
      </c>
      <c r="B25" s="4">
        <v>42819.451388888898</v>
      </c>
      <c r="C25" s="14" t="s">
        <v>233</v>
      </c>
      <c r="D25" s="6" t="s">
        <v>234</v>
      </c>
      <c r="E25" s="42" t="s">
        <v>55</v>
      </c>
      <c r="F25" t="s">
        <v>235</v>
      </c>
      <c r="G25" s="43">
        <v>82</v>
      </c>
      <c r="H25" s="43">
        <v>74.8</v>
      </c>
      <c r="I25" s="33">
        <f>表1_4[[#This Row],[主队2]]-表1_4[[#This Row],[客队2]]</f>
        <v>7.2</v>
      </c>
      <c r="J2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25" s="35" t="s">
        <v>176</v>
      </c>
      <c r="L2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5" s="11"/>
      <c r="N25" s="57" t="s">
        <v>133</v>
      </c>
      <c r="O25" s="10" t="s">
        <v>40</v>
      </c>
      <c r="P25" s="9">
        <v>14</v>
      </c>
      <c r="S25" s="37"/>
      <c r="U25" s="230" t="s">
        <v>236</v>
      </c>
      <c r="V25" s="54" t="s">
        <v>237</v>
      </c>
      <c r="W25" s="51"/>
      <c r="X25" s="45"/>
    </row>
    <row r="26" spans="1:24" ht="13.5" customHeight="1">
      <c r="A26" t="s">
        <v>188</v>
      </c>
      <c r="B26" s="4">
        <v>42820.041666666701</v>
      </c>
      <c r="C26" s="14" t="s">
        <v>238</v>
      </c>
      <c r="D26" s="6" t="s">
        <v>239</v>
      </c>
      <c r="E26" s="42" t="s">
        <v>37</v>
      </c>
      <c r="F26" t="s">
        <v>240</v>
      </c>
      <c r="G26" s="43">
        <v>86</v>
      </c>
      <c r="H26" s="43">
        <v>75.5</v>
      </c>
      <c r="I26" s="33">
        <f>表1_4[[#This Row],[主队2]]-表1_4[[#This Row],[客队2]]</f>
        <v>10.5</v>
      </c>
      <c r="J2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26" s="35" t="s">
        <v>176</v>
      </c>
      <c r="L2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6" s="11"/>
      <c r="N26" s="10" t="s">
        <v>112</v>
      </c>
      <c r="O26" s="57" t="s">
        <v>35</v>
      </c>
      <c r="P26" s="9">
        <v>18</v>
      </c>
      <c r="S26" s="37"/>
      <c r="U26" s="230" t="s">
        <v>177</v>
      </c>
      <c r="V26" s="231" t="s">
        <v>241</v>
      </c>
      <c r="W26" s="241"/>
      <c r="X26" s="45"/>
    </row>
    <row r="27" spans="1:24" ht="13.5" customHeight="1">
      <c r="A27" t="s">
        <v>188</v>
      </c>
      <c r="B27" s="4">
        <v>42820.041666666701</v>
      </c>
      <c r="C27" s="5" t="s">
        <v>242</v>
      </c>
      <c r="D27" s="6" t="s">
        <v>243</v>
      </c>
      <c r="E27" s="31" t="s">
        <v>42</v>
      </c>
      <c r="F27" t="s">
        <v>244</v>
      </c>
      <c r="G27" s="43">
        <v>45.7</v>
      </c>
      <c r="H27" s="43">
        <v>58.1</v>
      </c>
      <c r="I27" s="33">
        <f>表1_4[[#This Row],[主队2]]-表1_4[[#This Row],[客队2]]</f>
        <v>-12.4</v>
      </c>
      <c r="J2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27" s="35" t="s">
        <v>245</v>
      </c>
      <c r="L2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7" s="63" t="s">
        <v>246</v>
      </c>
      <c r="N27" s="10" t="s">
        <v>119</v>
      </c>
      <c r="O27" s="10" t="s">
        <v>143</v>
      </c>
      <c r="P27" s="9">
        <v>15</v>
      </c>
      <c r="S27" s="37"/>
      <c r="T27" s="232"/>
      <c r="U27" s="47" t="s">
        <v>247</v>
      </c>
      <c r="V27" s="64" t="s">
        <v>248</v>
      </c>
      <c r="W27" s="44"/>
      <c r="X27" s="45"/>
    </row>
    <row r="28" spans="1:24" ht="13.5" customHeight="1">
      <c r="A28" t="s">
        <v>188</v>
      </c>
      <c r="B28" s="4">
        <v>42820.041666666701</v>
      </c>
      <c r="C28" s="14" t="s">
        <v>249</v>
      </c>
      <c r="D28" s="6" t="s">
        <v>250</v>
      </c>
      <c r="E28" s="42" t="s">
        <v>31</v>
      </c>
      <c r="F28" t="s">
        <v>251</v>
      </c>
      <c r="G28" s="43">
        <v>84</v>
      </c>
      <c r="H28" s="43">
        <v>67.400000000000006</v>
      </c>
      <c r="I28" s="33">
        <f>表1_4[[#This Row],[主队2]]-表1_4[[#This Row],[客队2]]</f>
        <v>16.600000000000001</v>
      </c>
      <c r="J2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28" s="35" t="s">
        <v>26</v>
      </c>
      <c r="L2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8" s="11"/>
      <c r="N28" s="10" t="s">
        <v>119</v>
      </c>
      <c r="O28" s="10" t="s">
        <v>40</v>
      </c>
      <c r="P28" s="9" t="s">
        <v>161</v>
      </c>
      <c r="S28" s="37"/>
      <c r="U28" s="50" t="s">
        <v>252</v>
      </c>
      <c r="V28" s="65" t="s">
        <v>253</v>
      </c>
      <c r="W28" s="44"/>
      <c r="X28" s="45"/>
    </row>
    <row r="29" spans="1:24" ht="13.5" customHeight="1">
      <c r="A29" t="s">
        <v>188</v>
      </c>
      <c r="B29" s="4">
        <v>42820.041666666701</v>
      </c>
      <c r="C29" s="1" t="s">
        <v>254</v>
      </c>
      <c r="D29" s="6" t="s">
        <v>255</v>
      </c>
      <c r="E29" s="42" t="s">
        <v>57</v>
      </c>
      <c r="F29" t="s">
        <v>256</v>
      </c>
      <c r="G29" s="43">
        <v>83.2</v>
      </c>
      <c r="H29" s="43">
        <v>39.1</v>
      </c>
      <c r="I29" s="60">
        <f>表1_4[[#This Row],[主队2]]-表1_4[[#This Row],[客队2]]</f>
        <v>44.1</v>
      </c>
      <c r="J29" s="34">
        <v>4.75</v>
      </c>
      <c r="K29" s="35" t="s">
        <v>257</v>
      </c>
      <c r="L2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9" s="11"/>
      <c r="N29" s="10" t="s">
        <v>119</v>
      </c>
      <c r="O29" s="10" t="s">
        <v>46</v>
      </c>
      <c r="P29" s="9" t="s">
        <v>161</v>
      </c>
      <c r="S29" s="37"/>
      <c r="U29" s="50" t="s">
        <v>258</v>
      </c>
      <c r="V29" s="242" t="s">
        <v>259</v>
      </c>
      <c r="W29" s="44"/>
      <c r="X29" s="45"/>
    </row>
    <row r="30" spans="1:24" ht="13.5" customHeight="1">
      <c r="A30" t="s">
        <v>188</v>
      </c>
      <c r="B30" s="4">
        <v>42820.15625</v>
      </c>
      <c r="C30" s="14" t="s">
        <v>260</v>
      </c>
      <c r="D30" s="6" t="s">
        <v>261</v>
      </c>
      <c r="E30" s="42" t="s">
        <v>22</v>
      </c>
      <c r="F30" t="s">
        <v>262</v>
      </c>
      <c r="G30" s="43">
        <v>75.599999999999994</v>
      </c>
      <c r="H30" s="43">
        <v>90.8</v>
      </c>
      <c r="I30" s="33">
        <f>表1_4[[#This Row],[主队2]]-表1_4[[#This Row],[客队2]]</f>
        <v>-15.2</v>
      </c>
      <c r="J3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30" s="35" t="s">
        <v>245</v>
      </c>
      <c r="L3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0" s="63" t="s">
        <v>263</v>
      </c>
      <c r="N30" s="46" t="s">
        <v>112</v>
      </c>
      <c r="O30" s="10" t="s">
        <v>46</v>
      </c>
      <c r="P30" s="9">
        <v>9</v>
      </c>
      <c r="S30" s="37"/>
      <c r="T30" s="232"/>
      <c r="U30" s="47"/>
      <c r="V30" s="242" t="s">
        <v>264</v>
      </c>
      <c r="W30" s="51"/>
      <c r="X30" s="45"/>
    </row>
    <row r="31" spans="1:24" ht="13.5" customHeight="1">
      <c r="A31" t="s">
        <v>188</v>
      </c>
      <c r="B31" s="4">
        <v>42820.15625</v>
      </c>
      <c r="C31" s="1" t="s">
        <v>265</v>
      </c>
      <c r="D31" s="6" t="s">
        <v>266</v>
      </c>
      <c r="E31" s="49" t="s">
        <v>74</v>
      </c>
      <c r="F31" t="s">
        <v>267</v>
      </c>
      <c r="G31" s="43">
        <v>57.1</v>
      </c>
      <c r="H31" s="43">
        <v>93.4</v>
      </c>
      <c r="I31" s="33">
        <f>表1_4[[#This Row],[主队2]]-表1_4[[#This Row],[客队2]]</f>
        <v>-36.299999999999997</v>
      </c>
      <c r="J31" s="34">
        <v>-3.25</v>
      </c>
      <c r="K31" s="34">
        <v>-3</v>
      </c>
      <c r="L3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1" s="11"/>
      <c r="N31" s="10" t="s">
        <v>119</v>
      </c>
      <c r="O31" s="10" t="s">
        <v>24</v>
      </c>
      <c r="P31" s="9" t="s">
        <v>161</v>
      </c>
      <c r="S31" s="236"/>
      <c r="U31" s="230"/>
      <c r="V31" s="231" t="s">
        <v>268</v>
      </c>
      <c r="W31" s="44"/>
      <c r="X31" s="45"/>
    </row>
    <row r="32" spans="1:24" ht="13.5" customHeight="1">
      <c r="A32" t="s">
        <v>188</v>
      </c>
      <c r="B32" s="4">
        <v>42820.15625</v>
      </c>
      <c r="C32" s="14" t="s">
        <v>269</v>
      </c>
      <c r="D32" s="6" t="s">
        <v>270</v>
      </c>
      <c r="E32" s="42" t="s">
        <v>44</v>
      </c>
      <c r="F32" t="s">
        <v>271</v>
      </c>
      <c r="G32" s="43">
        <v>90.1</v>
      </c>
      <c r="H32" s="43">
        <v>77.599999999999994</v>
      </c>
      <c r="I32" s="33">
        <f>表1_4[[#This Row],[主队2]]-表1_4[[#This Row],[客队2]]</f>
        <v>12.5</v>
      </c>
      <c r="J3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32" s="35" t="s">
        <v>81</v>
      </c>
      <c r="L3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2" s="11"/>
      <c r="N32" s="10" t="s">
        <v>119</v>
      </c>
      <c r="O32" s="10" t="s">
        <v>51</v>
      </c>
      <c r="P32" s="9">
        <v>0.1</v>
      </c>
      <c r="S32" s="236"/>
      <c r="U32" s="230"/>
      <c r="V32" s="242" t="s">
        <v>272</v>
      </c>
      <c r="W32" s="51"/>
      <c r="X32" s="45"/>
    </row>
    <row r="33" spans="1:24" ht="13.5" customHeight="1">
      <c r="A33" t="s">
        <v>188</v>
      </c>
      <c r="B33" s="4">
        <v>42820.15625</v>
      </c>
      <c r="C33" s="14" t="s">
        <v>273</v>
      </c>
      <c r="D33" s="6" t="s">
        <v>274</v>
      </c>
      <c r="E33" s="31" t="s">
        <v>36</v>
      </c>
      <c r="F33" t="s">
        <v>275</v>
      </c>
      <c r="G33" s="43">
        <v>89.9</v>
      </c>
      <c r="H33" s="43">
        <v>80.7</v>
      </c>
      <c r="I33" s="33">
        <f>表1_4[[#This Row],[主队2]]-表1_4[[#This Row],[客队2]]</f>
        <v>9.1999999999999993</v>
      </c>
      <c r="J3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33" s="35" t="s">
        <v>81</v>
      </c>
      <c r="L3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3" s="11"/>
      <c r="N33" s="10" t="s">
        <v>119</v>
      </c>
      <c r="O33" s="10" t="s">
        <v>143</v>
      </c>
      <c r="P33" s="9">
        <v>4</v>
      </c>
      <c r="S33" s="37"/>
      <c r="T33" s="232"/>
      <c r="U33" s="230"/>
      <c r="V33" s="231" t="s">
        <v>276</v>
      </c>
      <c r="W33" s="44"/>
      <c r="X33" s="45"/>
    </row>
    <row r="34" spans="1:24" ht="27" customHeight="1">
      <c r="A34" t="s">
        <v>188</v>
      </c>
      <c r="B34" s="4">
        <v>42821</v>
      </c>
      <c r="C34" s="1" t="s">
        <v>277</v>
      </c>
      <c r="D34" s="6" t="s">
        <v>278</v>
      </c>
      <c r="E34" s="49" t="s">
        <v>75</v>
      </c>
      <c r="F34" t="s">
        <v>116</v>
      </c>
      <c r="G34" s="43">
        <v>66.8</v>
      </c>
      <c r="H34" s="43">
        <v>96.8</v>
      </c>
      <c r="I34" s="33">
        <f>表1_4[[#This Row],[主队2]]-表1_4[[#This Row],[客队2]]</f>
        <v>-30</v>
      </c>
      <c r="J34" s="34">
        <v>-2.75</v>
      </c>
      <c r="K34" s="34">
        <v>-2.25</v>
      </c>
      <c r="L3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34" s="66"/>
      <c r="N34" s="10" t="s">
        <v>112</v>
      </c>
      <c r="O34" s="10" t="s">
        <v>143</v>
      </c>
      <c r="P34" s="9" t="s">
        <v>161</v>
      </c>
      <c r="Q34" s="66"/>
      <c r="S34" s="37"/>
      <c r="U34" s="50"/>
      <c r="V34" s="54" t="s">
        <v>279</v>
      </c>
      <c r="W34" s="52" t="s">
        <v>280</v>
      </c>
      <c r="X34" s="45"/>
    </row>
    <row r="35" spans="1:24" ht="11.25" customHeight="1">
      <c r="A35" t="s">
        <v>188</v>
      </c>
      <c r="B35" s="4">
        <v>42821</v>
      </c>
      <c r="C35" s="1" t="s">
        <v>281</v>
      </c>
      <c r="D35" s="6" t="s">
        <v>282</v>
      </c>
      <c r="E35" s="49" t="s">
        <v>283</v>
      </c>
      <c r="F35" t="s">
        <v>284</v>
      </c>
      <c r="G35" s="43">
        <v>31.6</v>
      </c>
      <c r="H35" s="43">
        <v>82.9</v>
      </c>
      <c r="I35" s="33">
        <f>表1_4[[#This Row],[主队2]]-表1_4[[#This Row],[客队2]]</f>
        <v>-51.3</v>
      </c>
      <c r="J35" s="34">
        <v>-5</v>
      </c>
      <c r="K35" s="34">
        <v>-3.75</v>
      </c>
      <c r="L3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35" s="11"/>
      <c r="N35" s="10" t="s">
        <v>119</v>
      </c>
      <c r="O35" s="10" t="s">
        <v>46</v>
      </c>
      <c r="P35" s="9" t="s">
        <v>161</v>
      </c>
      <c r="S35" s="37"/>
      <c r="U35" s="50"/>
      <c r="V35" s="54" t="s">
        <v>285</v>
      </c>
      <c r="W35" s="44"/>
      <c r="X35" s="45"/>
    </row>
    <row r="36" spans="1:24" ht="13.5" customHeight="1">
      <c r="A36" t="s">
        <v>188</v>
      </c>
      <c r="B36" s="4">
        <v>42821</v>
      </c>
      <c r="C36" s="5" t="s">
        <v>286</v>
      </c>
      <c r="D36" s="6" t="s">
        <v>287</v>
      </c>
      <c r="E36" s="42" t="s">
        <v>22</v>
      </c>
      <c r="F36" t="s">
        <v>288</v>
      </c>
      <c r="G36" s="43">
        <v>71.099999999999994</v>
      </c>
      <c r="H36" s="43">
        <v>66.400000000000006</v>
      </c>
      <c r="I36" s="33">
        <f>表1_4[[#This Row],[主队2]]-表1_4[[#This Row],[客队2]]</f>
        <v>4.6999999999999904</v>
      </c>
      <c r="J3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36" s="35" t="s">
        <v>289</v>
      </c>
      <c r="L3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6" s="11"/>
      <c r="N36" s="10" t="s">
        <v>112</v>
      </c>
      <c r="O36" s="10" t="s">
        <v>48</v>
      </c>
      <c r="P36" s="9">
        <v>14</v>
      </c>
      <c r="S36" s="37"/>
      <c r="U36" s="50"/>
      <c r="V36" s="54" t="s">
        <v>290</v>
      </c>
      <c r="W36" s="51"/>
      <c r="X36" s="45"/>
    </row>
    <row r="37" spans="1:24" ht="13.5" customHeight="1">
      <c r="A37" t="s">
        <v>188</v>
      </c>
      <c r="B37" s="4">
        <v>42821</v>
      </c>
      <c r="C37" s="67" t="s">
        <v>291</v>
      </c>
      <c r="D37" s="6" t="s">
        <v>117</v>
      </c>
      <c r="E37" s="42" t="s">
        <v>22</v>
      </c>
      <c r="F37" t="s">
        <v>292</v>
      </c>
      <c r="G37" s="43">
        <v>90.4</v>
      </c>
      <c r="H37" s="43">
        <v>68.900000000000006</v>
      </c>
      <c r="I37" s="33">
        <f>表1_4[[#This Row],[主队2]]-表1_4[[#This Row],[客队2]]</f>
        <v>21.5</v>
      </c>
      <c r="J37" s="34">
        <v>2.5</v>
      </c>
      <c r="K37" s="34">
        <v>2.25</v>
      </c>
      <c r="L3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7" s="11"/>
      <c r="N37" s="10" t="s">
        <v>112</v>
      </c>
      <c r="O37" s="10" t="s">
        <v>40</v>
      </c>
      <c r="P37" s="9" t="s">
        <v>161</v>
      </c>
      <c r="S37" s="37"/>
      <c r="U37" s="50" t="s">
        <v>293</v>
      </c>
      <c r="V37" s="54" t="s">
        <v>294</v>
      </c>
      <c r="W37" s="52"/>
      <c r="X37" s="45"/>
    </row>
    <row r="38" spans="1:24" ht="13.5" customHeight="1">
      <c r="A38" t="s">
        <v>188</v>
      </c>
      <c r="B38" s="68">
        <v>42821.114583333299</v>
      </c>
      <c r="C38" s="30" t="s">
        <v>295</v>
      </c>
      <c r="D38" s="6" t="s">
        <v>296</v>
      </c>
      <c r="E38" s="42" t="s">
        <v>22</v>
      </c>
      <c r="F38" t="s">
        <v>297</v>
      </c>
      <c r="G38" s="43">
        <v>77.400000000000006</v>
      </c>
      <c r="H38" s="43">
        <v>74.2</v>
      </c>
      <c r="I38" s="33">
        <f>表1_4[[#This Row],[主队2]]-表1_4[[#This Row],[客队2]]</f>
        <v>3.2</v>
      </c>
      <c r="J3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38" s="35" t="s">
        <v>182</v>
      </c>
      <c r="L38" s="53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8" s="63" t="s">
        <v>298</v>
      </c>
      <c r="N38" s="10" t="s">
        <v>119</v>
      </c>
      <c r="O38" s="57" t="s">
        <v>28</v>
      </c>
      <c r="P38" s="9">
        <v>15</v>
      </c>
      <c r="S38" s="37"/>
      <c r="T38" s="232"/>
      <c r="U38" s="47" t="s">
        <v>167</v>
      </c>
      <c r="V38" s="55" t="s">
        <v>299</v>
      </c>
      <c r="W38" s="44"/>
      <c r="X38" s="45"/>
    </row>
    <row r="39" spans="1:24" ht="13.5" customHeight="1">
      <c r="A39" t="s">
        <v>188</v>
      </c>
      <c r="B39" s="4">
        <v>42821.114583333299</v>
      </c>
      <c r="C39" s="1" t="s">
        <v>300</v>
      </c>
      <c r="D39" s="6" t="s">
        <v>301</v>
      </c>
      <c r="E39" s="49" t="s">
        <v>60</v>
      </c>
      <c r="F39" t="s">
        <v>302</v>
      </c>
      <c r="G39" s="43">
        <v>76.900000000000006</v>
      </c>
      <c r="H39" s="43">
        <v>85.9</v>
      </c>
      <c r="I39" s="33">
        <f>表1_4[[#This Row],[主队2]]-表1_4[[#This Row],[客队2]]</f>
        <v>-9</v>
      </c>
      <c r="J3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39" s="35" t="s">
        <v>132</v>
      </c>
      <c r="L3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9" s="11"/>
      <c r="N39" s="10" t="s">
        <v>112</v>
      </c>
      <c r="O39" s="10" t="s">
        <v>143</v>
      </c>
      <c r="P39" s="9">
        <v>7</v>
      </c>
      <c r="S39" s="37"/>
      <c r="T39" s="232"/>
      <c r="U39" s="230"/>
      <c r="V39" s="54" t="s">
        <v>303</v>
      </c>
      <c r="W39" s="51"/>
      <c r="X39" s="45"/>
    </row>
    <row r="40" spans="1:24" ht="13.5" customHeight="1">
      <c r="A40" t="s">
        <v>188</v>
      </c>
      <c r="B40" s="4">
        <v>42821.114583333299</v>
      </c>
      <c r="C40" s="5" t="s">
        <v>304</v>
      </c>
      <c r="D40" s="6" t="s">
        <v>305</v>
      </c>
      <c r="E40" s="31" t="s">
        <v>42</v>
      </c>
      <c r="F40" t="s">
        <v>306</v>
      </c>
      <c r="G40" s="43">
        <v>81.099999999999994</v>
      </c>
      <c r="H40" s="43">
        <v>81.400000000000006</v>
      </c>
      <c r="I40" s="33">
        <f>表1_4[[#This Row],[主队2]]-表1_4[[#This Row],[客队2]]</f>
        <v>-0.30000000000001098</v>
      </c>
      <c r="J4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40" s="35" t="s">
        <v>166</v>
      </c>
      <c r="L4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0" s="11"/>
      <c r="N40" s="10" t="s">
        <v>112</v>
      </c>
      <c r="O40" s="10" t="s">
        <v>143</v>
      </c>
      <c r="P40" s="9">
        <v>-2</v>
      </c>
      <c r="S40" s="37"/>
      <c r="U40" s="47"/>
      <c r="V40" s="64" t="s">
        <v>307</v>
      </c>
      <c r="W40" s="56"/>
      <c r="X40" s="45"/>
    </row>
    <row r="41" spans="1:24" ht="13.5" customHeight="1">
      <c r="A41" t="s">
        <v>188</v>
      </c>
      <c r="B41" s="4">
        <v>42821.114583333299</v>
      </c>
      <c r="C41" s="14" t="s">
        <v>308</v>
      </c>
      <c r="D41" s="6" t="s">
        <v>123</v>
      </c>
      <c r="E41" s="42" t="s">
        <v>31</v>
      </c>
      <c r="F41" t="s">
        <v>309</v>
      </c>
      <c r="G41" s="43">
        <v>78.400000000000006</v>
      </c>
      <c r="H41" s="43">
        <v>79.400000000000006</v>
      </c>
      <c r="I41" s="33">
        <f>表1_4[[#This Row],[主队2]]-表1_4[[#This Row],[客队2]]</f>
        <v>-1</v>
      </c>
      <c r="J4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41" s="35" t="s">
        <v>182</v>
      </c>
      <c r="L4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1" s="11"/>
      <c r="N41" s="10" t="s">
        <v>119</v>
      </c>
      <c r="O41" s="10" t="s">
        <v>35</v>
      </c>
      <c r="P41" s="9">
        <v>-3</v>
      </c>
      <c r="S41" s="37"/>
      <c r="T41" s="232"/>
      <c r="U41" s="47" t="s">
        <v>310</v>
      </c>
      <c r="V41" s="231" t="s">
        <v>311</v>
      </c>
      <c r="W41" s="56"/>
      <c r="X41" s="45"/>
    </row>
    <row r="42" spans="1:24" ht="13.5" customHeight="1">
      <c r="A42" t="s">
        <v>128</v>
      </c>
      <c r="B42" s="4">
        <v>42822.708333333299</v>
      </c>
      <c r="C42" s="5" t="s">
        <v>312</v>
      </c>
      <c r="D42" s="6" t="s">
        <v>142</v>
      </c>
      <c r="E42" s="42" t="s">
        <v>22</v>
      </c>
      <c r="F42" t="s">
        <v>146</v>
      </c>
      <c r="G42" s="43">
        <v>80.2</v>
      </c>
      <c r="H42" s="43">
        <v>72.099999999999994</v>
      </c>
      <c r="I42" s="33">
        <f>表1_4[[#This Row],[主队2]]-表1_4[[#This Row],[客队2]]</f>
        <v>8.1000000000000103</v>
      </c>
      <c r="J4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42" s="35" t="s">
        <v>81</v>
      </c>
      <c r="L4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42" s="66"/>
      <c r="N42" s="10" t="s">
        <v>119</v>
      </c>
      <c r="O42" s="10" t="s">
        <v>35</v>
      </c>
      <c r="P42" s="9">
        <v>0.1</v>
      </c>
      <c r="Q42" s="66"/>
      <c r="S42" s="37"/>
      <c r="U42" s="47" t="s">
        <v>313</v>
      </c>
      <c r="V42" s="55" t="s">
        <v>314</v>
      </c>
      <c r="W42" s="44"/>
      <c r="X42" s="45"/>
    </row>
    <row r="43" spans="1:24" ht="13.5" customHeight="1">
      <c r="A43" t="s">
        <v>128</v>
      </c>
      <c r="B43" s="4">
        <v>42822.774305555598</v>
      </c>
      <c r="C43" s="14" t="s">
        <v>315</v>
      </c>
      <c r="D43" s="6" t="s">
        <v>147</v>
      </c>
      <c r="E43" s="42" t="s">
        <v>37</v>
      </c>
      <c r="F43" t="s">
        <v>137</v>
      </c>
      <c r="G43" s="43">
        <v>83</v>
      </c>
      <c r="H43" s="43">
        <v>60.6</v>
      </c>
      <c r="I43" s="33">
        <f>表1_4[[#This Row],[主队2]]-表1_4[[#This Row],[客队2]]</f>
        <v>22.4</v>
      </c>
      <c r="J43" s="34">
        <v>2.5</v>
      </c>
      <c r="K43" s="35" t="s">
        <v>23</v>
      </c>
      <c r="L4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3" s="11"/>
      <c r="N43" s="10" t="s">
        <v>160</v>
      </c>
      <c r="O43" s="10" t="s">
        <v>143</v>
      </c>
      <c r="P43" s="9" t="s">
        <v>161</v>
      </c>
      <c r="S43" s="37"/>
      <c r="U43" s="50"/>
      <c r="V43" s="54" t="s">
        <v>316</v>
      </c>
      <c r="W43" s="44"/>
      <c r="X43" s="45"/>
    </row>
    <row r="44" spans="1:24" ht="13.5" customHeight="1">
      <c r="A44" t="s">
        <v>128</v>
      </c>
      <c r="B44" s="4">
        <v>42822.791666666701</v>
      </c>
      <c r="C44" s="5" t="s">
        <v>317</v>
      </c>
      <c r="D44" s="6" t="s">
        <v>185</v>
      </c>
      <c r="E44" s="42" t="s">
        <v>31</v>
      </c>
      <c r="F44" t="s">
        <v>130</v>
      </c>
      <c r="G44" s="43">
        <v>80.400000000000006</v>
      </c>
      <c r="H44" s="43">
        <v>71.8</v>
      </c>
      <c r="I44" s="33">
        <f>表1_4[[#This Row],[主队2]]-表1_4[[#This Row],[客队2]]</f>
        <v>8.6000000000000103</v>
      </c>
      <c r="J4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44" s="35" t="s">
        <v>63</v>
      </c>
      <c r="L4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44" s="11"/>
      <c r="N44" s="10" t="s">
        <v>112</v>
      </c>
      <c r="O44" s="10" t="s">
        <v>35</v>
      </c>
      <c r="P44" s="9">
        <v>-5</v>
      </c>
      <c r="S44" s="37"/>
      <c r="U44" s="230" t="s">
        <v>318</v>
      </c>
      <c r="V44" s="231" t="s">
        <v>319</v>
      </c>
      <c r="W44" s="44"/>
      <c r="X44" s="45"/>
    </row>
    <row r="45" spans="1:24" ht="13.5" customHeight="1">
      <c r="A45" t="s">
        <v>128</v>
      </c>
      <c r="B45" s="4">
        <v>42822.833333333299</v>
      </c>
      <c r="C45" s="14" t="s">
        <v>320</v>
      </c>
      <c r="D45" s="6" t="s">
        <v>151</v>
      </c>
      <c r="E45" s="42" t="s">
        <v>31</v>
      </c>
      <c r="F45" t="s">
        <v>109</v>
      </c>
      <c r="G45" s="43">
        <v>80.7</v>
      </c>
      <c r="H45" s="43">
        <v>71.900000000000006</v>
      </c>
      <c r="I45" s="33">
        <f>表1_4[[#This Row],[主队2]]-表1_4[[#This Row],[客队2]]</f>
        <v>8.8000000000000007</v>
      </c>
      <c r="J45" s="34">
        <v>1.25</v>
      </c>
      <c r="K45" s="35" t="s">
        <v>176</v>
      </c>
      <c r="L4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5" s="11"/>
      <c r="N45" s="10" t="s">
        <v>119</v>
      </c>
      <c r="O45" s="10" t="s">
        <v>48</v>
      </c>
      <c r="P45" s="9">
        <v>-24</v>
      </c>
      <c r="S45" s="37"/>
      <c r="T45" s="232"/>
      <c r="U45" s="47"/>
      <c r="V45" s="55" t="s">
        <v>321</v>
      </c>
      <c r="W45" s="44"/>
      <c r="X45" s="45"/>
    </row>
    <row r="46" spans="1:24" ht="13.5" customHeight="1">
      <c r="A46" t="s">
        <v>128</v>
      </c>
      <c r="B46" s="4">
        <v>42822.875</v>
      </c>
      <c r="C46" s="5" t="s">
        <v>322</v>
      </c>
      <c r="D46" s="6" t="s">
        <v>131</v>
      </c>
      <c r="E46" s="42" t="s">
        <v>31</v>
      </c>
      <c r="F46" t="s">
        <v>150</v>
      </c>
      <c r="G46" s="43">
        <v>74.599999999999994</v>
      </c>
      <c r="H46" s="43">
        <v>69</v>
      </c>
      <c r="I46" s="33">
        <f>表1_4[[#This Row],[主队2]]-表1_4[[#This Row],[客队2]]</f>
        <v>5.5999999999999899</v>
      </c>
      <c r="J4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46" s="35" t="s">
        <v>289</v>
      </c>
      <c r="L4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6" s="11"/>
      <c r="N46" s="57" t="s">
        <v>119</v>
      </c>
      <c r="O46" s="10" t="s">
        <v>40</v>
      </c>
      <c r="P46" s="9">
        <v>3</v>
      </c>
      <c r="S46" s="37"/>
      <c r="U46" s="230" t="s">
        <v>323</v>
      </c>
      <c r="V46" s="54" t="s">
        <v>324</v>
      </c>
      <c r="W46" s="51"/>
      <c r="X46" s="45"/>
    </row>
    <row r="47" spans="1:24" ht="13.5" customHeight="1">
      <c r="A47" t="s">
        <v>128</v>
      </c>
      <c r="B47" s="4">
        <v>42823.0625</v>
      </c>
      <c r="C47" s="1" t="s">
        <v>325</v>
      </c>
      <c r="D47" s="59" t="s">
        <v>138</v>
      </c>
      <c r="E47" s="42" t="s">
        <v>31</v>
      </c>
      <c r="F47" t="s">
        <v>141</v>
      </c>
      <c r="G47" s="43">
        <v>73.7</v>
      </c>
      <c r="H47" s="43">
        <v>69.8</v>
      </c>
      <c r="I47">
        <f>表1_4[[#This Row],[主队2]]-表1_4[[#This Row],[客队2]]</f>
        <v>3.9000000000000101</v>
      </c>
      <c r="J4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47" s="35" t="s">
        <v>176</v>
      </c>
      <c r="L4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47" s="63" t="s">
        <v>326</v>
      </c>
      <c r="N47" s="10" t="s">
        <v>119</v>
      </c>
      <c r="O47" s="57" t="s">
        <v>35</v>
      </c>
      <c r="P47" s="9">
        <v>14</v>
      </c>
      <c r="S47" s="37"/>
      <c r="U47" s="230" t="s">
        <v>327</v>
      </c>
      <c r="V47" s="55" t="s">
        <v>328</v>
      </c>
      <c r="W47" s="56" t="s">
        <v>329</v>
      </c>
      <c r="X47" s="45"/>
    </row>
    <row r="48" spans="1:24" ht="13.5" customHeight="1">
      <c r="A48" t="s">
        <v>156</v>
      </c>
      <c r="B48" s="4">
        <v>42823.166666666701</v>
      </c>
      <c r="C48" s="30" t="s">
        <v>330</v>
      </c>
      <c r="D48" s="6" t="s">
        <v>159</v>
      </c>
      <c r="E48" s="42" t="s">
        <v>22</v>
      </c>
      <c r="F48" t="s">
        <v>174</v>
      </c>
      <c r="G48" s="43">
        <v>73.7</v>
      </c>
      <c r="H48" s="43">
        <v>97.8</v>
      </c>
      <c r="I48">
        <f>表1_4[[#This Row],[主队2]]-表1_4[[#This Row],[客队2]]</f>
        <v>-24.1</v>
      </c>
      <c r="J48" s="34">
        <v>-2.25</v>
      </c>
      <c r="K48" s="35" t="s">
        <v>132</v>
      </c>
      <c r="L4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48" s="63" t="s">
        <v>331</v>
      </c>
      <c r="N48" s="10" t="s">
        <v>133</v>
      </c>
      <c r="O48" s="10" t="s">
        <v>143</v>
      </c>
      <c r="P48" s="9">
        <v>33</v>
      </c>
      <c r="S48" s="37"/>
      <c r="U48" s="50"/>
      <c r="V48" s="54" t="s">
        <v>332</v>
      </c>
      <c r="W48" s="44"/>
      <c r="X48" s="45"/>
    </row>
    <row r="49" spans="1:25" ht="13.5" customHeight="1">
      <c r="A49" t="s">
        <v>156</v>
      </c>
      <c r="B49" s="4">
        <v>42823.208333333299</v>
      </c>
      <c r="C49" s="30" t="s">
        <v>333</v>
      </c>
      <c r="D49" s="6" t="s">
        <v>165</v>
      </c>
      <c r="E49" s="49" t="s">
        <v>47</v>
      </c>
      <c r="F49" t="s">
        <v>158</v>
      </c>
      <c r="G49" s="43">
        <v>86.3</v>
      </c>
      <c r="H49" s="43">
        <v>90.4</v>
      </c>
      <c r="I49">
        <f>表1_4[[#This Row],[主队2]]-表1_4[[#This Row],[客队2]]</f>
        <v>-4.1000000000000103</v>
      </c>
      <c r="J4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49" s="35" t="s">
        <v>289</v>
      </c>
      <c r="L4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49" s="11"/>
      <c r="N49" s="10" t="s">
        <v>133</v>
      </c>
      <c r="O49" s="10" t="s">
        <v>40</v>
      </c>
      <c r="P49" s="9">
        <v>-3</v>
      </c>
      <c r="S49" s="37"/>
      <c r="T49" s="232"/>
      <c r="U49" s="47" t="s">
        <v>334</v>
      </c>
      <c r="V49" s="55" t="s">
        <v>335</v>
      </c>
      <c r="W49" s="48"/>
      <c r="X49" s="45"/>
    </row>
    <row r="50" spans="1:25" ht="13.5" customHeight="1">
      <c r="A50" t="s">
        <v>222</v>
      </c>
      <c r="B50" s="4">
        <v>42823.208333333299</v>
      </c>
      <c r="C50" s="1" t="s">
        <v>336</v>
      </c>
      <c r="D50" s="6" t="s">
        <v>235</v>
      </c>
      <c r="E50" s="31" t="s">
        <v>36</v>
      </c>
      <c r="F50" t="s">
        <v>230</v>
      </c>
      <c r="G50" s="43">
        <v>73.3</v>
      </c>
      <c r="H50" s="43">
        <v>82.6</v>
      </c>
      <c r="I50">
        <f>表1_4[[#This Row],[主队2]]-表1_4[[#This Row],[客队2]]</f>
        <v>-9.3000000000000007</v>
      </c>
      <c r="J5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50" s="35" t="s">
        <v>152</v>
      </c>
      <c r="L5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0" s="11"/>
      <c r="N50" s="10" t="s">
        <v>119</v>
      </c>
      <c r="O50" s="46" t="s">
        <v>35</v>
      </c>
      <c r="P50" s="9">
        <v>23</v>
      </c>
      <c r="S50" s="37"/>
      <c r="T50" s="232"/>
      <c r="U50" s="50" t="s">
        <v>337</v>
      </c>
      <c r="V50" s="54" t="s">
        <v>338</v>
      </c>
      <c r="W50" s="241"/>
      <c r="X50" s="69" t="s">
        <v>339</v>
      </c>
      <c r="Y50" s="70">
        <v>114</v>
      </c>
    </row>
    <row r="51" spans="1:25" ht="13.5" customHeight="1">
      <c r="A51" t="s">
        <v>156</v>
      </c>
      <c r="B51" s="4">
        <v>42823.25</v>
      </c>
      <c r="C51" s="1" t="s">
        <v>340</v>
      </c>
      <c r="D51" s="6" t="s">
        <v>175</v>
      </c>
      <c r="E51" s="42" t="s">
        <v>41</v>
      </c>
      <c r="F51" t="s">
        <v>180</v>
      </c>
      <c r="G51" s="43">
        <v>92.2</v>
      </c>
      <c r="H51" s="43">
        <v>79.5</v>
      </c>
      <c r="I51">
        <f>表1_4[[#This Row],[主队2]]-表1_4[[#This Row],[客队2]]</f>
        <v>12.7</v>
      </c>
      <c r="J5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51" s="35" t="s">
        <v>45</v>
      </c>
      <c r="L5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51" s="11"/>
      <c r="N51" s="10" t="s">
        <v>112</v>
      </c>
      <c r="O51" s="10" t="s">
        <v>46</v>
      </c>
      <c r="P51" s="9">
        <v>7</v>
      </c>
      <c r="S51" s="37"/>
      <c r="U51" s="230"/>
      <c r="V51" s="231" t="s">
        <v>341</v>
      </c>
      <c r="W51" s="52"/>
      <c r="X51" s="45"/>
    </row>
    <row r="52" spans="1:25" ht="13.5" customHeight="1">
      <c r="A52" t="s">
        <v>222</v>
      </c>
      <c r="B52" s="4">
        <v>42823.291666666701</v>
      </c>
      <c r="C52" s="14" t="s">
        <v>342</v>
      </c>
      <c r="D52" s="6" t="s">
        <v>224</v>
      </c>
      <c r="E52" s="49" t="s">
        <v>53</v>
      </c>
      <c r="F52" t="s">
        <v>229</v>
      </c>
      <c r="G52" s="43">
        <v>67.900000000000006</v>
      </c>
      <c r="H52" s="43">
        <v>89.7</v>
      </c>
      <c r="I52">
        <f>表1_4[[#This Row],[主队2]]-表1_4[[#This Row],[客队2]]</f>
        <v>-21.8</v>
      </c>
      <c r="J52" s="34">
        <v>-2</v>
      </c>
      <c r="K52" s="35" t="s">
        <v>111</v>
      </c>
      <c r="L5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2" s="11"/>
      <c r="N52" s="10" t="s">
        <v>160</v>
      </c>
      <c r="O52" s="10" t="s">
        <v>46</v>
      </c>
      <c r="P52" s="9">
        <v>18</v>
      </c>
      <c r="S52" s="37"/>
      <c r="U52" s="50"/>
      <c r="V52" s="65" t="s">
        <v>343</v>
      </c>
      <c r="W52" s="52" t="s">
        <v>280</v>
      </c>
      <c r="X52" s="45"/>
    </row>
    <row r="53" spans="1:25" ht="13.5" customHeight="1">
      <c r="A53" t="s">
        <v>156</v>
      </c>
      <c r="B53" s="4">
        <v>42823.364583333299</v>
      </c>
      <c r="C53" s="5" t="s">
        <v>344</v>
      </c>
      <c r="D53" s="6" t="s">
        <v>171</v>
      </c>
      <c r="E53" s="42" t="s">
        <v>44</v>
      </c>
      <c r="F53" t="s">
        <v>164</v>
      </c>
      <c r="G53" s="43">
        <v>100.4</v>
      </c>
      <c r="H53" s="43">
        <v>84.2</v>
      </c>
      <c r="I53">
        <f>表1_4[[#This Row],[主队2]]-表1_4[[#This Row],[客队2]]</f>
        <v>16.2</v>
      </c>
      <c r="J5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53" s="35" t="s">
        <v>45</v>
      </c>
      <c r="L5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3" s="11"/>
      <c r="N53" s="10" t="s">
        <v>119</v>
      </c>
      <c r="O53" s="10" t="s">
        <v>143</v>
      </c>
      <c r="P53" s="9">
        <v>-1</v>
      </c>
      <c r="S53" s="236"/>
      <c r="T53" s="232"/>
      <c r="U53" s="50"/>
      <c r="V53" s="54" t="s">
        <v>345</v>
      </c>
      <c r="W53" s="51"/>
      <c r="X53" s="45"/>
    </row>
    <row r="54" spans="1:25" ht="13.5" customHeight="1">
      <c r="A54" t="s">
        <v>222</v>
      </c>
      <c r="B54" s="4">
        <v>42823.375</v>
      </c>
      <c r="C54" s="1" t="s">
        <v>346</v>
      </c>
      <c r="D54" s="6" t="s">
        <v>225</v>
      </c>
      <c r="E54" s="31" t="s">
        <v>36</v>
      </c>
      <c r="F54" t="s">
        <v>234</v>
      </c>
      <c r="G54" s="43">
        <v>76.599999999999994</v>
      </c>
      <c r="H54" s="43">
        <v>83.5</v>
      </c>
      <c r="I54">
        <f>表1_4[[#This Row],[主队2]]-表1_4[[#This Row],[客队2]]</f>
        <v>-6.9000000000000101</v>
      </c>
      <c r="J5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54" s="35" t="s">
        <v>152</v>
      </c>
      <c r="L5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4" s="11"/>
      <c r="N54" s="57" t="s">
        <v>133</v>
      </c>
      <c r="O54" s="10" t="s">
        <v>40</v>
      </c>
      <c r="P54" s="9">
        <v>30</v>
      </c>
      <c r="S54" s="37"/>
      <c r="T54" s="232"/>
      <c r="U54" s="233" t="s">
        <v>347</v>
      </c>
      <c r="V54" s="54" t="s">
        <v>348</v>
      </c>
      <c r="W54" s="48"/>
      <c r="X54" s="45"/>
    </row>
    <row r="55" spans="1:25" ht="13.5" customHeight="1">
      <c r="A55" t="s">
        <v>156</v>
      </c>
      <c r="B55" s="4">
        <v>42823.427083333299</v>
      </c>
      <c r="C55" s="1" t="s">
        <v>349</v>
      </c>
      <c r="D55" s="6" t="s">
        <v>181</v>
      </c>
      <c r="E55" s="42" t="s">
        <v>33</v>
      </c>
      <c r="F55" t="s">
        <v>170</v>
      </c>
      <c r="G55" s="43">
        <v>85.9</v>
      </c>
      <c r="H55" s="43">
        <v>90.6</v>
      </c>
      <c r="I55">
        <f>表1_4[[#This Row],[主队2]]-表1_4[[#This Row],[客队2]]</f>
        <v>-4.6999999999999904</v>
      </c>
      <c r="J5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55" s="35" t="s">
        <v>166</v>
      </c>
      <c r="L5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5" s="11"/>
      <c r="N55" s="10" t="s">
        <v>112</v>
      </c>
      <c r="O55" s="10" t="s">
        <v>48</v>
      </c>
      <c r="P55" s="9">
        <v>26</v>
      </c>
      <c r="S55" s="37"/>
      <c r="U55" s="50" t="s">
        <v>350</v>
      </c>
      <c r="V55" s="242" t="s">
        <v>351</v>
      </c>
      <c r="W55" s="52"/>
      <c r="X55" s="45"/>
    </row>
    <row r="56" spans="1:25" ht="13.5" customHeight="1">
      <c r="A56" t="s">
        <v>107</v>
      </c>
      <c r="B56" s="4">
        <v>42823</v>
      </c>
      <c r="C56" s="30" t="s">
        <v>352</v>
      </c>
      <c r="D56" s="6" t="s">
        <v>353</v>
      </c>
      <c r="E56" s="31" t="s">
        <v>66</v>
      </c>
      <c r="F56" t="s">
        <v>274</v>
      </c>
      <c r="G56" s="43">
        <v>83.1</v>
      </c>
      <c r="H56" s="43">
        <v>88.7</v>
      </c>
      <c r="I56">
        <f>表1_4[[#This Row],[主队2]]-表1_4[[#This Row],[客队2]]</f>
        <v>-5.6000000000000103</v>
      </c>
      <c r="J5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56" s="35" t="s">
        <v>152</v>
      </c>
      <c r="L5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56" s="11"/>
      <c r="N56" s="10" t="s">
        <v>119</v>
      </c>
      <c r="O56" s="10" t="s">
        <v>143</v>
      </c>
      <c r="P56" s="9">
        <v>11</v>
      </c>
      <c r="S56" s="37"/>
      <c r="U56" s="47"/>
      <c r="V56" s="55" t="s">
        <v>354</v>
      </c>
      <c r="W56" s="71"/>
      <c r="X56" s="41"/>
    </row>
    <row r="57" spans="1:25" ht="13.5" customHeight="1">
      <c r="A57" t="s">
        <v>107</v>
      </c>
      <c r="B57" s="4">
        <v>42823.114583333299</v>
      </c>
      <c r="C57" s="5" t="s">
        <v>355</v>
      </c>
      <c r="D57" s="6" t="s">
        <v>194</v>
      </c>
      <c r="E57" s="31" t="s">
        <v>36</v>
      </c>
      <c r="F57" t="s">
        <v>191</v>
      </c>
      <c r="G57" s="43">
        <v>78.3</v>
      </c>
      <c r="H57" s="43">
        <v>73.2</v>
      </c>
      <c r="I57">
        <f>表1_4[[#This Row],[主队2]]-表1_4[[#This Row],[客队2]]</f>
        <v>5.0999999999999899</v>
      </c>
      <c r="J5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57" s="35" t="s">
        <v>176</v>
      </c>
      <c r="L5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7" s="11"/>
      <c r="N57" s="46" t="s">
        <v>112</v>
      </c>
      <c r="O57" s="10" t="s">
        <v>143</v>
      </c>
      <c r="P57" s="9">
        <v>7</v>
      </c>
      <c r="S57" s="37"/>
      <c r="T57" s="232"/>
      <c r="U57" s="50"/>
      <c r="V57" s="54" t="s">
        <v>356</v>
      </c>
      <c r="W57" s="52"/>
      <c r="X57" s="45"/>
    </row>
    <row r="58" spans="1:25" ht="13.5" customHeight="1">
      <c r="A58" t="s">
        <v>107</v>
      </c>
      <c r="B58" s="4">
        <v>42823.114583333299</v>
      </c>
      <c r="C58" s="5" t="s">
        <v>357</v>
      </c>
      <c r="D58" s="6" t="s">
        <v>270</v>
      </c>
      <c r="E58" s="49" t="s">
        <v>62</v>
      </c>
      <c r="F58" t="s">
        <v>239</v>
      </c>
      <c r="G58" s="43">
        <v>90.8</v>
      </c>
      <c r="H58" s="43">
        <v>87</v>
      </c>
      <c r="I58">
        <f>表1_4[[#This Row],[主队2]]-表1_4[[#This Row],[客队2]]</f>
        <v>3.8</v>
      </c>
      <c r="J5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58" s="35" t="s">
        <v>118</v>
      </c>
      <c r="L5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58" s="11"/>
      <c r="N58" s="46" t="s">
        <v>112</v>
      </c>
      <c r="O58" s="57" t="s">
        <v>46</v>
      </c>
      <c r="P58" s="9">
        <v>2</v>
      </c>
      <c r="S58" s="37"/>
      <c r="T58" s="232"/>
      <c r="U58" s="50"/>
      <c r="V58" s="242" t="s">
        <v>358</v>
      </c>
      <c r="W58" s="52"/>
      <c r="X58" s="45"/>
    </row>
    <row r="59" spans="1:25" ht="13.5" customHeight="1">
      <c r="A59" t="s">
        <v>107</v>
      </c>
      <c r="B59" s="4">
        <v>42823.114583333299</v>
      </c>
      <c r="C59" s="30" t="s">
        <v>359</v>
      </c>
      <c r="D59" s="6" t="s">
        <v>199</v>
      </c>
      <c r="E59" s="49" t="s">
        <v>53</v>
      </c>
      <c r="F59" t="s">
        <v>218</v>
      </c>
      <c r="G59" s="43">
        <v>84.2</v>
      </c>
      <c r="H59" s="43">
        <v>78.400000000000006</v>
      </c>
      <c r="I59">
        <f>表1_4[[#This Row],[主队2]]-表1_4[[#This Row],[客队2]]</f>
        <v>5.8</v>
      </c>
      <c r="J5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59" s="35" t="s">
        <v>182</v>
      </c>
      <c r="L5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9" s="11"/>
      <c r="N59" s="10" t="s">
        <v>119</v>
      </c>
      <c r="O59" s="10" t="s">
        <v>51</v>
      </c>
      <c r="P59" s="9">
        <v>1</v>
      </c>
      <c r="S59" s="37"/>
      <c r="T59" s="232"/>
      <c r="U59" s="230"/>
      <c r="V59" s="54" t="s">
        <v>360</v>
      </c>
      <c r="W59" s="51"/>
      <c r="X59" s="45"/>
    </row>
    <row r="60" spans="1:25" ht="13.5" customHeight="1">
      <c r="A60" t="s">
        <v>107</v>
      </c>
      <c r="B60" s="4">
        <v>42823.114583333299</v>
      </c>
      <c r="C60" s="1" t="s">
        <v>361</v>
      </c>
      <c r="D60" s="6" t="s">
        <v>262</v>
      </c>
      <c r="E60" s="49" t="s">
        <v>60</v>
      </c>
      <c r="F60" t="s">
        <v>204</v>
      </c>
      <c r="G60" s="43">
        <v>89.4</v>
      </c>
      <c r="H60" s="43">
        <v>90</v>
      </c>
      <c r="I60">
        <f>表1_4[[#This Row],[主队2]]-表1_4[[#This Row],[客队2]]</f>
        <v>-0.59999999999999398</v>
      </c>
      <c r="J6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60" s="35" t="s">
        <v>166</v>
      </c>
      <c r="L6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0" s="11"/>
      <c r="N60" s="10" t="s">
        <v>119</v>
      </c>
      <c r="O60" s="10" t="s">
        <v>40</v>
      </c>
      <c r="P60" s="9">
        <v>-14</v>
      </c>
      <c r="S60" s="37"/>
      <c r="U60" s="230" t="s">
        <v>362</v>
      </c>
      <c r="V60" s="231" t="s">
        <v>363</v>
      </c>
      <c r="W60" s="241"/>
      <c r="X60" s="45"/>
    </row>
    <row r="61" spans="1:25" ht="13.5" customHeight="1">
      <c r="A61" t="s">
        <v>107</v>
      </c>
      <c r="B61" s="68">
        <v>42823.125</v>
      </c>
      <c r="C61" s="14" t="s">
        <v>364</v>
      </c>
      <c r="D61" s="6" t="s">
        <v>267</v>
      </c>
      <c r="E61" s="49" t="s">
        <v>47</v>
      </c>
      <c r="F61" t="s">
        <v>209</v>
      </c>
      <c r="G61" s="43">
        <v>93.2</v>
      </c>
      <c r="H61" s="43">
        <v>96.5</v>
      </c>
      <c r="I61">
        <f>表1_4[[#This Row],[主队2]]-表1_4[[#This Row],[客队2]]</f>
        <v>-3.3</v>
      </c>
      <c r="J6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61" s="35" t="s">
        <v>182</v>
      </c>
      <c r="L6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1" s="72" t="s">
        <v>365</v>
      </c>
      <c r="N61" s="46" t="s">
        <v>133</v>
      </c>
      <c r="O61" s="10" t="s">
        <v>28</v>
      </c>
      <c r="P61" s="9">
        <v>0.1</v>
      </c>
      <c r="S61" s="37"/>
      <c r="T61" s="232"/>
      <c r="U61" s="47"/>
      <c r="V61" s="55" t="s">
        <v>366</v>
      </c>
      <c r="W61" s="56"/>
      <c r="X61" s="45"/>
    </row>
    <row r="62" spans="1:25" ht="13.5" customHeight="1">
      <c r="A62" t="s">
        <v>107</v>
      </c>
      <c r="B62" s="4">
        <v>42889.114583333299</v>
      </c>
      <c r="C62" s="5" t="s">
        <v>367</v>
      </c>
      <c r="D62" s="6" t="s">
        <v>296</v>
      </c>
      <c r="E62" s="42" t="s">
        <v>31</v>
      </c>
      <c r="F62" t="s">
        <v>368</v>
      </c>
      <c r="G62" s="32">
        <v>78</v>
      </c>
      <c r="H62" s="32">
        <v>72.3</v>
      </c>
      <c r="I62">
        <f>表1_4[[#This Row],[主队2]]-表1_4[[#This Row],[客队2]]</f>
        <v>5.7</v>
      </c>
      <c r="J6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62" s="35" t="s">
        <v>118</v>
      </c>
      <c r="L6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2" s="11"/>
      <c r="N62" s="10" t="s">
        <v>112</v>
      </c>
      <c r="O62" s="10" t="s">
        <v>65</v>
      </c>
      <c r="P62" s="9">
        <v>4</v>
      </c>
      <c r="S62" s="37"/>
      <c r="U62" s="50"/>
      <c r="V62" s="54" t="s">
        <v>369</v>
      </c>
      <c r="W62" s="52"/>
      <c r="X62" s="45"/>
    </row>
    <row r="63" spans="1:25" ht="13.5" customHeight="1">
      <c r="A63" t="s">
        <v>107</v>
      </c>
      <c r="B63" s="4">
        <v>42889.125</v>
      </c>
      <c r="C63" s="14" t="s">
        <v>370</v>
      </c>
      <c r="D63" s="6" t="s">
        <v>267</v>
      </c>
      <c r="E63" s="42" t="s">
        <v>57</v>
      </c>
      <c r="F63" t="s">
        <v>164</v>
      </c>
      <c r="G63" s="32">
        <v>92.7</v>
      </c>
      <c r="H63" s="32">
        <v>83.8</v>
      </c>
      <c r="I63">
        <f>表1_4[[#This Row],[主队2]]-表1_4[[#This Row],[客队2]]</f>
        <v>8.9000000000000092</v>
      </c>
      <c r="J6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63" s="35" t="s">
        <v>81</v>
      </c>
      <c r="L6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3" s="11"/>
      <c r="N63" s="10" t="s">
        <v>119</v>
      </c>
      <c r="O63" s="10" t="s">
        <v>40</v>
      </c>
      <c r="P63" s="9">
        <v>-14</v>
      </c>
      <c r="S63" s="37"/>
      <c r="T63" s="232"/>
      <c r="U63" s="230" t="s">
        <v>371</v>
      </c>
      <c r="V63" s="231" t="s">
        <v>372</v>
      </c>
      <c r="W63" s="51"/>
      <c r="X63" s="45"/>
    </row>
    <row r="64" spans="1:25" ht="13.5" customHeight="1">
      <c r="A64" t="s">
        <v>107</v>
      </c>
      <c r="B64" s="4">
        <v>42890.416666666701</v>
      </c>
      <c r="C64" s="5" t="s">
        <v>273</v>
      </c>
      <c r="D64" s="6" t="s">
        <v>234</v>
      </c>
      <c r="E64" s="31" t="s">
        <v>36</v>
      </c>
      <c r="F64" t="s">
        <v>180</v>
      </c>
      <c r="G64" s="32">
        <v>83.4</v>
      </c>
      <c r="H64" s="32">
        <v>78.900000000000006</v>
      </c>
      <c r="I64">
        <f>表1_4[[#This Row],[主队2]]-表1_4[[#This Row],[客队2]]</f>
        <v>4.5</v>
      </c>
      <c r="J6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64" s="35" t="s">
        <v>118</v>
      </c>
      <c r="L6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4" s="11"/>
      <c r="N64" s="10" t="s">
        <v>112</v>
      </c>
      <c r="O64" s="57" t="s">
        <v>28</v>
      </c>
      <c r="P64" s="9">
        <v>17</v>
      </c>
      <c r="S64" s="37"/>
      <c r="U64" s="50"/>
      <c r="V64" s="242" t="s">
        <v>373</v>
      </c>
      <c r="W64" s="51"/>
      <c r="X64" s="45"/>
    </row>
    <row r="65" spans="1:25" ht="13.5" customHeight="1">
      <c r="A65" t="s">
        <v>107</v>
      </c>
      <c r="B65" s="4">
        <v>42891.041666666701</v>
      </c>
      <c r="C65" s="5" t="s">
        <v>374</v>
      </c>
      <c r="D65" s="6" t="s">
        <v>199</v>
      </c>
      <c r="E65" s="42" t="s">
        <v>41</v>
      </c>
      <c r="F65" t="s">
        <v>170</v>
      </c>
      <c r="G65" s="32">
        <v>83.2</v>
      </c>
      <c r="H65" s="32">
        <v>90.3</v>
      </c>
      <c r="I65">
        <f>表1_4[[#This Row],[主队2]]-表1_4[[#This Row],[客队2]]</f>
        <v>-7.0999999999999899</v>
      </c>
      <c r="J6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65" s="35" t="s">
        <v>166</v>
      </c>
      <c r="L6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5" s="11"/>
      <c r="N65" s="10" t="s">
        <v>112</v>
      </c>
      <c r="O65" s="10" t="s">
        <v>65</v>
      </c>
      <c r="P65" s="9">
        <v>14</v>
      </c>
      <c r="S65" s="37"/>
      <c r="U65" s="50"/>
      <c r="V65" s="54" t="s">
        <v>375</v>
      </c>
      <c r="W65" s="52"/>
      <c r="X65" s="45"/>
    </row>
    <row r="66" spans="1:25" ht="13.5" customHeight="1">
      <c r="A66" t="s">
        <v>107</v>
      </c>
      <c r="B66" s="4">
        <v>42891.0625</v>
      </c>
      <c r="C66" s="14" t="s">
        <v>376</v>
      </c>
      <c r="D66" s="6" t="s">
        <v>262</v>
      </c>
      <c r="E66" s="42" t="s">
        <v>57</v>
      </c>
      <c r="F66" t="s">
        <v>377</v>
      </c>
      <c r="G66" s="32">
        <v>89.6</v>
      </c>
      <c r="H66" s="32">
        <v>80.2</v>
      </c>
      <c r="I66">
        <f>表1_4[[#This Row],[主队2]]-表1_4[[#This Row],[客队2]]</f>
        <v>9.3999999999999897</v>
      </c>
      <c r="J6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66" s="35" t="s">
        <v>118</v>
      </c>
      <c r="L6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6" s="11"/>
      <c r="N66" s="10" t="s">
        <v>112</v>
      </c>
      <c r="O66" s="10" t="s">
        <v>46</v>
      </c>
      <c r="P66" s="9">
        <v>13</v>
      </c>
      <c r="S66" s="37"/>
      <c r="U66" s="230"/>
      <c r="V66" s="231" t="s">
        <v>378</v>
      </c>
      <c r="W66" s="51"/>
      <c r="X66" s="45"/>
    </row>
    <row r="67" spans="1:25" ht="13.5" customHeight="1">
      <c r="A67" t="s">
        <v>107</v>
      </c>
      <c r="B67" s="4">
        <v>42892.104166666701</v>
      </c>
      <c r="C67" s="1" t="s">
        <v>379</v>
      </c>
      <c r="D67" s="6" t="s">
        <v>271</v>
      </c>
      <c r="E67" s="49" t="s">
        <v>64</v>
      </c>
      <c r="F67" t="s">
        <v>353</v>
      </c>
      <c r="G67" s="32">
        <v>76.900000000000006</v>
      </c>
      <c r="H67" s="32">
        <v>82.9</v>
      </c>
      <c r="I67">
        <f>表1_4[[#This Row],[主队2]]-表1_4[[#This Row],[客队2]]</f>
        <v>-6</v>
      </c>
      <c r="J6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67" s="35" t="s">
        <v>166</v>
      </c>
      <c r="L6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7" s="11"/>
      <c r="N67" s="46" t="s">
        <v>112</v>
      </c>
      <c r="O67" s="10" t="s">
        <v>24</v>
      </c>
      <c r="P67" s="9">
        <v>2</v>
      </c>
      <c r="S67" s="37"/>
      <c r="T67" s="232"/>
      <c r="U67" s="50"/>
      <c r="V67" s="54" t="s">
        <v>380</v>
      </c>
      <c r="W67" s="52" t="s">
        <v>381</v>
      </c>
      <c r="X67" s="45"/>
    </row>
    <row r="68" spans="1:25" ht="13.5" customHeight="1">
      <c r="A68" t="s">
        <v>107</v>
      </c>
      <c r="B68" s="4">
        <v>42892.114583333299</v>
      </c>
      <c r="C68" s="14" t="s">
        <v>382</v>
      </c>
      <c r="D68" s="6" t="s">
        <v>274</v>
      </c>
      <c r="E68" s="42" t="s">
        <v>33</v>
      </c>
      <c r="F68" t="s">
        <v>284</v>
      </c>
      <c r="G68" s="32">
        <v>88.9</v>
      </c>
      <c r="H68" s="32">
        <v>83.8</v>
      </c>
      <c r="I68">
        <f>表1_4[[#This Row],[主队2]]-表1_4[[#This Row],[客队2]]</f>
        <v>5.1000000000000103</v>
      </c>
      <c r="J6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68" s="35" t="s">
        <v>176</v>
      </c>
      <c r="L6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8" s="63" t="s">
        <v>383</v>
      </c>
      <c r="N68" s="46" t="s">
        <v>160</v>
      </c>
      <c r="O68" s="10" t="s">
        <v>143</v>
      </c>
      <c r="P68" s="9">
        <v>-4</v>
      </c>
      <c r="S68" s="37"/>
      <c r="U68" s="50"/>
      <c r="V68" s="242" t="s">
        <v>384</v>
      </c>
      <c r="W68" s="52"/>
      <c r="X68" s="45"/>
    </row>
    <row r="69" spans="1:25" ht="13.5" customHeight="1">
      <c r="A69" t="s">
        <v>222</v>
      </c>
      <c r="B69" s="68">
        <v>42895.416666666701</v>
      </c>
      <c r="C69" s="26" t="s">
        <v>385</v>
      </c>
      <c r="D69" s="6" t="s">
        <v>230</v>
      </c>
      <c r="E69" s="31" t="s">
        <v>42</v>
      </c>
      <c r="F69" t="s">
        <v>225</v>
      </c>
      <c r="G69" s="32">
        <v>82.2</v>
      </c>
      <c r="H69" s="32">
        <v>76.8</v>
      </c>
      <c r="I69">
        <f>表1_4[[#This Row],[主队2]]-表1_4[[#This Row],[客队2]]</f>
        <v>5.4000000000000101</v>
      </c>
      <c r="J6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69" s="35" t="s">
        <v>118</v>
      </c>
      <c r="L6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9" s="63" t="s">
        <v>386</v>
      </c>
      <c r="N69" s="10" t="s">
        <v>119</v>
      </c>
      <c r="O69" s="57" t="s">
        <v>24</v>
      </c>
      <c r="P69" s="9">
        <v>12</v>
      </c>
      <c r="S69" s="37"/>
      <c r="U69" s="50"/>
      <c r="V69" s="243" t="s">
        <v>387</v>
      </c>
      <c r="W69" s="48" t="s">
        <v>381</v>
      </c>
      <c r="X69" s="45"/>
    </row>
    <row r="70" spans="1:25" ht="13.5" customHeight="1">
      <c r="A70" t="s">
        <v>222</v>
      </c>
      <c r="B70" s="4">
        <v>42895.416666666701</v>
      </c>
      <c r="C70" s="26" t="s">
        <v>157</v>
      </c>
      <c r="D70" s="6" t="s">
        <v>229</v>
      </c>
      <c r="E70" s="42" t="s">
        <v>44</v>
      </c>
      <c r="F70" t="s">
        <v>235</v>
      </c>
      <c r="G70" s="32">
        <v>89</v>
      </c>
      <c r="H70" s="32">
        <v>73.7</v>
      </c>
      <c r="I70">
        <f>表1_4[[#This Row],[主队2]]-表1_4[[#This Row],[客队2]]</f>
        <v>15.3</v>
      </c>
      <c r="J7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70" s="35" t="s">
        <v>81</v>
      </c>
      <c r="L7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0" s="11"/>
      <c r="N70" s="10" t="s">
        <v>119</v>
      </c>
      <c r="O70" s="10" t="s">
        <v>40</v>
      </c>
      <c r="P70" s="9">
        <v>-7</v>
      </c>
      <c r="S70" s="37"/>
      <c r="U70" s="230" t="s">
        <v>388</v>
      </c>
      <c r="V70" s="54" t="s">
        <v>389</v>
      </c>
      <c r="W70" s="51"/>
      <c r="X70" s="45"/>
    </row>
    <row r="71" spans="1:25" ht="13.5" customHeight="1">
      <c r="A71" t="s">
        <v>107</v>
      </c>
      <c r="B71" s="4">
        <v>42896</v>
      </c>
      <c r="C71" s="1" t="s">
        <v>367</v>
      </c>
      <c r="D71" s="6" t="s">
        <v>353</v>
      </c>
      <c r="E71" s="31" t="s">
        <v>36</v>
      </c>
      <c r="F71" t="s">
        <v>175</v>
      </c>
      <c r="G71" s="32">
        <v>83.5</v>
      </c>
      <c r="H71" s="32">
        <v>92.7</v>
      </c>
      <c r="I71">
        <f>表1_4[[#This Row],[主队2]]-表1_4[[#This Row],[客队2]]</f>
        <v>-9.1999999999999993</v>
      </c>
      <c r="J7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71" s="35" t="s">
        <v>152</v>
      </c>
      <c r="L7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71" s="11"/>
      <c r="N71" s="10" t="s">
        <v>119</v>
      </c>
      <c r="O71" s="10" t="s">
        <v>24</v>
      </c>
      <c r="P71" s="9">
        <v>8</v>
      </c>
      <c r="S71" s="37"/>
      <c r="U71" s="47"/>
      <c r="V71" s="64" t="s">
        <v>390</v>
      </c>
      <c r="W71" s="44"/>
      <c r="X71" s="45"/>
    </row>
    <row r="72" spans="1:25" ht="13.5" customHeight="1">
      <c r="A72" t="s">
        <v>188</v>
      </c>
      <c r="B72" s="4">
        <v>42896.114583333299</v>
      </c>
      <c r="C72" s="14" t="s">
        <v>370</v>
      </c>
      <c r="D72" s="6" t="s">
        <v>240</v>
      </c>
      <c r="E72" s="42" t="s">
        <v>33</v>
      </c>
      <c r="F72" t="s">
        <v>261</v>
      </c>
      <c r="G72" s="32">
        <v>74.099999999999994</v>
      </c>
      <c r="H72" s="32">
        <v>77</v>
      </c>
      <c r="I72">
        <f>表1_4[[#This Row],[主队2]]-表1_4[[#This Row],[客队2]]</f>
        <v>-2.9000000000000101</v>
      </c>
      <c r="J7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72" s="73" t="s">
        <v>182</v>
      </c>
      <c r="L7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72" s="11"/>
      <c r="N72" s="57" t="s">
        <v>133</v>
      </c>
      <c r="O72" s="10" t="s">
        <v>51</v>
      </c>
      <c r="P72" s="9">
        <v>-4</v>
      </c>
      <c r="S72" s="37"/>
      <c r="T72" s="232"/>
      <c r="U72" s="47"/>
      <c r="V72" s="55" t="s">
        <v>391</v>
      </c>
      <c r="W72" s="48"/>
      <c r="X72" s="45"/>
    </row>
    <row r="73" spans="1:25" ht="13.5" customHeight="1">
      <c r="A73" t="s">
        <v>188</v>
      </c>
      <c r="B73" s="4">
        <v>42896.114583333299</v>
      </c>
      <c r="C73" s="1" t="s">
        <v>189</v>
      </c>
      <c r="D73" s="6" t="s">
        <v>262</v>
      </c>
      <c r="E73" s="42" t="s">
        <v>57</v>
      </c>
      <c r="F73" t="s">
        <v>266</v>
      </c>
      <c r="G73" s="32">
        <v>90.2</v>
      </c>
      <c r="H73" s="32">
        <v>57.1</v>
      </c>
      <c r="I73">
        <f>表1_4[[#This Row],[主队2]]-表1_4[[#This Row],[客队2]]</f>
        <v>33.1</v>
      </c>
      <c r="J73" s="34">
        <v>3.5</v>
      </c>
      <c r="K73" s="34">
        <v>3.25</v>
      </c>
      <c r="L7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3" s="11"/>
      <c r="N73" s="10" t="s">
        <v>112</v>
      </c>
      <c r="O73" s="10" t="s">
        <v>46</v>
      </c>
      <c r="P73" s="9" t="s">
        <v>161</v>
      </c>
      <c r="S73" s="37"/>
      <c r="T73" s="232"/>
      <c r="U73" s="50"/>
      <c r="V73" s="54" t="s">
        <v>392</v>
      </c>
      <c r="W73" s="44"/>
      <c r="X73" s="45"/>
    </row>
    <row r="74" spans="1:25" ht="13.5" customHeight="1">
      <c r="A74" t="s">
        <v>188</v>
      </c>
      <c r="B74" s="4">
        <v>42896.114583333299</v>
      </c>
      <c r="C74" s="30" t="s">
        <v>193</v>
      </c>
      <c r="D74" s="6" t="s">
        <v>239</v>
      </c>
      <c r="E74" s="42" t="s">
        <v>33</v>
      </c>
      <c r="F74" t="s">
        <v>267</v>
      </c>
      <c r="G74" s="32">
        <v>87.3</v>
      </c>
      <c r="H74" s="32">
        <v>93.2</v>
      </c>
      <c r="I74">
        <f>表1_4[[#This Row],[主队2]]-表1_4[[#This Row],[客队2]]</f>
        <v>-5.9000000000000101</v>
      </c>
      <c r="J7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74" s="73" t="s">
        <v>111</v>
      </c>
      <c r="L7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74" s="63" t="s">
        <v>393</v>
      </c>
      <c r="N74" s="10" t="s">
        <v>119</v>
      </c>
      <c r="O74" s="10" t="s">
        <v>46</v>
      </c>
      <c r="P74" s="9">
        <v>11</v>
      </c>
      <c r="S74" s="37"/>
      <c r="T74" s="232"/>
      <c r="U74" s="47"/>
      <c r="V74" s="231" t="s">
        <v>394</v>
      </c>
      <c r="W74" s="51"/>
      <c r="X74" s="238" t="s">
        <v>395</v>
      </c>
      <c r="Y74" s="61">
        <v>86</v>
      </c>
    </row>
    <row r="75" spans="1:25" ht="13.5" customHeight="1">
      <c r="A75" t="s">
        <v>188</v>
      </c>
      <c r="B75" s="4">
        <v>42896.114583333299</v>
      </c>
      <c r="C75" s="5" t="s">
        <v>198</v>
      </c>
      <c r="D75" s="6" t="s">
        <v>243</v>
      </c>
      <c r="E75" s="42" t="s">
        <v>31</v>
      </c>
      <c r="F75" t="s">
        <v>271</v>
      </c>
      <c r="G75" s="32">
        <v>45.9</v>
      </c>
      <c r="H75" s="32">
        <v>76.3</v>
      </c>
      <c r="I75">
        <f>表1_4[[#This Row],[主队2]]-表1_4[[#This Row],[客队2]]</f>
        <v>-30.4</v>
      </c>
      <c r="J75" s="34">
        <v>-2.75</v>
      </c>
      <c r="K75" s="34">
        <v>-2.5</v>
      </c>
      <c r="L7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5" s="11"/>
      <c r="N75" s="10" t="s">
        <v>119</v>
      </c>
      <c r="O75" s="57" t="s">
        <v>35</v>
      </c>
      <c r="P75" s="9" t="s">
        <v>161</v>
      </c>
      <c r="S75" s="37"/>
      <c r="T75" s="232"/>
      <c r="U75" s="239" t="s">
        <v>396</v>
      </c>
      <c r="V75" s="231" t="s">
        <v>397</v>
      </c>
      <c r="W75" s="44"/>
      <c r="X75" s="45"/>
    </row>
    <row r="76" spans="1:25" ht="13.5" customHeight="1">
      <c r="A76" t="s">
        <v>188</v>
      </c>
      <c r="B76" s="4">
        <v>42896.114583333299</v>
      </c>
      <c r="C76" s="14" t="s">
        <v>203</v>
      </c>
      <c r="D76" s="6" t="s">
        <v>244</v>
      </c>
      <c r="E76" s="49" t="s">
        <v>47</v>
      </c>
      <c r="F76" t="s">
        <v>250</v>
      </c>
      <c r="G76" s="32">
        <v>57.9</v>
      </c>
      <c r="H76" s="32">
        <v>83.3</v>
      </c>
      <c r="I76">
        <f>表1_4[[#This Row],[主队2]]-表1_4[[#This Row],[客队2]]</f>
        <v>-25.4</v>
      </c>
      <c r="J76" s="34">
        <v>-2.25</v>
      </c>
      <c r="K76" s="34">
        <v>-1.75</v>
      </c>
      <c r="L7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76" s="11"/>
      <c r="N76" s="10" t="s">
        <v>119</v>
      </c>
      <c r="O76" s="10" t="s">
        <v>40</v>
      </c>
      <c r="P76" s="9">
        <v>5</v>
      </c>
      <c r="S76" s="37"/>
      <c r="U76" s="50" t="s">
        <v>398</v>
      </c>
      <c r="V76" s="54" t="s">
        <v>399</v>
      </c>
      <c r="W76" s="44"/>
      <c r="X76" s="45"/>
    </row>
    <row r="77" spans="1:25" ht="13.5" customHeight="1">
      <c r="A77" t="s">
        <v>188</v>
      </c>
      <c r="B77" s="4">
        <v>42896.114583333299</v>
      </c>
      <c r="C77" s="1" t="s">
        <v>400</v>
      </c>
      <c r="D77" s="6" t="s">
        <v>251</v>
      </c>
      <c r="E77" s="49" t="s">
        <v>64</v>
      </c>
      <c r="F77" t="s">
        <v>270</v>
      </c>
      <c r="G77" s="32">
        <v>67.400000000000006</v>
      </c>
      <c r="H77" s="32">
        <v>90.7</v>
      </c>
      <c r="I77">
        <f>表1_4[[#This Row],[主队2]]-表1_4[[#This Row],[客队2]]</f>
        <v>-23.3</v>
      </c>
      <c r="J77" s="34">
        <v>-2</v>
      </c>
      <c r="K77" s="34">
        <v>-2.5</v>
      </c>
      <c r="L7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77" s="11"/>
      <c r="N77" s="10" t="s">
        <v>119</v>
      </c>
      <c r="O77" s="10" t="s">
        <v>143</v>
      </c>
      <c r="P77" s="9" t="s">
        <v>161</v>
      </c>
      <c r="S77" s="37"/>
      <c r="U77" s="230"/>
      <c r="V77" s="231" t="s">
        <v>401</v>
      </c>
      <c r="W77" s="44"/>
      <c r="X77" s="45"/>
    </row>
    <row r="78" spans="1:25" ht="13.5" customHeight="1">
      <c r="A78" t="s">
        <v>188</v>
      </c>
      <c r="B78" s="4">
        <v>42896.114583333299</v>
      </c>
      <c r="C78" s="74" t="s">
        <v>208</v>
      </c>
      <c r="D78" s="6" t="s">
        <v>255</v>
      </c>
      <c r="E78" s="31" t="s">
        <v>42</v>
      </c>
      <c r="F78" t="s">
        <v>275</v>
      </c>
      <c r="G78" s="32">
        <v>83.6</v>
      </c>
      <c r="H78" s="32">
        <v>81.8</v>
      </c>
      <c r="I78">
        <f>表1_4[[#This Row],[主队2]]-表1_4[[#This Row],[客队2]]</f>
        <v>1.8</v>
      </c>
      <c r="J7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78" s="73" t="s">
        <v>118</v>
      </c>
      <c r="L7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78" s="11"/>
      <c r="N78" s="10" t="s">
        <v>119</v>
      </c>
      <c r="O78" s="57" t="s">
        <v>27</v>
      </c>
      <c r="P78" s="9">
        <v>5</v>
      </c>
      <c r="S78" s="236"/>
      <c r="T78" s="232"/>
      <c r="U78" s="230"/>
      <c r="V78" s="242" t="s">
        <v>402</v>
      </c>
      <c r="W78" s="241"/>
      <c r="X78" s="45"/>
    </row>
    <row r="79" spans="1:25" ht="13.5" customHeight="1">
      <c r="A79" t="s">
        <v>188</v>
      </c>
      <c r="B79" s="4">
        <v>42896.114583333299</v>
      </c>
      <c r="C79" s="1" t="s">
        <v>213</v>
      </c>
      <c r="D79" s="70" t="s">
        <v>403</v>
      </c>
      <c r="E79" s="49" t="s">
        <v>47</v>
      </c>
      <c r="F79" t="s">
        <v>274</v>
      </c>
      <c r="G79" s="32">
        <v>66.099999999999994</v>
      </c>
      <c r="H79" s="32">
        <v>88.9</v>
      </c>
      <c r="I79">
        <f>表1_4[[#This Row],[主队2]]-表1_4[[#This Row],[客队2]]</f>
        <v>-22.8</v>
      </c>
      <c r="J79" s="34">
        <v>-2</v>
      </c>
      <c r="K79" s="34">
        <v>-2.25</v>
      </c>
      <c r="L7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79" s="11"/>
      <c r="N79" s="10" t="s">
        <v>404</v>
      </c>
      <c r="O79" s="10" t="s">
        <v>40</v>
      </c>
      <c r="P79" s="9" t="s">
        <v>161</v>
      </c>
      <c r="S79" s="37"/>
      <c r="T79" s="232"/>
      <c r="U79" s="50" t="s">
        <v>405</v>
      </c>
      <c r="V79" s="231" t="s">
        <v>406</v>
      </c>
      <c r="W79" s="44"/>
      <c r="X79" s="45"/>
    </row>
    <row r="80" spans="1:25" ht="13.5" customHeight="1">
      <c r="A80" t="s">
        <v>188</v>
      </c>
      <c r="B80" s="4">
        <v>42896.114583333299</v>
      </c>
      <c r="C80" s="1" t="s">
        <v>216</v>
      </c>
      <c r="D80" s="6" t="s">
        <v>256</v>
      </c>
      <c r="E80" s="49" t="s">
        <v>60</v>
      </c>
      <c r="F80" t="s">
        <v>407</v>
      </c>
      <c r="G80" s="32">
        <v>39.1</v>
      </c>
      <c r="H80" s="32">
        <v>65.599999999999994</v>
      </c>
      <c r="I80">
        <f>表1_4[[#This Row],[主队2]]-表1_4[[#This Row],[客队2]]</f>
        <v>-26.5</v>
      </c>
      <c r="J80" s="34">
        <v>-2.5</v>
      </c>
      <c r="K80" s="34">
        <v>-2</v>
      </c>
      <c r="L8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80" s="11"/>
      <c r="N80" s="10" t="s">
        <v>119</v>
      </c>
      <c r="O80" s="57" t="s">
        <v>24</v>
      </c>
      <c r="P80" s="9" t="s">
        <v>161</v>
      </c>
      <c r="S80" s="37"/>
      <c r="T80" s="232"/>
      <c r="U80" s="50"/>
      <c r="V80" s="54" t="s">
        <v>408</v>
      </c>
      <c r="W80" s="241"/>
      <c r="X80" s="45"/>
    </row>
    <row r="81" spans="1:25" ht="13.5" customHeight="1">
      <c r="A81" t="s">
        <v>188</v>
      </c>
      <c r="B81" s="4">
        <v>42897</v>
      </c>
      <c r="C81" s="1" t="s">
        <v>409</v>
      </c>
      <c r="D81" s="6" t="s">
        <v>278</v>
      </c>
      <c r="E81" s="49" t="s">
        <v>53</v>
      </c>
      <c r="F81" t="s">
        <v>296</v>
      </c>
      <c r="G81" s="32">
        <v>66.400000000000006</v>
      </c>
      <c r="H81" s="32">
        <v>78.2</v>
      </c>
      <c r="I81">
        <f>表1_4[[#This Row],[主队2]]-表1_4[[#This Row],[客队2]]</f>
        <v>-11.8</v>
      </c>
      <c r="J8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81" s="35" t="s">
        <v>152</v>
      </c>
      <c r="L8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81" s="11"/>
      <c r="N81" s="10" t="s">
        <v>119</v>
      </c>
      <c r="O81" s="10" t="s">
        <v>48</v>
      </c>
      <c r="P81" s="9">
        <v>18</v>
      </c>
      <c r="S81" s="37"/>
      <c r="U81" s="230" t="s">
        <v>410</v>
      </c>
      <c r="V81" s="231" t="s">
        <v>411</v>
      </c>
      <c r="W81" s="56"/>
      <c r="X81" s="45"/>
    </row>
    <row r="82" spans="1:25" ht="13.5" customHeight="1">
      <c r="A82" t="s">
        <v>188</v>
      </c>
      <c r="B82" s="4">
        <v>42897</v>
      </c>
      <c r="C82" s="14" t="s">
        <v>412</v>
      </c>
      <c r="D82" s="6" t="s">
        <v>288</v>
      </c>
      <c r="E82" s="49" t="s">
        <v>74</v>
      </c>
      <c r="F82" t="s">
        <v>306</v>
      </c>
      <c r="G82" s="32">
        <v>66.2</v>
      </c>
      <c r="H82" s="32">
        <v>82</v>
      </c>
      <c r="I82">
        <f>表1_4[[#This Row],[主队2]]-表1_4[[#This Row],[客队2]]</f>
        <v>-15.8</v>
      </c>
      <c r="J8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82" s="35" t="s">
        <v>245</v>
      </c>
      <c r="L8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2" s="11"/>
      <c r="N82" s="10" t="s">
        <v>112</v>
      </c>
      <c r="O82" s="10" t="s">
        <v>143</v>
      </c>
      <c r="P82" s="9">
        <v>5</v>
      </c>
      <c r="S82" s="37"/>
      <c r="T82" s="232"/>
      <c r="U82" s="230"/>
      <c r="V82" s="54" t="s">
        <v>413</v>
      </c>
      <c r="W82" s="52"/>
      <c r="X82" s="45"/>
    </row>
    <row r="83" spans="1:25" ht="13.5" customHeight="1">
      <c r="A83" t="s">
        <v>188</v>
      </c>
      <c r="B83" s="4">
        <v>42897</v>
      </c>
      <c r="C83" s="30" t="s">
        <v>414</v>
      </c>
      <c r="D83" s="6" t="s">
        <v>123</v>
      </c>
      <c r="E83" s="31" t="s">
        <v>25</v>
      </c>
      <c r="F83" t="s">
        <v>117</v>
      </c>
      <c r="G83" s="32">
        <v>78.900000000000006</v>
      </c>
      <c r="H83" s="32">
        <v>90.2</v>
      </c>
      <c r="I83">
        <f>表1_4[[#This Row],[主队2]]-表1_4[[#This Row],[客队2]]</f>
        <v>-11.3</v>
      </c>
      <c r="J8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83" s="35" t="s">
        <v>111</v>
      </c>
      <c r="L8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3" s="11"/>
      <c r="N83" s="10" t="s">
        <v>119</v>
      </c>
      <c r="O83" s="10" t="s">
        <v>46</v>
      </c>
      <c r="P83" s="9">
        <v>15</v>
      </c>
      <c r="S83" s="37"/>
      <c r="U83" s="230"/>
      <c r="V83" s="231" t="s">
        <v>415</v>
      </c>
      <c r="W83" s="51"/>
      <c r="X83" s="45"/>
    </row>
    <row r="84" spans="1:25" ht="13.5" customHeight="1">
      <c r="A84" t="s">
        <v>188</v>
      </c>
      <c r="B84" s="4">
        <v>42897.114583333299</v>
      </c>
      <c r="C84" s="1" t="s">
        <v>416</v>
      </c>
      <c r="D84" s="6" t="s">
        <v>116</v>
      </c>
      <c r="E84" s="42" t="s">
        <v>49</v>
      </c>
      <c r="F84" t="s">
        <v>282</v>
      </c>
      <c r="G84" s="32">
        <v>96.9</v>
      </c>
      <c r="H84" s="32">
        <v>30.4</v>
      </c>
      <c r="I84">
        <f>表1_4[[#This Row],[主队2]]-表1_4[[#This Row],[客队2]]</f>
        <v>66.5</v>
      </c>
      <c r="J84" s="34">
        <v>6.75</v>
      </c>
      <c r="K84" s="34">
        <v>7.25</v>
      </c>
      <c r="L84" s="75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84" s="11"/>
      <c r="N84" s="10" t="s">
        <v>119</v>
      </c>
      <c r="O84" s="10" t="s">
        <v>143</v>
      </c>
      <c r="P84" s="9" t="s">
        <v>161</v>
      </c>
      <c r="S84" s="236"/>
      <c r="U84" s="230"/>
      <c r="V84" s="231" t="s">
        <v>417</v>
      </c>
      <c r="W84" s="142"/>
      <c r="X84" s="235"/>
    </row>
    <row r="85" spans="1:25" ht="13.5" customHeight="1">
      <c r="A85" t="s">
        <v>188</v>
      </c>
      <c r="B85" s="4">
        <v>42897.114583333299</v>
      </c>
      <c r="C85" s="5" t="s">
        <v>418</v>
      </c>
      <c r="D85" s="6" t="s">
        <v>297</v>
      </c>
      <c r="E85" s="31" t="s">
        <v>36</v>
      </c>
      <c r="F85" t="s">
        <v>284</v>
      </c>
      <c r="G85" s="32">
        <v>73.5</v>
      </c>
      <c r="H85" s="32">
        <v>83.8</v>
      </c>
      <c r="I85">
        <f>表1_4[[#This Row],[主队2]]-表1_4[[#This Row],[客队2]]</f>
        <v>-10.3</v>
      </c>
      <c r="J8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85" s="35" t="s">
        <v>166</v>
      </c>
      <c r="L8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85" s="11"/>
      <c r="N85" s="10" t="s">
        <v>133</v>
      </c>
      <c r="O85" s="10" t="s">
        <v>48</v>
      </c>
      <c r="P85" s="9">
        <v>-11</v>
      </c>
      <c r="S85" s="37"/>
      <c r="U85" s="47"/>
      <c r="V85" s="231" t="s">
        <v>419</v>
      </c>
      <c r="W85" s="44"/>
      <c r="X85" s="45"/>
    </row>
    <row r="86" spans="1:25" ht="13.5" customHeight="1">
      <c r="A86" t="s">
        <v>188</v>
      </c>
      <c r="B86" s="4">
        <v>42897.114583333299</v>
      </c>
      <c r="C86" s="14" t="s">
        <v>420</v>
      </c>
      <c r="D86" s="6" t="s">
        <v>301</v>
      </c>
      <c r="E86" s="42" t="s">
        <v>43</v>
      </c>
      <c r="F86" t="s">
        <v>287</v>
      </c>
      <c r="G86" s="32">
        <v>75.8</v>
      </c>
      <c r="H86" s="32">
        <v>71.7</v>
      </c>
      <c r="I86">
        <f>表1_4[[#This Row],[主队2]]-表1_4[[#This Row],[客队2]]</f>
        <v>4.0999999999999899</v>
      </c>
      <c r="J8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86" s="35" t="s">
        <v>118</v>
      </c>
      <c r="L8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6" s="11"/>
      <c r="N86" s="10" t="s">
        <v>119</v>
      </c>
      <c r="O86" s="10" t="s">
        <v>51</v>
      </c>
      <c r="P86" s="9">
        <v>5</v>
      </c>
      <c r="S86" s="37"/>
      <c r="U86" s="50"/>
      <c r="V86" s="54" t="s">
        <v>421</v>
      </c>
      <c r="W86" s="241"/>
      <c r="X86" s="45"/>
    </row>
    <row r="87" spans="1:25" ht="13.5" customHeight="1">
      <c r="A87" t="s">
        <v>188</v>
      </c>
      <c r="B87" s="4">
        <v>42897.114583333299</v>
      </c>
      <c r="C87" s="14" t="s">
        <v>422</v>
      </c>
      <c r="D87" s="6" t="s">
        <v>302</v>
      </c>
      <c r="E87" s="42" t="s">
        <v>41</v>
      </c>
      <c r="F87" t="s">
        <v>305</v>
      </c>
      <c r="G87" s="32">
        <v>86.4</v>
      </c>
      <c r="H87" s="32">
        <v>80.900000000000006</v>
      </c>
      <c r="I87">
        <f>表1_4[[#This Row],[主队2]]-表1_4[[#This Row],[客队2]]</f>
        <v>5.5</v>
      </c>
      <c r="J8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87" s="35" t="s">
        <v>176</v>
      </c>
      <c r="L8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87" s="11"/>
      <c r="N87" s="10" t="s">
        <v>119</v>
      </c>
      <c r="O87" s="10" t="s">
        <v>65</v>
      </c>
      <c r="P87" s="9">
        <v>13</v>
      </c>
      <c r="S87" s="37"/>
      <c r="U87" s="230"/>
      <c r="V87" s="231" t="s">
        <v>423</v>
      </c>
      <c r="W87" s="51"/>
      <c r="X87" s="45"/>
    </row>
    <row r="88" spans="1:25" ht="13.5" customHeight="1">
      <c r="A88" t="s">
        <v>188</v>
      </c>
      <c r="B88" s="4">
        <v>42897.114583333299</v>
      </c>
      <c r="C88" s="30" t="s">
        <v>424</v>
      </c>
      <c r="D88" s="6" t="s">
        <v>292</v>
      </c>
      <c r="E88" s="49" t="s">
        <v>60</v>
      </c>
      <c r="F88" t="s">
        <v>425</v>
      </c>
      <c r="G88" s="32">
        <v>69.2</v>
      </c>
      <c r="H88" s="32">
        <v>82.2</v>
      </c>
      <c r="I88">
        <f>表1_4[[#This Row],[主队2]]-表1_4[[#This Row],[客队2]]</f>
        <v>-13</v>
      </c>
      <c r="J8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88" s="35" t="s">
        <v>111</v>
      </c>
      <c r="L8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8" s="11"/>
      <c r="N88" s="10" t="s">
        <v>119</v>
      </c>
      <c r="O88" s="57" t="s">
        <v>51</v>
      </c>
      <c r="P88" s="9">
        <v>15</v>
      </c>
      <c r="S88" s="37"/>
      <c r="T88" s="232"/>
      <c r="U88" s="76"/>
      <c r="V88" s="231" t="s">
        <v>426</v>
      </c>
      <c r="W88" s="241"/>
      <c r="X88" s="238" t="s">
        <v>427</v>
      </c>
      <c r="Y88" s="61">
        <v>82</v>
      </c>
    </row>
    <row r="89" spans="1:25" ht="13.5" customHeight="1">
      <c r="A89" t="s">
        <v>188</v>
      </c>
      <c r="B89" s="4">
        <v>42898</v>
      </c>
      <c r="C89" s="1" t="s">
        <v>428</v>
      </c>
      <c r="D89" s="6" t="s">
        <v>191</v>
      </c>
      <c r="E89" s="49" t="s">
        <v>60</v>
      </c>
      <c r="F89" t="s">
        <v>214</v>
      </c>
      <c r="G89" s="32">
        <v>73.2</v>
      </c>
      <c r="H89" s="32">
        <v>83.7</v>
      </c>
      <c r="I89">
        <f>表1_4[[#This Row],[主队2]]-表1_4[[#This Row],[客队2]]</f>
        <v>-10.5</v>
      </c>
      <c r="J8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89" s="35" t="s">
        <v>132</v>
      </c>
      <c r="L8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9" s="11"/>
      <c r="N89" s="10" t="s">
        <v>119</v>
      </c>
      <c r="O89" s="10" t="s">
        <v>28</v>
      </c>
      <c r="P89" s="9">
        <v>18</v>
      </c>
      <c r="S89" s="37"/>
      <c r="U89" s="230"/>
      <c r="V89" s="54" t="s">
        <v>429</v>
      </c>
      <c r="W89" s="44"/>
      <c r="X89" s="45"/>
    </row>
    <row r="90" spans="1:25" ht="13.5" customHeight="1">
      <c r="A90" t="s">
        <v>188</v>
      </c>
      <c r="B90" s="4">
        <v>42898</v>
      </c>
      <c r="C90" s="30" t="s">
        <v>277</v>
      </c>
      <c r="D90" s="6" t="s">
        <v>195</v>
      </c>
      <c r="E90" s="31" t="s">
        <v>25</v>
      </c>
      <c r="F90" t="s">
        <v>430</v>
      </c>
      <c r="G90" s="32">
        <v>65.3</v>
      </c>
      <c r="H90" s="32">
        <v>70.8</v>
      </c>
      <c r="I90">
        <f>表1_4[[#This Row],[主队2]]-表1_4[[#This Row],[客队2]]</f>
        <v>-5.5</v>
      </c>
      <c r="J9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90" s="35" t="s">
        <v>152</v>
      </c>
      <c r="L9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0" s="11"/>
      <c r="N90" s="10" t="s">
        <v>119</v>
      </c>
      <c r="O90" s="10" t="s">
        <v>24</v>
      </c>
      <c r="P90" s="9">
        <v>6</v>
      </c>
      <c r="S90" s="37"/>
      <c r="U90" s="47"/>
      <c r="V90" s="231" t="s">
        <v>431</v>
      </c>
      <c r="W90" s="241"/>
      <c r="X90" s="45"/>
    </row>
    <row r="91" spans="1:25" ht="13.5" customHeight="1">
      <c r="A91" t="s">
        <v>188</v>
      </c>
      <c r="B91" s="4">
        <v>42898</v>
      </c>
      <c r="C91" s="30" t="s">
        <v>281</v>
      </c>
      <c r="D91" s="6" t="s">
        <v>199</v>
      </c>
      <c r="E91" s="31" t="s">
        <v>36</v>
      </c>
      <c r="F91" t="s">
        <v>194</v>
      </c>
      <c r="G91" s="32">
        <v>83.7</v>
      </c>
      <c r="H91" s="32">
        <v>78</v>
      </c>
      <c r="I91">
        <f>表1_4[[#This Row],[主队2]]-表1_4[[#This Row],[客队2]]</f>
        <v>5.7</v>
      </c>
      <c r="J9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91" s="35" t="s">
        <v>182</v>
      </c>
      <c r="L9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1" s="11"/>
      <c r="N91" s="10" t="s">
        <v>119</v>
      </c>
      <c r="O91" s="10" t="s">
        <v>39</v>
      </c>
      <c r="P91" s="9">
        <v>14</v>
      </c>
      <c r="S91" s="236"/>
      <c r="U91" s="47"/>
      <c r="V91" s="231" t="s">
        <v>432</v>
      </c>
      <c r="W91" s="241"/>
      <c r="X91" s="77" t="s">
        <v>433</v>
      </c>
      <c r="Y91" s="61">
        <v>82</v>
      </c>
    </row>
    <row r="92" spans="1:25" ht="13.5" customHeight="1">
      <c r="A92" t="s">
        <v>188</v>
      </c>
      <c r="B92" s="4">
        <v>42898.114583333299</v>
      </c>
      <c r="C92" s="5" t="s">
        <v>286</v>
      </c>
      <c r="D92" s="6" t="s">
        <v>434</v>
      </c>
      <c r="E92" s="31" t="s">
        <v>36</v>
      </c>
      <c r="F92" t="s">
        <v>200</v>
      </c>
      <c r="G92" s="32">
        <v>83.8</v>
      </c>
      <c r="H92" s="32">
        <v>79.8</v>
      </c>
      <c r="I92">
        <f>表1_4[[#This Row],[主队2]]-表1_4[[#This Row],[客队2]]</f>
        <v>4</v>
      </c>
      <c r="J9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92" s="35" t="s">
        <v>289</v>
      </c>
      <c r="L9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2" s="11"/>
      <c r="N92" s="10" t="s">
        <v>112</v>
      </c>
      <c r="O92" s="10" t="s">
        <v>24</v>
      </c>
      <c r="P92" s="9">
        <v>-1</v>
      </c>
      <c r="S92" s="37"/>
      <c r="T92" s="232"/>
      <c r="U92" s="50"/>
      <c r="V92" s="78" t="s">
        <v>435</v>
      </c>
      <c r="W92" s="51"/>
      <c r="X92" s="45"/>
    </row>
    <row r="93" spans="1:25" ht="13.5" customHeight="1">
      <c r="A93" t="s">
        <v>188</v>
      </c>
      <c r="B93" s="4">
        <v>42898.114583333299</v>
      </c>
      <c r="C93" s="30" t="s">
        <v>291</v>
      </c>
      <c r="D93" s="6" t="s">
        <v>210</v>
      </c>
      <c r="E93" s="49" t="s">
        <v>64</v>
      </c>
      <c r="F93" t="s">
        <v>205</v>
      </c>
      <c r="G93" s="32">
        <v>76.900000000000006</v>
      </c>
      <c r="H93" s="32">
        <v>72.900000000000006</v>
      </c>
      <c r="I93">
        <f>表1_4[[#This Row],[主队2]]-表1_4[[#This Row],[客队2]]</f>
        <v>4</v>
      </c>
      <c r="J9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93" s="35" t="s">
        <v>182</v>
      </c>
      <c r="L9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3" s="11"/>
      <c r="N93" s="10" t="s">
        <v>112</v>
      </c>
      <c r="O93" s="10" t="s">
        <v>46</v>
      </c>
      <c r="P93" s="9">
        <v>19</v>
      </c>
      <c r="S93" s="37"/>
      <c r="U93" s="50"/>
      <c r="V93" s="54" t="s">
        <v>436</v>
      </c>
      <c r="W93" s="52"/>
      <c r="X93" s="45"/>
    </row>
    <row r="94" spans="1:25" ht="13.5" customHeight="1">
      <c r="A94" t="s">
        <v>188</v>
      </c>
      <c r="B94" s="4">
        <v>42898.114583333299</v>
      </c>
      <c r="C94" s="1" t="s">
        <v>295</v>
      </c>
      <c r="D94" s="240" t="s">
        <v>204</v>
      </c>
      <c r="E94" s="42" t="s">
        <v>57</v>
      </c>
      <c r="F94" t="s">
        <v>437</v>
      </c>
      <c r="G94" s="32">
        <v>91.3</v>
      </c>
      <c r="H94" s="32">
        <v>49.4</v>
      </c>
      <c r="I94">
        <f>表1_4[[#This Row],[主队2]]-表1_4[[#This Row],[客队2]]</f>
        <v>41.9</v>
      </c>
      <c r="J94" s="34">
        <v>4.5</v>
      </c>
      <c r="K94" s="34">
        <v>4.5</v>
      </c>
      <c r="L9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4" s="11"/>
      <c r="N94" s="10" t="s">
        <v>112</v>
      </c>
      <c r="O94" s="10" t="s">
        <v>51</v>
      </c>
      <c r="P94" s="9" t="s">
        <v>161</v>
      </c>
      <c r="S94" s="37"/>
      <c r="U94" s="50" t="s">
        <v>438</v>
      </c>
      <c r="V94" s="54" t="s">
        <v>439</v>
      </c>
      <c r="W94" s="44"/>
      <c r="X94" s="45"/>
    </row>
    <row r="95" spans="1:25" ht="13.5" customHeight="1">
      <c r="A95" t="s">
        <v>188</v>
      </c>
      <c r="B95" s="4">
        <v>42898.114583333299</v>
      </c>
      <c r="C95" s="1" t="s">
        <v>300</v>
      </c>
      <c r="D95" s="6" t="s">
        <v>440</v>
      </c>
      <c r="E95" s="49" t="s">
        <v>60</v>
      </c>
      <c r="F95" t="s">
        <v>209</v>
      </c>
      <c r="G95" s="32">
        <v>71.5</v>
      </c>
      <c r="H95" s="32">
        <v>96.5</v>
      </c>
      <c r="I95">
        <f>表1_4[[#This Row],[主队2]]-表1_4[[#This Row],[客队2]]</f>
        <v>-25</v>
      </c>
      <c r="J95" s="34">
        <v>-2.25</v>
      </c>
      <c r="K95" s="34">
        <v>-2.25</v>
      </c>
      <c r="L9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5" s="11"/>
      <c r="N95" s="10" t="s">
        <v>112</v>
      </c>
      <c r="O95" s="10" t="s">
        <v>28</v>
      </c>
      <c r="P95" s="9" t="s">
        <v>161</v>
      </c>
      <c r="S95" s="37"/>
      <c r="T95" s="232"/>
      <c r="U95" s="47"/>
      <c r="V95" s="55" t="s">
        <v>441</v>
      </c>
      <c r="W95" s="44"/>
      <c r="X95" s="45"/>
    </row>
    <row r="96" spans="1:25" ht="13.5" customHeight="1">
      <c r="A96" t="s">
        <v>188</v>
      </c>
      <c r="B96" s="4">
        <v>42898.114583333299</v>
      </c>
      <c r="C96" s="5" t="s">
        <v>304</v>
      </c>
      <c r="D96" s="6" t="s">
        <v>218</v>
      </c>
      <c r="E96" s="42" t="s">
        <v>31</v>
      </c>
      <c r="F96" t="s">
        <v>110</v>
      </c>
      <c r="G96" s="32">
        <v>78.900000000000006</v>
      </c>
      <c r="H96" s="32">
        <v>90.8</v>
      </c>
      <c r="I96">
        <f>表1_4[[#This Row],[主队2]]-表1_4[[#This Row],[客队2]]</f>
        <v>-11.9</v>
      </c>
      <c r="J9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96" s="35" t="s">
        <v>132</v>
      </c>
      <c r="L9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6" s="11"/>
      <c r="N96" s="10" t="s">
        <v>119</v>
      </c>
      <c r="O96" s="10" t="s">
        <v>48</v>
      </c>
      <c r="P96" s="9">
        <v>5</v>
      </c>
      <c r="S96" s="37"/>
      <c r="U96" s="237"/>
      <c r="V96" s="231" t="s">
        <v>442</v>
      </c>
      <c r="W96" s="44"/>
      <c r="X96" s="45"/>
    </row>
    <row r="97" spans="1:24" ht="13.5" customHeight="1">
      <c r="A97" t="s">
        <v>188</v>
      </c>
      <c r="B97" s="4">
        <v>42898.114583333299</v>
      </c>
      <c r="C97" s="5" t="s">
        <v>308</v>
      </c>
      <c r="D97" s="6" t="s">
        <v>217</v>
      </c>
      <c r="E97" s="49" t="s">
        <v>75</v>
      </c>
      <c r="F97" t="s">
        <v>190</v>
      </c>
      <c r="G97" s="32">
        <v>62</v>
      </c>
      <c r="H97" s="32">
        <v>83</v>
      </c>
      <c r="I97">
        <f>表1_4[[#This Row],[主队2]]-表1_4[[#This Row],[客队2]]</f>
        <v>-21</v>
      </c>
      <c r="J97" s="34">
        <v>-1.75</v>
      </c>
      <c r="K97" s="34">
        <v>-2</v>
      </c>
      <c r="L9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97" s="11"/>
      <c r="N97" s="10" t="s">
        <v>133</v>
      </c>
      <c r="O97" s="10" t="s">
        <v>40</v>
      </c>
      <c r="P97" s="9">
        <v>-0.1</v>
      </c>
      <c r="S97" s="37"/>
      <c r="U97" s="50" t="s">
        <v>443</v>
      </c>
      <c r="V97" s="62" t="s">
        <v>444</v>
      </c>
      <c r="W97" s="44"/>
      <c r="X97" s="45"/>
    </row>
    <row r="98" spans="1:24" ht="13.5" customHeight="1">
      <c r="A98" t="s">
        <v>222</v>
      </c>
      <c r="B98" s="4">
        <v>42898.354166666701</v>
      </c>
      <c r="C98" s="79" t="s">
        <v>445</v>
      </c>
      <c r="D98" s="6" t="s">
        <v>229</v>
      </c>
      <c r="E98" s="31" t="s">
        <v>36</v>
      </c>
      <c r="F98" t="s">
        <v>234</v>
      </c>
      <c r="G98" s="32">
        <v>89.6</v>
      </c>
      <c r="H98" s="32">
        <v>82.8</v>
      </c>
      <c r="I98">
        <f>表1_4[[#This Row],[主队2]]-表1_4[[#This Row],[客队2]]</f>
        <v>6.8</v>
      </c>
      <c r="J9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98" s="35" t="s">
        <v>176</v>
      </c>
      <c r="L9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8" s="11"/>
      <c r="N98" s="10" t="s">
        <v>119</v>
      </c>
      <c r="O98" s="10" t="s">
        <v>28</v>
      </c>
      <c r="P98" s="9">
        <v>-4</v>
      </c>
      <c r="S98" s="37"/>
      <c r="T98" s="232"/>
      <c r="U98" s="47"/>
      <c r="V98" s="55" t="s">
        <v>446</v>
      </c>
      <c r="W98" s="44"/>
      <c r="X98" s="45"/>
    </row>
    <row r="99" spans="1:24" ht="13.5" customHeight="1">
      <c r="A99" t="s">
        <v>107</v>
      </c>
      <c r="B99" s="4">
        <v>42899</v>
      </c>
      <c r="C99" s="5" t="s">
        <v>447</v>
      </c>
      <c r="D99" s="6" t="s">
        <v>240</v>
      </c>
      <c r="E99" s="42" t="s">
        <v>31</v>
      </c>
      <c r="F99" t="s">
        <v>368</v>
      </c>
      <c r="G99" s="32">
        <v>75</v>
      </c>
      <c r="H99" s="32">
        <v>72.2</v>
      </c>
      <c r="I99">
        <f>表1_4[[#This Row],[主队2]]-表1_4[[#This Row],[客队2]]</f>
        <v>2.8</v>
      </c>
      <c r="J9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99" s="35" t="s">
        <v>289</v>
      </c>
      <c r="L9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9" s="11"/>
      <c r="N99" s="10" t="s">
        <v>133</v>
      </c>
      <c r="O99" s="10" t="s">
        <v>24</v>
      </c>
      <c r="P99" s="9">
        <v>2</v>
      </c>
      <c r="S99" s="37"/>
      <c r="U99" s="230" t="s">
        <v>448</v>
      </c>
      <c r="V99" s="231" t="s">
        <v>449</v>
      </c>
      <c r="W99" s="48"/>
      <c r="X99" s="45"/>
    </row>
    <row r="100" spans="1:24" ht="13.5" customHeight="1">
      <c r="A100" t="s">
        <v>128</v>
      </c>
      <c r="B100" s="4">
        <v>42899.03125</v>
      </c>
      <c r="C100" s="14" t="s">
        <v>379</v>
      </c>
      <c r="D100" s="6" t="s">
        <v>151</v>
      </c>
      <c r="E100" s="42" t="s">
        <v>22</v>
      </c>
      <c r="F100" t="s">
        <v>131</v>
      </c>
      <c r="G100" s="32">
        <v>80.8</v>
      </c>
      <c r="H100" s="32">
        <v>74.599999999999994</v>
      </c>
      <c r="I100">
        <f>表1_4[[#This Row],[主队2]]-表1_4[[#This Row],[客队2]]</f>
        <v>6.2</v>
      </c>
      <c r="J10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00" s="35" t="s">
        <v>118</v>
      </c>
      <c r="L10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0" s="11"/>
      <c r="N100" s="10" t="s">
        <v>119</v>
      </c>
      <c r="O100" s="10" t="s">
        <v>40</v>
      </c>
      <c r="P100" s="9">
        <v>-5</v>
      </c>
      <c r="S100" s="37"/>
      <c r="U100" s="50" t="s">
        <v>450</v>
      </c>
      <c r="V100" s="54" t="s">
        <v>451</v>
      </c>
      <c r="W100" s="52"/>
      <c r="X100" s="45"/>
    </row>
    <row r="101" spans="1:24" ht="13.5" customHeight="1">
      <c r="A101" t="s">
        <v>107</v>
      </c>
      <c r="B101" s="4">
        <v>42899.753472222197</v>
      </c>
      <c r="C101" s="14" t="s">
        <v>312</v>
      </c>
      <c r="D101" s="6" t="s">
        <v>142</v>
      </c>
      <c r="E101" s="49" t="s">
        <v>64</v>
      </c>
      <c r="F101" t="s">
        <v>171</v>
      </c>
      <c r="G101" s="32">
        <v>80.5</v>
      </c>
      <c r="H101" s="32">
        <v>100.2</v>
      </c>
      <c r="I101">
        <f>表1_4[[#This Row],[主队2]]-表1_4[[#This Row],[客队2]]</f>
        <v>-19.7</v>
      </c>
      <c r="J10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01" s="35" t="s">
        <v>219</v>
      </c>
      <c r="L10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1" s="11"/>
      <c r="N101" s="10" t="s">
        <v>133</v>
      </c>
      <c r="O101" s="10" t="s">
        <v>40</v>
      </c>
      <c r="P101" s="9">
        <v>15</v>
      </c>
      <c r="S101" s="37"/>
      <c r="U101" s="230" t="s">
        <v>405</v>
      </c>
      <c r="V101" s="55" t="s">
        <v>452</v>
      </c>
      <c r="W101" s="44"/>
      <c r="X101" s="45"/>
    </row>
    <row r="102" spans="1:24" ht="13.5" customHeight="1">
      <c r="A102" t="s">
        <v>107</v>
      </c>
      <c r="B102" s="4">
        <v>42899.833333333299</v>
      </c>
      <c r="C102" s="5" t="s">
        <v>315</v>
      </c>
      <c r="D102" s="6" t="s">
        <v>453</v>
      </c>
      <c r="E102" s="49" t="s">
        <v>283</v>
      </c>
      <c r="F102" t="s">
        <v>174</v>
      </c>
      <c r="G102" s="32">
        <v>48</v>
      </c>
      <c r="H102" s="32">
        <v>97.6</v>
      </c>
      <c r="I102">
        <f>表1_4[[#This Row],[主队2]]-表1_4[[#This Row],[客队2]]</f>
        <v>-49.6</v>
      </c>
      <c r="J102" s="34">
        <v>-4.75</v>
      </c>
      <c r="K102" s="34">
        <v>-5.25</v>
      </c>
      <c r="L10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02" s="11"/>
      <c r="N102" s="10" t="s">
        <v>119</v>
      </c>
      <c r="O102" s="10" t="s">
        <v>143</v>
      </c>
      <c r="P102" s="9" t="s">
        <v>161</v>
      </c>
      <c r="S102" s="37"/>
      <c r="T102" s="232"/>
      <c r="U102" s="230"/>
      <c r="V102" s="231" t="s">
        <v>454</v>
      </c>
      <c r="W102" s="44"/>
      <c r="X102" s="45"/>
    </row>
    <row r="103" spans="1:24" ht="13.5" customHeight="1">
      <c r="A103" t="s">
        <v>128</v>
      </c>
      <c r="B103" s="4">
        <v>42899.833333333299</v>
      </c>
      <c r="C103" s="5" t="s">
        <v>317</v>
      </c>
      <c r="D103" s="6" t="s">
        <v>137</v>
      </c>
      <c r="E103" s="31" t="s">
        <v>36</v>
      </c>
      <c r="F103" t="s">
        <v>146</v>
      </c>
      <c r="G103" s="32">
        <v>60</v>
      </c>
      <c r="H103" s="32">
        <v>71.400000000000006</v>
      </c>
      <c r="I103">
        <f>表1_4[[#This Row],[主队2]]-表1_4[[#This Row],[客队2]]</f>
        <v>-11.4</v>
      </c>
      <c r="J10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03" s="35" t="s">
        <v>245</v>
      </c>
      <c r="L10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3" s="63" t="s">
        <v>455</v>
      </c>
      <c r="N103" s="10" t="s">
        <v>133</v>
      </c>
      <c r="O103" s="10" t="s">
        <v>46</v>
      </c>
      <c r="P103" s="9">
        <v>14</v>
      </c>
      <c r="S103" s="37"/>
      <c r="T103" s="232"/>
      <c r="U103" s="47"/>
      <c r="V103" s="231" t="s">
        <v>456</v>
      </c>
      <c r="W103" s="48"/>
      <c r="X103" s="45"/>
    </row>
    <row r="104" spans="1:24" ht="13.5" customHeight="1">
      <c r="A104" t="s">
        <v>128</v>
      </c>
      <c r="B104" s="4">
        <v>42899.850694444402</v>
      </c>
      <c r="C104" s="5" t="s">
        <v>322</v>
      </c>
      <c r="D104" s="6" t="s">
        <v>141</v>
      </c>
      <c r="E104" s="31" t="s">
        <v>36</v>
      </c>
      <c r="F104" t="s">
        <v>147</v>
      </c>
      <c r="G104" s="32">
        <v>70.2</v>
      </c>
      <c r="H104" s="32">
        <v>83.1</v>
      </c>
      <c r="I104">
        <f>表1_4[[#This Row],[主队2]]-表1_4[[#This Row],[客队2]]</f>
        <v>-12.9</v>
      </c>
      <c r="J10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04" s="35" t="s">
        <v>245</v>
      </c>
      <c r="L10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4" s="11"/>
      <c r="N104" s="10" t="s">
        <v>112</v>
      </c>
      <c r="O104" s="10" t="s">
        <v>143</v>
      </c>
      <c r="P104" s="9">
        <v>10</v>
      </c>
      <c r="S104" s="37"/>
      <c r="T104" s="232"/>
      <c r="U104" s="50"/>
      <c r="V104" s="80" t="s">
        <v>457</v>
      </c>
      <c r="W104" s="44"/>
      <c r="X104" s="45"/>
    </row>
    <row r="105" spans="1:24" ht="13.5" customHeight="1">
      <c r="A105" t="s">
        <v>128</v>
      </c>
      <c r="B105" s="4">
        <v>42899.90625</v>
      </c>
      <c r="C105" s="5" t="s">
        <v>352</v>
      </c>
      <c r="D105" s="6" t="s">
        <v>130</v>
      </c>
      <c r="E105" s="31" t="s">
        <v>25</v>
      </c>
      <c r="F105" t="s">
        <v>109</v>
      </c>
      <c r="G105" s="32">
        <v>72.2</v>
      </c>
      <c r="H105" s="32">
        <v>72.7</v>
      </c>
      <c r="I105">
        <f>表1_4[[#This Row],[主队2]]-表1_4[[#This Row],[客队2]]</f>
        <v>-0.5</v>
      </c>
      <c r="J10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05" s="35" t="s">
        <v>152</v>
      </c>
      <c r="L10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5" s="11"/>
      <c r="N105" s="10" t="s">
        <v>112</v>
      </c>
      <c r="O105" s="81" t="s">
        <v>35</v>
      </c>
      <c r="P105" s="9">
        <v>11</v>
      </c>
      <c r="S105" s="37"/>
      <c r="U105" s="50" t="s">
        <v>458</v>
      </c>
      <c r="V105" s="231" t="s">
        <v>459</v>
      </c>
      <c r="W105" s="52"/>
      <c r="X105" s="45"/>
    </row>
    <row r="106" spans="1:24" ht="13.5" customHeight="1">
      <c r="A106" t="s">
        <v>107</v>
      </c>
      <c r="B106" s="4">
        <v>42900.072916666701</v>
      </c>
      <c r="C106" s="5" t="s">
        <v>325</v>
      </c>
      <c r="D106" s="6" t="s">
        <v>297</v>
      </c>
      <c r="E106" s="31" t="s">
        <v>36</v>
      </c>
      <c r="F106" t="s">
        <v>239</v>
      </c>
      <c r="G106" s="32">
        <v>74.099999999999994</v>
      </c>
      <c r="H106" s="32">
        <v>88</v>
      </c>
      <c r="I106">
        <f>表1_4[[#This Row],[主队2]]-表1_4[[#This Row],[客队2]]</f>
        <v>-13.9</v>
      </c>
      <c r="J10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06" s="35" t="s">
        <v>166</v>
      </c>
      <c r="L10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06" s="11"/>
      <c r="N106" s="10" t="s">
        <v>112</v>
      </c>
      <c r="O106" s="10" t="s">
        <v>28</v>
      </c>
      <c r="P106" s="9">
        <v>14</v>
      </c>
      <c r="S106" s="37"/>
      <c r="U106" s="50"/>
      <c r="V106" s="54" t="s">
        <v>460</v>
      </c>
      <c r="W106" s="52" t="s">
        <v>381</v>
      </c>
      <c r="X106" s="45"/>
    </row>
    <row r="107" spans="1:24" ht="13.5" customHeight="1">
      <c r="A107" t="s">
        <v>107</v>
      </c>
      <c r="B107" s="4">
        <v>42900.083333333299</v>
      </c>
      <c r="C107" s="30" t="s">
        <v>461</v>
      </c>
      <c r="D107" s="6" t="s">
        <v>305</v>
      </c>
      <c r="E107" s="42" t="s">
        <v>29</v>
      </c>
      <c r="F107" t="s">
        <v>175</v>
      </c>
      <c r="G107" s="32">
        <v>80.099999999999994</v>
      </c>
      <c r="H107" s="32">
        <v>92.6</v>
      </c>
      <c r="I107">
        <f>表1_4[[#This Row],[主队2]]-表1_4[[#This Row],[客队2]]</f>
        <v>-12.5</v>
      </c>
      <c r="J10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07" s="35" t="s">
        <v>132</v>
      </c>
      <c r="L10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7" s="11"/>
      <c r="N107" s="10" t="s">
        <v>112</v>
      </c>
      <c r="O107" s="10" t="s">
        <v>28</v>
      </c>
      <c r="P107" s="9">
        <v>9</v>
      </c>
      <c r="S107" s="37"/>
      <c r="U107" s="230"/>
      <c r="V107" s="231" t="s">
        <v>462</v>
      </c>
      <c r="W107" s="44"/>
      <c r="X107" s="45"/>
    </row>
    <row r="108" spans="1:24" ht="13.5" customHeight="1">
      <c r="A108" t="s">
        <v>107</v>
      </c>
      <c r="B108" s="68">
        <v>42900.125</v>
      </c>
      <c r="C108" s="30" t="s">
        <v>357</v>
      </c>
      <c r="D108" s="6" t="s">
        <v>267</v>
      </c>
      <c r="E108" s="42" t="s">
        <v>29</v>
      </c>
      <c r="F108" t="s">
        <v>117</v>
      </c>
      <c r="G108" s="32">
        <v>92.6</v>
      </c>
      <c r="H108" s="32">
        <v>89.7</v>
      </c>
      <c r="I108">
        <f>表1_4[[#This Row],[主队2]]-表1_4[[#This Row],[客队2]]</f>
        <v>2.8999999999999901</v>
      </c>
      <c r="J10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08" s="35" t="s">
        <v>289</v>
      </c>
      <c r="L10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8" s="63" t="s">
        <v>463</v>
      </c>
      <c r="N108" s="10" t="s">
        <v>119</v>
      </c>
      <c r="O108" s="10" t="s">
        <v>46</v>
      </c>
      <c r="P108" s="9">
        <v>3</v>
      </c>
      <c r="S108" s="37"/>
      <c r="U108" s="47"/>
      <c r="V108" s="231" t="s">
        <v>464</v>
      </c>
      <c r="W108" s="48"/>
      <c r="X108" s="45"/>
    </row>
    <row r="109" spans="1:24" ht="13.5" customHeight="1">
      <c r="A109" t="s">
        <v>128</v>
      </c>
      <c r="B109" s="4">
        <v>42900.125</v>
      </c>
      <c r="C109" s="5" t="s">
        <v>359</v>
      </c>
      <c r="D109" s="6" t="s">
        <v>150</v>
      </c>
      <c r="E109" s="42" t="s">
        <v>29</v>
      </c>
      <c r="F109" t="s">
        <v>185</v>
      </c>
      <c r="G109" s="32">
        <v>69.099999999999994</v>
      </c>
      <c r="H109" s="32">
        <v>80.2</v>
      </c>
      <c r="I109">
        <f>表1_4[[#This Row],[主队2]]-表1_4[[#This Row],[客队2]]</f>
        <v>-11.1</v>
      </c>
      <c r="J10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09" s="35" t="s">
        <v>132</v>
      </c>
      <c r="L10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9" s="11"/>
      <c r="N109" s="10" t="s">
        <v>160</v>
      </c>
      <c r="O109" s="10" t="s">
        <v>46</v>
      </c>
      <c r="P109" s="9">
        <v>12</v>
      </c>
      <c r="S109" s="37"/>
      <c r="U109" s="50"/>
      <c r="V109" s="54" t="s">
        <v>465</v>
      </c>
      <c r="W109" s="52" t="s">
        <v>280</v>
      </c>
      <c r="X109" s="45"/>
    </row>
    <row r="110" spans="1:24" ht="13.5" customHeight="1">
      <c r="A110" t="s">
        <v>222</v>
      </c>
      <c r="B110" s="4">
        <v>42900.399305555598</v>
      </c>
      <c r="C110" s="1" t="s">
        <v>361</v>
      </c>
      <c r="D110" s="6" t="s">
        <v>225</v>
      </c>
      <c r="E110" s="31" t="s">
        <v>25</v>
      </c>
      <c r="F110" t="s">
        <v>235</v>
      </c>
      <c r="G110" s="32">
        <v>77.3</v>
      </c>
      <c r="H110" s="32">
        <v>73.099999999999994</v>
      </c>
      <c r="I110">
        <f>表1_4[[#This Row],[主队2]]-表1_4[[#This Row],[客队2]]</f>
        <v>4.2</v>
      </c>
      <c r="J11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10" s="35" t="s">
        <v>289</v>
      </c>
      <c r="L11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0" s="11"/>
      <c r="N110" s="10" t="s">
        <v>112</v>
      </c>
      <c r="O110" s="10" t="s">
        <v>48</v>
      </c>
      <c r="P110" s="9">
        <v>1</v>
      </c>
      <c r="S110" s="37"/>
      <c r="U110" s="50"/>
      <c r="V110" s="234" t="s">
        <v>466</v>
      </c>
      <c r="W110" s="52"/>
      <c r="X110" s="45"/>
    </row>
    <row r="111" spans="1:24" ht="13.5" customHeight="1">
      <c r="A111" t="s">
        <v>222</v>
      </c>
      <c r="B111" s="4">
        <v>42900.416666666701</v>
      </c>
      <c r="C111" s="5" t="s">
        <v>467</v>
      </c>
      <c r="D111" s="6" t="s">
        <v>230</v>
      </c>
      <c r="E111" s="42" t="s">
        <v>33</v>
      </c>
      <c r="F111" t="s">
        <v>224</v>
      </c>
      <c r="G111" s="32">
        <v>81.7</v>
      </c>
      <c r="H111" s="32">
        <v>67.900000000000006</v>
      </c>
      <c r="I111">
        <f>表1_4[[#This Row],[主队2]]-表1_4[[#This Row],[客队2]]</f>
        <v>13.8</v>
      </c>
      <c r="J11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11" s="34">
        <v>1.75</v>
      </c>
      <c r="L11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1" s="11"/>
      <c r="N111" s="10" t="s">
        <v>119</v>
      </c>
      <c r="O111" s="10" t="s">
        <v>28</v>
      </c>
      <c r="P111" s="9">
        <v>0.1</v>
      </c>
      <c r="U111" s="50"/>
      <c r="V111" s="54" t="s">
        <v>468</v>
      </c>
      <c r="W111" s="52"/>
      <c r="X111" s="45"/>
    </row>
    <row r="112" spans="1:24" ht="13.5" customHeight="1">
      <c r="A112" t="s">
        <v>128</v>
      </c>
      <c r="B112" s="4">
        <v>42977.020833333299</v>
      </c>
      <c r="C112" s="1" t="s">
        <v>317</v>
      </c>
      <c r="D112" s="6" t="s">
        <v>146</v>
      </c>
      <c r="E112" s="42" t="s">
        <v>33</v>
      </c>
      <c r="F112" t="s">
        <v>138</v>
      </c>
      <c r="G112" s="32">
        <v>70.8</v>
      </c>
      <c r="H112" s="32">
        <v>74</v>
      </c>
      <c r="I112">
        <f>表1_4[[#This Row],[主队2]]-表1_4[[#This Row],[客队2]]</f>
        <v>-3.2</v>
      </c>
      <c r="J11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12" s="35" t="s">
        <v>152</v>
      </c>
      <c r="L11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12" s="11"/>
      <c r="N112" s="10" t="s">
        <v>112</v>
      </c>
      <c r="O112" s="10" t="s">
        <v>40</v>
      </c>
      <c r="P112" s="9">
        <v>14</v>
      </c>
      <c r="U112" s="25" t="s">
        <v>469</v>
      </c>
      <c r="V112" s="82" t="s">
        <v>470</v>
      </c>
      <c r="W112" s="40" t="s">
        <v>280</v>
      </c>
      <c r="X112" s="41"/>
    </row>
    <row r="113" spans="1:25" ht="13.5" customHeight="1">
      <c r="A113" t="s">
        <v>128</v>
      </c>
      <c r="B113" s="4">
        <v>42978.774305555598</v>
      </c>
      <c r="C113" s="5" t="s">
        <v>129</v>
      </c>
      <c r="D113" s="6" t="s">
        <v>147</v>
      </c>
      <c r="E113" s="42" t="s">
        <v>22</v>
      </c>
      <c r="F113" t="s">
        <v>142</v>
      </c>
      <c r="G113" s="32">
        <v>82.5</v>
      </c>
      <c r="H113" s="32">
        <v>80.900000000000006</v>
      </c>
      <c r="I113">
        <f>表1_4[[#This Row],[主队2]]-表1_4[[#This Row],[客队2]]</f>
        <v>1.5999999999999901</v>
      </c>
      <c r="J11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13" s="35" t="s">
        <v>289</v>
      </c>
      <c r="L11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3" s="11"/>
      <c r="N113" s="10" t="s">
        <v>112</v>
      </c>
      <c r="O113" s="10" t="s">
        <v>48</v>
      </c>
      <c r="P113" s="9">
        <v>-10</v>
      </c>
      <c r="T113" s="232"/>
      <c r="U113" s="83"/>
      <c r="V113" s="84" t="s">
        <v>471</v>
      </c>
      <c r="W113" s="244"/>
      <c r="X113" s="41"/>
    </row>
    <row r="114" spans="1:25" ht="13.5" customHeight="1">
      <c r="A114" t="s">
        <v>128</v>
      </c>
      <c r="B114" s="4">
        <v>42978.833333333299</v>
      </c>
      <c r="C114" s="5" t="s">
        <v>136</v>
      </c>
      <c r="D114" s="6" t="s">
        <v>109</v>
      </c>
      <c r="E114" s="42" t="s">
        <v>31</v>
      </c>
      <c r="F114" t="s">
        <v>131</v>
      </c>
      <c r="G114" s="32">
        <v>72.400000000000006</v>
      </c>
      <c r="H114" s="32">
        <v>74.3</v>
      </c>
      <c r="I114">
        <f>表1_4[[#This Row],[主队2]]-表1_4[[#This Row],[客队2]]</f>
        <v>-1.8999999999999899</v>
      </c>
      <c r="J11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14" s="35" t="s">
        <v>182</v>
      </c>
      <c r="L11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14" s="11"/>
      <c r="N114" s="10" t="s">
        <v>119</v>
      </c>
      <c r="O114" s="10" t="s">
        <v>143</v>
      </c>
      <c r="P114" s="9">
        <v>3</v>
      </c>
      <c r="T114" s="232"/>
      <c r="U114" s="83"/>
      <c r="V114" s="85" t="s">
        <v>472</v>
      </c>
      <c r="W114" s="86"/>
      <c r="X114" s="41"/>
    </row>
    <row r="115" spans="1:25" ht="13.5" customHeight="1">
      <c r="A115" t="s">
        <v>128</v>
      </c>
      <c r="B115" s="4">
        <v>42978.833333333299</v>
      </c>
      <c r="C115" s="30" t="s">
        <v>140</v>
      </c>
      <c r="D115" s="6" t="s">
        <v>185</v>
      </c>
      <c r="E115" s="31" t="s">
        <v>42</v>
      </c>
      <c r="F115" t="s">
        <v>151</v>
      </c>
      <c r="G115" s="32">
        <v>79.5</v>
      </c>
      <c r="H115" s="32">
        <v>81.5</v>
      </c>
      <c r="I115">
        <f>表1_4[[#This Row],[主队2]]-表1_4[[#This Row],[客队2]]</f>
        <v>-2</v>
      </c>
      <c r="J11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15" s="35" t="s">
        <v>289</v>
      </c>
      <c r="L11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15" s="11"/>
      <c r="N115" s="57" t="s">
        <v>133</v>
      </c>
      <c r="O115" s="10" t="s">
        <v>40</v>
      </c>
      <c r="P115" s="9">
        <v>-11</v>
      </c>
      <c r="S115" s="36"/>
      <c r="T115" s="232"/>
      <c r="U115" s="25" t="s">
        <v>473</v>
      </c>
      <c r="V115" s="245" t="s">
        <v>474</v>
      </c>
      <c r="W115" s="87" t="s">
        <v>381</v>
      </c>
      <c r="X115" s="41"/>
    </row>
    <row r="116" spans="1:25" ht="13.5" customHeight="1">
      <c r="A116" t="s">
        <v>128</v>
      </c>
      <c r="B116" s="4">
        <v>42978.833333333299</v>
      </c>
      <c r="C116" s="5" t="s">
        <v>145</v>
      </c>
      <c r="D116" s="6" t="s">
        <v>137</v>
      </c>
      <c r="E116" s="49" t="s">
        <v>60</v>
      </c>
      <c r="F116" t="s">
        <v>141</v>
      </c>
      <c r="G116" s="32">
        <v>61.4</v>
      </c>
      <c r="H116" s="32">
        <v>70.8</v>
      </c>
      <c r="I116">
        <f>表1_4[[#This Row],[主队2]]-表1_4[[#This Row],[客队2]]</f>
        <v>-9.4</v>
      </c>
      <c r="J11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16" s="35" t="s">
        <v>152</v>
      </c>
      <c r="L11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16" s="57"/>
      <c r="N116" s="10" t="s">
        <v>112</v>
      </c>
      <c r="O116" s="10" t="s">
        <v>35</v>
      </c>
      <c r="P116" s="9">
        <v>6</v>
      </c>
      <c r="Q116" s="57"/>
      <c r="S116" s="37"/>
      <c r="U116" s="83" t="s">
        <v>475</v>
      </c>
      <c r="V116" s="85" t="s">
        <v>476</v>
      </c>
      <c r="W116" s="40"/>
      <c r="X116" s="41"/>
    </row>
    <row r="117" spans="1:25" ht="13.5" customHeight="1">
      <c r="A117" t="s">
        <v>128</v>
      </c>
      <c r="B117" s="4">
        <v>42978.833333333299</v>
      </c>
      <c r="C117" s="5" t="s">
        <v>149</v>
      </c>
      <c r="D117" s="6" t="s">
        <v>130</v>
      </c>
      <c r="E117" s="42" t="s">
        <v>41</v>
      </c>
      <c r="F117" t="s">
        <v>150</v>
      </c>
      <c r="G117" s="32">
        <v>72.2</v>
      </c>
      <c r="H117" s="32">
        <v>69.400000000000006</v>
      </c>
      <c r="I117">
        <f>表1_4[[#This Row],[主队2]]-表1_4[[#This Row],[客队2]]</f>
        <v>2.8</v>
      </c>
      <c r="J11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17" s="35" t="s">
        <v>182</v>
      </c>
      <c r="L11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7" s="11"/>
      <c r="N117" s="10" t="s">
        <v>119</v>
      </c>
      <c r="O117" s="10" t="s">
        <v>65</v>
      </c>
      <c r="P117" s="9">
        <v>-7</v>
      </c>
      <c r="S117" s="37"/>
      <c r="T117" s="232"/>
      <c r="U117" s="246"/>
      <c r="V117" s="247" t="s">
        <v>477</v>
      </c>
      <c r="W117" s="71"/>
      <c r="X117" s="41"/>
    </row>
    <row r="118" spans="1:25" ht="13.5" customHeight="1">
      <c r="A118" t="s">
        <v>188</v>
      </c>
      <c r="B118" s="4">
        <v>42979.114583333299</v>
      </c>
      <c r="C118" s="5" t="s">
        <v>163</v>
      </c>
      <c r="D118" s="6" t="s">
        <v>261</v>
      </c>
      <c r="E118" s="88" t="s">
        <v>29</v>
      </c>
      <c r="F118" t="s">
        <v>239</v>
      </c>
      <c r="G118" s="32">
        <v>76.099999999999994</v>
      </c>
      <c r="H118" s="32">
        <v>87.6</v>
      </c>
      <c r="I118">
        <f>表1_4[[#This Row],[主队2]]-表1_4[[#This Row],[客队2]]</f>
        <v>-11.5</v>
      </c>
      <c r="J11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18" s="35" t="s">
        <v>132</v>
      </c>
      <c r="L11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18" s="11"/>
      <c r="N118" s="10" t="s">
        <v>119</v>
      </c>
      <c r="O118" s="57" t="s">
        <v>46</v>
      </c>
      <c r="P118" s="9">
        <v>14</v>
      </c>
      <c r="S118" s="37"/>
      <c r="T118" s="232"/>
      <c r="U118" s="25"/>
      <c r="V118" s="24" t="s">
        <v>478</v>
      </c>
      <c r="W118" s="38"/>
      <c r="X118" s="41"/>
    </row>
    <row r="119" spans="1:25" ht="13.5" customHeight="1">
      <c r="A119" t="s">
        <v>188</v>
      </c>
      <c r="B119" s="4">
        <v>42979.114583333299</v>
      </c>
      <c r="C119" s="14" t="s">
        <v>169</v>
      </c>
      <c r="D119" s="6" t="s">
        <v>267</v>
      </c>
      <c r="E119" s="42" t="s">
        <v>37</v>
      </c>
      <c r="F119" t="s">
        <v>262</v>
      </c>
      <c r="G119" s="32">
        <v>92.7</v>
      </c>
      <c r="H119" s="32">
        <v>90.9</v>
      </c>
      <c r="I119">
        <f>表1_4[[#This Row],[主队2]]-表1_4[[#This Row],[客队2]]</f>
        <v>1.8</v>
      </c>
      <c r="J11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19" s="35" t="s">
        <v>176</v>
      </c>
      <c r="L11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19" s="11"/>
      <c r="N119" s="10" t="s">
        <v>119</v>
      </c>
      <c r="O119" s="10" t="s">
        <v>51</v>
      </c>
      <c r="P119" s="9">
        <v>1</v>
      </c>
      <c r="S119" s="37"/>
      <c r="U119" s="83"/>
      <c r="V119" s="247" t="s">
        <v>479</v>
      </c>
      <c r="W119" s="86"/>
      <c r="X119" s="41"/>
    </row>
    <row r="120" spans="1:25" ht="13.5" customHeight="1">
      <c r="A120" t="s">
        <v>188</v>
      </c>
      <c r="B120" s="4">
        <v>42979.114583333299</v>
      </c>
      <c r="C120" s="5" t="s">
        <v>173</v>
      </c>
      <c r="D120" s="6" t="s">
        <v>266</v>
      </c>
      <c r="E120" s="42" t="s">
        <v>31</v>
      </c>
      <c r="F120" t="s">
        <v>240</v>
      </c>
      <c r="G120" s="32">
        <v>56.4</v>
      </c>
      <c r="H120" s="32">
        <v>74.900000000000006</v>
      </c>
      <c r="I120">
        <f>表1_4[[#This Row],[主队2]]-表1_4[[#This Row],[客队2]]</f>
        <v>-18.5</v>
      </c>
      <c r="J12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20" s="35" t="s">
        <v>111</v>
      </c>
      <c r="L12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20" s="63" t="s">
        <v>480</v>
      </c>
      <c r="N120" s="10" t="s">
        <v>119</v>
      </c>
      <c r="O120" s="10" t="s">
        <v>143</v>
      </c>
      <c r="P120" s="9">
        <v>-6</v>
      </c>
      <c r="S120" s="37"/>
      <c r="U120" s="25"/>
      <c r="V120" s="84" t="s">
        <v>481</v>
      </c>
      <c r="W120" s="87" t="s">
        <v>381</v>
      </c>
      <c r="X120" s="41"/>
    </row>
    <row r="121" spans="1:25" ht="13.5" customHeight="1">
      <c r="A121" t="s">
        <v>188</v>
      </c>
      <c r="B121" s="4">
        <v>42979.114583333299</v>
      </c>
      <c r="C121" s="14" t="s">
        <v>179</v>
      </c>
      <c r="D121" s="6" t="s">
        <v>271</v>
      </c>
      <c r="E121" s="42" t="s">
        <v>41</v>
      </c>
      <c r="F121" t="s">
        <v>251</v>
      </c>
      <c r="G121" s="32">
        <v>75.8</v>
      </c>
      <c r="H121" s="32">
        <v>66.599999999999994</v>
      </c>
      <c r="I121">
        <f>表1_4[[#This Row],[主队2]]-表1_4[[#This Row],[客队2]]</f>
        <v>9.1999999999999993</v>
      </c>
      <c r="J12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21" s="35" t="s">
        <v>125</v>
      </c>
      <c r="L12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1" s="11"/>
      <c r="N121" s="10" t="s">
        <v>112</v>
      </c>
      <c r="O121" s="10" t="s">
        <v>28</v>
      </c>
      <c r="P121" s="9">
        <v>-0.1</v>
      </c>
      <c r="S121" s="37"/>
      <c r="T121" s="232"/>
      <c r="U121" s="25"/>
      <c r="V121" s="84" t="s">
        <v>482</v>
      </c>
      <c r="W121" s="86"/>
      <c r="X121" s="41"/>
    </row>
    <row r="122" spans="1:25" ht="13.5" customHeight="1">
      <c r="A122" t="s">
        <v>188</v>
      </c>
      <c r="B122" s="4">
        <v>42979.114583333299</v>
      </c>
      <c r="C122" s="1" t="s">
        <v>483</v>
      </c>
      <c r="D122" s="6" t="s">
        <v>270</v>
      </c>
      <c r="E122" s="42" t="s">
        <v>82</v>
      </c>
      <c r="F122" t="s">
        <v>244</v>
      </c>
      <c r="G122" s="32">
        <v>91.9</v>
      </c>
      <c r="H122" s="32">
        <v>57.7</v>
      </c>
      <c r="I122">
        <f>表1_4[[#This Row],[主队2]]-表1_4[[#This Row],[客队2]]</f>
        <v>34.200000000000003</v>
      </c>
      <c r="J122" s="34">
        <v>3.75</v>
      </c>
      <c r="K122" s="34">
        <v>3.5</v>
      </c>
      <c r="L12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2" s="11"/>
      <c r="N122" s="46" t="s">
        <v>160</v>
      </c>
      <c r="O122" s="10" t="s">
        <v>40</v>
      </c>
      <c r="P122" s="9" t="s">
        <v>161</v>
      </c>
      <c r="S122" s="37"/>
      <c r="U122" s="246" t="s">
        <v>484</v>
      </c>
      <c r="V122" s="24" t="s">
        <v>485</v>
      </c>
      <c r="W122" s="86"/>
      <c r="X122" s="41"/>
    </row>
    <row r="123" spans="1:25" ht="13.5" customHeight="1">
      <c r="A123" t="s">
        <v>188</v>
      </c>
      <c r="B123" s="4">
        <v>42979.114583333299</v>
      </c>
      <c r="C123" s="1" t="s">
        <v>486</v>
      </c>
      <c r="D123" s="6" t="s">
        <v>250</v>
      </c>
      <c r="E123" s="42" t="s">
        <v>44</v>
      </c>
      <c r="F123" t="s">
        <v>243</v>
      </c>
      <c r="G123" s="32">
        <v>83.5</v>
      </c>
      <c r="H123" s="32">
        <v>46.7</v>
      </c>
      <c r="I123">
        <f>表1_4[[#This Row],[主队2]]-表1_4[[#This Row],[客队2]]</f>
        <v>36.799999999999997</v>
      </c>
      <c r="J123" s="34">
        <v>4</v>
      </c>
      <c r="K123" s="34">
        <v>4.25</v>
      </c>
      <c r="L12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23" s="11"/>
      <c r="N123" s="10" t="s">
        <v>404</v>
      </c>
      <c r="O123" s="10" t="s">
        <v>35</v>
      </c>
      <c r="P123" s="9" t="s">
        <v>161</v>
      </c>
      <c r="S123" s="37"/>
      <c r="U123" s="246" t="s">
        <v>226</v>
      </c>
      <c r="V123" s="89" t="s">
        <v>487</v>
      </c>
      <c r="W123" s="87" t="s">
        <v>488</v>
      </c>
      <c r="X123" s="41"/>
    </row>
    <row r="124" spans="1:25" ht="13.5" customHeight="1">
      <c r="A124" t="s">
        <v>188</v>
      </c>
      <c r="B124" s="4">
        <v>42979.114583333299</v>
      </c>
      <c r="C124" s="1" t="s">
        <v>489</v>
      </c>
      <c r="D124" s="6" t="s">
        <v>274</v>
      </c>
      <c r="E124" s="42" t="s">
        <v>490</v>
      </c>
      <c r="F124" t="s">
        <v>256</v>
      </c>
      <c r="G124" s="32">
        <v>88.8</v>
      </c>
      <c r="H124" s="32">
        <v>39.5</v>
      </c>
      <c r="I124">
        <f>表1_4[[#This Row],[主队2]]-表1_4[[#This Row],[客队2]]</f>
        <v>49.3</v>
      </c>
      <c r="J124" s="34">
        <v>5.25</v>
      </c>
      <c r="K124" s="34">
        <v>6.5</v>
      </c>
      <c r="L124" s="75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124" s="11"/>
      <c r="N124" s="10" t="s">
        <v>119</v>
      </c>
      <c r="O124" s="10" t="s">
        <v>143</v>
      </c>
      <c r="P124" s="9" t="s">
        <v>161</v>
      </c>
      <c r="S124" s="236"/>
      <c r="T124" s="232"/>
      <c r="U124" s="25"/>
      <c r="V124" s="24" t="s">
        <v>491</v>
      </c>
      <c r="W124" s="86"/>
      <c r="X124" s="41"/>
    </row>
    <row r="125" spans="1:25" ht="13.5" customHeight="1">
      <c r="A125" t="s">
        <v>188</v>
      </c>
      <c r="B125" s="4">
        <v>42979.114583333299</v>
      </c>
      <c r="C125" s="14" t="s">
        <v>492</v>
      </c>
      <c r="D125" s="6" t="s">
        <v>407</v>
      </c>
      <c r="E125" s="42" t="s">
        <v>29</v>
      </c>
      <c r="F125" t="s">
        <v>255</v>
      </c>
      <c r="G125" s="32">
        <v>65.2</v>
      </c>
      <c r="H125" s="32">
        <v>82.9</v>
      </c>
      <c r="I125">
        <f>表1_4[[#This Row],[主队2]]-表1_4[[#This Row],[客队2]]</f>
        <v>-17.7</v>
      </c>
      <c r="J12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25" s="35" t="s">
        <v>245</v>
      </c>
      <c r="L12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25" s="63" t="s">
        <v>493</v>
      </c>
      <c r="N125" s="10" t="s">
        <v>119</v>
      </c>
      <c r="O125" s="10" t="s">
        <v>40</v>
      </c>
      <c r="P125" s="9">
        <v>5</v>
      </c>
      <c r="S125" s="37"/>
      <c r="T125" s="232"/>
      <c r="U125" s="246" t="s">
        <v>494</v>
      </c>
      <c r="V125" s="247" t="s">
        <v>495</v>
      </c>
      <c r="W125" s="38"/>
      <c r="X125" s="41"/>
    </row>
    <row r="126" spans="1:25" ht="13.5" customHeight="1">
      <c r="A126" t="s">
        <v>188</v>
      </c>
      <c r="B126" s="4">
        <v>42979.114583333299</v>
      </c>
      <c r="C126" s="5" t="s">
        <v>496</v>
      </c>
      <c r="D126" s="6" t="s">
        <v>275</v>
      </c>
      <c r="E126" s="31" t="s">
        <v>42</v>
      </c>
      <c r="F126" t="s">
        <v>403</v>
      </c>
      <c r="G126" s="32">
        <v>82.4</v>
      </c>
      <c r="H126" s="32">
        <v>66.5</v>
      </c>
      <c r="I126">
        <f>表1_4[[#This Row],[主队2]]-表1_4[[#This Row],[客队2]]</f>
        <v>15.9</v>
      </c>
      <c r="J12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26" s="35" t="s">
        <v>125</v>
      </c>
      <c r="L12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26" s="11" t="s">
        <v>497</v>
      </c>
      <c r="N126" s="10" t="s">
        <v>133</v>
      </c>
      <c r="O126" s="10" t="s">
        <v>40</v>
      </c>
      <c r="P126" s="9">
        <v>10</v>
      </c>
      <c r="S126" s="37"/>
      <c r="T126" s="232"/>
      <c r="U126" s="83" t="s">
        <v>450</v>
      </c>
      <c r="V126" s="85" t="s">
        <v>498</v>
      </c>
      <c r="W126" s="87"/>
      <c r="X126" s="41"/>
    </row>
    <row r="127" spans="1:25" ht="13.5" customHeight="1">
      <c r="A127" t="s">
        <v>156</v>
      </c>
      <c r="B127" s="4">
        <v>42979.208333333299</v>
      </c>
      <c r="C127" s="30" t="s">
        <v>499</v>
      </c>
      <c r="D127" s="6" t="s">
        <v>180</v>
      </c>
      <c r="E127" s="31" t="s">
        <v>42</v>
      </c>
      <c r="F127" t="s">
        <v>158</v>
      </c>
      <c r="G127" s="32">
        <v>79.599999999999994</v>
      </c>
      <c r="H127" s="32">
        <v>92.6</v>
      </c>
      <c r="I127">
        <f>表1_4[[#This Row],[主队2]]-表1_4[[#This Row],[客队2]]</f>
        <v>-13</v>
      </c>
      <c r="J12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27" s="35" t="s">
        <v>111</v>
      </c>
      <c r="L12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7" s="11"/>
      <c r="N127" s="10" t="s">
        <v>119</v>
      </c>
      <c r="O127" s="10" t="s">
        <v>40</v>
      </c>
      <c r="P127" s="9">
        <v>10</v>
      </c>
      <c r="S127" s="37"/>
      <c r="T127" s="232"/>
      <c r="U127" s="248" t="s">
        <v>500</v>
      </c>
      <c r="V127" s="24" t="s">
        <v>501</v>
      </c>
      <c r="W127" s="38"/>
      <c r="X127" s="90" t="s">
        <v>502</v>
      </c>
      <c r="Y127" s="61">
        <v>78</v>
      </c>
    </row>
    <row r="128" spans="1:25" ht="13.5" customHeight="1">
      <c r="A128" s="3" t="s">
        <v>156</v>
      </c>
      <c r="B128" s="4">
        <v>42979.270833333299</v>
      </c>
      <c r="C128" s="14" t="s">
        <v>503</v>
      </c>
      <c r="D128" s="6" t="s">
        <v>175</v>
      </c>
      <c r="E128" s="49" t="s">
        <v>64</v>
      </c>
      <c r="F128" t="s">
        <v>164</v>
      </c>
      <c r="G128" s="32">
        <v>91.7</v>
      </c>
      <c r="H128" s="32">
        <v>83.3</v>
      </c>
      <c r="I128">
        <f>表1_4[[#This Row],[主队2]]-表1_4[[#This Row],[客队2]]</f>
        <v>8.4000000000000092</v>
      </c>
      <c r="J12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28" s="35" t="s">
        <v>176</v>
      </c>
      <c r="L12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8" s="63" t="s">
        <v>383</v>
      </c>
      <c r="N128" s="46" t="s">
        <v>160</v>
      </c>
      <c r="O128" s="10" t="s">
        <v>143</v>
      </c>
      <c r="P128" s="9">
        <v>-0.1</v>
      </c>
      <c r="S128" s="236"/>
      <c r="T128" s="232"/>
      <c r="U128" s="25"/>
      <c r="V128" s="91" t="s">
        <v>504</v>
      </c>
      <c r="W128" s="244"/>
      <c r="X128" s="41"/>
    </row>
    <row r="129" spans="1:25" ht="13.5" customHeight="1">
      <c r="A129" t="s">
        <v>156</v>
      </c>
      <c r="B129" s="4">
        <v>42979.291666666701</v>
      </c>
      <c r="C129" s="5" t="s">
        <v>505</v>
      </c>
      <c r="D129" s="6" t="s">
        <v>170</v>
      </c>
      <c r="E129" s="31" t="s">
        <v>42</v>
      </c>
      <c r="F129" t="s">
        <v>174</v>
      </c>
      <c r="G129" s="32">
        <v>89.3</v>
      </c>
      <c r="H129" s="32">
        <v>98</v>
      </c>
      <c r="I129">
        <f>表1_4[[#This Row],[主队2]]-表1_4[[#This Row],[客队2]]</f>
        <v>-8.6999999999999993</v>
      </c>
      <c r="J12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29" s="35" t="s">
        <v>152</v>
      </c>
      <c r="L12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9" s="11"/>
      <c r="N129" s="10" t="s">
        <v>119</v>
      </c>
      <c r="O129" s="57" t="s">
        <v>51</v>
      </c>
      <c r="P129" s="9">
        <v>21</v>
      </c>
      <c r="S129" s="37"/>
      <c r="U129" s="246"/>
      <c r="V129" s="247" t="s">
        <v>506</v>
      </c>
      <c r="W129" s="244"/>
      <c r="X129" s="41"/>
    </row>
    <row r="130" spans="1:25" ht="13.5" customHeight="1">
      <c r="A130" t="s">
        <v>156</v>
      </c>
      <c r="B130" s="4">
        <v>42979.364583333299</v>
      </c>
      <c r="C130" s="14" t="s">
        <v>507</v>
      </c>
      <c r="D130" s="6" t="s">
        <v>171</v>
      </c>
      <c r="E130" s="42" t="s">
        <v>22</v>
      </c>
      <c r="F130" t="s">
        <v>165</v>
      </c>
      <c r="G130" s="32">
        <v>100.7</v>
      </c>
      <c r="H130" s="32">
        <v>85.1</v>
      </c>
      <c r="I130">
        <f>表1_4[[#This Row],[主队2]]-表1_4[[#This Row],[客队2]]</f>
        <v>15.6</v>
      </c>
      <c r="J13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30" s="35" t="s">
        <v>81</v>
      </c>
      <c r="L13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0" s="11"/>
      <c r="N130" s="10" t="s">
        <v>112</v>
      </c>
      <c r="O130" s="10" t="s">
        <v>40</v>
      </c>
      <c r="P130" s="9">
        <v>2</v>
      </c>
      <c r="S130" s="37"/>
      <c r="U130" s="246" t="s">
        <v>508</v>
      </c>
      <c r="V130" s="84" t="s">
        <v>509</v>
      </c>
      <c r="W130" s="86"/>
      <c r="X130" s="41"/>
    </row>
    <row r="131" spans="1:25" ht="13.5" customHeight="1">
      <c r="A131" t="s">
        <v>156</v>
      </c>
      <c r="B131" s="4">
        <v>42979.427083333299</v>
      </c>
      <c r="C131" s="14" t="s">
        <v>510</v>
      </c>
      <c r="D131" s="6" t="s">
        <v>181</v>
      </c>
      <c r="E131" s="42" t="s">
        <v>33</v>
      </c>
      <c r="F131" t="s">
        <v>159</v>
      </c>
      <c r="G131" s="32">
        <v>86.1</v>
      </c>
      <c r="H131" s="32">
        <v>74.099999999999994</v>
      </c>
      <c r="I131">
        <f>表1_4[[#This Row],[主队2]]-表1_4[[#This Row],[客队2]]</f>
        <v>12</v>
      </c>
      <c r="J13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31" s="35" t="s">
        <v>125</v>
      </c>
      <c r="L13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1" s="11"/>
      <c r="N131" s="10" t="s">
        <v>112</v>
      </c>
      <c r="O131" s="10" t="s">
        <v>46</v>
      </c>
      <c r="P131" s="9">
        <v>-4</v>
      </c>
      <c r="S131" s="37"/>
      <c r="U131" s="239"/>
      <c r="V131" s="24" t="s">
        <v>511</v>
      </c>
      <c r="W131" s="40"/>
      <c r="X131" s="41"/>
    </row>
    <row r="132" spans="1:25" ht="13.5" customHeight="1">
      <c r="A132" t="s">
        <v>512</v>
      </c>
      <c r="B132" s="4">
        <v>42979.979166666701</v>
      </c>
      <c r="C132" s="5" t="s">
        <v>513</v>
      </c>
      <c r="D132" s="6" t="s">
        <v>514</v>
      </c>
      <c r="E132" s="31" t="s">
        <v>36</v>
      </c>
      <c r="F132" t="s">
        <v>515</v>
      </c>
      <c r="G132" s="32">
        <v>77.7</v>
      </c>
      <c r="H132" s="32">
        <v>65.2</v>
      </c>
      <c r="I132">
        <f>表1_4[[#This Row],[主队2]]-表1_4[[#This Row],[客队2]]</f>
        <v>12.5</v>
      </c>
      <c r="J13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32" s="35" t="s">
        <v>125</v>
      </c>
      <c r="L13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2" s="63" t="s">
        <v>516</v>
      </c>
      <c r="N132" s="10" t="s">
        <v>119</v>
      </c>
      <c r="O132" s="10" t="s">
        <v>40</v>
      </c>
      <c r="P132" s="9">
        <v>-10</v>
      </c>
      <c r="S132" s="37"/>
      <c r="T132" s="232"/>
      <c r="U132" s="25" t="s">
        <v>469</v>
      </c>
      <c r="V132" s="24" t="s">
        <v>517</v>
      </c>
      <c r="W132" s="38"/>
      <c r="X132" s="41"/>
    </row>
    <row r="133" spans="1:25" ht="13.5" customHeight="1">
      <c r="A133" t="s">
        <v>188</v>
      </c>
      <c r="B133" s="4">
        <v>42980</v>
      </c>
      <c r="C133" s="14" t="s">
        <v>367</v>
      </c>
      <c r="D133" s="6" t="s">
        <v>288</v>
      </c>
      <c r="E133" s="49" t="s">
        <v>64</v>
      </c>
      <c r="F133" t="s">
        <v>301</v>
      </c>
      <c r="G133" s="32">
        <v>65.7</v>
      </c>
      <c r="H133" s="32">
        <v>76.900000000000006</v>
      </c>
      <c r="I133">
        <f>表1_4[[#This Row],[主队2]]-表1_4[[#This Row],[客队2]]</f>
        <v>-11.2</v>
      </c>
      <c r="J13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33" s="35" t="s">
        <v>111</v>
      </c>
      <c r="L13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3" s="11"/>
      <c r="N133" s="10" t="s">
        <v>119</v>
      </c>
      <c r="O133" s="10" t="s">
        <v>65</v>
      </c>
      <c r="P133" s="9">
        <v>11</v>
      </c>
      <c r="S133" s="37"/>
      <c r="U133" s="25"/>
      <c r="V133" s="247" t="s">
        <v>518</v>
      </c>
      <c r="W133" s="244"/>
      <c r="X133" s="41"/>
    </row>
    <row r="134" spans="1:25" ht="13.5" customHeight="1">
      <c r="A134" t="s">
        <v>512</v>
      </c>
      <c r="B134" s="4">
        <v>42980</v>
      </c>
      <c r="C134" s="1" t="s">
        <v>189</v>
      </c>
      <c r="D134" s="6" t="s">
        <v>519</v>
      </c>
      <c r="E134" s="42" t="s">
        <v>37</v>
      </c>
      <c r="F134" t="s">
        <v>520</v>
      </c>
      <c r="G134" s="32">
        <v>78.2</v>
      </c>
      <c r="H134" s="32">
        <v>77.900000000000006</v>
      </c>
      <c r="I134">
        <f>表1_4[[#This Row],[主队2]]-表1_4[[#This Row],[客队2]]</f>
        <v>0.29999999999999699</v>
      </c>
      <c r="J134" s="34">
        <v>0.25</v>
      </c>
      <c r="K134" s="35" t="s">
        <v>289</v>
      </c>
      <c r="L13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4" s="11"/>
      <c r="N134" s="10" t="s">
        <v>119</v>
      </c>
      <c r="O134" s="10" t="s">
        <v>46</v>
      </c>
      <c r="P134" s="9">
        <v>6</v>
      </c>
      <c r="S134" s="37"/>
      <c r="U134" s="25" t="s">
        <v>521</v>
      </c>
      <c r="V134" s="24" t="s">
        <v>522</v>
      </c>
      <c r="W134" s="38"/>
      <c r="X134" s="41"/>
    </row>
    <row r="135" spans="1:25" ht="13.5" customHeight="1">
      <c r="A135" t="s">
        <v>512</v>
      </c>
      <c r="B135" s="4">
        <v>42980.104166666701</v>
      </c>
      <c r="C135" s="1" t="s">
        <v>523</v>
      </c>
      <c r="D135" s="6" t="s">
        <v>524</v>
      </c>
      <c r="E135" s="42" t="s">
        <v>33</v>
      </c>
      <c r="F135" t="s">
        <v>525</v>
      </c>
      <c r="G135" s="32">
        <v>66.8</v>
      </c>
      <c r="H135" s="32">
        <v>75.400000000000006</v>
      </c>
      <c r="I135">
        <f>表1_4[[#This Row],[主队2]]-表1_4[[#This Row],[客队2]]</f>
        <v>-8.6000000000000103</v>
      </c>
      <c r="J13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35" s="35" t="s">
        <v>166</v>
      </c>
      <c r="L13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35" s="11"/>
      <c r="N135" s="10" t="s">
        <v>112</v>
      </c>
      <c r="O135" s="10" t="s">
        <v>51</v>
      </c>
      <c r="P135" s="9">
        <v>29</v>
      </c>
      <c r="S135" s="37"/>
      <c r="T135" s="232"/>
      <c r="U135" s="246"/>
      <c r="V135" s="247" t="s">
        <v>526</v>
      </c>
      <c r="W135" s="38"/>
      <c r="X135" s="41"/>
    </row>
    <row r="136" spans="1:25">
      <c r="A136" t="s">
        <v>188</v>
      </c>
      <c r="B136" s="4">
        <v>42980.114583333299</v>
      </c>
      <c r="C136" s="92" t="s">
        <v>527</v>
      </c>
      <c r="D136" s="6" t="s">
        <v>284</v>
      </c>
      <c r="E136" s="49" t="s">
        <v>60</v>
      </c>
      <c r="F136" t="s">
        <v>116</v>
      </c>
      <c r="G136" s="32">
        <v>83.2</v>
      </c>
      <c r="H136" s="32">
        <v>98.2</v>
      </c>
      <c r="I136">
        <f>表1_4[[#This Row],[主队2]]-表1_4[[#This Row],[客队2]]</f>
        <v>-15</v>
      </c>
      <c r="J13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36" s="35" t="s">
        <v>245</v>
      </c>
      <c r="L13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6" s="66"/>
      <c r="N136" s="10" t="s">
        <v>112</v>
      </c>
      <c r="O136" s="10" t="s">
        <v>48</v>
      </c>
      <c r="P136" s="9">
        <v>-2</v>
      </c>
      <c r="Q136" s="66"/>
      <c r="S136" s="37"/>
      <c r="U136" s="246"/>
      <c r="V136" s="84" t="s">
        <v>528</v>
      </c>
      <c r="W136" s="38"/>
      <c r="X136" s="41"/>
    </row>
    <row r="137" spans="1:25" ht="13.5" customHeight="1">
      <c r="A137" t="s">
        <v>188</v>
      </c>
      <c r="B137" s="4">
        <v>42980.114583333299</v>
      </c>
      <c r="C137" s="14" t="s">
        <v>529</v>
      </c>
      <c r="D137" s="6" t="s">
        <v>297</v>
      </c>
      <c r="E137" s="42" t="s">
        <v>22</v>
      </c>
      <c r="F137" t="s">
        <v>278</v>
      </c>
      <c r="G137" s="32">
        <v>74.599999999999994</v>
      </c>
      <c r="H137" s="32">
        <v>66.099999999999994</v>
      </c>
      <c r="I137">
        <f>表1_4[[#This Row],[主队2]]-表1_4[[#This Row],[客队2]]</f>
        <v>8.5</v>
      </c>
      <c r="J13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37" s="35" t="s">
        <v>118</v>
      </c>
      <c r="L13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7" s="11"/>
      <c r="N137" s="10" t="s">
        <v>112</v>
      </c>
      <c r="O137" s="10" t="s">
        <v>28</v>
      </c>
      <c r="P137" s="9">
        <v>-19</v>
      </c>
      <c r="S137" s="37"/>
      <c r="U137" s="25"/>
      <c r="V137" s="24" t="s">
        <v>530</v>
      </c>
      <c r="W137" s="40"/>
      <c r="X137" s="41"/>
    </row>
    <row r="138" spans="1:25" ht="13.5" customHeight="1">
      <c r="A138" t="s">
        <v>188</v>
      </c>
      <c r="B138" s="4">
        <v>42980.114583333299</v>
      </c>
      <c r="C138" s="1" t="s">
        <v>531</v>
      </c>
      <c r="D138" s="6" t="s">
        <v>282</v>
      </c>
      <c r="E138" s="49" t="s">
        <v>64</v>
      </c>
      <c r="F138" t="s">
        <v>296</v>
      </c>
      <c r="G138" s="32">
        <v>30.3</v>
      </c>
      <c r="H138" s="32">
        <v>78.400000000000006</v>
      </c>
      <c r="I138">
        <f>表1_4[[#This Row],[主队2]]-表1_4[[#This Row],[客队2]]</f>
        <v>-48.1</v>
      </c>
      <c r="J138" s="34">
        <v>-4.5</v>
      </c>
      <c r="K138" s="34">
        <v>-2.5</v>
      </c>
      <c r="L13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38" s="11"/>
      <c r="N138" s="46" t="s">
        <v>160</v>
      </c>
      <c r="O138" s="10" t="s">
        <v>40</v>
      </c>
      <c r="P138" s="9" t="s">
        <v>161</v>
      </c>
      <c r="S138" s="37"/>
      <c r="U138" s="25" t="s">
        <v>532</v>
      </c>
      <c r="V138" s="24" t="s">
        <v>533</v>
      </c>
      <c r="W138" s="40" t="s">
        <v>280</v>
      </c>
      <c r="X138" s="41"/>
    </row>
    <row r="139" spans="1:25" ht="13.5" customHeight="1">
      <c r="A139" t="s">
        <v>188</v>
      </c>
      <c r="B139" s="4">
        <v>42980.114583333299</v>
      </c>
      <c r="C139" s="14" t="s">
        <v>534</v>
      </c>
      <c r="D139" s="6" t="s">
        <v>306</v>
      </c>
      <c r="E139" s="42" t="s">
        <v>37</v>
      </c>
      <c r="F139" t="s">
        <v>302</v>
      </c>
      <c r="G139" s="32">
        <v>82.5</v>
      </c>
      <c r="H139" s="32">
        <v>87.2</v>
      </c>
      <c r="I139">
        <f>表1_4[[#This Row],[主队2]]-表1_4[[#This Row],[客队2]]</f>
        <v>-4.7</v>
      </c>
      <c r="J13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39" s="35" t="s">
        <v>182</v>
      </c>
      <c r="L13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9" s="11"/>
      <c r="N139" s="10" t="s">
        <v>119</v>
      </c>
      <c r="O139" s="10" t="s">
        <v>32</v>
      </c>
      <c r="P139" s="9">
        <v>-5</v>
      </c>
      <c r="S139" s="37"/>
      <c r="U139" s="83"/>
      <c r="V139" s="85" t="s">
        <v>535</v>
      </c>
      <c r="W139" s="71"/>
      <c r="X139" s="93" t="s">
        <v>536</v>
      </c>
      <c r="Y139" s="70">
        <v>100</v>
      </c>
    </row>
    <row r="140" spans="1:25" ht="13.5" customHeight="1">
      <c r="A140" t="s">
        <v>188</v>
      </c>
      <c r="B140" s="4">
        <v>42980.114583333299</v>
      </c>
      <c r="C140" s="14" t="s">
        <v>537</v>
      </c>
      <c r="D140" s="6" t="s">
        <v>305</v>
      </c>
      <c r="E140" s="42" t="s">
        <v>31</v>
      </c>
      <c r="F140" t="s">
        <v>287</v>
      </c>
      <c r="G140" s="32">
        <v>80.2</v>
      </c>
      <c r="H140" s="32">
        <v>70.599999999999994</v>
      </c>
      <c r="I140">
        <f>表1_4[[#This Row],[主队2]]-表1_4[[#This Row],[客队2]]</f>
        <v>9.6000000000000103</v>
      </c>
      <c r="J14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40" s="35" t="s">
        <v>176</v>
      </c>
      <c r="L14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0" s="11"/>
      <c r="N140" s="10" t="s">
        <v>112</v>
      </c>
      <c r="O140" s="57" t="s">
        <v>51</v>
      </c>
      <c r="P140" s="9">
        <v>-1</v>
      </c>
      <c r="S140" s="37"/>
      <c r="U140" s="25"/>
      <c r="V140" s="84" t="s">
        <v>538</v>
      </c>
      <c r="W140" s="244"/>
      <c r="X140" s="41"/>
    </row>
    <row r="141" spans="1:25" ht="13.5" customHeight="1">
      <c r="A141" t="s">
        <v>188</v>
      </c>
      <c r="B141" s="4">
        <v>42980.114583333299</v>
      </c>
      <c r="C141" s="1" t="s">
        <v>539</v>
      </c>
      <c r="D141" s="6" t="s">
        <v>292</v>
      </c>
      <c r="E141" s="49" t="s">
        <v>64</v>
      </c>
      <c r="F141" t="s">
        <v>123</v>
      </c>
      <c r="G141" s="32">
        <v>68.599999999999994</v>
      </c>
      <c r="H141" s="32">
        <v>79.5</v>
      </c>
      <c r="I141">
        <f>表1_4[[#This Row],[主队2]]-表1_4[[#This Row],[客队2]]</f>
        <v>-10.9</v>
      </c>
      <c r="J14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41" s="35" t="s">
        <v>132</v>
      </c>
      <c r="L14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1" s="11"/>
      <c r="N141" s="10" t="s">
        <v>112</v>
      </c>
      <c r="O141" s="10" t="s">
        <v>143</v>
      </c>
      <c r="P141" s="9">
        <v>-5</v>
      </c>
      <c r="S141" s="37"/>
      <c r="U141" s="25"/>
      <c r="V141" s="84" t="s">
        <v>540</v>
      </c>
      <c r="W141" s="86" t="s">
        <v>541</v>
      </c>
      <c r="X141" s="41"/>
    </row>
    <row r="142" spans="1:25" ht="13.5" customHeight="1">
      <c r="A142" t="s">
        <v>188</v>
      </c>
      <c r="B142" s="4">
        <v>42980.114583333299</v>
      </c>
      <c r="C142" s="30" t="s">
        <v>542</v>
      </c>
      <c r="D142" s="6" t="s">
        <v>425</v>
      </c>
      <c r="E142" s="42" t="s">
        <v>31</v>
      </c>
      <c r="F142" t="s">
        <v>309</v>
      </c>
      <c r="G142" s="32">
        <v>82.7</v>
      </c>
      <c r="H142" s="32">
        <v>78.599999999999994</v>
      </c>
      <c r="I142">
        <f>表1_4[[#This Row],[主队2]]-表1_4[[#This Row],[客队2]]</f>
        <v>4.1000000000000103</v>
      </c>
      <c r="J14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42" s="35" t="s">
        <v>182</v>
      </c>
      <c r="L14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42" s="11"/>
      <c r="N142" s="46" t="s">
        <v>112</v>
      </c>
      <c r="O142" s="57" t="s">
        <v>28</v>
      </c>
      <c r="P142" s="9">
        <v>11</v>
      </c>
      <c r="S142" s="37"/>
      <c r="U142" s="25"/>
      <c r="V142" s="84" t="s">
        <v>543</v>
      </c>
      <c r="W142" s="244"/>
      <c r="X142" s="249" t="s">
        <v>544</v>
      </c>
      <c r="Y142" s="250">
        <v>92</v>
      </c>
    </row>
    <row r="143" spans="1:25" ht="13.5" customHeight="1">
      <c r="A143" t="s">
        <v>512</v>
      </c>
      <c r="B143" s="4">
        <v>42980.166666666701</v>
      </c>
      <c r="C143" s="5" t="s">
        <v>545</v>
      </c>
      <c r="D143" s="6" t="s">
        <v>546</v>
      </c>
      <c r="E143" s="42" t="s">
        <v>33</v>
      </c>
      <c r="F143" t="s">
        <v>547</v>
      </c>
      <c r="G143" s="32">
        <v>75.400000000000006</v>
      </c>
      <c r="H143" s="32">
        <v>74.3</v>
      </c>
      <c r="I143">
        <f>表1_4[[#This Row],[主队2]]-表1_4[[#This Row],[客队2]]</f>
        <v>1.1000000000000101</v>
      </c>
      <c r="J14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43" s="35" t="s">
        <v>289</v>
      </c>
      <c r="L14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43" s="11"/>
      <c r="N143" s="10" t="s">
        <v>119</v>
      </c>
      <c r="O143" s="10" t="s">
        <v>46</v>
      </c>
      <c r="P143" s="9">
        <v>10</v>
      </c>
      <c r="S143" s="86"/>
      <c r="U143" s="25"/>
      <c r="V143" s="24" t="s">
        <v>548</v>
      </c>
      <c r="W143" s="38"/>
      <c r="X143" s="41"/>
    </row>
    <row r="144" spans="1:25" ht="13.5" customHeight="1">
      <c r="A144" t="s">
        <v>512</v>
      </c>
      <c r="B144" s="4">
        <v>42980.166666666701</v>
      </c>
      <c r="C144" s="14" t="s">
        <v>549</v>
      </c>
      <c r="D144" s="6" t="s">
        <v>550</v>
      </c>
      <c r="E144" s="42" t="s">
        <v>55</v>
      </c>
      <c r="F144" t="s">
        <v>551</v>
      </c>
      <c r="G144" s="32">
        <v>75.400000000000006</v>
      </c>
      <c r="H144" s="32">
        <v>72.900000000000006</v>
      </c>
      <c r="I144">
        <f>表1_4[[#This Row],[主队2]]-表1_4[[#This Row],[客队2]]</f>
        <v>2.5</v>
      </c>
      <c r="J14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44" s="35" t="s">
        <v>176</v>
      </c>
      <c r="L14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44" s="11"/>
      <c r="N144" s="10" t="s">
        <v>133</v>
      </c>
      <c r="O144" s="10" t="s">
        <v>51</v>
      </c>
      <c r="P144" s="9">
        <v>1</v>
      </c>
      <c r="S144" s="86"/>
      <c r="U144" s="83"/>
      <c r="V144" s="94" t="s">
        <v>552</v>
      </c>
      <c r="W144" s="86"/>
      <c r="X144" s="41"/>
    </row>
    <row r="145" spans="1:24" ht="13.5" customHeight="1">
      <c r="A145" t="s">
        <v>222</v>
      </c>
      <c r="B145" s="4">
        <v>42980.288194444402</v>
      </c>
      <c r="C145" s="30" t="s">
        <v>553</v>
      </c>
      <c r="D145" s="6" t="s">
        <v>234</v>
      </c>
      <c r="E145" s="49" t="s">
        <v>47</v>
      </c>
      <c r="F145" t="s">
        <v>230</v>
      </c>
      <c r="G145" s="32">
        <v>82.8</v>
      </c>
      <c r="H145" s="32">
        <v>80.900000000000006</v>
      </c>
      <c r="I145">
        <f>表1_4[[#This Row],[主队2]]-表1_4[[#This Row],[客队2]]</f>
        <v>1.8999999999999899</v>
      </c>
      <c r="J14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45" s="35" t="s">
        <v>289</v>
      </c>
      <c r="L14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45" s="11"/>
      <c r="N145" s="10" t="s">
        <v>119</v>
      </c>
      <c r="O145" s="10" t="s">
        <v>40</v>
      </c>
      <c r="P145" s="9">
        <v>5</v>
      </c>
      <c r="S145" s="86"/>
      <c r="U145" s="25" t="s">
        <v>554</v>
      </c>
      <c r="V145" s="24" t="s">
        <v>555</v>
      </c>
      <c r="W145" s="38"/>
      <c r="X145" s="41"/>
    </row>
    <row r="146" spans="1:24" ht="13.5" customHeight="1">
      <c r="A146" t="s">
        <v>222</v>
      </c>
      <c r="B146" s="4">
        <v>42980.333333333299</v>
      </c>
      <c r="C146" s="1" t="s">
        <v>556</v>
      </c>
      <c r="D146" s="6" t="s">
        <v>224</v>
      </c>
      <c r="E146" s="49" t="s">
        <v>60</v>
      </c>
      <c r="F146" t="s">
        <v>235</v>
      </c>
      <c r="G146" s="32">
        <v>67.900000000000006</v>
      </c>
      <c r="H146" s="32">
        <v>74.400000000000006</v>
      </c>
      <c r="I146">
        <f>表1_4[[#This Row],[主队2]]-表1_4[[#This Row],[客队2]]</f>
        <v>-6.5</v>
      </c>
      <c r="J14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46" s="35" t="s">
        <v>166</v>
      </c>
      <c r="L14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46" s="11"/>
      <c r="N146" s="10" t="s">
        <v>119</v>
      </c>
      <c r="O146" s="46" t="s">
        <v>40</v>
      </c>
      <c r="P146" s="9">
        <v>14</v>
      </c>
      <c r="S146" s="86"/>
      <c r="U146" s="25" t="s">
        <v>557</v>
      </c>
      <c r="V146" s="24" t="s">
        <v>558</v>
      </c>
      <c r="W146" s="86"/>
      <c r="X146" s="41"/>
    </row>
    <row r="147" spans="1:24" ht="13.5" customHeight="1">
      <c r="A147" t="s">
        <v>222</v>
      </c>
      <c r="B147" s="4">
        <v>42980.395833333299</v>
      </c>
      <c r="C147" s="14" t="s">
        <v>559</v>
      </c>
      <c r="D147" s="6" t="s">
        <v>229</v>
      </c>
      <c r="E147" s="42" t="s">
        <v>31</v>
      </c>
      <c r="F147" t="s">
        <v>225</v>
      </c>
      <c r="G147" s="43">
        <v>87.6</v>
      </c>
      <c r="H147" s="43">
        <v>77.5</v>
      </c>
      <c r="I147">
        <f>表1_4[[#This Row],[主队2]]-表1_4[[#This Row],[客队2]]</f>
        <v>10.1</v>
      </c>
      <c r="J14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47" s="35" t="s">
        <v>125</v>
      </c>
      <c r="L14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47" s="63" t="s">
        <v>560</v>
      </c>
      <c r="N147" s="10" t="s">
        <v>119</v>
      </c>
      <c r="O147" s="10" t="s">
        <v>40</v>
      </c>
      <c r="P147" s="9">
        <v>-3</v>
      </c>
      <c r="S147" s="86"/>
      <c r="U147" s="50" t="s">
        <v>405</v>
      </c>
      <c r="V147" s="54" t="s">
        <v>392</v>
      </c>
      <c r="W147" s="44"/>
      <c r="X147" s="45"/>
    </row>
    <row r="148" spans="1:24" ht="13.5" customHeight="1">
      <c r="A148" t="s">
        <v>188</v>
      </c>
      <c r="B148" s="4">
        <v>42981</v>
      </c>
      <c r="C148" s="1" t="s">
        <v>561</v>
      </c>
      <c r="D148" s="6" t="s">
        <v>191</v>
      </c>
      <c r="E148" s="42" t="s">
        <v>31</v>
      </c>
      <c r="F148" t="s">
        <v>218</v>
      </c>
      <c r="G148" s="32">
        <v>73</v>
      </c>
      <c r="H148" s="32">
        <v>79.7</v>
      </c>
      <c r="I148">
        <f>表1_4[[#This Row],[主队2]]-表1_4[[#This Row],[客队2]]</f>
        <v>-6.7</v>
      </c>
      <c r="J14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48" s="35" t="s">
        <v>132</v>
      </c>
      <c r="L14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48" s="11"/>
      <c r="N148" s="57" t="s">
        <v>119</v>
      </c>
      <c r="O148" s="57" t="s">
        <v>46</v>
      </c>
      <c r="P148" s="9">
        <v>23</v>
      </c>
      <c r="S148" s="86"/>
      <c r="U148" s="246"/>
      <c r="V148" s="251" t="s">
        <v>562</v>
      </c>
      <c r="W148" s="86"/>
      <c r="X148" s="41"/>
    </row>
    <row r="149" spans="1:24" ht="13.5" customHeight="1">
      <c r="A149" t="s">
        <v>188</v>
      </c>
      <c r="B149" s="68">
        <v>42981</v>
      </c>
      <c r="C149" s="30" t="s">
        <v>563</v>
      </c>
      <c r="D149" s="6" t="s">
        <v>430</v>
      </c>
      <c r="E149" s="31" t="s">
        <v>36</v>
      </c>
      <c r="F149" t="s">
        <v>199</v>
      </c>
      <c r="G149" s="32">
        <v>70.3</v>
      </c>
      <c r="H149" s="32">
        <v>82.7</v>
      </c>
      <c r="I149">
        <f>表1_4[[#This Row],[主队2]]-表1_4[[#This Row],[客队2]]</f>
        <v>-12.4</v>
      </c>
      <c r="J14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49" s="35" t="s">
        <v>111</v>
      </c>
      <c r="L14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9" s="11"/>
      <c r="N149" s="10" t="s">
        <v>133</v>
      </c>
      <c r="O149" s="10" t="s">
        <v>46</v>
      </c>
      <c r="P149" s="9">
        <v>25</v>
      </c>
      <c r="S149" s="86"/>
      <c r="U149" s="83"/>
      <c r="V149" s="85" t="s">
        <v>564</v>
      </c>
      <c r="W149" s="87"/>
      <c r="X149" s="41"/>
    </row>
    <row r="150" spans="1:24" ht="13.5" customHeight="1">
      <c r="A150" t="s">
        <v>188</v>
      </c>
      <c r="B150" s="4">
        <v>42981</v>
      </c>
      <c r="C150" s="14" t="s">
        <v>565</v>
      </c>
      <c r="D150" s="6" t="s">
        <v>434</v>
      </c>
      <c r="E150" s="42" t="s">
        <v>44</v>
      </c>
      <c r="F150" t="s">
        <v>195</v>
      </c>
      <c r="G150" s="32">
        <v>83.1</v>
      </c>
      <c r="H150" s="32">
        <v>65.7</v>
      </c>
      <c r="I150">
        <f>表1_4[[#This Row],[主队2]]-表1_4[[#This Row],[客队2]]</f>
        <v>17.399999999999999</v>
      </c>
      <c r="J15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50" s="34">
        <v>2.25</v>
      </c>
      <c r="L15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50" s="11"/>
      <c r="N150" s="10" t="s">
        <v>112</v>
      </c>
      <c r="O150" s="10" t="s">
        <v>143</v>
      </c>
      <c r="P150" s="9" t="s">
        <v>161</v>
      </c>
      <c r="S150" s="86"/>
      <c r="T150" s="232"/>
      <c r="U150" s="83"/>
      <c r="V150" s="85" t="s">
        <v>566</v>
      </c>
      <c r="W150" s="38"/>
      <c r="X150" s="41"/>
    </row>
    <row r="151" spans="1:24" ht="13.5" customHeight="1">
      <c r="A151" t="s">
        <v>188</v>
      </c>
      <c r="B151" s="4">
        <v>42981</v>
      </c>
      <c r="C151" s="14" t="s">
        <v>567</v>
      </c>
      <c r="D151" s="6" t="s">
        <v>205</v>
      </c>
      <c r="E151" s="42" t="s">
        <v>22</v>
      </c>
      <c r="F151" t="s">
        <v>437</v>
      </c>
      <c r="G151" s="32">
        <v>74.5</v>
      </c>
      <c r="H151" s="32">
        <v>49.6</v>
      </c>
      <c r="I151">
        <f>表1_4[[#This Row],[主队2]]-表1_4[[#This Row],[客队2]]</f>
        <v>24.9</v>
      </c>
      <c r="J151" s="34">
        <v>2.75</v>
      </c>
      <c r="K151" s="34">
        <v>2.25</v>
      </c>
      <c r="L15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51" s="11"/>
      <c r="N151" s="10" t="s">
        <v>112</v>
      </c>
      <c r="O151" s="10" t="s">
        <v>40</v>
      </c>
      <c r="P151" s="9" t="s">
        <v>161</v>
      </c>
      <c r="S151" s="86"/>
      <c r="U151" s="25" t="s">
        <v>568</v>
      </c>
      <c r="V151" s="24" t="s">
        <v>569</v>
      </c>
      <c r="W151" s="40" t="s">
        <v>280</v>
      </c>
      <c r="X151" s="41"/>
    </row>
    <row r="152" spans="1:24" ht="13.5" customHeight="1">
      <c r="A152" t="s">
        <v>188</v>
      </c>
      <c r="B152" s="4">
        <v>42981.114583333299</v>
      </c>
      <c r="C152" s="5" t="s">
        <v>273</v>
      </c>
      <c r="D152" s="6" t="s">
        <v>200</v>
      </c>
      <c r="E152" s="42" t="s">
        <v>31</v>
      </c>
      <c r="F152" t="s">
        <v>194</v>
      </c>
      <c r="G152" s="32">
        <v>80.599999999999994</v>
      </c>
      <c r="H152" s="32">
        <v>79</v>
      </c>
      <c r="I152">
        <f>表1_4[[#This Row],[主队2]]-表1_4[[#This Row],[客队2]]</f>
        <v>1.5999999999999901</v>
      </c>
      <c r="J15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52" s="35" t="s">
        <v>182</v>
      </c>
      <c r="L15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2" s="11"/>
      <c r="N152" s="10" t="s">
        <v>119</v>
      </c>
      <c r="O152" s="10" t="s">
        <v>143</v>
      </c>
      <c r="P152" s="9">
        <v>16</v>
      </c>
      <c r="S152" s="86"/>
      <c r="T152" s="232"/>
      <c r="U152" s="246"/>
      <c r="V152" s="95" t="s">
        <v>570</v>
      </c>
      <c r="W152" s="38"/>
      <c r="X152" s="41"/>
    </row>
    <row r="153" spans="1:24" ht="13.5" customHeight="1">
      <c r="A153" t="s">
        <v>188</v>
      </c>
      <c r="B153" s="96">
        <v>42981.114583333299</v>
      </c>
      <c r="C153" s="5" t="s">
        <v>571</v>
      </c>
      <c r="D153" s="6" t="s">
        <v>210</v>
      </c>
      <c r="E153" s="49" t="s">
        <v>53</v>
      </c>
      <c r="F153" t="s">
        <v>572</v>
      </c>
      <c r="G153" s="32">
        <v>75.3</v>
      </c>
      <c r="H153" s="32">
        <v>71.599999999999994</v>
      </c>
      <c r="I153">
        <f>表1_4[[#This Row],[主队2]]-表1_4[[#This Row],[客队2]]</f>
        <v>3.7</v>
      </c>
      <c r="J15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53" s="35" t="s">
        <v>176</v>
      </c>
      <c r="L15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53" s="63" t="s">
        <v>573</v>
      </c>
      <c r="N153" s="57" t="s">
        <v>133</v>
      </c>
      <c r="O153" s="10" t="s">
        <v>39</v>
      </c>
      <c r="P153" s="9">
        <v>12</v>
      </c>
      <c r="T153" s="232"/>
      <c r="U153" s="83"/>
      <c r="V153" s="252" t="s">
        <v>574</v>
      </c>
      <c r="W153" s="86"/>
      <c r="X153" s="41"/>
    </row>
    <row r="154" spans="1:24" ht="27" customHeight="1">
      <c r="A154" t="s">
        <v>188</v>
      </c>
      <c r="B154" s="4">
        <v>42981.114583333299</v>
      </c>
      <c r="C154" s="5" t="s">
        <v>575</v>
      </c>
      <c r="D154" s="6" t="s">
        <v>209</v>
      </c>
      <c r="E154" s="42" t="s">
        <v>44</v>
      </c>
      <c r="F154" t="s">
        <v>204</v>
      </c>
      <c r="G154" s="32">
        <v>96.3</v>
      </c>
      <c r="H154" s="32">
        <v>91.2</v>
      </c>
      <c r="I154">
        <f>表1_4[[#This Row],[主队2]]-表1_4[[#This Row],[客队2]]</f>
        <v>5.0999999999999899</v>
      </c>
      <c r="J15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54" s="35" t="s">
        <v>289</v>
      </c>
      <c r="L15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4" s="11"/>
      <c r="N154" s="10" t="s">
        <v>112</v>
      </c>
      <c r="O154" s="10" t="s">
        <v>48</v>
      </c>
      <c r="P154" s="9">
        <v>-17</v>
      </c>
      <c r="U154" s="25"/>
      <c r="V154" s="24" t="s">
        <v>576</v>
      </c>
      <c r="W154" s="40" t="s">
        <v>577</v>
      </c>
      <c r="X154" s="41"/>
    </row>
    <row r="155" spans="1:24" ht="13.5" customHeight="1">
      <c r="A155" t="s">
        <v>188</v>
      </c>
      <c r="B155" s="4">
        <v>42981.114583333299</v>
      </c>
      <c r="C155" s="5" t="s">
        <v>578</v>
      </c>
      <c r="D155" s="6" t="s">
        <v>214</v>
      </c>
      <c r="E155" s="42" t="s">
        <v>22</v>
      </c>
      <c r="F155" t="s">
        <v>190</v>
      </c>
      <c r="G155" s="32">
        <v>84</v>
      </c>
      <c r="H155" s="32">
        <v>83.5</v>
      </c>
      <c r="I155">
        <f>表1_4[[#This Row],[主队2]]-表1_4[[#This Row],[客队2]]</f>
        <v>0.5</v>
      </c>
      <c r="J15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55" s="35" t="s">
        <v>182</v>
      </c>
      <c r="L15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55" s="11"/>
      <c r="N155" s="10" t="s">
        <v>119</v>
      </c>
      <c r="O155" s="10" t="s">
        <v>24</v>
      </c>
      <c r="P155" s="9">
        <v>0.1</v>
      </c>
      <c r="U155" s="246"/>
      <c r="V155" s="247" t="s">
        <v>579</v>
      </c>
      <c r="W155" s="38"/>
      <c r="X155" s="41"/>
    </row>
    <row r="156" spans="1:24" ht="13.5" customHeight="1">
      <c r="A156" t="s">
        <v>512</v>
      </c>
      <c r="B156" s="4">
        <v>42980.875</v>
      </c>
      <c r="C156" s="30" t="s">
        <v>580</v>
      </c>
      <c r="D156" s="6" t="s">
        <v>581</v>
      </c>
      <c r="E156" s="42" t="s">
        <v>41</v>
      </c>
      <c r="F156" t="s">
        <v>582</v>
      </c>
      <c r="G156" s="32">
        <v>69.3</v>
      </c>
      <c r="H156" s="32">
        <v>76.8</v>
      </c>
      <c r="I156">
        <f>表1_4[[#This Row],[主队2]]-表1_4[[#This Row],[客队2]]</f>
        <v>-7.5</v>
      </c>
      <c r="J15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56" s="35" t="s">
        <v>152</v>
      </c>
      <c r="L15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6" s="11"/>
      <c r="N156" s="10" t="s">
        <v>119</v>
      </c>
      <c r="O156" s="46" t="s">
        <v>48</v>
      </c>
      <c r="P156" s="9">
        <v>24</v>
      </c>
      <c r="T156" s="232"/>
      <c r="U156" s="83"/>
      <c r="V156" s="89" t="s">
        <v>583</v>
      </c>
      <c r="W156" s="71"/>
      <c r="X156" s="41"/>
    </row>
    <row r="157" spans="1:24" ht="13.5" customHeight="1">
      <c r="A157" t="s">
        <v>512</v>
      </c>
      <c r="B157" s="4">
        <v>42981</v>
      </c>
      <c r="C157" s="5" t="s">
        <v>260</v>
      </c>
      <c r="D157" s="6" t="s">
        <v>584</v>
      </c>
      <c r="E157" s="49" t="s">
        <v>64</v>
      </c>
      <c r="F157" t="s">
        <v>377</v>
      </c>
      <c r="G157" s="32">
        <v>68.7</v>
      </c>
      <c r="H157" s="32">
        <v>78.900000000000006</v>
      </c>
      <c r="I157">
        <f>表1_4[[#This Row],[主队2]]-表1_4[[#This Row],[客队2]]</f>
        <v>-10.199999999999999</v>
      </c>
      <c r="J15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57" s="35" t="s">
        <v>166</v>
      </c>
      <c r="L15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7" s="11"/>
      <c r="N157" s="46" t="s">
        <v>112</v>
      </c>
      <c r="O157" s="10" t="s">
        <v>51</v>
      </c>
      <c r="P157" s="9">
        <v>22</v>
      </c>
      <c r="T157" s="232"/>
      <c r="U157" s="25"/>
      <c r="V157" s="24" t="s">
        <v>585</v>
      </c>
      <c r="W157" s="38"/>
      <c r="X157" s="41"/>
    </row>
    <row r="158" spans="1:24" ht="13.5" customHeight="1">
      <c r="A158" t="s">
        <v>512</v>
      </c>
      <c r="B158" s="4">
        <v>42981.166666666701</v>
      </c>
      <c r="C158" s="14" t="s">
        <v>586</v>
      </c>
      <c r="D158" s="6" t="s">
        <v>587</v>
      </c>
      <c r="E158" s="31" t="s">
        <v>42</v>
      </c>
      <c r="F158" t="s">
        <v>588</v>
      </c>
      <c r="G158" s="32">
        <v>79.2</v>
      </c>
      <c r="H158" s="32">
        <v>72.2</v>
      </c>
      <c r="I158">
        <f>表1_4[[#This Row],[主队2]]-表1_4[[#This Row],[客队2]]</f>
        <v>7</v>
      </c>
      <c r="J15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58" s="35" t="s">
        <v>118</v>
      </c>
      <c r="L15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8" s="63" t="s">
        <v>589</v>
      </c>
      <c r="N158" s="46" t="s">
        <v>112</v>
      </c>
      <c r="O158" s="46" t="s">
        <v>40</v>
      </c>
      <c r="P158" s="9">
        <v>-11</v>
      </c>
      <c r="T158" s="232"/>
      <c r="U158" s="25" t="s">
        <v>500</v>
      </c>
      <c r="V158" s="75" t="s">
        <v>590</v>
      </c>
      <c r="W158" s="38"/>
      <c r="X158" s="41"/>
    </row>
    <row r="159" spans="1:24" ht="13.5" customHeight="1">
      <c r="A159" t="s">
        <v>188</v>
      </c>
      <c r="B159" s="4">
        <v>42982</v>
      </c>
      <c r="C159" s="14" t="s">
        <v>591</v>
      </c>
      <c r="D159" s="6" t="s">
        <v>240</v>
      </c>
      <c r="E159" s="49" t="s">
        <v>61</v>
      </c>
      <c r="F159" t="s">
        <v>239</v>
      </c>
      <c r="G159" s="32">
        <v>74.099999999999994</v>
      </c>
      <c r="H159" s="32">
        <v>86.7</v>
      </c>
      <c r="I159">
        <f>表1_4[[#This Row],[主队2]]-表1_4[[#This Row],[客队2]]</f>
        <v>-12.6</v>
      </c>
      <c r="J15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59" s="35" t="s">
        <v>111</v>
      </c>
      <c r="L15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9" s="11"/>
      <c r="N159" s="10" t="s">
        <v>119</v>
      </c>
      <c r="O159" s="46" t="s">
        <v>40</v>
      </c>
      <c r="P159" s="9">
        <v>0.1</v>
      </c>
      <c r="U159" s="246" t="s">
        <v>592</v>
      </c>
      <c r="V159" s="247" t="s">
        <v>593</v>
      </c>
      <c r="W159" s="40"/>
      <c r="X159" s="41"/>
    </row>
    <row r="160" spans="1:24" ht="13.5" customHeight="1">
      <c r="A160" t="s">
        <v>188</v>
      </c>
      <c r="B160" s="4">
        <v>42982</v>
      </c>
      <c r="C160" s="14" t="s">
        <v>428</v>
      </c>
      <c r="D160" s="6" t="s">
        <v>262</v>
      </c>
      <c r="E160" s="42" t="s">
        <v>41</v>
      </c>
      <c r="F160" t="s">
        <v>261</v>
      </c>
      <c r="G160" s="32">
        <v>89.7</v>
      </c>
      <c r="H160" s="32">
        <v>76.900000000000006</v>
      </c>
      <c r="I160">
        <f>表1_4[[#This Row],[主队2]]-表1_4[[#This Row],[客队2]]</f>
        <v>12.8</v>
      </c>
      <c r="J16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60" s="35" t="s">
        <v>81</v>
      </c>
      <c r="L16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60" s="11"/>
      <c r="N160" s="10" t="s">
        <v>119</v>
      </c>
      <c r="O160" s="10" t="s">
        <v>143</v>
      </c>
      <c r="P160" s="9">
        <v>-29</v>
      </c>
      <c r="U160" s="25"/>
      <c r="V160" s="24" t="s">
        <v>594</v>
      </c>
      <c r="W160" s="40" t="s">
        <v>381</v>
      </c>
      <c r="X160" s="41"/>
    </row>
    <row r="161" spans="1:24" ht="13.5" customHeight="1">
      <c r="A161" t="s">
        <v>188</v>
      </c>
      <c r="B161" s="4">
        <v>42982</v>
      </c>
      <c r="C161" s="5" t="s">
        <v>277</v>
      </c>
      <c r="D161" s="6" t="s">
        <v>244</v>
      </c>
      <c r="E161" s="42" t="s">
        <v>31</v>
      </c>
      <c r="F161" t="s">
        <v>243</v>
      </c>
      <c r="G161" s="32">
        <v>57.7</v>
      </c>
      <c r="H161" s="32">
        <v>46.9</v>
      </c>
      <c r="I161">
        <f>表1_4[[#This Row],[主队2]]-表1_4[[#This Row],[客队2]]</f>
        <v>10.8</v>
      </c>
      <c r="J16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61" s="35" t="s">
        <v>125</v>
      </c>
      <c r="L16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61" s="11"/>
      <c r="N161" s="10" t="s">
        <v>133</v>
      </c>
      <c r="O161" s="10" t="s">
        <v>143</v>
      </c>
      <c r="P161" s="9">
        <v>-28</v>
      </c>
      <c r="U161" s="83" t="s">
        <v>595</v>
      </c>
      <c r="V161" s="85" t="s">
        <v>596</v>
      </c>
      <c r="W161" s="86"/>
      <c r="X161" s="41"/>
    </row>
    <row r="162" spans="1:24" ht="13.5" customHeight="1">
      <c r="A162" t="s">
        <v>188</v>
      </c>
      <c r="B162" s="68">
        <v>42982</v>
      </c>
      <c r="C162" s="30" t="s">
        <v>281</v>
      </c>
      <c r="D162" s="6" t="s">
        <v>403</v>
      </c>
      <c r="E162" s="42" t="s">
        <v>31</v>
      </c>
      <c r="F162" t="s">
        <v>407</v>
      </c>
      <c r="G162" s="32">
        <v>67.3</v>
      </c>
      <c r="H162" s="32">
        <v>66</v>
      </c>
      <c r="I162">
        <f>表1_4[[#This Row],[主队2]]-表1_4[[#This Row],[客队2]]</f>
        <v>1.3</v>
      </c>
      <c r="J16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2" s="35" t="s">
        <v>182</v>
      </c>
      <c r="L16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62" s="63" t="s">
        <v>597</v>
      </c>
      <c r="N162" s="57" t="s">
        <v>404</v>
      </c>
      <c r="O162" s="10" t="s">
        <v>65</v>
      </c>
      <c r="P162" s="9">
        <v>2</v>
      </c>
      <c r="U162" s="83"/>
      <c r="V162" s="85" t="s">
        <v>598</v>
      </c>
      <c r="W162" s="87"/>
      <c r="X162" s="41"/>
    </row>
    <row r="163" spans="1:24" ht="13.5" customHeight="1">
      <c r="A163" t="s">
        <v>188</v>
      </c>
      <c r="B163" s="4">
        <v>42982.114583333299</v>
      </c>
      <c r="C163" s="1" t="s">
        <v>291</v>
      </c>
      <c r="D163" s="6" t="s">
        <v>267</v>
      </c>
      <c r="E163" s="31" t="s">
        <v>42</v>
      </c>
      <c r="F163" t="s">
        <v>266</v>
      </c>
      <c r="G163" s="32">
        <v>93.9</v>
      </c>
      <c r="H163" s="32">
        <v>57.2</v>
      </c>
      <c r="I163">
        <f>表1_4[[#This Row],[主队2]]-表1_4[[#This Row],[客队2]]</f>
        <v>36.700000000000003</v>
      </c>
      <c r="J163" s="34">
        <v>4</v>
      </c>
      <c r="K163" s="34">
        <v>4.5</v>
      </c>
      <c r="L163" s="75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63" s="11"/>
      <c r="N163" s="10" t="s">
        <v>119</v>
      </c>
      <c r="O163" s="10" t="s">
        <v>143</v>
      </c>
      <c r="P163" s="9" t="s">
        <v>161</v>
      </c>
      <c r="U163" s="25"/>
      <c r="V163" s="24" t="s">
        <v>599</v>
      </c>
      <c r="W163" s="86"/>
      <c r="X163" s="41"/>
    </row>
    <row r="164" spans="1:24" ht="13.5" customHeight="1">
      <c r="A164" t="s">
        <v>188</v>
      </c>
      <c r="B164" s="4">
        <v>42982.114583333299</v>
      </c>
      <c r="C164" s="14" t="s">
        <v>295</v>
      </c>
      <c r="D164" s="6" t="s">
        <v>271</v>
      </c>
      <c r="E164" s="49" t="s">
        <v>53</v>
      </c>
      <c r="F164" t="s">
        <v>270</v>
      </c>
      <c r="G164" s="32">
        <v>76.5</v>
      </c>
      <c r="H164" s="32">
        <v>91.9</v>
      </c>
      <c r="I164">
        <f>表1_4[[#This Row],[主队2]]-表1_4[[#This Row],[客队2]]</f>
        <v>-15.4</v>
      </c>
      <c r="J16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64" s="35" t="s">
        <v>219</v>
      </c>
      <c r="L16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64" s="11"/>
      <c r="N164" s="10" t="s">
        <v>119</v>
      </c>
      <c r="O164" s="10" t="s">
        <v>143</v>
      </c>
      <c r="P164" s="9">
        <v>-3</v>
      </c>
      <c r="U164" s="246"/>
      <c r="V164" s="247" t="s">
        <v>600</v>
      </c>
      <c r="W164" s="87"/>
      <c r="X164" s="41"/>
    </row>
    <row r="165" spans="1:24" ht="13.5" customHeight="1">
      <c r="A165" t="s">
        <v>188</v>
      </c>
      <c r="B165" s="4">
        <v>42982.114583333299</v>
      </c>
      <c r="C165" s="14" t="s">
        <v>300</v>
      </c>
      <c r="D165" s="6" t="s">
        <v>251</v>
      </c>
      <c r="E165" s="49" t="s">
        <v>64</v>
      </c>
      <c r="F165" t="s">
        <v>250</v>
      </c>
      <c r="G165" s="32">
        <v>65.900000000000006</v>
      </c>
      <c r="H165" s="32">
        <v>83.3</v>
      </c>
      <c r="I165">
        <f>表1_4[[#This Row],[主队2]]-表1_4[[#This Row],[客队2]]</f>
        <v>-17.399999999999999</v>
      </c>
      <c r="J16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65" s="34">
        <v>-1.5</v>
      </c>
      <c r="L16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65" s="11"/>
      <c r="N165" s="10" t="s">
        <v>119</v>
      </c>
      <c r="O165" s="10" t="s">
        <v>46</v>
      </c>
      <c r="P165" s="9">
        <v>-11</v>
      </c>
      <c r="U165" s="246"/>
      <c r="V165" s="247" t="s">
        <v>601</v>
      </c>
      <c r="W165" s="86"/>
      <c r="X165" s="41"/>
    </row>
    <row r="166" spans="1:24" ht="13.5" customHeight="1">
      <c r="A166" t="s">
        <v>188</v>
      </c>
      <c r="B166" s="4">
        <v>42982.114583333299</v>
      </c>
      <c r="C166" s="14" t="s">
        <v>308</v>
      </c>
      <c r="D166" s="6" t="s">
        <v>275</v>
      </c>
      <c r="E166" s="49" t="s">
        <v>60</v>
      </c>
      <c r="F166" t="s">
        <v>274</v>
      </c>
      <c r="G166" s="32">
        <v>81.599999999999994</v>
      </c>
      <c r="H166" s="32">
        <v>89.7</v>
      </c>
      <c r="I166">
        <f>表1_4[[#This Row],[主队2]]-表1_4[[#This Row],[客队2]]</f>
        <v>-8.1000000000000103</v>
      </c>
      <c r="J16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66" s="35" t="s">
        <v>111</v>
      </c>
      <c r="L16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66" s="11"/>
      <c r="N166" s="10" t="s">
        <v>112</v>
      </c>
      <c r="O166" s="10" t="s">
        <v>28</v>
      </c>
      <c r="P166" s="9">
        <v>-10</v>
      </c>
      <c r="U166" s="253"/>
      <c r="V166" s="247" t="s">
        <v>602</v>
      </c>
      <c r="W166" s="38"/>
      <c r="X166" s="41"/>
    </row>
    <row r="167" spans="1:24" ht="13.5" customHeight="1">
      <c r="A167" t="s">
        <v>188</v>
      </c>
      <c r="B167" s="4">
        <v>42983</v>
      </c>
      <c r="C167" s="14" t="s">
        <v>447</v>
      </c>
      <c r="D167" s="6" t="s">
        <v>278</v>
      </c>
      <c r="E167" s="42" t="s">
        <v>82</v>
      </c>
      <c r="F167" t="s">
        <v>282</v>
      </c>
      <c r="G167" s="32">
        <v>65.5</v>
      </c>
      <c r="H167" s="32">
        <v>30.6</v>
      </c>
      <c r="I167">
        <f>表1_4[[#This Row],[主队2]]-表1_4[[#This Row],[客队2]]</f>
        <v>34.9</v>
      </c>
      <c r="J167" s="34">
        <v>3.75</v>
      </c>
      <c r="K167" s="34">
        <v>2.5</v>
      </c>
      <c r="L16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67" s="11"/>
      <c r="N167" s="10" t="s">
        <v>112</v>
      </c>
      <c r="O167" s="10" t="s">
        <v>35</v>
      </c>
      <c r="P167" s="9" t="s">
        <v>161</v>
      </c>
      <c r="U167" s="25" t="s">
        <v>318</v>
      </c>
      <c r="V167" s="84" t="s">
        <v>603</v>
      </c>
      <c r="W167" s="86"/>
      <c r="X167" s="41"/>
    </row>
    <row r="168" spans="1:24" ht="13.5" customHeight="1">
      <c r="A168" t="s">
        <v>188</v>
      </c>
      <c r="B168" s="4">
        <v>42983</v>
      </c>
      <c r="C168" s="14" t="s">
        <v>379</v>
      </c>
      <c r="D168" s="6" t="s">
        <v>287</v>
      </c>
      <c r="E168" s="49" t="s">
        <v>75</v>
      </c>
      <c r="F168" t="s">
        <v>306</v>
      </c>
      <c r="G168" s="32">
        <v>71.099999999999994</v>
      </c>
      <c r="H168" s="32">
        <v>84.1</v>
      </c>
      <c r="I168">
        <f>表1_4[[#This Row],[主队2]]-表1_4[[#This Row],[客队2]]</f>
        <v>-13</v>
      </c>
      <c r="J16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68" s="35" t="s">
        <v>219</v>
      </c>
      <c r="L16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68" s="11"/>
      <c r="N168" s="10" t="s">
        <v>119</v>
      </c>
      <c r="O168" s="10" t="s">
        <v>46</v>
      </c>
      <c r="P168" s="9">
        <v>-11</v>
      </c>
      <c r="T168" s="232"/>
      <c r="U168" s="246"/>
      <c r="V168" s="247" t="s">
        <v>604</v>
      </c>
      <c r="W168" s="86"/>
      <c r="X168" s="41"/>
    </row>
    <row r="169" spans="1:24" ht="13.5" customHeight="1">
      <c r="A169" t="s">
        <v>188</v>
      </c>
      <c r="B169" s="4">
        <v>42983.114583333299</v>
      </c>
      <c r="C169" s="14" t="s">
        <v>605</v>
      </c>
      <c r="D169" s="6" t="s">
        <v>116</v>
      </c>
      <c r="E169" s="42" t="s">
        <v>55</v>
      </c>
      <c r="F169" t="s">
        <v>297</v>
      </c>
      <c r="G169" s="32">
        <v>98.3</v>
      </c>
      <c r="H169" s="32">
        <v>75.099999999999994</v>
      </c>
      <c r="I169">
        <f>表1_4[[#This Row],[主队2]]-表1_4[[#This Row],[客队2]]</f>
        <v>23.2</v>
      </c>
      <c r="J169" s="34">
        <v>2.5</v>
      </c>
      <c r="K169" s="34">
        <v>2.25</v>
      </c>
      <c r="L16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69" s="11"/>
      <c r="N169" s="10" t="s">
        <v>133</v>
      </c>
      <c r="O169" s="10" t="s">
        <v>28</v>
      </c>
      <c r="P169" s="9" t="s">
        <v>161</v>
      </c>
      <c r="U169" s="83"/>
      <c r="V169" s="85" t="s">
        <v>606</v>
      </c>
      <c r="W169" s="38"/>
      <c r="X169" s="41"/>
    </row>
    <row r="170" spans="1:24" ht="13.5" customHeight="1">
      <c r="A170" t="s">
        <v>188</v>
      </c>
      <c r="B170" s="4">
        <v>42983.114583333299</v>
      </c>
      <c r="C170" s="1" t="s">
        <v>607</v>
      </c>
      <c r="D170" s="6" t="s">
        <v>296</v>
      </c>
      <c r="E170" s="42" t="s">
        <v>22</v>
      </c>
      <c r="F170" t="s">
        <v>284</v>
      </c>
      <c r="G170" s="32">
        <v>78.099999999999994</v>
      </c>
      <c r="H170" s="32">
        <v>83.1</v>
      </c>
      <c r="I170">
        <f>表1_4[[#This Row],[主队2]]-表1_4[[#This Row],[客队2]]</f>
        <v>-5</v>
      </c>
      <c r="J17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70" s="35" t="s">
        <v>166</v>
      </c>
      <c r="L17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70" s="11"/>
      <c r="N170" s="10" t="s">
        <v>112</v>
      </c>
      <c r="O170" s="10" t="s">
        <v>143</v>
      </c>
      <c r="P170" s="9">
        <v>-5</v>
      </c>
      <c r="U170" s="246"/>
      <c r="V170" s="247" t="s">
        <v>608</v>
      </c>
      <c r="W170" s="38"/>
      <c r="X170" s="41"/>
    </row>
    <row r="171" spans="1:24" ht="13.5" customHeight="1">
      <c r="A171" t="s">
        <v>188</v>
      </c>
      <c r="B171" s="4">
        <v>42983.114583333299</v>
      </c>
      <c r="C171" s="1" t="s">
        <v>609</v>
      </c>
      <c r="D171" s="6" t="s">
        <v>301</v>
      </c>
      <c r="E171" s="42" t="s">
        <v>31</v>
      </c>
      <c r="F171" t="s">
        <v>305</v>
      </c>
      <c r="G171" s="32">
        <v>77.7</v>
      </c>
      <c r="H171" s="32">
        <v>79.7</v>
      </c>
      <c r="I171">
        <f>表1_4[[#This Row],[主队2]]-表1_4[[#This Row],[客队2]]</f>
        <v>-2</v>
      </c>
      <c r="J17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71" s="35" t="s">
        <v>166</v>
      </c>
      <c r="L17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71" s="11"/>
      <c r="N171" s="10" t="s">
        <v>112</v>
      </c>
      <c r="O171" s="10" t="s">
        <v>28</v>
      </c>
      <c r="P171" s="9">
        <v>16</v>
      </c>
      <c r="T171" s="232"/>
      <c r="U171" s="246"/>
      <c r="V171" s="247" t="s">
        <v>610</v>
      </c>
      <c r="W171" s="40"/>
      <c r="X171" s="41"/>
    </row>
    <row r="172" spans="1:24" ht="13.5" customHeight="1">
      <c r="A172" t="s">
        <v>188</v>
      </c>
      <c r="B172" s="4">
        <v>42983.114583333299</v>
      </c>
      <c r="C172" s="14" t="s">
        <v>611</v>
      </c>
      <c r="D172" s="6" t="s">
        <v>302</v>
      </c>
      <c r="E172" s="42" t="s">
        <v>44</v>
      </c>
      <c r="F172" t="s">
        <v>288</v>
      </c>
      <c r="G172" s="32">
        <v>85.6</v>
      </c>
      <c r="H172" s="32">
        <v>65</v>
      </c>
      <c r="I172">
        <f>表1_4[[#This Row],[主队2]]-表1_4[[#This Row],[客队2]]</f>
        <v>20.6</v>
      </c>
      <c r="J17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172" s="34">
        <v>2.25</v>
      </c>
      <c r="L17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72" s="11"/>
      <c r="N172" s="10" t="s">
        <v>160</v>
      </c>
      <c r="O172" s="10" t="s">
        <v>143</v>
      </c>
      <c r="P172" s="9" t="s">
        <v>161</v>
      </c>
      <c r="T172" s="232"/>
      <c r="U172" s="25"/>
      <c r="V172" s="24" t="s">
        <v>612</v>
      </c>
      <c r="W172" s="86"/>
      <c r="X172" s="41"/>
    </row>
    <row r="173" spans="1:24" ht="13.5" customHeight="1">
      <c r="A173" t="s">
        <v>188</v>
      </c>
      <c r="B173" s="4">
        <v>42983.114583333299</v>
      </c>
      <c r="C173" s="5" t="s">
        <v>613</v>
      </c>
      <c r="D173" s="6" t="s">
        <v>117</v>
      </c>
      <c r="E173" s="42" t="s">
        <v>33</v>
      </c>
      <c r="F173" t="s">
        <v>425</v>
      </c>
      <c r="G173" s="32">
        <v>90</v>
      </c>
      <c r="H173" s="32">
        <v>82.7</v>
      </c>
      <c r="I173">
        <f>表1_4[[#This Row],[主队2]]-表1_4[[#This Row],[客队2]]</f>
        <v>7.3</v>
      </c>
      <c r="J17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73" s="35" t="s">
        <v>125</v>
      </c>
      <c r="L17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73" s="11"/>
      <c r="N173" s="10" t="s">
        <v>119</v>
      </c>
      <c r="O173" s="10" t="s">
        <v>51</v>
      </c>
      <c r="P173" s="9">
        <v>-15</v>
      </c>
      <c r="U173" s="246"/>
      <c r="V173" s="247" t="s">
        <v>614</v>
      </c>
      <c r="W173" s="38"/>
      <c r="X173" s="41"/>
    </row>
    <row r="174" spans="1:24" ht="13.5" customHeight="1">
      <c r="A174" t="s">
        <v>188</v>
      </c>
      <c r="B174" s="4">
        <v>42983.114583333299</v>
      </c>
      <c r="C174" s="14" t="s">
        <v>615</v>
      </c>
      <c r="D174" s="6" t="s">
        <v>309</v>
      </c>
      <c r="E174" s="42" t="s">
        <v>37</v>
      </c>
      <c r="F174" t="s">
        <v>292</v>
      </c>
      <c r="G174" s="32">
        <v>78.599999999999994</v>
      </c>
      <c r="H174" s="32">
        <v>67.3</v>
      </c>
      <c r="I174">
        <f>表1_4[[#This Row],[主队2]]-表1_4[[#This Row],[客队2]]</f>
        <v>11.3</v>
      </c>
      <c r="J17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74" s="35" t="s">
        <v>81</v>
      </c>
      <c r="L17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74" s="11"/>
      <c r="N174" s="10" t="s">
        <v>133</v>
      </c>
      <c r="O174" s="10" t="s">
        <v>24</v>
      </c>
      <c r="P174" s="9">
        <v>-15</v>
      </c>
      <c r="U174" s="83"/>
      <c r="V174" s="85" t="s">
        <v>616</v>
      </c>
      <c r="W174" s="87"/>
      <c r="X174" s="41"/>
    </row>
    <row r="175" spans="1:24" ht="13.5" customHeight="1">
      <c r="A175" t="s">
        <v>512</v>
      </c>
      <c r="B175" s="4">
        <v>42983.041666666701</v>
      </c>
      <c r="C175" s="14" t="s">
        <v>382</v>
      </c>
      <c r="D175" s="6" t="s">
        <v>520</v>
      </c>
      <c r="E175" s="31" t="s">
        <v>36</v>
      </c>
      <c r="F175" t="s">
        <v>519</v>
      </c>
      <c r="G175" s="32">
        <v>76.400000000000006</v>
      </c>
      <c r="H175" s="32">
        <v>79.7</v>
      </c>
      <c r="I175">
        <f>表1_4[[#This Row],[主队2]]-表1_4[[#This Row],[客队2]]</f>
        <v>-3.3</v>
      </c>
      <c r="J17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75" s="35" t="s">
        <v>182</v>
      </c>
      <c r="L175" s="36" t="s">
        <v>183</v>
      </c>
      <c r="M175" s="11"/>
      <c r="N175" s="46" t="s">
        <v>133</v>
      </c>
      <c r="O175" s="10" t="s">
        <v>40</v>
      </c>
      <c r="P175" s="9">
        <v>-6</v>
      </c>
      <c r="U175" s="254" t="s">
        <v>617</v>
      </c>
      <c r="V175" s="85" t="s">
        <v>618</v>
      </c>
      <c r="W175" s="87"/>
      <c r="X175" s="41"/>
    </row>
    <row r="176" spans="1:24" ht="13.5" customHeight="1">
      <c r="A176" t="s">
        <v>512</v>
      </c>
      <c r="B176" s="4">
        <v>42983.125</v>
      </c>
      <c r="C176" s="5" t="s">
        <v>619</v>
      </c>
      <c r="D176" s="6" t="s">
        <v>620</v>
      </c>
      <c r="E176" s="42" t="s">
        <v>31</v>
      </c>
      <c r="F176" t="s">
        <v>621</v>
      </c>
      <c r="G176" s="32">
        <v>68</v>
      </c>
      <c r="H176" s="32">
        <v>75.3</v>
      </c>
      <c r="I176">
        <f>表1_4[[#This Row],[主队2]]-表1_4[[#This Row],[客队2]]</f>
        <v>-7.3</v>
      </c>
      <c r="J17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76" s="35" t="s">
        <v>152</v>
      </c>
      <c r="L17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76" s="11"/>
      <c r="N176" s="10" t="s">
        <v>119</v>
      </c>
      <c r="O176" s="57" t="s">
        <v>51</v>
      </c>
      <c r="P176" s="9">
        <v>13</v>
      </c>
      <c r="T176" s="232"/>
      <c r="U176" s="246" t="s">
        <v>622</v>
      </c>
      <c r="V176" s="247" t="s">
        <v>623</v>
      </c>
      <c r="W176" s="38"/>
      <c r="X176" s="41"/>
    </row>
    <row r="177" spans="1:24" ht="13.5" customHeight="1">
      <c r="A177" t="s">
        <v>128</v>
      </c>
      <c r="B177" s="68">
        <v>42983.75</v>
      </c>
      <c r="C177" s="14" t="s">
        <v>315</v>
      </c>
      <c r="D177" s="6" t="s">
        <v>142</v>
      </c>
      <c r="E177" s="42" t="s">
        <v>33</v>
      </c>
      <c r="F177" t="s">
        <v>137</v>
      </c>
      <c r="G177" s="32">
        <v>80.099999999999994</v>
      </c>
      <c r="H177" s="32">
        <v>61.2</v>
      </c>
      <c r="I177">
        <f>表1_4[[#This Row],[主队2]]-表1_4[[#This Row],[客队2]]</f>
        <v>18.899999999999999</v>
      </c>
      <c r="J17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177" s="34">
        <v>3</v>
      </c>
      <c r="L177" s="75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177" s="63" t="s">
        <v>624</v>
      </c>
      <c r="N177" s="46" t="s">
        <v>133</v>
      </c>
      <c r="O177" s="10" t="s">
        <v>40</v>
      </c>
      <c r="P177" s="9" t="s">
        <v>161</v>
      </c>
      <c r="T177" s="232"/>
      <c r="U177" s="25" t="s">
        <v>625</v>
      </c>
      <c r="V177" s="24" t="s">
        <v>626</v>
      </c>
      <c r="W177" s="87" t="s">
        <v>541</v>
      </c>
      <c r="X177" s="41"/>
    </row>
    <row r="178" spans="1:24" ht="13.5" customHeight="1">
      <c r="A178" t="s">
        <v>128</v>
      </c>
      <c r="B178" s="97">
        <v>42983.916666666701</v>
      </c>
      <c r="C178" s="1" t="s">
        <v>320</v>
      </c>
      <c r="D178" s="6" t="s">
        <v>141</v>
      </c>
      <c r="E178" s="42" t="s">
        <v>31</v>
      </c>
      <c r="F178" t="s">
        <v>146</v>
      </c>
      <c r="G178" s="32">
        <v>71</v>
      </c>
      <c r="H178" s="32">
        <v>71.900000000000006</v>
      </c>
      <c r="I178">
        <f>表1_4[[#This Row],[主队2]]-表1_4[[#This Row],[客队2]]</f>
        <v>-0.90000000000000602</v>
      </c>
      <c r="J17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78" s="35" t="s">
        <v>166</v>
      </c>
      <c r="L17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78" s="11"/>
      <c r="N178" s="10" t="s">
        <v>119</v>
      </c>
      <c r="O178" s="10" t="s">
        <v>40</v>
      </c>
      <c r="P178" s="9">
        <v>-6</v>
      </c>
      <c r="U178" s="25" t="s">
        <v>627</v>
      </c>
      <c r="V178" s="24" t="s">
        <v>628</v>
      </c>
      <c r="W178" s="38"/>
      <c r="X178" s="41"/>
    </row>
    <row r="179" spans="1:24" ht="13.5" customHeight="1">
      <c r="A179" t="s">
        <v>512</v>
      </c>
      <c r="B179" s="4">
        <v>42983.9375</v>
      </c>
      <c r="C179" s="5" t="s">
        <v>322</v>
      </c>
      <c r="D179" s="6" t="s">
        <v>515</v>
      </c>
      <c r="E179" s="49" t="s">
        <v>76</v>
      </c>
      <c r="F179" t="s">
        <v>514</v>
      </c>
      <c r="G179" s="32">
        <v>66</v>
      </c>
      <c r="H179" s="32">
        <v>76.8</v>
      </c>
      <c r="I179">
        <f>表1_4[[#This Row],[主队2]]-表1_4[[#This Row],[客队2]]</f>
        <v>-10.8</v>
      </c>
      <c r="J17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79" s="35" t="s">
        <v>132</v>
      </c>
      <c r="L17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79" s="11"/>
      <c r="N179" s="10" t="s">
        <v>119</v>
      </c>
      <c r="O179" s="10" t="s">
        <v>65</v>
      </c>
      <c r="P179" s="9">
        <v>7</v>
      </c>
      <c r="T179" s="232"/>
      <c r="U179" s="25" t="s">
        <v>629</v>
      </c>
      <c r="V179" s="247" t="s">
        <v>630</v>
      </c>
      <c r="W179" s="71"/>
      <c r="X179" s="41"/>
    </row>
    <row r="180" spans="1:24" ht="13.5" customHeight="1">
      <c r="A180" t="s">
        <v>128</v>
      </c>
      <c r="B180" s="4">
        <v>42983.958333333299</v>
      </c>
      <c r="C180" s="1" t="s">
        <v>352</v>
      </c>
      <c r="D180" s="6" t="s">
        <v>150</v>
      </c>
      <c r="E180" s="49" t="s">
        <v>60</v>
      </c>
      <c r="F180" t="s">
        <v>109</v>
      </c>
      <c r="G180" s="32">
        <v>68.5</v>
      </c>
      <c r="H180" s="32">
        <v>72.8</v>
      </c>
      <c r="I180">
        <f>表1_4[[#This Row],[主队2]]-表1_4[[#This Row],[客队2]]</f>
        <v>-4.3</v>
      </c>
      <c r="J18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80" s="35" t="s">
        <v>152</v>
      </c>
      <c r="L18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80" s="11"/>
      <c r="N180" s="10" t="s">
        <v>112</v>
      </c>
      <c r="O180" s="10" t="s">
        <v>40</v>
      </c>
      <c r="P180" s="9">
        <v>6</v>
      </c>
      <c r="T180" s="232"/>
      <c r="U180" s="25" t="s">
        <v>631</v>
      </c>
      <c r="V180" s="24" t="s">
        <v>632</v>
      </c>
      <c r="W180" s="40"/>
      <c r="X180" s="41"/>
    </row>
    <row r="181" spans="1:24" ht="13.5" customHeight="1">
      <c r="A181" t="s">
        <v>128</v>
      </c>
      <c r="B181" s="4">
        <v>42983.958333333299</v>
      </c>
      <c r="C181" s="30" t="s">
        <v>325</v>
      </c>
      <c r="D181" s="6" t="s">
        <v>131</v>
      </c>
      <c r="E181" s="31" t="s">
        <v>42</v>
      </c>
      <c r="F181" t="s">
        <v>185</v>
      </c>
      <c r="G181" s="32">
        <v>74</v>
      </c>
      <c r="H181" s="32">
        <v>79</v>
      </c>
      <c r="I181">
        <f>表1_4[[#This Row],[主队2]]-表1_4[[#This Row],[客队2]]</f>
        <v>-5</v>
      </c>
      <c r="J18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81" s="35" t="s">
        <v>152</v>
      </c>
      <c r="L18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81" s="11"/>
      <c r="N181" s="10" t="s">
        <v>112</v>
      </c>
      <c r="O181" s="10" t="s">
        <v>35</v>
      </c>
      <c r="P181" s="9">
        <v>23</v>
      </c>
      <c r="U181" s="83" t="s">
        <v>633</v>
      </c>
      <c r="V181" s="85" t="s">
        <v>634</v>
      </c>
      <c r="W181" s="40"/>
      <c r="X181" s="41"/>
    </row>
    <row r="182" spans="1:24" ht="13.5" customHeight="1">
      <c r="A182" t="s">
        <v>512</v>
      </c>
      <c r="B182" s="4">
        <v>42984.041666666701</v>
      </c>
      <c r="C182" s="1" t="s">
        <v>359</v>
      </c>
      <c r="D182" s="6" t="s">
        <v>525</v>
      </c>
      <c r="E182" s="49" t="s">
        <v>60</v>
      </c>
      <c r="F182" t="s">
        <v>524</v>
      </c>
      <c r="G182" s="32">
        <v>74.900000000000006</v>
      </c>
      <c r="H182" s="32">
        <v>67.3</v>
      </c>
      <c r="I182">
        <f>表1_4[[#This Row],[主队2]]-表1_4[[#This Row],[客队2]]</f>
        <v>7.6000000000000103</v>
      </c>
      <c r="J18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82" s="35" t="s">
        <v>176</v>
      </c>
      <c r="L18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82" s="63" t="s">
        <v>326</v>
      </c>
      <c r="N182" s="57" t="s">
        <v>119</v>
      </c>
      <c r="O182" s="57" t="s">
        <v>24</v>
      </c>
      <c r="P182" s="9">
        <v>7</v>
      </c>
      <c r="U182" s="246"/>
      <c r="V182" s="247" t="s">
        <v>635</v>
      </c>
      <c r="W182" s="86"/>
      <c r="X182" s="41"/>
    </row>
    <row r="183" spans="1:24" ht="13.5" customHeight="1">
      <c r="A183" t="s">
        <v>128</v>
      </c>
      <c r="B183" s="4">
        <v>42984.0625</v>
      </c>
      <c r="C183" s="1" t="s">
        <v>361</v>
      </c>
      <c r="D183" s="6" t="s">
        <v>138</v>
      </c>
      <c r="E183" s="42" t="s">
        <v>31</v>
      </c>
      <c r="F183" t="s">
        <v>147</v>
      </c>
      <c r="G183" s="32">
        <v>72.900000000000006</v>
      </c>
      <c r="H183" s="32">
        <v>83.3</v>
      </c>
      <c r="I183">
        <f>表1_4[[#This Row],[主队2]]-表1_4[[#This Row],[客队2]]</f>
        <v>-10.4</v>
      </c>
      <c r="J18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83" s="35" t="s">
        <v>182</v>
      </c>
      <c r="L183" s="36" t="s">
        <v>636</v>
      </c>
      <c r="M183" s="11"/>
      <c r="N183" s="10" t="s">
        <v>119</v>
      </c>
      <c r="O183" s="10" t="s">
        <v>35</v>
      </c>
      <c r="P183" s="9">
        <v>4</v>
      </c>
      <c r="U183" s="246" t="s">
        <v>226</v>
      </c>
      <c r="V183" s="247" t="s">
        <v>637</v>
      </c>
      <c r="W183" s="40"/>
      <c r="X183" s="41"/>
    </row>
    <row r="184" spans="1:24" ht="13.5" customHeight="1">
      <c r="A184" t="s">
        <v>512</v>
      </c>
      <c r="B184" s="4">
        <v>42984.0625</v>
      </c>
      <c r="C184" s="30" t="s">
        <v>467</v>
      </c>
      <c r="D184" s="6" t="s">
        <v>547</v>
      </c>
      <c r="E184" s="31" t="s">
        <v>25</v>
      </c>
      <c r="F184" t="s">
        <v>546</v>
      </c>
      <c r="G184" s="32">
        <v>73.7</v>
      </c>
      <c r="H184" s="32">
        <v>75.900000000000006</v>
      </c>
      <c r="I184">
        <f>表1_4[[#This Row],[主队2]]-表1_4[[#This Row],[客队2]]</f>
        <v>-2.2000000000000002</v>
      </c>
      <c r="J18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84" s="35" t="s">
        <v>289</v>
      </c>
      <c r="L18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84" s="11"/>
      <c r="N184" s="57" t="s">
        <v>404</v>
      </c>
      <c r="O184" s="10" t="s">
        <v>46</v>
      </c>
      <c r="P184" s="9">
        <v>-15</v>
      </c>
      <c r="U184" s="255" t="s">
        <v>167</v>
      </c>
      <c r="V184" s="247" t="s">
        <v>638</v>
      </c>
      <c r="W184" s="87"/>
      <c r="X184" s="41"/>
    </row>
    <row r="185" spans="1:24" ht="13.5" customHeight="1">
      <c r="A185" t="s">
        <v>188</v>
      </c>
      <c r="B185" s="4">
        <v>42984.114583333299</v>
      </c>
      <c r="C185" s="5" t="s">
        <v>330</v>
      </c>
      <c r="D185" s="6" t="s">
        <v>194</v>
      </c>
      <c r="E185" s="31" t="s">
        <v>36</v>
      </c>
      <c r="F185" t="s">
        <v>430</v>
      </c>
      <c r="G185" s="32">
        <v>78.900000000000006</v>
      </c>
      <c r="H185" s="32">
        <v>70.7</v>
      </c>
      <c r="I185">
        <f>表1_4[[#This Row],[主队2]]-表1_4[[#This Row],[客队2]]</f>
        <v>8.1999999999999993</v>
      </c>
      <c r="J18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85" s="35" t="s">
        <v>125</v>
      </c>
      <c r="L18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85" s="11"/>
      <c r="N185" s="10" t="s">
        <v>119</v>
      </c>
      <c r="O185" s="10" t="s">
        <v>143</v>
      </c>
      <c r="P185" s="9">
        <v>6</v>
      </c>
      <c r="T185" s="232"/>
      <c r="U185" s="246"/>
      <c r="V185" s="247" t="s">
        <v>639</v>
      </c>
      <c r="W185" s="244"/>
      <c r="X185" s="41"/>
    </row>
    <row r="186" spans="1:24" ht="13.5" customHeight="1">
      <c r="A186" t="s">
        <v>188</v>
      </c>
      <c r="B186" s="4">
        <v>42984.114583333299</v>
      </c>
      <c r="C186" s="14" t="s">
        <v>333</v>
      </c>
      <c r="D186" s="6" t="s">
        <v>195</v>
      </c>
      <c r="E186" s="49" t="s">
        <v>47</v>
      </c>
      <c r="F186" t="s">
        <v>200</v>
      </c>
      <c r="G186" s="32">
        <v>65</v>
      </c>
      <c r="H186" s="32">
        <v>80.7</v>
      </c>
      <c r="I186">
        <f>表1_4[[#This Row],[主队2]]-表1_4[[#This Row],[客队2]]</f>
        <v>-15.7</v>
      </c>
      <c r="J18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86" s="35" t="s">
        <v>219</v>
      </c>
      <c r="L18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86" s="11"/>
      <c r="N186" s="10" t="s">
        <v>112</v>
      </c>
      <c r="O186" s="10" t="s">
        <v>40</v>
      </c>
      <c r="P186" s="9">
        <v>10</v>
      </c>
      <c r="U186" s="25" t="s">
        <v>388</v>
      </c>
      <c r="V186" s="24" t="s">
        <v>640</v>
      </c>
      <c r="W186" s="86"/>
      <c r="X186" s="41"/>
    </row>
    <row r="187" spans="1:24" ht="13.5" customHeight="1">
      <c r="A187" t="s">
        <v>188</v>
      </c>
      <c r="B187" s="4">
        <v>42984.114583333299</v>
      </c>
      <c r="C187" s="5" t="s">
        <v>336</v>
      </c>
      <c r="D187" s="6" t="s">
        <v>199</v>
      </c>
      <c r="E187" s="49" t="s">
        <v>53</v>
      </c>
      <c r="F187" t="s">
        <v>434</v>
      </c>
      <c r="G187" s="32">
        <v>82.3</v>
      </c>
      <c r="H187" s="32">
        <v>83.8</v>
      </c>
      <c r="I187">
        <f>表1_4[[#This Row],[主队2]]-表1_4[[#This Row],[客队2]]</f>
        <v>-1.5</v>
      </c>
      <c r="J18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87" s="35" t="s">
        <v>166</v>
      </c>
      <c r="L18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87" s="11"/>
      <c r="N187" s="10" t="s">
        <v>119</v>
      </c>
      <c r="O187" s="57" t="s">
        <v>143</v>
      </c>
      <c r="P187" s="9">
        <v>1</v>
      </c>
      <c r="U187" s="254" t="s">
        <v>641</v>
      </c>
      <c r="V187" s="89" t="s">
        <v>642</v>
      </c>
      <c r="W187" s="244" t="s">
        <v>577</v>
      </c>
      <c r="X187" s="41"/>
    </row>
    <row r="188" spans="1:24" ht="13.5" customHeight="1">
      <c r="A188" t="s">
        <v>188</v>
      </c>
      <c r="B188" s="4">
        <v>42984.114583333299</v>
      </c>
      <c r="C188" s="1" t="s">
        <v>340</v>
      </c>
      <c r="D188" s="240" t="s">
        <v>204</v>
      </c>
      <c r="E188" s="42" t="s">
        <v>31</v>
      </c>
      <c r="F188" t="s">
        <v>210</v>
      </c>
      <c r="G188" s="32">
        <v>90</v>
      </c>
      <c r="H188" s="32">
        <v>74.7</v>
      </c>
      <c r="I188">
        <f>表1_4[[#This Row],[主队2]]-表1_4[[#This Row],[客队2]]</f>
        <v>15.3</v>
      </c>
      <c r="J18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88" s="34">
        <v>2</v>
      </c>
      <c r="L18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88" s="11"/>
      <c r="N188" s="10" t="s">
        <v>112</v>
      </c>
      <c r="O188" s="10" t="s">
        <v>40</v>
      </c>
      <c r="P188" s="9">
        <v>2</v>
      </c>
      <c r="U188" s="25" t="s">
        <v>643</v>
      </c>
      <c r="V188" s="24" t="s">
        <v>644</v>
      </c>
      <c r="W188" s="40"/>
      <c r="X188" s="41"/>
    </row>
    <row r="189" spans="1:24" ht="13.5" customHeight="1">
      <c r="A189" t="s">
        <v>188</v>
      </c>
      <c r="B189" s="4">
        <v>42984.114583333299</v>
      </c>
      <c r="C189" s="1" t="s">
        <v>344</v>
      </c>
      <c r="D189" s="6" t="s">
        <v>440</v>
      </c>
      <c r="E189" s="31" t="s">
        <v>36</v>
      </c>
      <c r="F189" t="s">
        <v>205</v>
      </c>
      <c r="G189" s="32">
        <v>72.2</v>
      </c>
      <c r="H189" s="32">
        <v>74.099999999999994</v>
      </c>
      <c r="I189">
        <f>表1_4[[#This Row],[主队2]]-表1_4[[#This Row],[客队2]]</f>
        <v>-1.8999999999999899</v>
      </c>
      <c r="J18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89" s="35" t="s">
        <v>166</v>
      </c>
      <c r="L18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89" s="11"/>
      <c r="N189" s="10" t="s">
        <v>119</v>
      </c>
      <c r="O189" s="57" t="s">
        <v>28</v>
      </c>
      <c r="P189" s="9">
        <v>-19</v>
      </c>
      <c r="U189" s="246"/>
      <c r="V189" s="247" t="s">
        <v>645</v>
      </c>
      <c r="W189" s="244"/>
      <c r="X189" s="41"/>
    </row>
    <row r="190" spans="1:24" ht="13.5" customHeight="1">
      <c r="A190" t="s">
        <v>188</v>
      </c>
      <c r="B190" s="4">
        <v>42984.114583333299</v>
      </c>
      <c r="C190" s="5" t="s">
        <v>346</v>
      </c>
      <c r="D190" s="6" t="s">
        <v>218</v>
      </c>
      <c r="E190" s="42" t="s">
        <v>22</v>
      </c>
      <c r="F190" t="s">
        <v>214</v>
      </c>
      <c r="G190" s="32">
        <v>78.7</v>
      </c>
      <c r="H190" s="32">
        <v>84.9</v>
      </c>
      <c r="I190">
        <f>表1_4[[#This Row],[主队2]]-表1_4[[#This Row],[客队2]]</f>
        <v>-6.2</v>
      </c>
      <c r="J190" s="34">
        <v>-0.25</v>
      </c>
      <c r="K190" s="35" t="s">
        <v>166</v>
      </c>
      <c r="L19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90" s="11"/>
      <c r="N190" s="10" t="s">
        <v>119</v>
      </c>
      <c r="O190" s="10" t="s">
        <v>51</v>
      </c>
      <c r="P190" s="9">
        <v>-10</v>
      </c>
      <c r="U190" s="246"/>
      <c r="V190" s="247" t="s">
        <v>646</v>
      </c>
      <c r="W190" s="244"/>
      <c r="X190" s="41"/>
    </row>
    <row r="191" spans="1:24" ht="13.5" customHeight="1">
      <c r="A191" t="s">
        <v>188</v>
      </c>
      <c r="B191" s="4">
        <v>42984.114583333299</v>
      </c>
      <c r="C191" s="1" t="s">
        <v>349</v>
      </c>
      <c r="D191" s="6" t="s">
        <v>217</v>
      </c>
      <c r="E191" s="49" t="s">
        <v>53</v>
      </c>
      <c r="F191" t="s">
        <v>191</v>
      </c>
      <c r="G191" s="32">
        <v>62</v>
      </c>
      <c r="H191" s="32">
        <v>74</v>
      </c>
      <c r="I191">
        <f>表1_4[[#This Row],[主队2]]-表1_4[[#This Row],[客队2]]</f>
        <v>-12</v>
      </c>
      <c r="J19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91" s="35" t="s">
        <v>132</v>
      </c>
      <c r="L19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91" s="11"/>
      <c r="N191" s="10" t="s">
        <v>112</v>
      </c>
      <c r="O191" s="10" t="s">
        <v>35</v>
      </c>
      <c r="P191" s="9">
        <v>8</v>
      </c>
      <c r="T191" s="232"/>
      <c r="U191" s="246" t="s">
        <v>647</v>
      </c>
      <c r="V191" s="251" t="s">
        <v>639</v>
      </c>
      <c r="W191" s="86"/>
      <c r="X191" s="41"/>
    </row>
    <row r="192" spans="1:24" ht="13.5" customHeight="1">
      <c r="A192" t="s">
        <v>188</v>
      </c>
      <c r="B192" s="4">
        <v>42984.114583333299</v>
      </c>
      <c r="C192" s="1" t="s">
        <v>648</v>
      </c>
      <c r="D192" s="6" t="s">
        <v>190</v>
      </c>
      <c r="E192" s="42" t="s">
        <v>31</v>
      </c>
      <c r="F192" t="s">
        <v>110</v>
      </c>
      <c r="G192" s="32">
        <v>82.6</v>
      </c>
      <c r="H192" s="32">
        <v>89.4</v>
      </c>
      <c r="I192">
        <f>表1_4[[#This Row],[主队2]]-表1_4[[#This Row],[客队2]]</f>
        <v>-6.8000000000000096</v>
      </c>
      <c r="J19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92" s="35" t="s">
        <v>152</v>
      </c>
      <c r="L19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92" s="11"/>
      <c r="N192" s="10" t="s">
        <v>119</v>
      </c>
      <c r="O192" s="10" t="s">
        <v>143</v>
      </c>
      <c r="P192" s="9">
        <v>20</v>
      </c>
      <c r="U192" s="25"/>
      <c r="V192" s="24" t="s">
        <v>649</v>
      </c>
      <c r="W192" s="38"/>
      <c r="X192" s="41"/>
    </row>
    <row r="193" spans="1:24" ht="13.5" customHeight="1">
      <c r="A193" t="s">
        <v>156</v>
      </c>
      <c r="B193" s="4">
        <v>42984.166666666701</v>
      </c>
      <c r="C193" s="30" t="s">
        <v>650</v>
      </c>
      <c r="D193" s="6" t="s">
        <v>159</v>
      </c>
      <c r="E193" s="42" t="s">
        <v>31</v>
      </c>
      <c r="F193" t="s">
        <v>175</v>
      </c>
      <c r="G193" s="32">
        <v>74.5</v>
      </c>
      <c r="H193" s="32">
        <v>90.3</v>
      </c>
      <c r="I193">
        <f>表1_4[[#This Row],[主队2]]-表1_4[[#This Row],[客队2]]</f>
        <v>-15.8</v>
      </c>
      <c r="J19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93" s="35" t="s">
        <v>132</v>
      </c>
      <c r="L19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93" s="63" t="s">
        <v>331</v>
      </c>
      <c r="N193" s="10" t="s">
        <v>119</v>
      </c>
      <c r="O193" s="10" t="s">
        <v>143</v>
      </c>
      <c r="P193" s="9">
        <v>31</v>
      </c>
      <c r="U193" s="25"/>
      <c r="V193" s="247" t="s">
        <v>651</v>
      </c>
      <c r="W193" s="86"/>
      <c r="X193" s="41"/>
    </row>
    <row r="194" spans="1:24" ht="13.5" customHeight="1">
      <c r="A194" t="s">
        <v>156</v>
      </c>
      <c r="B194" s="4">
        <v>42984.1875</v>
      </c>
      <c r="C194" s="5" t="s">
        <v>652</v>
      </c>
      <c r="D194" s="6" t="s">
        <v>158</v>
      </c>
      <c r="E194" s="31" t="s">
        <v>36</v>
      </c>
      <c r="F194" t="s">
        <v>171</v>
      </c>
      <c r="G194" s="32">
        <v>92.1</v>
      </c>
      <c r="H194" s="32">
        <v>100.3</v>
      </c>
      <c r="I194">
        <f>表1_4[[#This Row],[主队2]]-表1_4[[#This Row],[客队2]]</f>
        <v>-8.1999999999999993</v>
      </c>
      <c r="J19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94" s="35" t="s">
        <v>166</v>
      </c>
      <c r="L19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94" s="98"/>
      <c r="N194" s="10" t="s">
        <v>112</v>
      </c>
      <c r="O194" s="10" t="s">
        <v>35</v>
      </c>
      <c r="P194" s="9">
        <v>25</v>
      </c>
      <c r="Q194" s="98"/>
      <c r="U194" s="25" t="s">
        <v>310</v>
      </c>
      <c r="V194" s="24" t="s">
        <v>653</v>
      </c>
      <c r="W194" s="40"/>
      <c r="X194" s="41"/>
    </row>
    <row r="195" spans="1:24" ht="13.5" customHeight="1">
      <c r="A195" t="s">
        <v>156</v>
      </c>
      <c r="B195" s="4">
        <v>42984.208333333299</v>
      </c>
      <c r="C195" s="5" t="s">
        <v>654</v>
      </c>
      <c r="D195" s="6" t="s">
        <v>165</v>
      </c>
      <c r="E195" s="49" t="s">
        <v>60</v>
      </c>
      <c r="F195" t="s">
        <v>181</v>
      </c>
      <c r="G195" s="32">
        <v>85.5</v>
      </c>
      <c r="H195" s="32">
        <v>85.6</v>
      </c>
      <c r="I195">
        <f>表1_4[[#This Row],[主队2]]-表1_4[[#This Row],[客队2]]</f>
        <v>-9.9999999999994302E-2</v>
      </c>
      <c r="J19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95" s="35" t="s">
        <v>176</v>
      </c>
      <c r="L19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195" s="66"/>
      <c r="N195" s="10" t="s">
        <v>119</v>
      </c>
      <c r="O195" s="10" t="s">
        <v>143</v>
      </c>
      <c r="P195" s="9">
        <v>-18</v>
      </c>
      <c r="Q195" s="66"/>
      <c r="T195" s="232"/>
      <c r="U195" s="83"/>
      <c r="V195" s="85" t="s">
        <v>655</v>
      </c>
      <c r="W195" s="71"/>
      <c r="X195" s="41"/>
    </row>
    <row r="196" spans="1:24" ht="13.5" customHeight="1">
      <c r="A196" t="s">
        <v>222</v>
      </c>
      <c r="B196" s="4">
        <v>42984.229166666701</v>
      </c>
      <c r="C196" s="1" t="s">
        <v>656</v>
      </c>
      <c r="D196" s="6" t="s">
        <v>235</v>
      </c>
      <c r="E196" s="31" t="s">
        <v>36</v>
      </c>
      <c r="F196" t="s">
        <v>234</v>
      </c>
      <c r="G196" s="32">
        <v>75.099999999999994</v>
      </c>
      <c r="H196" s="32">
        <v>81.900000000000006</v>
      </c>
      <c r="I196">
        <f>表1_4[[#This Row],[主队2]]-表1_4[[#This Row],[客队2]]</f>
        <v>-6.8000000000000096</v>
      </c>
      <c r="J19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96" s="35" t="s">
        <v>152</v>
      </c>
      <c r="L19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96" s="11"/>
      <c r="N196" s="57" t="s">
        <v>133</v>
      </c>
      <c r="O196" s="10" t="s">
        <v>40</v>
      </c>
      <c r="P196" s="9">
        <v>40</v>
      </c>
      <c r="U196" s="255" t="s">
        <v>657</v>
      </c>
      <c r="V196" s="24" t="s">
        <v>658</v>
      </c>
      <c r="W196" s="86"/>
      <c r="X196" s="41"/>
    </row>
    <row r="197" spans="1:24" ht="13.5" customHeight="1">
      <c r="A197" s="3" t="s">
        <v>156</v>
      </c>
      <c r="B197" s="4">
        <v>42984.3125</v>
      </c>
      <c r="C197" s="1" t="s">
        <v>659</v>
      </c>
      <c r="D197" s="6" t="s">
        <v>174</v>
      </c>
      <c r="E197" s="31" t="s">
        <v>36</v>
      </c>
      <c r="F197" t="s">
        <v>180</v>
      </c>
      <c r="G197" s="32">
        <v>97.8</v>
      </c>
      <c r="H197" s="32">
        <v>80</v>
      </c>
      <c r="I197">
        <f>表1_4[[#This Row],[主队2]]-表1_4[[#This Row],[客队2]]</f>
        <v>17.8</v>
      </c>
      <c r="J19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97" s="34">
        <v>2.75</v>
      </c>
      <c r="L197" s="75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197" s="11"/>
      <c r="N197" s="10" t="s">
        <v>112</v>
      </c>
      <c r="O197" s="10" t="s">
        <v>143</v>
      </c>
      <c r="P197" s="9" t="s">
        <v>161</v>
      </c>
      <c r="T197" s="232"/>
      <c r="U197" s="246"/>
      <c r="V197" s="247" t="s">
        <v>660</v>
      </c>
      <c r="W197" s="244"/>
      <c r="X197" s="41"/>
    </row>
    <row r="198" spans="1:24" ht="13.5" customHeight="1">
      <c r="A198" t="s">
        <v>156</v>
      </c>
      <c r="B198" s="4">
        <v>42984.333333333299</v>
      </c>
      <c r="C198" s="1" t="s">
        <v>661</v>
      </c>
      <c r="D198" s="6" t="s">
        <v>164</v>
      </c>
      <c r="E198" s="49" t="s">
        <v>60</v>
      </c>
      <c r="F198" t="s">
        <v>170</v>
      </c>
      <c r="G198" s="32">
        <v>84.8</v>
      </c>
      <c r="H198" s="32">
        <v>89.5</v>
      </c>
      <c r="I198">
        <f>表1_4[[#This Row],[主队2]]-表1_4[[#This Row],[客队2]]</f>
        <v>-4.7</v>
      </c>
      <c r="J19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98" s="35" t="s">
        <v>166</v>
      </c>
      <c r="L19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98" s="11"/>
      <c r="N198" s="10" t="s">
        <v>119</v>
      </c>
      <c r="O198" s="10" t="s">
        <v>143</v>
      </c>
      <c r="P198" s="9">
        <v>25</v>
      </c>
      <c r="T198" s="232"/>
      <c r="U198" s="25"/>
      <c r="V198" s="24" t="s">
        <v>662</v>
      </c>
      <c r="W198" s="38"/>
      <c r="X198" s="41"/>
    </row>
    <row r="199" spans="1:24" ht="13.5" customHeight="1">
      <c r="A199" t="s">
        <v>128</v>
      </c>
      <c r="B199" s="4">
        <v>43013.854166666701</v>
      </c>
      <c r="C199" s="99" t="s">
        <v>129</v>
      </c>
      <c r="D199" s="6" t="s">
        <v>130</v>
      </c>
      <c r="E199" s="31" t="s">
        <v>36</v>
      </c>
      <c r="F199" t="s">
        <v>142</v>
      </c>
      <c r="G199" s="32">
        <v>73.8</v>
      </c>
      <c r="H199" s="32">
        <v>79.5</v>
      </c>
      <c r="I199">
        <f>表1_4[[#This Row],[主队2]]-表1_4[[#This Row],[客队2]]</f>
        <v>-5.7</v>
      </c>
      <c r="J19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99" s="35" t="s">
        <v>132</v>
      </c>
      <c r="L19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99" s="100"/>
      <c r="N199" s="10" t="s">
        <v>112</v>
      </c>
      <c r="O199" s="10" t="s">
        <v>46</v>
      </c>
      <c r="P199" s="9">
        <v>-4</v>
      </c>
      <c r="Q199" s="100"/>
      <c r="T199" s="232"/>
      <c r="U199" s="25" t="s">
        <v>521</v>
      </c>
      <c r="V199" s="24" t="s">
        <v>663</v>
      </c>
      <c r="W199" s="40"/>
      <c r="X199" s="41"/>
    </row>
    <row r="200" spans="1:24" ht="13.5" customHeight="1">
      <c r="A200" t="s">
        <v>188</v>
      </c>
      <c r="B200" s="4">
        <v>43014</v>
      </c>
      <c r="C200" s="30" t="s">
        <v>136</v>
      </c>
      <c r="D200" s="6" t="s">
        <v>278</v>
      </c>
      <c r="E200" s="256" t="s">
        <v>60</v>
      </c>
      <c r="F200" t="s">
        <v>284</v>
      </c>
      <c r="G200" s="32">
        <v>65.5</v>
      </c>
      <c r="H200" s="32">
        <v>82.2</v>
      </c>
      <c r="I200">
        <f>表1_4[[#This Row],[主队2]]-表1_4[[#This Row],[客队2]]</f>
        <v>-16.7</v>
      </c>
      <c r="J20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200" s="35" t="s">
        <v>132</v>
      </c>
      <c r="L20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200" s="11"/>
      <c r="N200" s="10" t="s">
        <v>119</v>
      </c>
      <c r="O200" s="10" t="s">
        <v>28</v>
      </c>
      <c r="P200" s="9">
        <v>-10</v>
      </c>
      <c r="U200" s="25"/>
      <c r="V200" s="75" t="s">
        <v>664</v>
      </c>
      <c r="W200" s="38"/>
      <c r="X200" s="41"/>
    </row>
    <row r="201" spans="1:24" ht="13.5" customHeight="1">
      <c r="A201" t="s">
        <v>188</v>
      </c>
      <c r="B201" s="4">
        <v>43014</v>
      </c>
      <c r="C201" s="14" t="s">
        <v>140</v>
      </c>
      <c r="D201" s="6" t="s">
        <v>287</v>
      </c>
      <c r="E201" s="256" t="s">
        <v>665</v>
      </c>
      <c r="F201" t="s">
        <v>302</v>
      </c>
      <c r="G201" s="32">
        <v>70.400000000000006</v>
      </c>
      <c r="H201" s="32">
        <v>85.7</v>
      </c>
      <c r="I201">
        <f>表1_4[[#This Row],[主队2]]-表1_4[[#This Row],[客队2]]</f>
        <v>-15.3</v>
      </c>
      <c r="J20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201" s="35" t="s">
        <v>666</v>
      </c>
      <c r="L20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201" s="11"/>
      <c r="N201" s="10" t="s">
        <v>119</v>
      </c>
      <c r="O201" s="10" t="s">
        <v>143</v>
      </c>
      <c r="P201" s="9">
        <v>-18</v>
      </c>
      <c r="T201" s="232"/>
      <c r="U201" s="25"/>
      <c r="V201" s="247" t="s">
        <v>667</v>
      </c>
      <c r="W201" s="86"/>
      <c r="X201" s="41"/>
    </row>
    <row r="202" spans="1:24" ht="13.5" customHeight="1">
      <c r="A202" t="s">
        <v>188</v>
      </c>
      <c r="B202" s="4">
        <v>43014.114583333299</v>
      </c>
      <c r="C202" s="14" t="s">
        <v>145</v>
      </c>
      <c r="D202" s="6" t="s">
        <v>296</v>
      </c>
      <c r="E202" s="256" t="s">
        <v>74</v>
      </c>
      <c r="F202" t="s">
        <v>116</v>
      </c>
      <c r="G202" s="32">
        <v>79</v>
      </c>
      <c r="H202" s="32">
        <v>99.1</v>
      </c>
      <c r="I202">
        <f>表1_4[[#This Row],[主队2]]-表1_4[[#This Row],[客队2]]</f>
        <v>-20.100000000000001</v>
      </c>
      <c r="J20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202" s="35" t="s">
        <v>219</v>
      </c>
      <c r="L20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02" s="11"/>
      <c r="N202" s="10" t="s">
        <v>112</v>
      </c>
      <c r="O202" s="10" t="s">
        <v>65</v>
      </c>
      <c r="P202" s="9">
        <v>-22</v>
      </c>
      <c r="T202" s="232"/>
      <c r="U202" s="25"/>
      <c r="V202" s="245" t="s">
        <v>668</v>
      </c>
      <c r="W202" s="86" t="s">
        <v>280</v>
      </c>
      <c r="X202" s="41"/>
    </row>
    <row r="203" spans="1:24" ht="13.5" customHeight="1">
      <c r="A203" t="s">
        <v>188</v>
      </c>
      <c r="B203" s="4">
        <v>43014.114583333299</v>
      </c>
      <c r="C203" s="1" t="s">
        <v>149</v>
      </c>
      <c r="D203" s="6" t="s">
        <v>282</v>
      </c>
      <c r="E203" s="256" t="s">
        <v>669</v>
      </c>
      <c r="F203" t="s">
        <v>297</v>
      </c>
      <c r="G203" s="32">
        <v>30.7</v>
      </c>
      <c r="H203" s="32">
        <v>74.3</v>
      </c>
      <c r="I203">
        <f>表1_4[[#This Row],[主队2]]-表1_4[[#This Row],[客队2]]</f>
        <v>-43.6</v>
      </c>
      <c r="J203" s="34">
        <v>-4</v>
      </c>
      <c r="K203" s="35" t="s">
        <v>670</v>
      </c>
      <c r="L20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203" s="11"/>
      <c r="N203" s="10" t="s">
        <v>160</v>
      </c>
      <c r="O203" s="10" t="s">
        <v>48</v>
      </c>
      <c r="P203" s="9" t="s">
        <v>161</v>
      </c>
      <c r="U203" s="25"/>
      <c r="V203" s="24" t="s">
        <v>671</v>
      </c>
      <c r="W203" s="86"/>
      <c r="X203" s="41"/>
    </row>
    <row r="204" spans="1:24" ht="13.5" customHeight="1">
      <c r="A204" t="s">
        <v>188</v>
      </c>
      <c r="B204" s="4">
        <v>43014.114583333299</v>
      </c>
      <c r="C204" s="5" t="s">
        <v>385</v>
      </c>
      <c r="D204" s="6" t="s">
        <v>301</v>
      </c>
      <c r="E204" s="256" t="s">
        <v>53</v>
      </c>
      <c r="F204" t="s">
        <v>306</v>
      </c>
      <c r="G204" s="32">
        <v>78</v>
      </c>
      <c r="H204" s="32">
        <v>84.8</v>
      </c>
      <c r="I204">
        <f>表1_4[[#This Row],[主队2]]-表1_4[[#This Row],[客队2]]</f>
        <v>-6.8</v>
      </c>
      <c r="J20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204" s="35" t="s">
        <v>152</v>
      </c>
      <c r="L20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04" s="11"/>
      <c r="N204" s="10" t="s">
        <v>112</v>
      </c>
      <c r="O204" s="57" t="s">
        <v>35</v>
      </c>
      <c r="P204" s="9">
        <v>-7</v>
      </c>
      <c r="T204" s="232"/>
      <c r="U204" s="255" t="s">
        <v>633</v>
      </c>
      <c r="V204" s="84" t="s">
        <v>672</v>
      </c>
      <c r="W204" s="86"/>
      <c r="X204" s="41"/>
    </row>
    <row r="205" spans="1:24" ht="13.5" customHeight="1">
      <c r="A205" t="s">
        <v>188</v>
      </c>
      <c r="B205" s="4">
        <v>43014.114583333299</v>
      </c>
      <c r="C205" s="1" t="s">
        <v>157</v>
      </c>
      <c r="D205" s="6" t="s">
        <v>305</v>
      </c>
      <c r="E205" s="42" t="s">
        <v>41</v>
      </c>
      <c r="F205" t="s">
        <v>288</v>
      </c>
      <c r="G205" s="32">
        <v>79.400000000000006</v>
      </c>
      <c r="H205" s="32">
        <v>64.8</v>
      </c>
      <c r="I205">
        <f>表1_4[[#This Row],[主队2]]-表1_4[[#This Row],[客队2]]</f>
        <v>14.6</v>
      </c>
      <c r="J20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205" s="35" t="s">
        <v>81</v>
      </c>
      <c r="L20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05" s="11"/>
      <c r="N205" s="10" t="s">
        <v>112</v>
      </c>
      <c r="O205" s="10" t="s">
        <v>48</v>
      </c>
      <c r="P205" s="9">
        <v>-17</v>
      </c>
      <c r="U205" s="25"/>
      <c r="V205" s="245" t="s">
        <v>673</v>
      </c>
      <c r="W205" s="87" t="s">
        <v>381</v>
      </c>
      <c r="X205" s="41"/>
    </row>
    <row r="206" spans="1:24" ht="13.5" customHeight="1">
      <c r="A206" t="s">
        <v>188</v>
      </c>
      <c r="B206" s="4">
        <v>43014.114583333299</v>
      </c>
      <c r="C206" s="5" t="s">
        <v>163</v>
      </c>
      <c r="D206" s="6" t="s">
        <v>117</v>
      </c>
      <c r="E206" s="42" t="s">
        <v>31</v>
      </c>
      <c r="F206" t="s">
        <v>309</v>
      </c>
      <c r="G206" s="32">
        <v>89.6</v>
      </c>
      <c r="H206" s="32">
        <v>79.5</v>
      </c>
      <c r="I206">
        <f>表1_4[[#This Row],[主队2]]-表1_4[[#This Row],[客队2]]</f>
        <v>10.1</v>
      </c>
      <c r="J20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206" s="35" t="s">
        <v>81</v>
      </c>
      <c r="L20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06" s="11"/>
      <c r="N206" s="10" t="s">
        <v>119</v>
      </c>
      <c r="O206" s="10" t="s">
        <v>28</v>
      </c>
      <c r="P206" s="9">
        <v>-16</v>
      </c>
      <c r="U206" s="83"/>
      <c r="V206" s="101" t="s">
        <v>674</v>
      </c>
      <c r="W206" s="244"/>
      <c r="X206" s="41"/>
    </row>
    <row r="207" spans="1:24" ht="13.5" customHeight="1">
      <c r="A207" t="s">
        <v>188</v>
      </c>
      <c r="B207" s="4">
        <v>43014.114583333299</v>
      </c>
      <c r="C207" s="14" t="s">
        <v>169</v>
      </c>
      <c r="D207" s="6" t="s">
        <v>123</v>
      </c>
      <c r="E207" s="42" t="s">
        <v>31</v>
      </c>
      <c r="F207" t="s">
        <v>425</v>
      </c>
      <c r="G207" s="32">
        <v>80.5</v>
      </c>
      <c r="H207" s="32">
        <v>83.1</v>
      </c>
      <c r="I207">
        <f>表1_4[[#This Row],[主队2]]-表1_4[[#This Row],[客队2]]</f>
        <v>-2.5999999999999899</v>
      </c>
      <c r="J20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207" s="35" t="s">
        <v>182</v>
      </c>
      <c r="L20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07" s="11"/>
      <c r="N207" s="10" t="s">
        <v>119</v>
      </c>
      <c r="O207" s="10" t="s">
        <v>28</v>
      </c>
      <c r="P207" s="9">
        <v>-6</v>
      </c>
      <c r="U207" s="83"/>
      <c r="V207" s="85" t="s">
        <v>675</v>
      </c>
      <c r="W207" s="244"/>
      <c r="X207" s="41"/>
    </row>
    <row r="208" spans="1:24" ht="13.5" customHeight="1">
      <c r="A208" t="s">
        <v>156</v>
      </c>
      <c r="B208" s="4">
        <v>43014.166666666701</v>
      </c>
      <c r="C208" s="30" t="s">
        <v>173</v>
      </c>
      <c r="D208" s="6" t="s">
        <v>159</v>
      </c>
      <c r="E208" s="31" t="s">
        <v>42</v>
      </c>
      <c r="F208" t="s">
        <v>171</v>
      </c>
      <c r="G208" s="32">
        <v>75.400000000000006</v>
      </c>
      <c r="H208" s="32">
        <v>100.2</v>
      </c>
      <c r="I208">
        <f>表1_4[[#This Row],[主队2]]-表1_4[[#This Row],[客队2]]</f>
        <v>-24.8</v>
      </c>
      <c r="J208" s="34">
        <v>-2.25</v>
      </c>
      <c r="K208" s="35" t="s">
        <v>132</v>
      </c>
      <c r="L20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208" s="63" t="s">
        <v>331</v>
      </c>
      <c r="N208" s="10" t="s">
        <v>112</v>
      </c>
      <c r="O208" s="10" t="s">
        <v>48</v>
      </c>
      <c r="P208" s="9">
        <v>2</v>
      </c>
      <c r="U208" s="246"/>
      <c r="V208" s="84" t="s">
        <v>676</v>
      </c>
      <c r="W208" s="86"/>
      <c r="X208" s="41"/>
    </row>
    <row r="209" spans="1:24" ht="13.5" customHeight="1">
      <c r="A209" t="s">
        <v>156</v>
      </c>
      <c r="B209" s="4">
        <v>43014.208333333299</v>
      </c>
      <c r="C209" s="30" t="s">
        <v>179</v>
      </c>
      <c r="D209" s="6" t="s">
        <v>180</v>
      </c>
      <c r="E209" s="31" t="s">
        <v>42</v>
      </c>
      <c r="F209" t="s">
        <v>170</v>
      </c>
      <c r="G209" s="32">
        <v>81.099999999999994</v>
      </c>
      <c r="H209" s="32">
        <v>90.4</v>
      </c>
      <c r="I209">
        <f>表1_4[[#This Row],[主队2]]-表1_4[[#This Row],[客队2]]</f>
        <v>-9.3000000000000096</v>
      </c>
      <c r="J20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209" s="35" t="s">
        <v>111</v>
      </c>
      <c r="L20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09" s="11"/>
      <c r="N209" s="10" t="s">
        <v>119</v>
      </c>
      <c r="O209" s="10" t="s">
        <v>46</v>
      </c>
      <c r="P209" s="9">
        <v>-3</v>
      </c>
      <c r="T209" s="232"/>
      <c r="U209" s="25"/>
      <c r="V209" s="24" t="s">
        <v>677</v>
      </c>
      <c r="W209" s="38"/>
      <c r="X209" s="41"/>
    </row>
    <row r="210" spans="1:24" ht="13.5" customHeight="1">
      <c r="A210" s="3" t="s">
        <v>156</v>
      </c>
      <c r="B210" s="4">
        <v>43014.3125</v>
      </c>
      <c r="C210" s="5" t="s">
        <v>483</v>
      </c>
      <c r="D210" s="6" t="s">
        <v>174</v>
      </c>
      <c r="E210" s="31" t="s">
        <v>42</v>
      </c>
      <c r="F210" t="s">
        <v>181</v>
      </c>
      <c r="G210" s="32">
        <v>96.8</v>
      </c>
      <c r="H210" s="32">
        <v>86.4</v>
      </c>
      <c r="I210">
        <f>表1_4[[#This Row],[主队2]]-表1_4[[#This Row],[客队2]]</f>
        <v>10.4</v>
      </c>
      <c r="J21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210" s="35" t="s">
        <v>63</v>
      </c>
      <c r="L21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210" s="11"/>
      <c r="N210" s="10" t="s">
        <v>119</v>
      </c>
      <c r="O210" s="10" t="s">
        <v>46</v>
      </c>
      <c r="P210" s="9">
        <v>-12</v>
      </c>
      <c r="T210" s="232"/>
      <c r="U210" s="25"/>
      <c r="V210" s="24" t="s">
        <v>678</v>
      </c>
      <c r="W210" s="86"/>
      <c r="X210" s="41"/>
    </row>
    <row r="211" spans="1:24" ht="13.5" customHeight="1">
      <c r="A211" t="s">
        <v>156</v>
      </c>
      <c r="B211" s="4">
        <v>43014.3125</v>
      </c>
      <c r="C211" s="1" t="s">
        <v>486</v>
      </c>
      <c r="D211" s="6" t="s">
        <v>175</v>
      </c>
      <c r="E211" s="42" t="s">
        <v>33</v>
      </c>
      <c r="F211" t="s">
        <v>165</v>
      </c>
      <c r="G211" s="32">
        <v>89.4</v>
      </c>
      <c r="H211" s="32">
        <v>84.7</v>
      </c>
      <c r="I211">
        <f>表1_4[[#This Row],[主队2]]-表1_4[[#This Row],[客队2]]</f>
        <v>4.7</v>
      </c>
      <c r="J21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211" s="35" t="s">
        <v>81</v>
      </c>
      <c r="L21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211" s="11"/>
      <c r="N211" s="10" t="s">
        <v>119</v>
      </c>
      <c r="O211" s="10" t="s">
        <v>48</v>
      </c>
      <c r="P211" s="9">
        <v>-11</v>
      </c>
      <c r="U211" s="83"/>
      <c r="V211" s="85" t="s">
        <v>679</v>
      </c>
      <c r="W211" s="86"/>
      <c r="X211" s="41"/>
    </row>
    <row r="212" spans="1:24" ht="13.5" customHeight="1">
      <c r="A212" s="3" t="s">
        <v>156</v>
      </c>
      <c r="B212" s="4">
        <v>43014.3125</v>
      </c>
      <c r="C212" s="5" t="s">
        <v>489</v>
      </c>
      <c r="D212" s="6" t="s">
        <v>158</v>
      </c>
      <c r="E212" s="256" t="s">
        <v>60</v>
      </c>
      <c r="F212" t="s">
        <v>164</v>
      </c>
      <c r="G212" s="32">
        <v>92.3</v>
      </c>
      <c r="H212" s="32">
        <v>83.9</v>
      </c>
      <c r="I212">
        <f>表1_4[[#This Row],[主队2]]-表1_4[[#This Row],[客队2]]</f>
        <v>8.3999999999999897</v>
      </c>
      <c r="J21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212" s="35" t="s">
        <v>125</v>
      </c>
      <c r="L21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12" s="11"/>
      <c r="N212" s="10" t="s">
        <v>119</v>
      </c>
      <c r="O212" s="10" t="s">
        <v>143</v>
      </c>
      <c r="P212" s="9">
        <v>-11</v>
      </c>
      <c r="T212" s="232"/>
      <c r="U212" s="257"/>
      <c r="V212" s="258" t="s">
        <v>680</v>
      </c>
      <c r="W212" s="244"/>
      <c r="X212" s="41"/>
    </row>
    <row r="213" spans="1:24" ht="13.5" customHeight="1">
      <c r="A213" t="s">
        <v>188</v>
      </c>
      <c r="B213" s="4">
        <v>43015</v>
      </c>
      <c r="C213" s="14" t="s">
        <v>189</v>
      </c>
      <c r="D213" s="6" t="s">
        <v>430</v>
      </c>
      <c r="E213" s="256" t="s">
        <v>53</v>
      </c>
      <c r="F213" t="s">
        <v>200</v>
      </c>
      <c r="G213" s="32">
        <v>71.5</v>
      </c>
      <c r="H213" s="32">
        <v>81</v>
      </c>
      <c r="I213">
        <f>表1_4[[#This Row],[主队2]]-表1_4[[#This Row],[客队2]]</f>
        <v>-9.5</v>
      </c>
      <c r="J21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213" s="35" t="s">
        <v>111</v>
      </c>
      <c r="L21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13" s="11"/>
      <c r="N213" s="10" t="s">
        <v>133</v>
      </c>
      <c r="O213" s="10" t="s">
        <v>51</v>
      </c>
      <c r="P213" s="9">
        <v>10</v>
      </c>
      <c r="U213" s="25" t="s">
        <v>629</v>
      </c>
      <c r="V213" s="94" t="s">
        <v>681</v>
      </c>
      <c r="W213" s="244"/>
      <c r="X213" s="41"/>
    </row>
    <row r="214" spans="1:24" ht="13.5" customHeight="1">
      <c r="A214" t="s">
        <v>188</v>
      </c>
      <c r="B214" s="4">
        <v>43015.114583333299</v>
      </c>
      <c r="C214" s="5" t="s">
        <v>233</v>
      </c>
      <c r="D214" s="6" t="s">
        <v>194</v>
      </c>
      <c r="E214" s="102" t="s">
        <v>29</v>
      </c>
      <c r="F214" t="s">
        <v>434</v>
      </c>
      <c r="G214" s="32">
        <v>78</v>
      </c>
      <c r="H214" s="32">
        <v>84.6</v>
      </c>
      <c r="I214">
        <f>表1_4[[#This Row],[主队2]]-表1_4[[#This Row],[客队2]]</f>
        <v>-6.5999999999999899</v>
      </c>
      <c r="J21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214" s="35" t="s">
        <v>166</v>
      </c>
      <c r="L21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14" s="11"/>
      <c r="N214" s="46" t="s">
        <v>160</v>
      </c>
      <c r="O214" s="46" t="s">
        <v>48</v>
      </c>
      <c r="P214" s="9">
        <v>13</v>
      </c>
      <c r="U214" s="25"/>
      <c r="V214" s="84" t="s">
        <v>682</v>
      </c>
      <c r="W214" s="40" t="s">
        <v>280</v>
      </c>
      <c r="X214" s="41"/>
    </row>
    <row r="215" spans="1:24" ht="13.5" customHeight="1">
      <c r="A215" t="s">
        <v>188</v>
      </c>
      <c r="B215" s="4">
        <v>43015.114583333299</v>
      </c>
      <c r="C215" s="14" t="s">
        <v>523</v>
      </c>
      <c r="D215" s="6" t="s">
        <v>199</v>
      </c>
      <c r="E215" s="102" t="s">
        <v>22</v>
      </c>
      <c r="F215" t="s">
        <v>195</v>
      </c>
      <c r="G215" s="32">
        <v>81.5</v>
      </c>
      <c r="H215" s="32">
        <v>64.7</v>
      </c>
      <c r="I215">
        <f>表1_4[[#This Row],[主队2]]-表1_4[[#This Row],[客队2]]</f>
        <v>16.8</v>
      </c>
      <c r="J21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215" s="35" t="s">
        <v>26</v>
      </c>
      <c r="L21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15" s="100"/>
      <c r="N215" s="10" t="s">
        <v>119</v>
      </c>
      <c r="O215" s="10" t="s">
        <v>65</v>
      </c>
      <c r="P215" s="9" t="s">
        <v>161</v>
      </c>
      <c r="Q215" s="100"/>
      <c r="U215" s="25"/>
      <c r="V215" s="247" t="s">
        <v>683</v>
      </c>
      <c r="W215" s="86"/>
      <c r="X215" s="41"/>
    </row>
    <row r="216" spans="1:24" ht="13.5" customHeight="1">
      <c r="A216" t="s">
        <v>188</v>
      </c>
      <c r="B216" s="4">
        <v>43015.114583333299</v>
      </c>
      <c r="C216" s="5" t="s">
        <v>527</v>
      </c>
      <c r="D216" s="240" t="s">
        <v>204</v>
      </c>
      <c r="E216" s="31" t="s">
        <v>36</v>
      </c>
      <c r="F216" t="s">
        <v>572</v>
      </c>
      <c r="G216" s="32">
        <v>89.3</v>
      </c>
      <c r="H216" s="32">
        <v>71.5</v>
      </c>
      <c r="I216">
        <f>表1_4[[#This Row],[主队2]]-表1_4[[#This Row],[客队2]]</f>
        <v>17.8</v>
      </c>
      <c r="J21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216" s="35" t="s">
        <v>23</v>
      </c>
      <c r="L21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216" s="11" t="s">
        <v>684</v>
      </c>
      <c r="N216" s="10" t="s">
        <v>133</v>
      </c>
      <c r="O216" s="10" t="s">
        <v>28</v>
      </c>
      <c r="P216" s="9" t="s">
        <v>161</v>
      </c>
      <c r="T216" s="232"/>
      <c r="U216" s="25"/>
      <c r="V216" s="247" t="s">
        <v>685</v>
      </c>
      <c r="W216" s="86"/>
      <c r="X216" s="41"/>
    </row>
    <row r="217" spans="1:24" ht="13.5" customHeight="1">
      <c r="A217" t="s">
        <v>188</v>
      </c>
      <c r="B217" s="4">
        <v>43015.114583333299</v>
      </c>
      <c r="C217" s="1" t="s">
        <v>529</v>
      </c>
      <c r="D217" s="6" t="s">
        <v>437</v>
      </c>
      <c r="E217" s="49" t="s">
        <v>53</v>
      </c>
      <c r="F217" t="s">
        <v>210</v>
      </c>
      <c r="G217" s="32">
        <v>48.9</v>
      </c>
      <c r="H217" s="32">
        <v>75.400000000000006</v>
      </c>
      <c r="I217">
        <f>表1_4[[#This Row],[主队2]]-表1_4[[#This Row],[客队2]]</f>
        <v>-26.5</v>
      </c>
      <c r="J217" s="34">
        <v>-2.5</v>
      </c>
      <c r="K217" s="35" t="s">
        <v>686</v>
      </c>
      <c r="L21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17" s="11"/>
      <c r="N217" s="10" t="s">
        <v>119</v>
      </c>
      <c r="O217" s="10" t="s">
        <v>65</v>
      </c>
      <c r="P217" s="9">
        <v>-34</v>
      </c>
      <c r="U217" s="25"/>
      <c r="V217" s="24" t="s">
        <v>687</v>
      </c>
      <c r="W217" s="86"/>
      <c r="X217" s="41"/>
    </row>
    <row r="218" spans="1:24" ht="13.5" customHeight="1">
      <c r="A218" t="s">
        <v>188</v>
      </c>
      <c r="B218" s="4">
        <v>43015.114583333299</v>
      </c>
      <c r="C218" s="1" t="s">
        <v>531</v>
      </c>
      <c r="D218" s="6" t="s">
        <v>209</v>
      </c>
      <c r="E218" s="42" t="s">
        <v>44</v>
      </c>
      <c r="F218" t="s">
        <v>205</v>
      </c>
      <c r="G218" s="32">
        <v>98.5</v>
      </c>
      <c r="H218" s="32">
        <v>74.8</v>
      </c>
      <c r="I218">
        <f>表1_4[[#This Row],[主队2]]-表1_4[[#This Row],[客队2]]</f>
        <v>23.7</v>
      </c>
      <c r="J218" s="35" t="s">
        <v>23</v>
      </c>
      <c r="K218" s="35" t="s">
        <v>30</v>
      </c>
      <c r="L21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18" s="11"/>
      <c r="N218" s="10" t="s">
        <v>133</v>
      </c>
      <c r="O218" s="10" t="s">
        <v>40</v>
      </c>
      <c r="P218" s="9" t="s">
        <v>161</v>
      </c>
      <c r="U218" s="25" t="s">
        <v>688</v>
      </c>
      <c r="V218" s="24" t="s">
        <v>689</v>
      </c>
      <c r="W218" s="86"/>
      <c r="X218" s="41"/>
    </row>
    <row r="219" spans="1:24" ht="13.5" customHeight="1">
      <c r="A219" t="s">
        <v>188</v>
      </c>
      <c r="B219" s="4">
        <v>43015.114583333299</v>
      </c>
      <c r="C219" s="5" t="s">
        <v>534</v>
      </c>
      <c r="D219" s="6" t="s">
        <v>110</v>
      </c>
      <c r="E219" s="31" t="s">
        <v>36</v>
      </c>
      <c r="F219" t="s">
        <v>191</v>
      </c>
      <c r="G219" s="32">
        <v>88.8</v>
      </c>
      <c r="H219" s="32">
        <v>73.8</v>
      </c>
      <c r="I219">
        <f>表1_4[[#This Row],[主队2]]-表1_4[[#This Row],[客队2]]</f>
        <v>15</v>
      </c>
      <c r="J21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219" s="35" t="s">
        <v>45</v>
      </c>
      <c r="L21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19" s="11"/>
      <c r="N219" s="10" t="s">
        <v>119</v>
      </c>
      <c r="O219" s="10" t="s">
        <v>40</v>
      </c>
      <c r="P219" s="9" t="s">
        <v>161</v>
      </c>
      <c r="T219" s="232"/>
      <c r="U219" s="25" t="s">
        <v>690</v>
      </c>
      <c r="V219" s="84" t="s">
        <v>691</v>
      </c>
      <c r="W219" s="86"/>
      <c r="X219" s="41"/>
    </row>
    <row r="220" spans="1:24" ht="13.5" customHeight="1">
      <c r="A220" t="s">
        <v>188</v>
      </c>
      <c r="B220" s="4">
        <v>43015.114583333299</v>
      </c>
      <c r="C220" s="1" t="s">
        <v>537</v>
      </c>
      <c r="D220" s="6" t="s">
        <v>217</v>
      </c>
      <c r="E220" s="49" t="s">
        <v>47</v>
      </c>
      <c r="F220" t="s">
        <v>214</v>
      </c>
      <c r="G220" s="32">
        <v>62.1</v>
      </c>
      <c r="H220" s="32">
        <v>83.6</v>
      </c>
      <c r="I220">
        <f>表1_4[[#This Row],[主队2]]-表1_4[[#This Row],[客队2]]</f>
        <v>-21.5</v>
      </c>
      <c r="J220" s="34">
        <v>-2</v>
      </c>
      <c r="K220" s="35" t="s">
        <v>692</v>
      </c>
      <c r="L22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20" s="11"/>
      <c r="N220" s="10" t="s">
        <v>119</v>
      </c>
      <c r="O220" s="10" t="s">
        <v>35</v>
      </c>
      <c r="P220" s="9" t="s">
        <v>161</v>
      </c>
      <c r="U220" s="83" t="s">
        <v>693</v>
      </c>
      <c r="V220" s="85" t="s">
        <v>694</v>
      </c>
      <c r="W220" s="86"/>
      <c r="X220" s="41"/>
    </row>
    <row r="221" spans="1:24" ht="13.5" customHeight="1">
      <c r="A221" t="s">
        <v>188</v>
      </c>
      <c r="B221" s="4">
        <v>43015.114583333299</v>
      </c>
      <c r="C221" s="5" t="s">
        <v>539</v>
      </c>
      <c r="D221" s="6" t="s">
        <v>190</v>
      </c>
      <c r="E221" s="49" t="s">
        <v>64</v>
      </c>
      <c r="F221" t="s">
        <v>218</v>
      </c>
      <c r="G221" s="32">
        <v>83.3</v>
      </c>
      <c r="H221" s="32">
        <v>80</v>
      </c>
      <c r="I221">
        <f>表1_4[[#This Row],[主队2]]-表1_4[[#This Row],[客队2]]</f>
        <v>3.3</v>
      </c>
      <c r="J22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221" s="35" t="s">
        <v>289</v>
      </c>
      <c r="L22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21" s="11"/>
      <c r="N221" s="10" t="s">
        <v>119</v>
      </c>
      <c r="O221" s="10" t="s">
        <v>51</v>
      </c>
      <c r="P221" s="9">
        <v>-3</v>
      </c>
      <c r="T221" s="232"/>
      <c r="U221" s="246"/>
      <c r="V221" s="85" t="s">
        <v>695</v>
      </c>
      <c r="W221" s="244"/>
      <c r="X221" s="41"/>
    </row>
    <row r="222" spans="1:24" ht="13.5" customHeight="1">
      <c r="A222" t="s">
        <v>222</v>
      </c>
      <c r="B222" s="4">
        <v>43015.315972222197</v>
      </c>
      <c r="C222" s="14" t="s">
        <v>549</v>
      </c>
      <c r="D222" s="6" t="s">
        <v>234</v>
      </c>
      <c r="E222" s="42" t="s">
        <v>37</v>
      </c>
      <c r="F222" t="s">
        <v>225</v>
      </c>
      <c r="G222" s="32">
        <v>81.400000000000006</v>
      </c>
      <c r="H222" s="32">
        <v>78.3</v>
      </c>
      <c r="I222">
        <f>表1_4[[#This Row],[主队2]]-表1_4[[#This Row],[客队2]]</f>
        <v>3.1000000000000099</v>
      </c>
      <c r="J22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222" s="35" t="s">
        <v>118</v>
      </c>
      <c r="L22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22" s="11"/>
      <c r="N222" s="10" t="s">
        <v>119</v>
      </c>
      <c r="O222" s="10" t="s">
        <v>40</v>
      </c>
      <c r="P222" s="9">
        <v>0.1</v>
      </c>
      <c r="U222" s="25" t="s">
        <v>405</v>
      </c>
      <c r="V222" s="24" t="s">
        <v>696</v>
      </c>
      <c r="W222" s="38"/>
      <c r="X222" s="41"/>
    </row>
    <row r="223" spans="1:24" ht="13.5" customHeight="1">
      <c r="A223" t="s">
        <v>222</v>
      </c>
      <c r="B223" s="4">
        <v>43015.395833333299</v>
      </c>
      <c r="C223" s="1" t="s">
        <v>553</v>
      </c>
      <c r="D223" s="6" t="s">
        <v>229</v>
      </c>
      <c r="E223" s="42" t="s">
        <v>41</v>
      </c>
      <c r="F223" t="s">
        <v>224</v>
      </c>
      <c r="G223" s="32">
        <v>88.2</v>
      </c>
      <c r="H223" s="32">
        <v>66.7</v>
      </c>
      <c r="I223">
        <f>表1_4[[#This Row],[主队2]]-表1_4[[#This Row],[客队2]]</f>
        <v>21.5</v>
      </c>
      <c r="J223" s="34">
        <v>2.5</v>
      </c>
      <c r="K223" s="35" t="s">
        <v>45</v>
      </c>
      <c r="L22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23" s="11"/>
      <c r="N223" s="10" t="s">
        <v>112</v>
      </c>
      <c r="O223" s="10" t="s">
        <v>35</v>
      </c>
      <c r="P223" s="9" t="s">
        <v>161</v>
      </c>
      <c r="U223" s="25" t="s">
        <v>697</v>
      </c>
      <c r="V223" s="24" t="s">
        <v>698</v>
      </c>
      <c r="W223" s="86"/>
      <c r="X223" s="41"/>
    </row>
    <row r="224" spans="1:24" ht="13.5" customHeight="1">
      <c r="A224" t="s">
        <v>222</v>
      </c>
      <c r="B224" s="4">
        <v>43015.416666666701</v>
      </c>
      <c r="C224" s="5" t="s">
        <v>556</v>
      </c>
      <c r="D224" s="6" t="s">
        <v>230</v>
      </c>
      <c r="E224" s="31" t="s">
        <v>36</v>
      </c>
      <c r="F224" t="s">
        <v>235</v>
      </c>
      <c r="G224" s="32">
        <v>81</v>
      </c>
      <c r="H224" s="32">
        <v>75.5</v>
      </c>
      <c r="I224">
        <f>表1_4[[#This Row],[主队2]]-表1_4[[#This Row],[客队2]]</f>
        <v>5.5</v>
      </c>
      <c r="J22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224" s="35" t="s">
        <v>118</v>
      </c>
      <c r="L22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24" s="11"/>
      <c r="N224" s="10" t="s">
        <v>119</v>
      </c>
      <c r="O224" s="10" t="s">
        <v>46</v>
      </c>
      <c r="P224" s="9">
        <v>1</v>
      </c>
      <c r="U224" s="83"/>
      <c r="V224" s="89" t="s">
        <v>699</v>
      </c>
      <c r="W224" s="86"/>
      <c r="X224" s="41"/>
    </row>
    <row r="225" spans="1:24" ht="13.5" customHeight="1">
      <c r="A225" t="s">
        <v>188</v>
      </c>
      <c r="B225" s="4">
        <v>43016</v>
      </c>
      <c r="C225" s="14" t="s">
        <v>563</v>
      </c>
      <c r="D225" s="6" t="s">
        <v>239</v>
      </c>
      <c r="E225" s="42" t="s">
        <v>700</v>
      </c>
      <c r="F225" t="s">
        <v>266</v>
      </c>
      <c r="G225" s="32">
        <v>87.5</v>
      </c>
      <c r="H225" s="32">
        <v>58.4</v>
      </c>
      <c r="I225">
        <f>表1_4[[#This Row],[主队2]]-表1_4[[#This Row],[客队2]]</f>
        <v>29.1</v>
      </c>
      <c r="J225" s="35" t="s">
        <v>38</v>
      </c>
      <c r="K225" s="35" t="s">
        <v>34</v>
      </c>
      <c r="L22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25" s="11"/>
      <c r="N225" s="10" t="s">
        <v>133</v>
      </c>
      <c r="O225" s="10" t="s">
        <v>40</v>
      </c>
      <c r="P225" s="9" t="s">
        <v>161</v>
      </c>
      <c r="U225" s="25" t="s">
        <v>113</v>
      </c>
      <c r="V225" s="24" t="s">
        <v>701</v>
      </c>
      <c r="W225" s="86"/>
      <c r="X225" s="41"/>
    </row>
    <row r="226" spans="1:24" ht="13.5" customHeight="1">
      <c r="A226" t="s">
        <v>188</v>
      </c>
      <c r="B226" s="4">
        <v>43016</v>
      </c>
      <c r="C226" s="30" t="s">
        <v>565</v>
      </c>
      <c r="D226" s="6" t="s">
        <v>244</v>
      </c>
      <c r="E226" s="31" t="s">
        <v>42</v>
      </c>
      <c r="F226" t="s">
        <v>251</v>
      </c>
      <c r="G226" s="32">
        <v>57.5</v>
      </c>
      <c r="H226" s="32">
        <v>65.099999999999994</v>
      </c>
      <c r="I226">
        <f>表1_4[[#This Row],[主队2]]-表1_4[[#This Row],[客队2]]</f>
        <v>-7.5999999999999899</v>
      </c>
      <c r="J22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226" s="35" t="s">
        <v>166</v>
      </c>
      <c r="L22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26" s="11"/>
      <c r="N226" s="10" t="s">
        <v>112</v>
      </c>
      <c r="O226" s="10" t="s">
        <v>48</v>
      </c>
      <c r="P226" s="9">
        <v>22</v>
      </c>
      <c r="U226" s="83"/>
      <c r="V226" s="85" t="s">
        <v>702</v>
      </c>
      <c r="W226" s="87"/>
      <c r="X226" s="41"/>
    </row>
    <row r="227" spans="1:24" ht="13.5" customHeight="1">
      <c r="A227" t="s">
        <v>188</v>
      </c>
      <c r="B227" s="4">
        <v>43016</v>
      </c>
      <c r="C227" s="1" t="s">
        <v>567</v>
      </c>
      <c r="D227" s="6" t="s">
        <v>255</v>
      </c>
      <c r="E227" s="49" t="s">
        <v>703</v>
      </c>
      <c r="F227" t="s">
        <v>274</v>
      </c>
      <c r="G227" s="32">
        <v>82</v>
      </c>
      <c r="H227" s="32">
        <v>90.1</v>
      </c>
      <c r="I227">
        <f>表1_4[[#This Row],[主队2]]-表1_4[[#This Row],[客队2]]</f>
        <v>-8.0999999999999908</v>
      </c>
      <c r="J22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227" s="35" t="s">
        <v>152</v>
      </c>
      <c r="L22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27" s="11"/>
      <c r="N227" s="57" t="s">
        <v>119</v>
      </c>
      <c r="O227" s="10" t="s">
        <v>40</v>
      </c>
      <c r="P227" s="9">
        <v>12</v>
      </c>
      <c r="T227" s="232"/>
      <c r="U227" s="83" t="s">
        <v>405</v>
      </c>
      <c r="V227" s="103" t="s">
        <v>704</v>
      </c>
      <c r="W227" s="38"/>
      <c r="X227" s="41"/>
    </row>
    <row r="228" spans="1:24" ht="13.5" customHeight="1">
      <c r="A228" t="s">
        <v>188</v>
      </c>
      <c r="B228" s="4">
        <v>43016</v>
      </c>
      <c r="C228" s="1" t="s">
        <v>260</v>
      </c>
      <c r="D228" s="6" t="s">
        <v>256</v>
      </c>
      <c r="E228" s="49" t="s">
        <v>283</v>
      </c>
      <c r="F228" t="s">
        <v>403</v>
      </c>
      <c r="G228" s="32">
        <v>38.6</v>
      </c>
      <c r="H228" s="32">
        <v>67.3</v>
      </c>
      <c r="I228">
        <f>表1_4[[#This Row],[主队2]]-表1_4[[#This Row],[客队2]]</f>
        <v>-28.7</v>
      </c>
      <c r="J228" s="34">
        <v>-2.5</v>
      </c>
      <c r="K228" s="35" t="s">
        <v>686</v>
      </c>
      <c r="L22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28" s="11"/>
      <c r="N228" s="10" t="s">
        <v>119</v>
      </c>
      <c r="O228" s="10" t="s">
        <v>40</v>
      </c>
      <c r="P228" s="9" t="s">
        <v>161</v>
      </c>
      <c r="U228" s="25" t="s">
        <v>688</v>
      </c>
      <c r="V228" s="24" t="s">
        <v>705</v>
      </c>
      <c r="W228" s="86"/>
      <c r="X228" s="41"/>
    </row>
    <row r="229" spans="1:24" ht="13.5" customHeight="1">
      <c r="A229" t="s">
        <v>188</v>
      </c>
      <c r="B229" s="4">
        <v>43016.114583333299</v>
      </c>
      <c r="C229" s="14" t="s">
        <v>269</v>
      </c>
      <c r="D229" s="6" t="s">
        <v>240</v>
      </c>
      <c r="E229" s="49" t="s">
        <v>74</v>
      </c>
      <c r="F229" t="s">
        <v>262</v>
      </c>
      <c r="G229" s="32">
        <v>73.3</v>
      </c>
      <c r="H229" s="32">
        <v>90</v>
      </c>
      <c r="I229">
        <f>表1_4[[#This Row],[主队2]]-表1_4[[#This Row],[客队2]]</f>
        <v>-16.7</v>
      </c>
      <c r="J22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229" s="35" t="s">
        <v>706</v>
      </c>
      <c r="L22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29" s="11"/>
      <c r="N229" s="10" t="s">
        <v>112</v>
      </c>
      <c r="O229" s="10" t="s">
        <v>40</v>
      </c>
      <c r="P229" s="9">
        <v>22</v>
      </c>
      <c r="U229" s="25" t="s">
        <v>707</v>
      </c>
      <c r="V229" s="84" t="s">
        <v>708</v>
      </c>
      <c r="W229" s="86"/>
      <c r="X229" s="41"/>
    </row>
    <row r="230" spans="1:24" ht="13.5" customHeight="1">
      <c r="A230" t="s">
        <v>188</v>
      </c>
      <c r="B230" s="4">
        <v>43016.114583333299</v>
      </c>
      <c r="C230" s="14" t="s">
        <v>273</v>
      </c>
      <c r="D230" s="6" t="s">
        <v>261</v>
      </c>
      <c r="E230" s="49" t="s">
        <v>53</v>
      </c>
      <c r="F230" t="s">
        <v>267</v>
      </c>
      <c r="G230" s="32">
        <v>76.599999999999994</v>
      </c>
      <c r="H230" s="32">
        <v>92.8</v>
      </c>
      <c r="I230">
        <f>表1_4[[#This Row],[主队2]]-表1_4[[#This Row],[客队2]]</f>
        <v>-16.2</v>
      </c>
      <c r="J23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230" s="35" t="s">
        <v>706</v>
      </c>
      <c r="L23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30" s="11"/>
      <c r="N230" s="10" t="s">
        <v>112</v>
      </c>
      <c r="O230" s="10" t="s">
        <v>143</v>
      </c>
      <c r="P230" s="9">
        <v>-19</v>
      </c>
      <c r="T230" s="232"/>
      <c r="U230" s="25"/>
      <c r="V230" s="245" t="s">
        <v>709</v>
      </c>
      <c r="W230" s="86" t="s">
        <v>280</v>
      </c>
      <c r="X230" s="41"/>
    </row>
    <row r="231" spans="1:24" ht="13.5" customHeight="1">
      <c r="A231" t="s">
        <v>188</v>
      </c>
      <c r="B231" s="4">
        <v>43016.114583333299</v>
      </c>
      <c r="C231" s="1" t="s">
        <v>571</v>
      </c>
      <c r="D231" s="6" t="s">
        <v>243</v>
      </c>
      <c r="E231" s="49" t="s">
        <v>47</v>
      </c>
      <c r="F231" t="s">
        <v>270</v>
      </c>
      <c r="G231" s="32">
        <v>47.1</v>
      </c>
      <c r="H231" s="32">
        <v>91.5</v>
      </c>
      <c r="I231">
        <f>表1_4[[#This Row],[主队2]]-表1_4[[#This Row],[客队2]]</f>
        <v>-44.4</v>
      </c>
      <c r="J231" s="34">
        <v>-4.25</v>
      </c>
      <c r="K231" s="34">
        <v>-3.75</v>
      </c>
      <c r="L23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31" s="11"/>
      <c r="N231" s="10" t="s">
        <v>119</v>
      </c>
      <c r="O231" s="10" t="s">
        <v>40</v>
      </c>
      <c r="P231" s="9" t="s">
        <v>161</v>
      </c>
      <c r="T231" s="232"/>
      <c r="U231" s="25" t="s">
        <v>323</v>
      </c>
      <c r="V231" s="24" t="s">
        <v>710</v>
      </c>
      <c r="W231" s="86"/>
      <c r="X231" s="41"/>
    </row>
    <row r="232" spans="1:24" ht="13.5" customHeight="1">
      <c r="A232" t="s">
        <v>188</v>
      </c>
      <c r="B232" s="4">
        <v>43016.114583333299</v>
      </c>
      <c r="C232" s="14" t="s">
        <v>575</v>
      </c>
      <c r="D232" s="6" t="s">
        <v>250</v>
      </c>
      <c r="E232" s="42" t="s">
        <v>77</v>
      </c>
      <c r="F232" t="s">
        <v>271</v>
      </c>
      <c r="G232" s="32">
        <v>84.1</v>
      </c>
      <c r="H232" s="32">
        <v>76.8</v>
      </c>
      <c r="I232">
        <f>表1_4[[#This Row],[主队2]]-表1_4[[#This Row],[客队2]]</f>
        <v>7.3</v>
      </c>
      <c r="J23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232" s="35" t="s">
        <v>81</v>
      </c>
      <c r="L23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232" s="11"/>
      <c r="N232" s="10" t="s">
        <v>119</v>
      </c>
      <c r="O232" s="10" t="s">
        <v>35</v>
      </c>
      <c r="P232" s="9">
        <v>-15</v>
      </c>
      <c r="U232" s="246" t="s">
        <v>711</v>
      </c>
      <c r="V232" s="24" t="s">
        <v>712</v>
      </c>
      <c r="W232" s="86"/>
      <c r="X232" s="41"/>
    </row>
    <row r="233" spans="1:24" ht="13.5" customHeight="1">
      <c r="A233" t="s">
        <v>188</v>
      </c>
      <c r="B233" s="4">
        <v>43016.114583333299</v>
      </c>
      <c r="C233" s="14" t="s">
        <v>713</v>
      </c>
      <c r="D233" s="6" t="s">
        <v>407</v>
      </c>
      <c r="E233" s="49" t="s">
        <v>60</v>
      </c>
      <c r="F233" t="s">
        <v>275</v>
      </c>
      <c r="G233" s="32">
        <v>66</v>
      </c>
      <c r="H233" s="32">
        <v>81.3</v>
      </c>
      <c r="I233">
        <f>表1_4[[#This Row],[主队2]]-表1_4[[#This Row],[客队2]]</f>
        <v>-15.3</v>
      </c>
      <c r="J23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233" s="35" t="s">
        <v>245</v>
      </c>
      <c r="L23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33" s="11"/>
      <c r="N233" s="10" t="s">
        <v>133</v>
      </c>
      <c r="O233" s="10" t="s">
        <v>46</v>
      </c>
      <c r="P233" s="9">
        <v>-0.1</v>
      </c>
      <c r="U233" s="246"/>
      <c r="V233" s="85" t="s">
        <v>714</v>
      </c>
      <c r="W233" s="86"/>
      <c r="X233" s="41"/>
    </row>
    <row r="234" spans="1:24" ht="13.5" customHeight="1">
      <c r="A234" t="s">
        <v>107</v>
      </c>
      <c r="B234" s="4">
        <v>43015.916666666701</v>
      </c>
      <c r="C234" s="1" t="s">
        <v>715</v>
      </c>
      <c r="D234" s="6" t="s">
        <v>353</v>
      </c>
      <c r="E234" s="42" t="s">
        <v>54</v>
      </c>
      <c r="F234" t="s">
        <v>185</v>
      </c>
      <c r="G234" s="32">
        <v>82.7</v>
      </c>
      <c r="H234" s="32">
        <v>79.099999999999994</v>
      </c>
      <c r="I234">
        <f>表1_4[[#This Row],[主队2]]-表1_4[[#This Row],[客队2]]</f>
        <v>3.6000000000000099</v>
      </c>
      <c r="J23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234" s="35" t="s">
        <v>289</v>
      </c>
      <c r="L23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34" s="11"/>
      <c r="N234" s="46" t="s">
        <v>112</v>
      </c>
      <c r="O234" s="10" t="s">
        <v>143</v>
      </c>
      <c r="P234" s="9">
        <v>4</v>
      </c>
      <c r="U234" s="25"/>
      <c r="V234" s="24" t="s">
        <v>716</v>
      </c>
      <c r="W234" s="38"/>
      <c r="X234" s="41"/>
    </row>
    <row r="235" spans="1:24" ht="13.5" customHeight="1">
      <c r="A235" t="s">
        <v>188</v>
      </c>
      <c r="B235" s="4">
        <v>43017</v>
      </c>
      <c r="C235" s="5" t="s">
        <v>717</v>
      </c>
      <c r="D235" s="6" t="s">
        <v>306</v>
      </c>
      <c r="E235" s="31" t="s">
        <v>36</v>
      </c>
      <c r="F235" t="s">
        <v>305</v>
      </c>
      <c r="G235" s="32">
        <v>85.5</v>
      </c>
      <c r="H235" s="32">
        <v>79.8</v>
      </c>
      <c r="I235">
        <f>表1_4[[#This Row],[主队2]]-表1_4[[#This Row],[客队2]]</f>
        <v>5.7</v>
      </c>
      <c r="J23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235" s="35" t="s">
        <v>125</v>
      </c>
      <c r="L23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235" s="11"/>
      <c r="N235" s="10" t="s">
        <v>119</v>
      </c>
      <c r="O235" s="10" t="s">
        <v>40</v>
      </c>
      <c r="P235" s="9">
        <v>-17</v>
      </c>
      <c r="U235" s="25" t="s">
        <v>718</v>
      </c>
      <c r="V235" s="24" t="s">
        <v>522</v>
      </c>
      <c r="W235" s="38"/>
      <c r="X235" s="41"/>
    </row>
    <row r="236" spans="1:24" ht="13.5" customHeight="1">
      <c r="A236" t="s">
        <v>188</v>
      </c>
      <c r="B236" s="4">
        <v>43017</v>
      </c>
      <c r="C236" s="1" t="s">
        <v>719</v>
      </c>
      <c r="D236" s="6" t="s">
        <v>288</v>
      </c>
      <c r="E236" s="31" t="s">
        <v>36</v>
      </c>
      <c r="F236" t="s">
        <v>287</v>
      </c>
      <c r="G236" s="32">
        <v>64.400000000000006</v>
      </c>
      <c r="H236" s="32">
        <v>69.5</v>
      </c>
      <c r="I236">
        <f>表1_4[[#This Row],[主队2]]-表1_4[[#This Row],[客队2]]</f>
        <v>-5.0999999999999899</v>
      </c>
      <c r="J23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236" s="35" t="s">
        <v>166</v>
      </c>
      <c r="L23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36" s="11"/>
      <c r="N236" s="10" t="s">
        <v>119</v>
      </c>
      <c r="O236" s="10" t="s">
        <v>51</v>
      </c>
      <c r="P236" s="9">
        <v>6</v>
      </c>
      <c r="U236" s="246"/>
      <c r="V236" s="251" t="s">
        <v>720</v>
      </c>
      <c r="W236" s="86"/>
      <c r="X236" s="41"/>
    </row>
    <row r="237" spans="1:24" ht="13.5" customHeight="1">
      <c r="A237" t="s">
        <v>188</v>
      </c>
      <c r="B237" s="4">
        <v>43017</v>
      </c>
      <c r="C237" s="14" t="s">
        <v>721</v>
      </c>
      <c r="D237" s="6" t="s">
        <v>302</v>
      </c>
      <c r="E237" s="42" t="s">
        <v>54</v>
      </c>
      <c r="F237" t="s">
        <v>301</v>
      </c>
      <c r="G237" s="32">
        <v>86.6</v>
      </c>
      <c r="H237" s="32">
        <v>77.3</v>
      </c>
      <c r="I237">
        <f>表1_4[[#This Row],[主队2]]-表1_4[[#This Row],[客队2]]</f>
        <v>9.3000000000000007</v>
      </c>
      <c r="J23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237" s="35" t="s">
        <v>81</v>
      </c>
      <c r="L23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37" s="11"/>
      <c r="N237" s="10" t="s">
        <v>112</v>
      </c>
      <c r="O237" s="10" t="s">
        <v>143</v>
      </c>
      <c r="P237" s="9">
        <v>-25</v>
      </c>
      <c r="U237" s="25"/>
      <c r="V237" s="24" t="s">
        <v>722</v>
      </c>
      <c r="W237" s="38"/>
      <c r="X237" s="41"/>
    </row>
    <row r="238" spans="1:24" ht="13.5" customHeight="1">
      <c r="A238" t="s">
        <v>188</v>
      </c>
      <c r="B238" s="4">
        <v>43017</v>
      </c>
      <c r="C238" s="14" t="s">
        <v>723</v>
      </c>
      <c r="D238" s="6" t="s">
        <v>292</v>
      </c>
      <c r="E238" s="49" t="s">
        <v>53</v>
      </c>
      <c r="F238" t="s">
        <v>117</v>
      </c>
      <c r="G238" s="32">
        <v>66.099999999999994</v>
      </c>
      <c r="H238" s="32">
        <v>89.2</v>
      </c>
      <c r="I238">
        <f>表1_4[[#This Row],[主队2]]-表1_4[[#This Row],[客队2]]</f>
        <v>-23.1</v>
      </c>
      <c r="J238" s="34">
        <v>-2</v>
      </c>
      <c r="K238" s="35" t="s">
        <v>706</v>
      </c>
      <c r="L23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38" s="11"/>
      <c r="N238" s="10" t="s">
        <v>112</v>
      </c>
      <c r="O238" s="10" t="s">
        <v>143</v>
      </c>
      <c r="P238" s="9">
        <v>-16</v>
      </c>
      <c r="U238" s="83"/>
      <c r="V238" s="85" t="s">
        <v>724</v>
      </c>
      <c r="W238" s="244"/>
      <c r="X238" s="41"/>
    </row>
    <row r="239" spans="1:24" ht="13.5" customHeight="1">
      <c r="A239" t="s">
        <v>188</v>
      </c>
      <c r="B239" s="4">
        <v>43017</v>
      </c>
      <c r="C239" s="5" t="s">
        <v>725</v>
      </c>
      <c r="D239" s="6" t="s">
        <v>309</v>
      </c>
      <c r="E239" s="31" t="s">
        <v>25</v>
      </c>
      <c r="F239" t="s">
        <v>123</v>
      </c>
      <c r="G239" s="32">
        <v>79.900000000000006</v>
      </c>
      <c r="H239" s="32">
        <v>80.5</v>
      </c>
      <c r="I239">
        <f>表1_4[[#This Row],[主队2]]-表1_4[[#This Row],[客队2]]</f>
        <v>-0.59999999999999398</v>
      </c>
      <c r="J23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239" s="35" t="s">
        <v>166</v>
      </c>
      <c r="L23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39" s="11"/>
      <c r="N239" s="10" t="s">
        <v>119</v>
      </c>
      <c r="O239" s="10" t="s">
        <v>46</v>
      </c>
      <c r="P239" s="9">
        <v>-7</v>
      </c>
      <c r="U239" s="83"/>
      <c r="V239" s="85" t="s">
        <v>726</v>
      </c>
      <c r="W239" s="259" t="s">
        <v>577</v>
      </c>
      <c r="X239" s="104"/>
    </row>
    <row r="240" spans="1:24" ht="13.5" customHeight="1">
      <c r="A240" t="s">
        <v>188</v>
      </c>
      <c r="B240" s="4">
        <v>43017.114583333299</v>
      </c>
      <c r="C240" s="1" t="s">
        <v>445</v>
      </c>
      <c r="D240" s="6" t="s">
        <v>116</v>
      </c>
      <c r="E240" s="42" t="s">
        <v>82</v>
      </c>
      <c r="F240" t="s">
        <v>278</v>
      </c>
      <c r="G240" s="32">
        <v>99.9</v>
      </c>
      <c r="H240" s="32">
        <v>65.400000000000006</v>
      </c>
      <c r="I240">
        <f>表1_4[[#This Row],[主队2]]-表1_4[[#This Row],[客队2]]</f>
        <v>34.5</v>
      </c>
      <c r="J240" s="34">
        <v>3.75</v>
      </c>
      <c r="K240" s="34">
        <v>3.5</v>
      </c>
      <c r="L24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40" s="11"/>
      <c r="N240" s="10" t="s">
        <v>119</v>
      </c>
      <c r="O240" s="10" t="s">
        <v>40</v>
      </c>
      <c r="P240" s="9" t="s">
        <v>161</v>
      </c>
      <c r="T240" s="232"/>
      <c r="U240" s="83" t="s">
        <v>727</v>
      </c>
      <c r="V240" s="85" t="s">
        <v>728</v>
      </c>
      <c r="W240" s="86"/>
      <c r="X240" s="41"/>
    </row>
    <row r="241" spans="1:25" ht="13.5" customHeight="1">
      <c r="A241" t="s">
        <v>188</v>
      </c>
      <c r="B241" s="4">
        <v>43017.114583333299</v>
      </c>
      <c r="C241" s="14" t="s">
        <v>376</v>
      </c>
      <c r="D241" s="6" t="s">
        <v>297</v>
      </c>
      <c r="E241" s="42" t="s">
        <v>31</v>
      </c>
      <c r="F241" t="s">
        <v>296</v>
      </c>
      <c r="G241" s="32">
        <v>75.2</v>
      </c>
      <c r="H241" s="32">
        <v>78.2</v>
      </c>
      <c r="I241">
        <f>表1_4[[#This Row],[主队2]]-表1_4[[#This Row],[客队2]]</f>
        <v>-3</v>
      </c>
      <c r="J24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241" s="35" t="s">
        <v>182</v>
      </c>
      <c r="L24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41" s="11"/>
      <c r="N241" s="10" t="s">
        <v>119</v>
      </c>
      <c r="O241" s="10" t="s">
        <v>32</v>
      </c>
      <c r="P241" s="9">
        <v>-10</v>
      </c>
      <c r="U241" s="83"/>
      <c r="V241" s="85" t="s">
        <v>729</v>
      </c>
      <c r="W241" s="71"/>
      <c r="X241" s="93" t="s">
        <v>730</v>
      </c>
      <c r="Y241" s="70">
        <v>96</v>
      </c>
    </row>
    <row r="242" spans="1:25" ht="13.5" customHeight="1">
      <c r="A242" t="s">
        <v>188</v>
      </c>
      <c r="B242" s="4">
        <v>43018.114583333299</v>
      </c>
      <c r="C242" s="30" t="s">
        <v>607</v>
      </c>
      <c r="D242" s="6" t="s">
        <v>191</v>
      </c>
      <c r="E242" s="31" t="s">
        <v>25</v>
      </c>
      <c r="F242" t="s">
        <v>190</v>
      </c>
      <c r="G242" s="32">
        <v>74.599999999999994</v>
      </c>
      <c r="H242" s="32">
        <v>82.1</v>
      </c>
      <c r="I242">
        <f>表1_4[[#This Row],[主队2]]-表1_4[[#This Row],[客队2]]</f>
        <v>-7.5</v>
      </c>
      <c r="J24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242" s="35" t="s">
        <v>152</v>
      </c>
      <c r="L24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42" s="11"/>
      <c r="N242" s="10" t="s">
        <v>133</v>
      </c>
      <c r="O242" s="10" t="s">
        <v>143</v>
      </c>
      <c r="P242" s="9">
        <v>6</v>
      </c>
      <c r="U242" s="83"/>
      <c r="V242" s="85" t="s">
        <v>731</v>
      </c>
      <c r="W242" s="71"/>
      <c r="X242" s="41"/>
    </row>
    <row r="243" spans="1:25" ht="13.5" customHeight="1">
      <c r="A243" t="s">
        <v>188</v>
      </c>
      <c r="B243" s="4">
        <v>43018.114583333299</v>
      </c>
      <c r="C243" s="14" t="s">
        <v>609</v>
      </c>
      <c r="D243" s="6" t="s">
        <v>195</v>
      </c>
      <c r="E243" s="49" t="s">
        <v>53</v>
      </c>
      <c r="F243" t="s">
        <v>194</v>
      </c>
      <c r="G243" s="32">
        <v>64.3</v>
      </c>
      <c r="H243" s="32">
        <v>78.8</v>
      </c>
      <c r="I243">
        <f>表1_4[[#This Row],[主队2]]-表1_4[[#This Row],[客队2]]</f>
        <v>-14.5</v>
      </c>
      <c r="J24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243" s="35" t="s">
        <v>219</v>
      </c>
      <c r="L24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43" s="11"/>
      <c r="N243" s="10" t="s">
        <v>119</v>
      </c>
      <c r="O243" s="10" t="s">
        <v>143</v>
      </c>
      <c r="P243" s="9">
        <v>0.1</v>
      </c>
      <c r="U243" s="83"/>
      <c r="V243" s="85" t="s">
        <v>732</v>
      </c>
      <c r="W243" s="86"/>
      <c r="X243" s="41"/>
    </row>
    <row r="244" spans="1:25" ht="13.5" customHeight="1">
      <c r="A244" t="s">
        <v>188</v>
      </c>
      <c r="B244" s="4">
        <v>43018.114583333299</v>
      </c>
      <c r="C244" s="1" t="s">
        <v>611</v>
      </c>
      <c r="D244" s="6" t="s">
        <v>434</v>
      </c>
      <c r="E244" s="42" t="s">
        <v>31</v>
      </c>
      <c r="F244" t="s">
        <v>430</v>
      </c>
      <c r="G244" s="32">
        <v>83.9</v>
      </c>
      <c r="H244" s="32">
        <v>71</v>
      </c>
      <c r="I244">
        <f>表1_4[[#This Row],[主队2]]-表1_4[[#This Row],[客队2]]</f>
        <v>12.9</v>
      </c>
      <c r="J24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244" s="35" t="s">
        <v>45</v>
      </c>
      <c r="L24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244" s="11"/>
      <c r="N244" s="10" t="s">
        <v>112</v>
      </c>
      <c r="O244" s="10" t="s">
        <v>28</v>
      </c>
      <c r="P244" s="9" t="s">
        <v>161</v>
      </c>
      <c r="U244" s="25"/>
      <c r="V244" s="75" t="s">
        <v>733</v>
      </c>
      <c r="W244" s="86"/>
      <c r="X244" s="41"/>
    </row>
    <row r="245" spans="1:25" ht="13.5" customHeight="1">
      <c r="A245" t="s">
        <v>188</v>
      </c>
      <c r="B245" s="4">
        <v>43018.114583333299</v>
      </c>
      <c r="C245" s="5" t="s">
        <v>613</v>
      </c>
      <c r="D245" s="6" t="s">
        <v>200</v>
      </c>
      <c r="E245" s="49" t="s">
        <v>53</v>
      </c>
      <c r="F245" t="s">
        <v>199</v>
      </c>
      <c r="G245" s="32">
        <v>81.5</v>
      </c>
      <c r="H245" s="32">
        <v>81.900000000000006</v>
      </c>
      <c r="I245">
        <f>表1_4[[#This Row],[主队2]]-表1_4[[#This Row],[客队2]]</f>
        <v>-0.40000000000000602</v>
      </c>
      <c r="J24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245" s="35" t="s">
        <v>182</v>
      </c>
      <c r="L24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45" s="11"/>
      <c r="N245" s="10" t="s">
        <v>119</v>
      </c>
      <c r="O245" s="57" t="s">
        <v>46</v>
      </c>
      <c r="P245" s="9">
        <v>11</v>
      </c>
      <c r="T245" s="232"/>
      <c r="U245" s="257" t="s">
        <v>167</v>
      </c>
      <c r="V245" s="247" t="s">
        <v>734</v>
      </c>
      <c r="W245" s="38"/>
      <c r="X245" s="41"/>
    </row>
    <row r="246" spans="1:25" ht="13.5" customHeight="1">
      <c r="A246" t="s">
        <v>188</v>
      </c>
      <c r="B246" s="4">
        <v>43018.114583333299</v>
      </c>
      <c r="C246" s="14" t="s">
        <v>615</v>
      </c>
      <c r="D246" s="6" t="s">
        <v>205</v>
      </c>
      <c r="E246" s="49" t="s">
        <v>53</v>
      </c>
      <c r="F246" s="260" t="s">
        <v>204</v>
      </c>
      <c r="G246" s="32">
        <v>74.599999999999994</v>
      </c>
      <c r="H246" s="32">
        <v>88.7</v>
      </c>
      <c r="I246">
        <f>表1_4[[#This Row],[主队2]]-表1_4[[#This Row],[客队2]]</f>
        <v>-14.1</v>
      </c>
      <c r="J24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246" s="35" t="s">
        <v>111</v>
      </c>
      <c r="L24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46" s="11"/>
      <c r="N246" s="10" t="s">
        <v>112</v>
      </c>
      <c r="O246" s="10" t="s">
        <v>143</v>
      </c>
      <c r="P246" s="9">
        <v>6</v>
      </c>
      <c r="U246" s="25"/>
      <c r="V246" s="24" t="s">
        <v>735</v>
      </c>
      <c r="W246" s="40"/>
      <c r="X246" s="41"/>
    </row>
    <row r="247" spans="1:25" ht="27" customHeight="1">
      <c r="A247" t="s">
        <v>188</v>
      </c>
      <c r="B247" s="4">
        <v>43018.114583333299</v>
      </c>
      <c r="C247" s="14" t="s">
        <v>619</v>
      </c>
      <c r="D247" s="6" t="s">
        <v>210</v>
      </c>
      <c r="E247" s="49" t="s">
        <v>53</v>
      </c>
      <c r="F247" t="s">
        <v>209</v>
      </c>
      <c r="G247" s="32">
        <v>75.099999999999994</v>
      </c>
      <c r="H247" s="32">
        <v>98.7</v>
      </c>
      <c r="I247">
        <f>表1_4[[#This Row],[主队2]]-表1_4[[#This Row],[客队2]]</f>
        <v>-23.6</v>
      </c>
      <c r="J247" s="34">
        <v>-2</v>
      </c>
      <c r="K247" s="35" t="s">
        <v>219</v>
      </c>
      <c r="L24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247" s="66"/>
      <c r="N247" s="46" t="s">
        <v>160</v>
      </c>
      <c r="O247" s="10" t="s">
        <v>46</v>
      </c>
      <c r="P247" s="9">
        <v>-1</v>
      </c>
      <c r="Q247" s="66"/>
      <c r="U247" s="246" t="s">
        <v>448</v>
      </c>
      <c r="V247" s="24" t="s">
        <v>736</v>
      </c>
      <c r="W247" s="40"/>
      <c r="X247" s="41"/>
    </row>
    <row r="248" spans="1:25" ht="13.5" customHeight="1">
      <c r="A248" t="s">
        <v>188</v>
      </c>
      <c r="B248" s="4">
        <v>43018.114583333299</v>
      </c>
      <c r="C248" s="1" t="s">
        <v>737</v>
      </c>
      <c r="D248" s="6" t="s">
        <v>440</v>
      </c>
      <c r="E248" s="42" t="s">
        <v>37</v>
      </c>
      <c r="F248" t="s">
        <v>437</v>
      </c>
      <c r="G248" s="32">
        <v>72.099999999999994</v>
      </c>
      <c r="H248" s="32">
        <v>49.3</v>
      </c>
      <c r="I248">
        <f>表1_4[[#This Row],[主队2]]-表1_4[[#This Row],[客队2]]</f>
        <v>22.8</v>
      </c>
      <c r="J248" s="34">
        <v>2.5</v>
      </c>
      <c r="K248" s="34">
        <v>2.25</v>
      </c>
      <c r="L24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48" s="11"/>
      <c r="N248" s="10" t="s">
        <v>119</v>
      </c>
      <c r="O248" s="10" t="s">
        <v>40</v>
      </c>
      <c r="P248" s="9" t="s">
        <v>161</v>
      </c>
      <c r="U248" s="246" t="s">
        <v>738</v>
      </c>
      <c r="V248" s="247" t="s">
        <v>739</v>
      </c>
      <c r="W248" s="86"/>
      <c r="X248" s="41"/>
    </row>
    <row r="249" spans="1:25" ht="13.5" customHeight="1">
      <c r="A249" t="s">
        <v>188</v>
      </c>
      <c r="B249" s="4">
        <v>43018.114583333299</v>
      </c>
      <c r="C249" s="5" t="s">
        <v>740</v>
      </c>
      <c r="D249" s="6" t="s">
        <v>214</v>
      </c>
      <c r="E249" s="49" t="s">
        <v>47</v>
      </c>
      <c r="F249" t="s">
        <v>110</v>
      </c>
      <c r="G249" s="32">
        <v>83.5</v>
      </c>
      <c r="H249" s="32">
        <v>88</v>
      </c>
      <c r="I249">
        <f>表1_4[[#This Row],[主队2]]-表1_4[[#This Row],[客队2]]</f>
        <v>-4.5</v>
      </c>
      <c r="J24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249" s="35" t="s">
        <v>166</v>
      </c>
      <c r="L24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49" s="11"/>
      <c r="N249" s="10" t="s">
        <v>112</v>
      </c>
      <c r="O249" s="10" t="s">
        <v>65</v>
      </c>
      <c r="P249" s="9">
        <v>7</v>
      </c>
      <c r="T249" s="232"/>
      <c r="U249" s="25"/>
      <c r="V249" s="24" t="s">
        <v>741</v>
      </c>
      <c r="W249" s="38"/>
      <c r="X249" s="41"/>
    </row>
    <row r="250" spans="1:25" ht="13.5" customHeight="1">
      <c r="A250" t="s">
        <v>188</v>
      </c>
      <c r="B250" s="4">
        <v>43018.114583333299</v>
      </c>
      <c r="C250" s="1" t="s">
        <v>742</v>
      </c>
      <c r="D250" s="6" t="s">
        <v>218</v>
      </c>
      <c r="E250" s="42" t="s">
        <v>22</v>
      </c>
      <c r="F250" t="s">
        <v>217</v>
      </c>
      <c r="G250" s="32">
        <v>81.099999999999994</v>
      </c>
      <c r="H250" s="32">
        <v>62.3</v>
      </c>
      <c r="I250">
        <f>表1_4[[#This Row],[主队2]]-表1_4[[#This Row],[客队2]]</f>
        <v>18.8</v>
      </c>
      <c r="J250" s="34">
        <v>2.25</v>
      </c>
      <c r="K250" s="35" t="s">
        <v>23</v>
      </c>
      <c r="L25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50" s="11" t="s">
        <v>743</v>
      </c>
      <c r="N250" s="10" t="s">
        <v>112</v>
      </c>
      <c r="O250" s="10" t="s">
        <v>143</v>
      </c>
      <c r="P250" s="9" t="s">
        <v>161</v>
      </c>
      <c r="U250" s="83"/>
      <c r="V250" s="85" t="s">
        <v>744</v>
      </c>
      <c r="W250" s="86"/>
      <c r="X250" s="41"/>
    </row>
    <row r="251" spans="1:25" ht="13.5" customHeight="1">
      <c r="A251" t="s">
        <v>128</v>
      </c>
      <c r="B251" s="4">
        <v>43018.708333333299</v>
      </c>
      <c r="C251" s="5" t="s">
        <v>312</v>
      </c>
      <c r="D251" s="6" t="s">
        <v>142</v>
      </c>
      <c r="E251" s="31" t="s">
        <v>36</v>
      </c>
      <c r="F251" t="s">
        <v>130</v>
      </c>
      <c r="G251" s="32">
        <v>79.400000000000006</v>
      </c>
      <c r="H251" s="32">
        <v>73.900000000000006</v>
      </c>
      <c r="I251">
        <f>表1_4[[#This Row],[主队2]]-表1_4[[#This Row],[客队2]]</f>
        <v>5.5</v>
      </c>
      <c r="J25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251" s="35" t="s">
        <v>125</v>
      </c>
      <c r="L25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251" s="11"/>
      <c r="N251" s="10" t="s">
        <v>119</v>
      </c>
      <c r="O251" s="10" t="s">
        <v>46</v>
      </c>
      <c r="P251" s="9">
        <v>-5</v>
      </c>
      <c r="U251" s="25"/>
      <c r="V251" s="24" t="s">
        <v>745</v>
      </c>
      <c r="W251" s="86"/>
      <c r="X251" s="41"/>
    </row>
    <row r="252" spans="1:25" ht="13.5" customHeight="1">
      <c r="A252" t="s">
        <v>188</v>
      </c>
      <c r="B252" s="4">
        <v>43019.114583333299</v>
      </c>
      <c r="C252" s="5" t="s">
        <v>746</v>
      </c>
      <c r="D252" s="6" t="s">
        <v>267</v>
      </c>
      <c r="E252" s="42" t="s">
        <v>33</v>
      </c>
      <c r="F252" t="s">
        <v>240</v>
      </c>
      <c r="G252" s="32">
        <v>93.3</v>
      </c>
      <c r="H252" s="32">
        <v>72.900000000000006</v>
      </c>
      <c r="I252">
        <f>表1_4[[#This Row],[主队2]]-表1_4[[#This Row],[客队2]]</f>
        <v>20.399999999999999</v>
      </c>
      <c r="J25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252" s="34">
        <v>2.75</v>
      </c>
      <c r="L25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252" s="11"/>
      <c r="N252" s="10" t="s">
        <v>112</v>
      </c>
      <c r="O252" s="10" t="s">
        <v>40</v>
      </c>
      <c r="P252" s="9" t="s">
        <v>161</v>
      </c>
      <c r="T252" s="232"/>
      <c r="U252" s="25" t="s">
        <v>707</v>
      </c>
      <c r="V252" s="24" t="s">
        <v>747</v>
      </c>
      <c r="W252" s="40" t="s">
        <v>280</v>
      </c>
      <c r="X252" s="41"/>
    </row>
    <row r="253" spans="1:25">
      <c r="A253" t="s">
        <v>188</v>
      </c>
      <c r="B253" s="68">
        <v>43019.114583333299</v>
      </c>
      <c r="C253" s="14" t="s">
        <v>461</v>
      </c>
      <c r="D253" s="6" t="s">
        <v>266</v>
      </c>
      <c r="E253" s="31" t="s">
        <v>36</v>
      </c>
      <c r="F253" t="s">
        <v>261</v>
      </c>
      <c r="G253" s="32">
        <v>57.6</v>
      </c>
      <c r="H253" s="32">
        <v>76.2</v>
      </c>
      <c r="I253">
        <f>表1_4[[#This Row],[主队2]]-表1_4[[#This Row],[客队2]]</f>
        <v>-18.600000000000001</v>
      </c>
      <c r="J25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253" s="35" t="s">
        <v>245</v>
      </c>
      <c r="L25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53" s="63" t="s">
        <v>748</v>
      </c>
      <c r="N253" s="10" t="s">
        <v>133</v>
      </c>
      <c r="O253" s="10" t="s">
        <v>143</v>
      </c>
      <c r="P253" s="9">
        <v>-5</v>
      </c>
      <c r="U253" s="83"/>
      <c r="V253" s="85" t="s">
        <v>749</v>
      </c>
      <c r="W253" s="71"/>
      <c r="X253" s="41"/>
    </row>
    <row r="254" spans="1:25" ht="13.5" customHeight="1">
      <c r="A254" t="s">
        <v>188</v>
      </c>
      <c r="B254" s="4">
        <v>43019.114583333299</v>
      </c>
      <c r="C254" s="1" t="s">
        <v>330</v>
      </c>
      <c r="D254" s="6" t="s">
        <v>271</v>
      </c>
      <c r="E254" s="42" t="s">
        <v>31</v>
      </c>
      <c r="F254" s="260" t="s">
        <v>244</v>
      </c>
      <c r="G254" s="32">
        <v>76</v>
      </c>
      <c r="H254" s="32">
        <v>57.7</v>
      </c>
      <c r="I254">
        <f>表1_4[[#This Row],[主队2]]-表1_4[[#This Row],[客队2]]</f>
        <v>18.3</v>
      </c>
      <c r="J25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254" s="35" t="s">
        <v>63</v>
      </c>
      <c r="L25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54" s="11"/>
      <c r="N254" s="57" t="s">
        <v>404</v>
      </c>
      <c r="O254" s="10" t="s">
        <v>40</v>
      </c>
      <c r="P254" s="9">
        <v>-12</v>
      </c>
      <c r="T254" s="232"/>
      <c r="U254" s="83" t="s">
        <v>196</v>
      </c>
      <c r="V254" s="85" t="s">
        <v>750</v>
      </c>
      <c r="W254" s="87"/>
      <c r="X254" s="41"/>
    </row>
    <row r="255" spans="1:25" ht="13.5" customHeight="1">
      <c r="A255" t="s">
        <v>188</v>
      </c>
      <c r="B255" s="4">
        <v>43019.114583333299</v>
      </c>
      <c r="C255" s="1" t="s">
        <v>333</v>
      </c>
      <c r="D255" s="6" t="s">
        <v>251</v>
      </c>
      <c r="E255" s="42" t="s">
        <v>37</v>
      </c>
      <c r="F255" t="s">
        <v>243</v>
      </c>
      <c r="G255" s="32">
        <v>64.900000000000006</v>
      </c>
      <c r="H255" s="32">
        <v>47.5</v>
      </c>
      <c r="I255">
        <f>表1_4[[#This Row],[主队2]]-表1_4[[#This Row],[客队2]]</f>
        <v>17.399999999999999</v>
      </c>
      <c r="J25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255" s="35" t="s">
        <v>63</v>
      </c>
      <c r="L25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55" s="11"/>
      <c r="N255" s="10" t="s">
        <v>133</v>
      </c>
      <c r="O255" s="10" t="s">
        <v>35</v>
      </c>
      <c r="P255" s="9">
        <v>-32</v>
      </c>
      <c r="U255" s="83" t="s">
        <v>751</v>
      </c>
      <c r="V255" s="85" t="s">
        <v>752</v>
      </c>
      <c r="W255" s="87"/>
      <c r="X255" s="41"/>
    </row>
    <row r="256" spans="1:25" ht="13.5" customHeight="1">
      <c r="A256" t="s">
        <v>188</v>
      </c>
      <c r="B256" s="4">
        <v>43019.114583333299</v>
      </c>
      <c r="C256" s="14" t="s">
        <v>336</v>
      </c>
      <c r="D256" s="6" t="s">
        <v>270</v>
      </c>
      <c r="E256" s="42" t="s">
        <v>22</v>
      </c>
      <c r="F256" t="s">
        <v>250</v>
      </c>
      <c r="G256" s="32">
        <v>91.2</v>
      </c>
      <c r="H256" s="32">
        <v>85</v>
      </c>
      <c r="I256">
        <f>表1_4[[#This Row],[主队2]]-表1_4[[#This Row],[客队2]]</f>
        <v>6.2</v>
      </c>
      <c r="J25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256" s="35" t="s">
        <v>118</v>
      </c>
      <c r="L25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56" s="11"/>
      <c r="N256" s="10" t="s">
        <v>119</v>
      </c>
      <c r="O256" s="10" t="s">
        <v>143</v>
      </c>
      <c r="P256" s="9">
        <v>-9</v>
      </c>
      <c r="U256" s="25"/>
      <c r="V256" s="24" t="s">
        <v>671</v>
      </c>
      <c r="W256" s="38"/>
      <c r="X256" s="41"/>
    </row>
    <row r="257" spans="1:25" ht="13.5" customHeight="1">
      <c r="A257" t="s">
        <v>188</v>
      </c>
      <c r="B257" s="4">
        <v>43019.114583333299</v>
      </c>
      <c r="C257" s="14" t="s">
        <v>340</v>
      </c>
      <c r="D257" s="6" t="s">
        <v>274</v>
      </c>
      <c r="E257" s="42" t="s">
        <v>37</v>
      </c>
      <c r="F257" t="s">
        <v>407</v>
      </c>
      <c r="G257" s="32">
        <v>90.5</v>
      </c>
      <c r="H257" s="32">
        <v>65.7</v>
      </c>
      <c r="I257">
        <f>表1_4[[#This Row],[主队2]]-表1_4[[#This Row],[客队2]]</f>
        <v>24.8</v>
      </c>
      <c r="J257" s="34">
        <v>2.75</v>
      </c>
      <c r="K257" s="34">
        <v>2.75</v>
      </c>
      <c r="L25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57" s="11"/>
      <c r="N257" s="10" t="s">
        <v>119</v>
      </c>
      <c r="O257" s="10" t="s">
        <v>40</v>
      </c>
      <c r="P257" s="9" t="s">
        <v>161</v>
      </c>
      <c r="U257" s="25" t="s">
        <v>753</v>
      </c>
      <c r="V257" s="75" t="s">
        <v>754</v>
      </c>
      <c r="W257" s="86"/>
      <c r="X257" s="41"/>
    </row>
    <row r="258" spans="1:25">
      <c r="A258" t="s">
        <v>188</v>
      </c>
      <c r="B258" s="4">
        <v>43019.114583333299</v>
      </c>
      <c r="C258" s="14" t="s">
        <v>342</v>
      </c>
      <c r="D258" s="70" t="s">
        <v>403</v>
      </c>
      <c r="E258" s="49" t="s">
        <v>60</v>
      </c>
      <c r="F258" t="s">
        <v>255</v>
      </c>
      <c r="G258" s="32">
        <v>67.900000000000006</v>
      </c>
      <c r="H258" s="32">
        <v>81.599999999999994</v>
      </c>
      <c r="I258">
        <f>表1_4[[#This Row],[主队2]]-表1_4[[#This Row],[客队2]]</f>
        <v>-13.7</v>
      </c>
      <c r="J25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258" s="35" t="s">
        <v>245</v>
      </c>
      <c r="L25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58" s="66"/>
      <c r="N258" s="10" t="s">
        <v>133</v>
      </c>
      <c r="O258" s="10" t="s">
        <v>28</v>
      </c>
      <c r="P258" s="9">
        <v>-5</v>
      </c>
      <c r="Q258" s="66"/>
      <c r="U258" s="246" t="s">
        <v>629</v>
      </c>
      <c r="V258" s="247" t="s">
        <v>755</v>
      </c>
      <c r="W258" s="87"/>
      <c r="X258" s="41"/>
    </row>
    <row r="259" spans="1:25" ht="13.5" customHeight="1">
      <c r="A259" t="s">
        <v>188</v>
      </c>
      <c r="B259" s="4">
        <v>43019.114583333299</v>
      </c>
      <c r="C259" s="1" t="s">
        <v>344</v>
      </c>
      <c r="D259" s="6" t="s">
        <v>275</v>
      </c>
      <c r="E259" s="42" t="s">
        <v>37</v>
      </c>
      <c r="F259" t="s">
        <v>256</v>
      </c>
      <c r="G259" s="32">
        <v>81.599999999999994</v>
      </c>
      <c r="H259" s="32">
        <v>38</v>
      </c>
      <c r="I259">
        <f>表1_4[[#This Row],[主队2]]-表1_4[[#This Row],[客队2]]</f>
        <v>43.6</v>
      </c>
      <c r="J259" s="35" t="s">
        <v>257</v>
      </c>
      <c r="K259" s="35" t="s">
        <v>257</v>
      </c>
      <c r="L259" s="75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59" s="11"/>
      <c r="N259" s="10" t="s">
        <v>119</v>
      </c>
      <c r="O259" s="10" t="s">
        <v>46</v>
      </c>
      <c r="P259" s="9" t="s">
        <v>161</v>
      </c>
      <c r="U259" s="25"/>
      <c r="V259" s="24" t="s">
        <v>756</v>
      </c>
      <c r="W259" s="86"/>
      <c r="X259" s="41"/>
    </row>
    <row r="260" spans="1:25" ht="13.5" customHeight="1">
      <c r="A260" t="s">
        <v>156</v>
      </c>
      <c r="B260" s="4">
        <v>43019.3125</v>
      </c>
      <c r="C260" s="14" t="s">
        <v>346</v>
      </c>
      <c r="D260" s="6" t="s">
        <v>171</v>
      </c>
      <c r="E260" s="42" t="s">
        <v>44</v>
      </c>
      <c r="F260" t="s">
        <v>175</v>
      </c>
      <c r="G260" s="32">
        <v>99.4</v>
      </c>
      <c r="H260" s="32">
        <v>89.1</v>
      </c>
      <c r="I260">
        <f>表1_4[[#This Row],[主队2]]-表1_4[[#This Row],[客队2]]</f>
        <v>10.3</v>
      </c>
      <c r="J26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260" s="35" t="s">
        <v>118</v>
      </c>
      <c r="L26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60" s="11"/>
      <c r="N260" s="10" t="s">
        <v>112</v>
      </c>
      <c r="O260" s="10" t="s">
        <v>48</v>
      </c>
      <c r="P260" s="9">
        <v>-13</v>
      </c>
      <c r="U260" s="246"/>
      <c r="V260" s="247" t="s">
        <v>757</v>
      </c>
      <c r="W260" s="244"/>
      <c r="X260" s="41"/>
    </row>
    <row r="261" spans="1:25" ht="13.5" customHeight="1">
      <c r="A261" t="s">
        <v>156</v>
      </c>
      <c r="B261" s="4">
        <v>43019.3125</v>
      </c>
      <c r="C261" s="14" t="s">
        <v>349</v>
      </c>
      <c r="D261" s="6" t="s">
        <v>165</v>
      </c>
      <c r="E261" s="49" t="s">
        <v>74</v>
      </c>
      <c r="F261" t="s">
        <v>174</v>
      </c>
      <c r="G261" s="32">
        <v>84.9</v>
      </c>
      <c r="H261" s="32">
        <v>96</v>
      </c>
      <c r="I261">
        <f>表1_4[[#This Row],[主队2]]-表1_4[[#This Row],[客队2]]</f>
        <v>-11.1</v>
      </c>
      <c r="J26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261" s="35" t="s">
        <v>219</v>
      </c>
      <c r="L26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261" s="11"/>
      <c r="N261" s="10" t="s">
        <v>133</v>
      </c>
      <c r="O261" s="10" t="s">
        <v>40</v>
      </c>
      <c r="P261" s="9">
        <v>3</v>
      </c>
      <c r="U261" s="83" t="s">
        <v>473</v>
      </c>
      <c r="V261" s="85" t="s">
        <v>758</v>
      </c>
      <c r="W261" s="244"/>
      <c r="X261" s="41"/>
    </row>
    <row r="262" spans="1:25" ht="13.5" customHeight="1">
      <c r="A262" t="s">
        <v>156</v>
      </c>
      <c r="B262" s="4">
        <v>43019.3125</v>
      </c>
      <c r="C262" s="30" t="s">
        <v>648</v>
      </c>
      <c r="D262" s="6" t="s">
        <v>181</v>
      </c>
      <c r="E262" s="31" t="s">
        <v>36</v>
      </c>
      <c r="F262" t="s">
        <v>158</v>
      </c>
      <c r="G262" s="32">
        <v>87.2</v>
      </c>
      <c r="H262" s="32">
        <v>91</v>
      </c>
      <c r="I262">
        <f>表1_4[[#This Row],[主队2]]-表1_4[[#This Row],[客队2]]</f>
        <v>-3.8</v>
      </c>
      <c r="J26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262" s="35" t="s">
        <v>166</v>
      </c>
      <c r="L26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62" s="11"/>
      <c r="N262" s="10" t="s">
        <v>119</v>
      </c>
      <c r="O262" s="10" t="s">
        <v>28</v>
      </c>
      <c r="P262" s="9">
        <v>-8</v>
      </c>
      <c r="U262" s="83"/>
      <c r="V262" s="85" t="s">
        <v>759</v>
      </c>
      <c r="W262" s="87"/>
      <c r="X262" s="41"/>
    </row>
    <row r="263" spans="1:25" ht="13.5" customHeight="1">
      <c r="A263" t="s">
        <v>156</v>
      </c>
      <c r="B263" s="4">
        <v>43019.3125</v>
      </c>
      <c r="C263" s="14" t="s">
        <v>760</v>
      </c>
      <c r="D263" s="6" t="s">
        <v>170</v>
      </c>
      <c r="E263" s="42" t="s">
        <v>54</v>
      </c>
      <c r="F263" t="s">
        <v>159</v>
      </c>
      <c r="G263" s="32">
        <v>90.1</v>
      </c>
      <c r="H263" s="32">
        <v>76.099999999999994</v>
      </c>
      <c r="I263">
        <f>表1_4[[#This Row],[主队2]]-表1_4[[#This Row],[客队2]]</f>
        <v>14</v>
      </c>
      <c r="J26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263" s="35" t="s">
        <v>26</v>
      </c>
      <c r="L26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263" s="11"/>
      <c r="N263" s="57" t="s">
        <v>133</v>
      </c>
      <c r="O263" s="10" t="s">
        <v>40</v>
      </c>
      <c r="P263" s="9" t="s">
        <v>161</v>
      </c>
      <c r="U263" s="25" t="s">
        <v>405</v>
      </c>
      <c r="V263" s="24" t="s">
        <v>522</v>
      </c>
      <c r="W263" s="38"/>
      <c r="X263" s="41"/>
    </row>
    <row r="264" spans="1:25" ht="13.5" customHeight="1">
      <c r="A264" t="s">
        <v>156</v>
      </c>
      <c r="B264" s="4">
        <v>43019.3125</v>
      </c>
      <c r="C264" s="5" t="s">
        <v>650</v>
      </c>
      <c r="D264" s="6" t="s">
        <v>164</v>
      </c>
      <c r="E264" s="49" t="s">
        <v>53</v>
      </c>
      <c r="F264" t="s">
        <v>180</v>
      </c>
      <c r="G264" s="32">
        <v>85.2</v>
      </c>
      <c r="H264" s="32">
        <v>81.3</v>
      </c>
      <c r="I264">
        <f>表1_4[[#This Row],[主队2]]-表1_4[[#This Row],[客队2]]</f>
        <v>3.9000000000000101</v>
      </c>
      <c r="J26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264" s="35" t="s">
        <v>81</v>
      </c>
      <c r="L26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264" s="63" t="s">
        <v>761</v>
      </c>
      <c r="N264" s="10" t="s">
        <v>119</v>
      </c>
      <c r="O264" s="10" t="s">
        <v>143</v>
      </c>
      <c r="P264" s="9">
        <v>-8</v>
      </c>
      <c r="U264" s="246"/>
      <c r="V264" s="85" t="s">
        <v>762</v>
      </c>
      <c r="W264" s="86"/>
      <c r="X264" s="41"/>
    </row>
    <row r="265" spans="1:25" ht="13.5" customHeight="1">
      <c r="A265" t="s">
        <v>222</v>
      </c>
      <c r="B265" s="4">
        <v>43019.333333333299</v>
      </c>
      <c r="C265" s="1" t="s">
        <v>652</v>
      </c>
      <c r="D265" s="6" t="s">
        <v>235</v>
      </c>
      <c r="E265" s="42" t="s">
        <v>29</v>
      </c>
      <c r="F265" t="s">
        <v>229</v>
      </c>
      <c r="G265" s="32">
        <v>76.3</v>
      </c>
      <c r="H265" s="32">
        <v>87.8</v>
      </c>
      <c r="I265">
        <f>表1_4[[#This Row],[主队2]]-表1_4[[#This Row],[客队2]]</f>
        <v>-11.5</v>
      </c>
      <c r="J26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265" s="35" t="s">
        <v>182</v>
      </c>
      <c r="L26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265" s="11"/>
      <c r="N265" s="10" t="s">
        <v>119</v>
      </c>
      <c r="O265" s="10" t="s">
        <v>65</v>
      </c>
      <c r="P265" s="9">
        <v>-11</v>
      </c>
      <c r="U265" s="246" t="s">
        <v>167</v>
      </c>
      <c r="V265" s="247" t="s">
        <v>699</v>
      </c>
      <c r="W265" s="86"/>
      <c r="X265" s="41"/>
    </row>
    <row r="266" spans="1:25" ht="13.5" customHeight="1">
      <c r="A266" t="s">
        <v>222</v>
      </c>
      <c r="B266" s="4">
        <v>43019.333333333299</v>
      </c>
      <c r="C266" s="14" t="s">
        <v>654</v>
      </c>
      <c r="D266" s="6" t="s">
        <v>224</v>
      </c>
      <c r="E266" s="42" t="s">
        <v>33</v>
      </c>
      <c r="F266" t="s">
        <v>234</v>
      </c>
      <c r="G266" s="32">
        <v>67.099999999999994</v>
      </c>
      <c r="H266" s="32">
        <v>82.9</v>
      </c>
      <c r="I266">
        <f>表1_4[[#This Row],[主队2]]-表1_4[[#This Row],[客队2]]</f>
        <v>-15.8</v>
      </c>
      <c r="J26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266" s="35" t="s">
        <v>219</v>
      </c>
      <c r="L26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66" s="63" t="s">
        <v>763</v>
      </c>
      <c r="N266" s="46" t="s">
        <v>112</v>
      </c>
      <c r="O266" s="10" t="s">
        <v>46</v>
      </c>
      <c r="P266" s="9">
        <v>11</v>
      </c>
      <c r="T266" s="232"/>
      <c r="U266" s="25"/>
      <c r="V266" s="24" t="s">
        <v>764</v>
      </c>
      <c r="W266" s="86"/>
      <c r="X266" s="41"/>
    </row>
    <row r="267" spans="1:25" ht="13.5" customHeight="1">
      <c r="A267" t="s">
        <v>222</v>
      </c>
      <c r="B267" s="4">
        <v>43019.333333333299</v>
      </c>
      <c r="C267" s="14" t="s">
        <v>656</v>
      </c>
      <c r="D267" s="6" t="s">
        <v>225</v>
      </c>
      <c r="E267" s="42" t="s">
        <v>33</v>
      </c>
      <c r="F267" t="s">
        <v>230</v>
      </c>
      <c r="G267" s="32">
        <v>76.7</v>
      </c>
      <c r="H267" s="32">
        <v>80.2</v>
      </c>
      <c r="I267">
        <f>表1_4[[#This Row],[主队2]]-表1_4[[#This Row],[客队2]]</f>
        <v>-3.5</v>
      </c>
      <c r="J26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267" s="35" t="s">
        <v>118</v>
      </c>
      <c r="L267" s="36" t="s">
        <v>765</v>
      </c>
      <c r="M267" s="11"/>
      <c r="N267" s="10" t="s">
        <v>119</v>
      </c>
      <c r="O267" s="10" t="s">
        <v>48</v>
      </c>
      <c r="P267" s="9">
        <v>-21</v>
      </c>
      <c r="U267" s="246" t="s">
        <v>641</v>
      </c>
      <c r="V267" s="247" t="s">
        <v>766</v>
      </c>
      <c r="W267" s="40"/>
      <c r="X267" s="41"/>
    </row>
    <row r="268" spans="1:25" ht="13.5" customHeight="1">
      <c r="A268" t="s">
        <v>107</v>
      </c>
      <c r="B268" s="4">
        <v>43019</v>
      </c>
      <c r="C268" s="5" t="s">
        <v>357</v>
      </c>
      <c r="D268" s="6" t="s">
        <v>353</v>
      </c>
      <c r="E268" s="31" t="s">
        <v>36</v>
      </c>
      <c r="F268" t="s">
        <v>151</v>
      </c>
      <c r="G268" s="32">
        <v>83</v>
      </c>
      <c r="H268" s="32">
        <v>81.099999999999994</v>
      </c>
      <c r="I268">
        <f>表1_4[[#This Row],[主队2]]-表1_4[[#This Row],[客队2]]</f>
        <v>1.9000000000000099</v>
      </c>
      <c r="J26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268" s="35" t="s">
        <v>289</v>
      </c>
      <c r="L26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68" s="11"/>
      <c r="N268" s="10" t="s">
        <v>119</v>
      </c>
      <c r="O268" s="10" t="s">
        <v>28</v>
      </c>
      <c r="P268" s="9">
        <v>-8</v>
      </c>
      <c r="T268" s="232"/>
      <c r="U268" s="25"/>
      <c r="V268" s="24" t="s">
        <v>767</v>
      </c>
      <c r="W268" s="38"/>
      <c r="X268" s="41"/>
    </row>
    <row r="269" spans="1:25" ht="13.5" customHeight="1">
      <c r="A269" t="s">
        <v>107</v>
      </c>
      <c r="B269" s="97">
        <v>43049.09375</v>
      </c>
      <c r="C269" s="5" t="s">
        <v>169</v>
      </c>
      <c r="D269" s="6" t="s">
        <v>305</v>
      </c>
      <c r="E269" s="42" t="s">
        <v>22</v>
      </c>
      <c r="F269" t="s">
        <v>190</v>
      </c>
      <c r="G269" s="32">
        <v>81</v>
      </c>
      <c r="H269" s="32">
        <v>82</v>
      </c>
      <c r="I269">
        <f>表1_4[[#This Row],[主队2]]-表1_4[[#This Row],[客队2]]</f>
        <v>-1</v>
      </c>
      <c r="J26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269" s="35" t="s">
        <v>166</v>
      </c>
      <c r="L26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69" s="11"/>
      <c r="N269" s="10" t="s">
        <v>112</v>
      </c>
      <c r="O269" s="10" t="s">
        <v>48</v>
      </c>
      <c r="P269" s="9">
        <v>2</v>
      </c>
      <c r="U269" s="25"/>
      <c r="V269" s="24" t="s">
        <v>768</v>
      </c>
      <c r="W269" s="40"/>
      <c r="X269" s="41"/>
    </row>
    <row r="270" spans="1:25" ht="13.5" customHeight="1">
      <c r="A270" t="s">
        <v>188</v>
      </c>
      <c r="B270" s="4">
        <v>43049.15625</v>
      </c>
      <c r="C270" s="5" t="s">
        <v>140</v>
      </c>
      <c r="D270" s="6" t="s">
        <v>296</v>
      </c>
      <c r="E270" s="49" t="s">
        <v>53</v>
      </c>
      <c r="F270" t="s">
        <v>250</v>
      </c>
      <c r="G270" s="32">
        <v>77.5</v>
      </c>
      <c r="H270" s="32">
        <v>84.2</v>
      </c>
      <c r="I270">
        <f>表1_4[[#This Row],[主队2]]-表1_4[[#This Row],[客队2]]</f>
        <v>-6.7</v>
      </c>
      <c r="J27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270" s="35" t="s">
        <v>152</v>
      </c>
      <c r="L27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70" s="11"/>
      <c r="N270" s="10" t="s">
        <v>119</v>
      </c>
      <c r="O270" s="10" t="s">
        <v>51</v>
      </c>
      <c r="P270" s="9">
        <v>9</v>
      </c>
      <c r="U270" s="246"/>
      <c r="V270" s="251" t="s">
        <v>769</v>
      </c>
      <c r="W270" s="38"/>
      <c r="X270" s="41"/>
    </row>
    <row r="271" spans="1:25" ht="13.5" customHeight="1">
      <c r="A271" t="s">
        <v>188</v>
      </c>
      <c r="B271" s="4">
        <v>43049.15625</v>
      </c>
      <c r="C271" s="5" t="s">
        <v>145</v>
      </c>
      <c r="D271" s="6" t="s">
        <v>110</v>
      </c>
      <c r="E271" s="42" t="s">
        <v>43</v>
      </c>
      <c r="F271" t="s">
        <v>275</v>
      </c>
      <c r="G271" s="32">
        <v>89.1</v>
      </c>
      <c r="H271" s="32">
        <v>81.400000000000006</v>
      </c>
      <c r="I271">
        <f>表1_4[[#This Row],[主队2]]-表1_4[[#This Row],[客队2]]</f>
        <v>7.6999999999999904</v>
      </c>
      <c r="J27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271" s="35" t="s">
        <v>176</v>
      </c>
      <c r="L27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71" s="11"/>
      <c r="N271" s="10" t="s">
        <v>112</v>
      </c>
      <c r="O271" s="10" t="s">
        <v>65</v>
      </c>
      <c r="P271" s="9">
        <v>-15</v>
      </c>
      <c r="U271" s="25"/>
      <c r="V271" s="84" t="s">
        <v>770</v>
      </c>
      <c r="W271" s="244"/>
      <c r="X271" s="41"/>
    </row>
    <row r="272" spans="1:25" ht="13.5" customHeight="1">
      <c r="A272" t="s">
        <v>107</v>
      </c>
      <c r="B272" s="4">
        <v>43049.15625</v>
      </c>
      <c r="C272" s="5" t="s">
        <v>179</v>
      </c>
      <c r="D272" s="6" t="s">
        <v>123</v>
      </c>
      <c r="E272" s="256" t="s">
        <v>53</v>
      </c>
      <c r="F272" s="105" t="s">
        <v>262</v>
      </c>
      <c r="G272" s="32">
        <v>80.5</v>
      </c>
      <c r="H272" s="32">
        <v>91.5</v>
      </c>
      <c r="I272">
        <f>表1_4[[#This Row],[主队2]]-表1_4[[#This Row],[客队2]]</f>
        <v>-11</v>
      </c>
      <c r="J27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272" s="35" t="s">
        <v>152</v>
      </c>
      <c r="L27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72" s="11"/>
      <c r="N272" s="46" t="s">
        <v>112</v>
      </c>
      <c r="O272" s="10" t="s">
        <v>48</v>
      </c>
      <c r="P272" s="9">
        <v>11</v>
      </c>
      <c r="U272" s="25"/>
      <c r="V272" s="95" t="s">
        <v>771</v>
      </c>
      <c r="W272" s="40"/>
      <c r="X272" s="93" t="s">
        <v>772</v>
      </c>
      <c r="Y272" s="70">
        <v>96</v>
      </c>
    </row>
    <row r="273" spans="1:25" ht="13.5" customHeight="1">
      <c r="A273" t="s">
        <v>107</v>
      </c>
      <c r="B273" s="4">
        <v>43049.791666666701</v>
      </c>
      <c r="C273" s="1" t="s">
        <v>367</v>
      </c>
      <c r="D273" s="6" t="s">
        <v>185</v>
      </c>
      <c r="E273" s="42" t="s">
        <v>33</v>
      </c>
      <c r="F273" t="s">
        <v>158</v>
      </c>
      <c r="G273" s="32">
        <v>78.2</v>
      </c>
      <c r="H273" s="32">
        <v>91.4</v>
      </c>
      <c r="I273">
        <f>表1_4[[#This Row],[主队2]]-表1_4[[#This Row],[客队2]]</f>
        <v>-13.2</v>
      </c>
      <c r="J27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273" s="35" t="s">
        <v>152</v>
      </c>
      <c r="L27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273" s="11"/>
      <c r="N273" s="10" t="s">
        <v>112</v>
      </c>
      <c r="O273" s="10" t="s">
        <v>32</v>
      </c>
      <c r="P273" s="9">
        <v>4</v>
      </c>
      <c r="U273" s="25"/>
      <c r="V273" s="24" t="s">
        <v>773</v>
      </c>
      <c r="W273" s="40"/>
      <c r="X273" s="261" t="s">
        <v>774</v>
      </c>
      <c r="Y273" s="106">
        <v>96</v>
      </c>
    </row>
    <row r="274" spans="1:25" ht="13.5" customHeight="1">
      <c r="A274" t="s">
        <v>107</v>
      </c>
      <c r="B274" s="4">
        <v>43049.815972222197</v>
      </c>
      <c r="C274" s="5" t="s">
        <v>370</v>
      </c>
      <c r="D274" s="6" t="s">
        <v>109</v>
      </c>
      <c r="E274" s="256" t="s">
        <v>47</v>
      </c>
      <c r="F274" t="s">
        <v>434</v>
      </c>
      <c r="G274" s="32">
        <v>73.5</v>
      </c>
      <c r="H274" s="32">
        <v>83.4</v>
      </c>
      <c r="I274">
        <f>表1_4[[#This Row],[主队2]]-表1_4[[#This Row],[客队2]]</f>
        <v>-9.9000000000000092</v>
      </c>
      <c r="J27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274" s="35" t="s">
        <v>152</v>
      </c>
      <c r="L27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74" s="11"/>
      <c r="N274" s="46" t="s">
        <v>160</v>
      </c>
      <c r="O274" s="10" t="s">
        <v>46</v>
      </c>
      <c r="P274" s="9">
        <v>-9</v>
      </c>
      <c r="T274" s="232"/>
      <c r="U274" s="25" t="s">
        <v>448</v>
      </c>
      <c r="V274" s="245" t="s">
        <v>775</v>
      </c>
      <c r="W274" s="40" t="s">
        <v>280</v>
      </c>
      <c r="X274" s="249" t="s">
        <v>187</v>
      </c>
      <c r="Y274" s="61">
        <v>82</v>
      </c>
    </row>
    <row r="275" spans="1:25" ht="13.5" customHeight="1">
      <c r="A275" t="s">
        <v>107</v>
      </c>
      <c r="B275" s="4">
        <v>43049.833333333299</v>
      </c>
      <c r="C275" s="1" t="s">
        <v>189</v>
      </c>
      <c r="D275" s="6" t="s">
        <v>171</v>
      </c>
      <c r="E275" s="256" t="s">
        <v>74</v>
      </c>
      <c r="F275" t="s">
        <v>147</v>
      </c>
      <c r="G275" s="32">
        <v>100.2</v>
      </c>
      <c r="H275" s="32">
        <v>81.7</v>
      </c>
      <c r="I275">
        <f>表1_4[[#This Row],[主队2]]-表1_4[[#This Row],[客队2]]</f>
        <v>18.5</v>
      </c>
      <c r="J275" s="35" t="s">
        <v>63</v>
      </c>
      <c r="K275" s="35" t="s">
        <v>81</v>
      </c>
      <c r="L27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75" s="11"/>
      <c r="N275" s="10" t="s">
        <v>112</v>
      </c>
      <c r="O275" s="10" t="s">
        <v>143</v>
      </c>
      <c r="P275" s="9">
        <v>-20</v>
      </c>
      <c r="U275" s="25" t="s">
        <v>776</v>
      </c>
      <c r="V275" s="262" t="s">
        <v>399</v>
      </c>
      <c r="W275" s="86"/>
      <c r="X275" s="41"/>
    </row>
    <row r="276" spans="1:25" ht="13.5" customHeight="1">
      <c r="A276" t="s">
        <v>107</v>
      </c>
      <c r="B276" s="4">
        <v>43050.083333333299</v>
      </c>
      <c r="C276" s="5" t="s">
        <v>216</v>
      </c>
      <c r="D276" s="6" t="s">
        <v>214</v>
      </c>
      <c r="E276" s="42" t="s">
        <v>33</v>
      </c>
      <c r="F276" t="s">
        <v>425</v>
      </c>
      <c r="G276" s="32">
        <v>82.4</v>
      </c>
      <c r="H276" s="32">
        <v>83</v>
      </c>
      <c r="I276">
        <f>表1_4[[#This Row],[主队2]]-表1_4[[#This Row],[客队2]]</f>
        <v>-0.59999999999999398</v>
      </c>
      <c r="J27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276" s="35" t="s">
        <v>289</v>
      </c>
      <c r="L27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76" s="11"/>
      <c r="N276" s="10" t="s">
        <v>119</v>
      </c>
      <c r="O276" s="10" t="s">
        <v>143</v>
      </c>
      <c r="P276" s="9">
        <v>4</v>
      </c>
      <c r="T276" s="232"/>
      <c r="U276" s="246" t="s">
        <v>167</v>
      </c>
      <c r="V276" s="251" t="s">
        <v>777</v>
      </c>
      <c r="W276" s="71"/>
      <c r="X276" s="41"/>
    </row>
    <row r="277" spans="1:25" ht="13.5" customHeight="1">
      <c r="A277" t="s">
        <v>107</v>
      </c>
      <c r="B277" s="4">
        <v>43050.15625</v>
      </c>
      <c r="C277" s="5" t="s">
        <v>778</v>
      </c>
      <c r="D277" s="6" t="s">
        <v>302</v>
      </c>
      <c r="E277" s="31" t="s">
        <v>42</v>
      </c>
      <c r="F277" t="s">
        <v>170</v>
      </c>
      <c r="G277" s="32">
        <v>87.3</v>
      </c>
      <c r="H277" s="32">
        <v>90</v>
      </c>
      <c r="I277">
        <f>表1_4[[#This Row],[主队2]]-表1_4[[#This Row],[客队2]]</f>
        <v>-2.7</v>
      </c>
      <c r="J27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277" s="35" t="s">
        <v>166</v>
      </c>
      <c r="L27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77" s="11"/>
      <c r="N277" s="10" t="s">
        <v>119</v>
      </c>
      <c r="O277" s="10" t="s">
        <v>46</v>
      </c>
      <c r="P277" s="9">
        <v>12</v>
      </c>
      <c r="U277" s="25"/>
      <c r="V277" s="24" t="s">
        <v>779</v>
      </c>
      <c r="W277" s="38"/>
      <c r="X277" s="41"/>
    </row>
    <row r="278" spans="1:25" ht="13.5" customHeight="1">
      <c r="A278" t="s">
        <v>107</v>
      </c>
      <c r="B278" s="4">
        <v>43050.15625</v>
      </c>
      <c r="C278" s="14" t="s">
        <v>228</v>
      </c>
      <c r="D278" s="6" t="s">
        <v>274</v>
      </c>
      <c r="E278" s="31" t="s">
        <v>66</v>
      </c>
      <c r="F278" t="s">
        <v>229</v>
      </c>
      <c r="G278" s="32">
        <v>90.9</v>
      </c>
      <c r="H278" s="32">
        <v>87.3</v>
      </c>
      <c r="I278">
        <f>表1_4[[#This Row],[主队2]]-表1_4[[#This Row],[客队2]]</f>
        <v>3.6000000000000099</v>
      </c>
      <c r="J27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278" s="35" t="s">
        <v>176</v>
      </c>
      <c r="L27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278" s="11"/>
      <c r="N278" s="10" t="s">
        <v>112</v>
      </c>
      <c r="O278" s="10" t="s">
        <v>143</v>
      </c>
      <c r="P278" s="9">
        <v>-7</v>
      </c>
      <c r="U278" s="255" t="s">
        <v>167</v>
      </c>
      <c r="V278" s="24" t="s">
        <v>780</v>
      </c>
      <c r="W278" s="40"/>
      <c r="X278" s="41"/>
    </row>
    <row r="279" spans="1:25" ht="13.5" customHeight="1">
      <c r="A279" t="s">
        <v>188</v>
      </c>
      <c r="B279" s="4">
        <v>43050.15625</v>
      </c>
      <c r="C279" s="30" t="s">
        <v>233</v>
      </c>
      <c r="D279" s="6" t="s">
        <v>239</v>
      </c>
      <c r="E279" s="42" t="s">
        <v>31</v>
      </c>
      <c r="F279" t="s">
        <v>204</v>
      </c>
      <c r="G279" s="32">
        <v>87.1</v>
      </c>
      <c r="H279" s="32">
        <v>88.8</v>
      </c>
      <c r="I279">
        <f>表1_4[[#This Row],[主队2]]-表1_4[[#This Row],[客队2]]</f>
        <v>-1.7</v>
      </c>
      <c r="J27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279" s="35" t="s">
        <v>152</v>
      </c>
      <c r="L279" s="36" t="s">
        <v>183</v>
      </c>
      <c r="M279" s="11"/>
      <c r="N279" s="10" t="s">
        <v>119</v>
      </c>
      <c r="O279" s="10" t="s">
        <v>143</v>
      </c>
      <c r="P279" s="9">
        <v>16</v>
      </c>
      <c r="U279" s="83"/>
      <c r="V279" s="247" t="s">
        <v>781</v>
      </c>
      <c r="W279" s="38"/>
      <c r="X279" s="41"/>
    </row>
    <row r="280" spans="1:25" ht="13.5" customHeight="1">
      <c r="A280" t="s">
        <v>107</v>
      </c>
      <c r="B280" s="4">
        <v>43050.166666666701</v>
      </c>
      <c r="C280" s="1" t="s">
        <v>523</v>
      </c>
      <c r="D280" s="6" t="s">
        <v>117</v>
      </c>
      <c r="E280" s="31" t="s">
        <v>42</v>
      </c>
      <c r="F280" t="s">
        <v>116</v>
      </c>
      <c r="G280" s="32">
        <v>88.9</v>
      </c>
      <c r="H280" s="32">
        <v>99.8</v>
      </c>
      <c r="I280">
        <f>表1_4[[#This Row],[主队2]]-表1_4[[#This Row],[客队2]]</f>
        <v>-10.9</v>
      </c>
      <c r="J28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280" s="35" t="s">
        <v>152</v>
      </c>
      <c r="L28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80" s="11"/>
      <c r="N280" s="10" t="s">
        <v>112</v>
      </c>
      <c r="O280" s="46" t="s">
        <v>24</v>
      </c>
      <c r="P280" s="9">
        <v>13</v>
      </c>
      <c r="U280" s="25"/>
      <c r="V280" s="24" t="s">
        <v>782</v>
      </c>
      <c r="W280" s="40"/>
      <c r="X280" s="93" t="s">
        <v>783</v>
      </c>
      <c r="Y280" s="250">
        <v>94</v>
      </c>
    </row>
    <row r="281" spans="1:25" ht="13.5" customHeight="1">
      <c r="A281" t="s">
        <v>107</v>
      </c>
      <c r="B281" s="4">
        <v>43050.166666666701</v>
      </c>
      <c r="C281" s="14" t="s">
        <v>527</v>
      </c>
      <c r="D281" s="6" t="s">
        <v>267</v>
      </c>
      <c r="E281" s="42" t="s">
        <v>22</v>
      </c>
      <c r="F281" t="s">
        <v>200</v>
      </c>
      <c r="G281" s="32">
        <v>92.5</v>
      </c>
      <c r="H281" s="32">
        <v>80.2</v>
      </c>
      <c r="I281">
        <f>表1_4[[#This Row],[主队2]]-表1_4[[#This Row],[客队2]]</f>
        <v>12.3</v>
      </c>
      <c r="J28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281" s="35" t="s">
        <v>81</v>
      </c>
      <c r="L28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81" s="63" t="s">
        <v>784</v>
      </c>
      <c r="N281" s="10" t="s">
        <v>112</v>
      </c>
      <c r="O281" s="10" t="s">
        <v>48</v>
      </c>
      <c r="P281" s="9">
        <v>-13</v>
      </c>
      <c r="U281" s="25"/>
      <c r="V281" s="24" t="s">
        <v>785</v>
      </c>
      <c r="W281" s="40"/>
      <c r="X281" s="41"/>
    </row>
    <row r="282" spans="1:25" ht="13.5" customHeight="1">
      <c r="A282" t="s">
        <v>107</v>
      </c>
      <c r="B282" s="4">
        <v>43050.197916666701</v>
      </c>
      <c r="C282" s="1" t="s">
        <v>529</v>
      </c>
      <c r="D282" s="6" t="s">
        <v>270</v>
      </c>
      <c r="E282" s="42" t="s">
        <v>44</v>
      </c>
      <c r="F282" t="s">
        <v>138</v>
      </c>
      <c r="G282" s="32">
        <v>92</v>
      </c>
      <c r="H282" s="32">
        <v>74.2</v>
      </c>
      <c r="I282">
        <f>表1_4[[#This Row],[主队2]]-表1_4[[#This Row],[客队2]]</f>
        <v>17.8</v>
      </c>
      <c r="J28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282" s="35" t="s">
        <v>45</v>
      </c>
      <c r="L28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82" s="11"/>
      <c r="N282" s="10" t="s">
        <v>119</v>
      </c>
      <c r="O282" s="57" t="s">
        <v>24</v>
      </c>
      <c r="P282" s="9">
        <v>-5</v>
      </c>
      <c r="T282" s="232"/>
      <c r="U282" s="246"/>
      <c r="V282" s="247" t="s">
        <v>162</v>
      </c>
      <c r="W282" s="86"/>
      <c r="X282" s="41"/>
    </row>
    <row r="283" spans="1:25" ht="13.5" customHeight="1">
      <c r="A283" t="s">
        <v>222</v>
      </c>
      <c r="B283" s="4">
        <v>43050.25</v>
      </c>
      <c r="C283" s="30" t="s">
        <v>531</v>
      </c>
      <c r="D283" s="6" t="s">
        <v>235</v>
      </c>
      <c r="E283" s="31" t="s">
        <v>42</v>
      </c>
      <c r="F283" t="s">
        <v>142</v>
      </c>
      <c r="G283" s="32">
        <v>76.8</v>
      </c>
      <c r="H283" s="32">
        <v>78.8</v>
      </c>
      <c r="I283">
        <f>表1_4[[#This Row],[主队2]]-表1_4[[#This Row],[客队2]]</f>
        <v>-2</v>
      </c>
      <c r="J28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283" s="35" t="s">
        <v>289</v>
      </c>
      <c r="L283" s="36" t="s">
        <v>636</v>
      </c>
      <c r="M283" s="11"/>
      <c r="N283" s="57" t="s">
        <v>133</v>
      </c>
      <c r="O283" s="10" t="s">
        <v>28</v>
      </c>
      <c r="P283" s="9">
        <v>7</v>
      </c>
      <c r="U283" s="254" t="s">
        <v>167</v>
      </c>
      <c r="V283" s="85" t="s">
        <v>786</v>
      </c>
      <c r="W283" s="244"/>
      <c r="X283" s="41"/>
    </row>
    <row r="284" spans="1:25" ht="13.5" customHeight="1">
      <c r="A284" t="s">
        <v>107</v>
      </c>
      <c r="B284" s="68">
        <v>43050.875</v>
      </c>
      <c r="C284" s="30" t="s">
        <v>424</v>
      </c>
      <c r="D284" s="6" t="s">
        <v>353</v>
      </c>
      <c r="E284" s="256" t="s">
        <v>53</v>
      </c>
      <c r="F284" t="s">
        <v>174</v>
      </c>
      <c r="G284" s="32">
        <v>82.7</v>
      </c>
      <c r="H284" s="32">
        <v>97</v>
      </c>
      <c r="I284">
        <f>表1_4[[#This Row],[主队2]]-表1_4[[#This Row],[客队2]]</f>
        <v>-14.3</v>
      </c>
      <c r="J28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284" s="35" t="s">
        <v>132</v>
      </c>
      <c r="L28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284" s="63" t="s">
        <v>787</v>
      </c>
      <c r="N284" s="10" t="s">
        <v>112</v>
      </c>
      <c r="O284" s="10" t="s">
        <v>24</v>
      </c>
      <c r="P284" s="9">
        <v>4</v>
      </c>
      <c r="U284" s="25"/>
      <c r="V284" s="24" t="s">
        <v>788</v>
      </c>
      <c r="W284" s="40"/>
      <c r="X284" s="41"/>
    </row>
    <row r="285" spans="1:25" ht="13.5" customHeight="1">
      <c r="A285" t="s">
        <v>188</v>
      </c>
      <c r="B285" s="4">
        <v>43051.15625</v>
      </c>
      <c r="C285" s="1" t="s">
        <v>563</v>
      </c>
      <c r="D285" s="6" t="s">
        <v>306</v>
      </c>
      <c r="E285" s="31" t="s">
        <v>42</v>
      </c>
      <c r="F285" t="s">
        <v>199</v>
      </c>
      <c r="G285" s="32">
        <v>84.3</v>
      </c>
      <c r="H285" s="32">
        <v>83.1</v>
      </c>
      <c r="I285">
        <f>表1_4[[#This Row],[主队2]]-表1_4[[#This Row],[客队2]]</f>
        <v>1.2</v>
      </c>
      <c r="J28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285" s="35" t="s">
        <v>289</v>
      </c>
      <c r="L28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85" s="11"/>
      <c r="N285" s="10" t="s">
        <v>112</v>
      </c>
      <c r="O285" s="57" t="s">
        <v>24</v>
      </c>
      <c r="P285" s="9">
        <v>4</v>
      </c>
      <c r="U285" s="25"/>
      <c r="V285" s="91" t="s">
        <v>789</v>
      </c>
      <c r="W285" s="244"/>
      <c r="X285" s="41"/>
    </row>
    <row r="286" spans="1:25" ht="13.5" customHeight="1">
      <c r="A286" t="s">
        <v>107</v>
      </c>
      <c r="B286" s="4">
        <v>43051.1875</v>
      </c>
      <c r="C286" s="5" t="s">
        <v>567</v>
      </c>
      <c r="D286" s="6" t="s">
        <v>209</v>
      </c>
      <c r="E286" s="42" t="s">
        <v>57</v>
      </c>
      <c r="F286" t="s">
        <v>230</v>
      </c>
      <c r="G286" s="32">
        <v>98.2</v>
      </c>
      <c r="H286" s="32">
        <v>80</v>
      </c>
      <c r="I286">
        <f>表1_4[[#This Row],[主队2]]-表1_4[[#This Row],[客队2]]</f>
        <v>18.2</v>
      </c>
      <c r="J28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286" s="35" t="s">
        <v>45</v>
      </c>
      <c r="L28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286" s="11"/>
      <c r="N286" s="10" t="s">
        <v>112</v>
      </c>
      <c r="O286" s="10" t="s">
        <v>65</v>
      </c>
      <c r="P286" s="9" t="s">
        <v>161</v>
      </c>
      <c r="U286" s="25"/>
      <c r="V286" s="24" t="s">
        <v>790</v>
      </c>
      <c r="W286" s="40"/>
      <c r="X286" s="41"/>
    </row>
    <row r="287" spans="1:25" ht="13.5" customHeight="1">
      <c r="A287" t="s">
        <v>188</v>
      </c>
      <c r="B287" s="4">
        <v>43052.041666666701</v>
      </c>
      <c r="C287" s="5" t="s">
        <v>428</v>
      </c>
      <c r="D287" s="6" t="s">
        <v>250</v>
      </c>
      <c r="E287" s="31" t="s">
        <v>42</v>
      </c>
      <c r="F287" t="s">
        <v>296</v>
      </c>
      <c r="G287" s="32">
        <v>84.9</v>
      </c>
      <c r="H287" s="32">
        <v>76.8</v>
      </c>
      <c r="I287">
        <f>表1_4[[#This Row],[主队2]]-表1_4[[#This Row],[客队2]]</f>
        <v>8.1000000000000103</v>
      </c>
      <c r="J28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287" s="35" t="s">
        <v>125</v>
      </c>
      <c r="L28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87" s="11"/>
      <c r="N287" s="10" t="s">
        <v>119</v>
      </c>
      <c r="O287" s="57" t="s">
        <v>35</v>
      </c>
      <c r="P287" s="9">
        <v>-12</v>
      </c>
      <c r="U287" s="83" t="s">
        <v>791</v>
      </c>
      <c r="V287" s="85" t="s">
        <v>792</v>
      </c>
      <c r="W287" s="71"/>
      <c r="X287" s="41"/>
    </row>
    <row r="288" spans="1:25" ht="13.5" customHeight="1">
      <c r="A288" t="s">
        <v>188</v>
      </c>
      <c r="B288" s="4">
        <v>43052.15625</v>
      </c>
      <c r="C288" s="1" t="s">
        <v>300</v>
      </c>
      <c r="D288" s="6" t="s">
        <v>275</v>
      </c>
      <c r="E288" s="31" t="s">
        <v>42</v>
      </c>
      <c r="F288" t="s">
        <v>110</v>
      </c>
      <c r="G288" s="32">
        <v>80.099999999999994</v>
      </c>
      <c r="H288" s="32">
        <v>90.3</v>
      </c>
      <c r="I288">
        <f>表1_4[[#This Row],[主队2]]-表1_4[[#This Row],[客队2]]</f>
        <v>-10.199999999999999</v>
      </c>
      <c r="J28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288" s="35" t="s">
        <v>152</v>
      </c>
      <c r="L28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88" s="11"/>
      <c r="N288" s="10" t="s">
        <v>112</v>
      </c>
      <c r="O288" s="46" t="s">
        <v>48</v>
      </c>
      <c r="P288" s="9">
        <v>8</v>
      </c>
      <c r="T288" s="232"/>
      <c r="U288" s="255"/>
      <c r="V288" s="84" t="s">
        <v>793</v>
      </c>
      <c r="W288" s="71"/>
      <c r="X288" s="93" t="s">
        <v>536</v>
      </c>
      <c r="Y288" s="70">
        <v>102</v>
      </c>
    </row>
    <row r="289" spans="1:24" ht="13.5" customHeight="1">
      <c r="A289" t="s">
        <v>107</v>
      </c>
      <c r="B289" s="4">
        <v>43053.15625</v>
      </c>
      <c r="C289" s="5" t="s">
        <v>382</v>
      </c>
      <c r="D289" s="6" t="s">
        <v>302</v>
      </c>
      <c r="E289" s="256" t="s">
        <v>53</v>
      </c>
      <c r="F289" t="s">
        <v>229</v>
      </c>
      <c r="G289" s="32">
        <v>87.1</v>
      </c>
      <c r="H289" s="32">
        <v>87.8</v>
      </c>
      <c r="I289">
        <f>表1_4[[#This Row],[主队2]]-表1_4[[#This Row],[客队2]]</f>
        <v>-0.70000000000000295</v>
      </c>
      <c r="J28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289" s="35" t="s">
        <v>166</v>
      </c>
      <c r="L28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89" s="11"/>
      <c r="N289" s="10" t="s">
        <v>119</v>
      </c>
      <c r="O289" s="57" t="s">
        <v>51</v>
      </c>
      <c r="P289" s="9">
        <v>-13</v>
      </c>
      <c r="U289" s="83"/>
      <c r="V289" s="85" t="s">
        <v>794</v>
      </c>
      <c r="W289" s="86"/>
      <c r="X289" s="41"/>
    </row>
    <row r="290" spans="1:24" ht="13.5" customHeight="1">
      <c r="A290" t="s">
        <v>188</v>
      </c>
      <c r="B290" s="4">
        <v>43053.15625</v>
      </c>
      <c r="C290" s="5" t="s">
        <v>605</v>
      </c>
      <c r="D290" s="240" t="s">
        <v>204</v>
      </c>
      <c r="E290" s="31" t="s">
        <v>42</v>
      </c>
      <c r="F290" t="s">
        <v>239</v>
      </c>
      <c r="G290" s="32">
        <v>88.3</v>
      </c>
      <c r="H290" s="32">
        <v>87.6</v>
      </c>
      <c r="I290">
        <f>表1_4[[#This Row],[主队2]]-表1_4[[#This Row],[客队2]]</f>
        <v>0.70000000000000295</v>
      </c>
      <c r="J29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290" s="35" t="s">
        <v>176</v>
      </c>
      <c r="L29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290" s="11"/>
      <c r="N290" s="10" t="s">
        <v>119</v>
      </c>
      <c r="O290" s="10" t="s">
        <v>46</v>
      </c>
      <c r="P290" s="9">
        <v>-16</v>
      </c>
      <c r="T290" s="232"/>
      <c r="U290" s="83"/>
      <c r="V290" s="247" t="s">
        <v>795</v>
      </c>
      <c r="W290" s="86" t="s">
        <v>577</v>
      </c>
      <c r="X290" s="41"/>
    </row>
    <row r="291" spans="1:24" ht="13.5" customHeight="1">
      <c r="A291" t="s">
        <v>107</v>
      </c>
      <c r="B291" s="4">
        <v>43053.791666666701</v>
      </c>
      <c r="C291" s="1" t="s">
        <v>312</v>
      </c>
      <c r="D291" s="6" t="s">
        <v>185</v>
      </c>
      <c r="E291" s="31" t="s">
        <v>36</v>
      </c>
      <c r="F291" t="s">
        <v>434</v>
      </c>
      <c r="G291" s="32">
        <v>78.7</v>
      </c>
      <c r="H291" s="32">
        <v>83.9</v>
      </c>
      <c r="I291">
        <f>表1_4[[#This Row],[主队2]]-表1_4[[#This Row],[客队2]]</f>
        <v>-5.2</v>
      </c>
      <c r="J29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291" s="35" t="s">
        <v>166</v>
      </c>
      <c r="L29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91" s="11"/>
      <c r="N291" s="10" t="s">
        <v>119</v>
      </c>
      <c r="O291" s="10" t="s">
        <v>65</v>
      </c>
      <c r="P291" s="9">
        <v>-5</v>
      </c>
      <c r="U291" s="246"/>
      <c r="V291" s="251" t="s">
        <v>796</v>
      </c>
      <c r="W291" s="86"/>
      <c r="X291" s="41"/>
    </row>
    <row r="292" spans="1:24">
      <c r="A292" t="s">
        <v>107</v>
      </c>
      <c r="B292" s="4">
        <v>43053.815972222197</v>
      </c>
      <c r="C292" s="263" t="s">
        <v>315</v>
      </c>
      <c r="D292" s="6" t="s">
        <v>109</v>
      </c>
      <c r="E292" s="256" t="s">
        <v>61</v>
      </c>
      <c r="F292" t="s">
        <v>158</v>
      </c>
      <c r="G292" s="32">
        <v>73</v>
      </c>
      <c r="H292" s="32">
        <v>90.9</v>
      </c>
      <c r="I292">
        <f>表1_4[[#This Row],[主队2]]-表1_4[[#This Row],[客队2]]</f>
        <v>-17.899999999999999</v>
      </c>
      <c r="J29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292" s="35" t="s">
        <v>245</v>
      </c>
      <c r="L29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92" s="63" t="s">
        <v>797</v>
      </c>
      <c r="N292" s="10" t="s">
        <v>119</v>
      </c>
      <c r="O292" s="10" t="s">
        <v>143</v>
      </c>
      <c r="P292" s="9">
        <v>-23</v>
      </c>
      <c r="T292" s="232"/>
      <c r="U292" s="246"/>
      <c r="V292" s="24" t="s">
        <v>798</v>
      </c>
      <c r="W292" s="38"/>
      <c r="X292" s="41"/>
    </row>
    <row r="293" spans="1:24" ht="13.5" customHeight="1">
      <c r="A293" t="s">
        <v>107</v>
      </c>
      <c r="B293" s="4">
        <v>43054.020833333299</v>
      </c>
      <c r="C293" s="30" t="s">
        <v>322</v>
      </c>
      <c r="D293" s="6" t="s">
        <v>150</v>
      </c>
      <c r="E293" s="31" t="s">
        <v>36</v>
      </c>
      <c r="F293" t="s">
        <v>218</v>
      </c>
      <c r="G293" s="32">
        <v>67.099999999999994</v>
      </c>
      <c r="H293" s="32">
        <v>80.2</v>
      </c>
      <c r="I293">
        <f>表1_4[[#This Row],[主队2]]-表1_4[[#This Row],[客队2]]</f>
        <v>-13.1</v>
      </c>
      <c r="J29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293" s="35" t="s">
        <v>111</v>
      </c>
      <c r="L29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93" s="11"/>
      <c r="N293" s="10" t="s">
        <v>119</v>
      </c>
      <c r="O293" s="10" t="s">
        <v>48</v>
      </c>
      <c r="P293" s="9">
        <v>3</v>
      </c>
      <c r="U293" s="83"/>
      <c r="V293" s="85" t="s">
        <v>799</v>
      </c>
      <c r="W293" s="86"/>
      <c r="X293" s="41"/>
    </row>
    <row r="294" spans="1:24" ht="13.5" customHeight="1">
      <c r="A294" t="s">
        <v>107</v>
      </c>
      <c r="B294" s="4">
        <v>43054.041666666701</v>
      </c>
      <c r="C294" s="5" t="s">
        <v>325</v>
      </c>
      <c r="D294" s="6" t="s">
        <v>425</v>
      </c>
      <c r="E294" s="42" t="s">
        <v>31</v>
      </c>
      <c r="F294" t="s">
        <v>297</v>
      </c>
      <c r="G294" s="32">
        <v>82.7</v>
      </c>
      <c r="H294" s="32">
        <v>75.5</v>
      </c>
      <c r="I294">
        <f>表1_4[[#This Row],[主队2]]-表1_4[[#This Row],[客队2]]</f>
        <v>7.2</v>
      </c>
      <c r="J29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294" s="35" t="s">
        <v>289</v>
      </c>
      <c r="L29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94" s="11"/>
      <c r="N294" s="10" t="s">
        <v>119</v>
      </c>
      <c r="O294" s="10" t="s">
        <v>46</v>
      </c>
      <c r="P294" s="9">
        <v>2</v>
      </c>
      <c r="U294" s="246"/>
      <c r="V294" s="75" t="s">
        <v>800</v>
      </c>
      <c r="W294" s="86"/>
      <c r="X294" s="41"/>
    </row>
    <row r="295" spans="1:24">
      <c r="A295" t="s">
        <v>107</v>
      </c>
      <c r="B295" s="68">
        <v>43054.114583333299</v>
      </c>
      <c r="C295" s="263" t="s">
        <v>357</v>
      </c>
      <c r="D295" s="6" t="s">
        <v>353</v>
      </c>
      <c r="E295" s="31" t="s">
        <v>66</v>
      </c>
      <c r="F295" t="s">
        <v>209</v>
      </c>
      <c r="G295" s="32">
        <v>82.7</v>
      </c>
      <c r="H295" s="32">
        <v>98.6</v>
      </c>
      <c r="I295">
        <f>表1_4[[#This Row],[主队2]]-表1_4[[#This Row],[客队2]]</f>
        <v>-15.9</v>
      </c>
      <c r="J29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295" s="35" t="s">
        <v>245</v>
      </c>
      <c r="L29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295" s="11"/>
      <c r="N295" s="57" t="s">
        <v>119</v>
      </c>
      <c r="O295" s="10" t="s">
        <v>46</v>
      </c>
      <c r="P295" s="9">
        <v>-3</v>
      </c>
      <c r="U295" s="246"/>
      <c r="V295" s="251" t="s">
        <v>801</v>
      </c>
      <c r="W295" s="38"/>
      <c r="X295" s="41"/>
    </row>
    <row r="296" spans="1:24" ht="13.5" customHeight="1">
      <c r="A296" t="s">
        <v>107</v>
      </c>
      <c r="B296" s="4">
        <v>43054.125</v>
      </c>
      <c r="C296" s="5" t="s">
        <v>359</v>
      </c>
      <c r="D296" s="6" t="s">
        <v>305</v>
      </c>
      <c r="E296" s="256" t="s">
        <v>64</v>
      </c>
      <c r="F296" t="s">
        <v>262</v>
      </c>
      <c r="G296" s="32">
        <v>81.400000000000006</v>
      </c>
      <c r="H296" s="32">
        <v>91.8</v>
      </c>
      <c r="I296">
        <f>表1_4[[#This Row],[主队2]]-表1_4[[#This Row],[客队2]]</f>
        <v>-10.4</v>
      </c>
      <c r="J29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296" s="35" t="s">
        <v>152</v>
      </c>
      <c r="L29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296" s="11"/>
      <c r="N296" s="10" t="s">
        <v>119</v>
      </c>
      <c r="O296" s="10" t="s">
        <v>24</v>
      </c>
      <c r="P296" s="9">
        <v>7</v>
      </c>
      <c r="U296" s="246"/>
      <c r="V296" s="247" t="s">
        <v>645</v>
      </c>
      <c r="W296" s="86"/>
      <c r="X296" s="41"/>
    </row>
    <row r="297" spans="1:24" ht="13.5" customHeight="1">
      <c r="A297" t="s">
        <v>107</v>
      </c>
      <c r="B297" s="4">
        <v>43054.15625</v>
      </c>
      <c r="C297" s="30" t="s">
        <v>467</v>
      </c>
      <c r="D297" s="6" t="s">
        <v>116</v>
      </c>
      <c r="E297" s="31" t="s">
        <v>25</v>
      </c>
      <c r="F297" t="s">
        <v>267</v>
      </c>
      <c r="G297" s="32">
        <v>99.4</v>
      </c>
      <c r="H297" s="32">
        <v>92.8</v>
      </c>
      <c r="I297">
        <f>表1_4[[#This Row],[主队2]]-表1_4[[#This Row],[客队2]]</f>
        <v>6.6000000000000103</v>
      </c>
      <c r="J297" s="34">
        <v>1</v>
      </c>
      <c r="K297" s="35" t="s">
        <v>182</v>
      </c>
      <c r="L29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297" s="11"/>
      <c r="N297" s="10" t="s">
        <v>119</v>
      </c>
      <c r="O297" s="10" t="s">
        <v>24</v>
      </c>
      <c r="P297" s="9">
        <v>-1</v>
      </c>
      <c r="T297" s="232"/>
      <c r="U297" s="246"/>
      <c r="V297" s="247" t="s">
        <v>162</v>
      </c>
      <c r="W297" s="86"/>
      <c r="X297" s="41"/>
    </row>
    <row r="298" spans="1:24" ht="13.5" customHeight="1">
      <c r="A298" t="s">
        <v>107</v>
      </c>
      <c r="B298" s="4">
        <v>43054.15625</v>
      </c>
      <c r="C298" s="5" t="s">
        <v>746</v>
      </c>
      <c r="D298" s="6" t="s">
        <v>274</v>
      </c>
      <c r="E298" s="42" t="s">
        <v>31</v>
      </c>
      <c r="F298" t="s">
        <v>147</v>
      </c>
      <c r="G298" s="32">
        <v>90.4</v>
      </c>
      <c r="H298" s="32">
        <v>81.400000000000006</v>
      </c>
      <c r="I298">
        <f>表1_4[[#This Row],[主队2]]-表1_4[[#This Row],[客队2]]</f>
        <v>9</v>
      </c>
      <c r="J29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298" s="35" t="s">
        <v>81</v>
      </c>
      <c r="L29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298" s="11"/>
      <c r="N298" s="10" t="s">
        <v>119</v>
      </c>
      <c r="O298" s="10" t="s">
        <v>46</v>
      </c>
      <c r="P298" s="9">
        <v>-5</v>
      </c>
      <c r="T298" s="232"/>
      <c r="U298" s="83"/>
      <c r="V298" s="247" t="s">
        <v>802</v>
      </c>
      <c r="W298" s="86"/>
      <c r="X298" s="41"/>
    </row>
    <row r="299" spans="1:24" ht="13.5" customHeight="1">
      <c r="A299" t="s">
        <v>107</v>
      </c>
      <c r="B299" s="4">
        <v>43054.15625</v>
      </c>
      <c r="C299" s="5" t="s">
        <v>461</v>
      </c>
      <c r="D299" s="6" t="s">
        <v>194</v>
      </c>
      <c r="E299" s="42" t="s">
        <v>33</v>
      </c>
      <c r="F299" t="s">
        <v>170</v>
      </c>
      <c r="G299" s="32">
        <v>78.5</v>
      </c>
      <c r="H299" s="32">
        <v>90.2</v>
      </c>
      <c r="I299">
        <f>表1_4[[#This Row],[主队2]]-表1_4[[#This Row],[客队2]]</f>
        <v>-11.7</v>
      </c>
      <c r="J29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299" s="35" t="s">
        <v>166</v>
      </c>
      <c r="L29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299" s="11"/>
      <c r="N299" s="10" t="s">
        <v>119</v>
      </c>
      <c r="O299" s="10" t="s">
        <v>40</v>
      </c>
      <c r="P299" s="9">
        <v>2</v>
      </c>
      <c r="T299" s="232"/>
      <c r="U299" s="25" t="s">
        <v>803</v>
      </c>
      <c r="V299" s="24" t="s">
        <v>804</v>
      </c>
      <c r="W299" s="86"/>
      <c r="X299" s="41"/>
    </row>
    <row r="300" spans="1:24" ht="13.5" customHeight="1">
      <c r="A300" t="s">
        <v>188</v>
      </c>
      <c r="B300" s="4">
        <v>43054.15625</v>
      </c>
      <c r="C300" s="5" t="s">
        <v>364</v>
      </c>
      <c r="D300" s="6" t="s">
        <v>199</v>
      </c>
      <c r="E300" s="256" t="s">
        <v>76</v>
      </c>
      <c r="F300" t="s">
        <v>306</v>
      </c>
      <c r="G300" s="32">
        <v>83.7</v>
      </c>
      <c r="H300" s="32">
        <v>83.8</v>
      </c>
      <c r="I300">
        <f>表1_4[[#This Row],[主队2]]-表1_4[[#This Row],[客队2]]</f>
        <v>-9.9999999999994302E-2</v>
      </c>
      <c r="J30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300" s="35" t="s">
        <v>166</v>
      </c>
      <c r="L30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00" s="11"/>
      <c r="N300" s="10" t="s">
        <v>119</v>
      </c>
      <c r="O300" s="57" t="s">
        <v>51</v>
      </c>
      <c r="P300" s="9">
        <v>-4</v>
      </c>
      <c r="U300" s="83"/>
      <c r="V300" s="101" t="s">
        <v>805</v>
      </c>
      <c r="W300" s="71"/>
      <c r="X300" s="41"/>
    </row>
    <row r="301" spans="1:24" ht="13.5" customHeight="1">
      <c r="A301" t="s">
        <v>107</v>
      </c>
      <c r="B301" s="4">
        <v>43054.166666666701</v>
      </c>
      <c r="C301" s="30" t="s">
        <v>340</v>
      </c>
      <c r="D301" s="6" t="s">
        <v>117</v>
      </c>
      <c r="E301" s="31" t="s">
        <v>42</v>
      </c>
      <c r="F301" t="s">
        <v>171</v>
      </c>
      <c r="G301" s="32">
        <v>89.3</v>
      </c>
      <c r="H301" s="32">
        <v>100.6</v>
      </c>
      <c r="I301">
        <f>表1_4[[#This Row],[主队2]]-表1_4[[#This Row],[客队2]]</f>
        <v>-11.3</v>
      </c>
      <c r="J30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301" s="35" t="s">
        <v>111</v>
      </c>
      <c r="L30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01" s="11"/>
      <c r="N301" s="10" t="s">
        <v>119</v>
      </c>
      <c r="O301" s="10" t="s">
        <v>40</v>
      </c>
      <c r="P301" s="9">
        <v>1</v>
      </c>
      <c r="U301" s="83" t="s">
        <v>806</v>
      </c>
      <c r="V301" s="85" t="s">
        <v>807</v>
      </c>
      <c r="W301" s="86"/>
      <c r="X301" s="41"/>
    </row>
    <row r="302" spans="1:24" ht="13.5" customHeight="1">
      <c r="A302" t="s">
        <v>128</v>
      </c>
      <c r="B302" s="4">
        <v>43054.708333333299</v>
      </c>
      <c r="C302" s="14" t="s">
        <v>808</v>
      </c>
      <c r="D302" s="6" t="s">
        <v>142</v>
      </c>
      <c r="E302" s="42" t="s">
        <v>41</v>
      </c>
      <c r="F302" t="s">
        <v>235</v>
      </c>
      <c r="G302" s="32">
        <v>79.2</v>
      </c>
      <c r="H302" s="32">
        <v>76.400000000000006</v>
      </c>
      <c r="I302">
        <f>表1_4[[#This Row],[主队2]]-表1_4[[#This Row],[客队2]]</f>
        <v>2.8</v>
      </c>
      <c r="J30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302" s="35" t="s">
        <v>176</v>
      </c>
      <c r="L30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302" s="11"/>
      <c r="N302" s="10" t="s">
        <v>133</v>
      </c>
      <c r="O302" s="10" t="s">
        <v>24</v>
      </c>
      <c r="P302" s="9">
        <v>-5</v>
      </c>
      <c r="U302" s="83"/>
      <c r="V302" s="85" t="s">
        <v>809</v>
      </c>
      <c r="W302" s="87"/>
      <c r="X302" s="41"/>
    </row>
    <row r="303" spans="1:24" ht="13.5" customHeight="1">
      <c r="A303" t="s">
        <v>156</v>
      </c>
      <c r="B303" s="4">
        <v>43055.427083333299</v>
      </c>
      <c r="C303" s="1" t="s">
        <v>810</v>
      </c>
      <c r="D303" s="6" t="s">
        <v>181</v>
      </c>
      <c r="E303" s="42" t="s">
        <v>22</v>
      </c>
      <c r="F303" t="s">
        <v>368</v>
      </c>
      <c r="G303" s="32">
        <v>86.1</v>
      </c>
      <c r="H303" s="32">
        <v>72.900000000000006</v>
      </c>
      <c r="I303">
        <f>表1_4[[#This Row],[主队2]]-表1_4[[#This Row],[客队2]]</f>
        <v>13.2</v>
      </c>
      <c r="J30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303" s="35" t="s">
        <v>63</v>
      </c>
      <c r="L30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03" s="11"/>
      <c r="N303" s="10" t="s">
        <v>119</v>
      </c>
      <c r="O303" s="10" t="s">
        <v>28</v>
      </c>
      <c r="P303" s="9">
        <v>-12</v>
      </c>
      <c r="U303" s="246"/>
      <c r="V303" s="247" t="s">
        <v>811</v>
      </c>
      <c r="W303" s="86"/>
      <c r="X303" s="41"/>
    </row>
    <row r="304" spans="1:24">
      <c r="A304" t="s">
        <v>107</v>
      </c>
      <c r="B304" s="4">
        <v>43182.125</v>
      </c>
      <c r="C304" s="5" t="s">
        <v>136</v>
      </c>
      <c r="D304" s="6" t="s">
        <v>306</v>
      </c>
      <c r="E304" s="42" t="s">
        <v>31</v>
      </c>
      <c r="F304" t="s">
        <v>225</v>
      </c>
      <c r="G304" s="32">
        <v>84.1</v>
      </c>
      <c r="H304" s="32">
        <v>77.5</v>
      </c>
      <c r="I304">
        <f>表1_4[[#This Row],[主队2]]-表1_4[[#This Row],[客队2]]</f>
        <v>6.5999999999999899</v>
      </c>
      <c r="J30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304" s="35" t="s">
        <v>125</v>
      </c>
      <c r="L30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04" s="11"/>
      <c r="N304" s="10" t="s">
        <v>119</v>
      </c>
      <c r="O304" s="10" t="s">
        <v>40</v>
      </c>
      <c r="P304" s="9">
        <v>-26</v>
      </c>
      <c r="T304" s="3"/>
      <c r="U304" s="246" t="s">
        <v>812</v>
      </c>
      <c r="V304" s="247" t="s">
        <v>813</v>
      </c>
      <c r="W304" s="38"/>
      <c r="X304" s="41"/>
    </row>
    <row r="305" spans="1:25">
      <c r="A305" s="36" t="s">
        <v>107</v>
      </c>
      <c r="B305" s="68">
        <v>43183</v>
      </c>
      <c r="C305" s="30" t="s">
        <v>193</v>
      </c>
      <c r="D305" s="6" t="s">
        <v>353</v>
      </c>
      <c r="E305" s="107" t="s">
        <v>64</v>
      </c>
      <c r="F305" t="s">
        <v>171</v>
      </c>
      <c r="G305" s="32">
        <v>82.9</v>
      </c>
      <c r="H305" s="32">
        <v>100.3</v>
      </c>
      <c r="I305">
        <f>表1_4[[#This Row],[主队2]]-表1_4[[#This Row],[客队2]]</f>
        <v>-17.399999999999999</v>
      </c>
      <c r="J30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305" s="35" t="s">
        <v>111</v>
      </c>
      <c r="L30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305" s="63" t="s">
        <v>814</v>
      </c>
      <c r="N305" s="10" t="s">
        <v>112</v>
      </c>
      <c r="O305" s="10" t="s">
        <v>46</v>
      </c>
      <c r="P305" s="9">
        <v>7</v>
      </c>
      <c r="T305" s="3"/>
      <c r="U305" s="25"/>
      <c r="V305" s="24" t="s">
        <v>815</v>
      </c>
      <c r="W305" s="40"/>
      <c r="X305" s="41"/>
    </row>
    <row r="306" spans="1:25">
      <c r="A306" t="s">
        <v>107</v>
      </c>
      <c r="B306" s="4">
        <v>43183.041666666701</v>
      </c>
      <c r="C306" s="264" t="s">
        <v>198</v>
      </c>
      <c r="D306" s="6" t="s">
        <v>297</v>
      </c>
      <c r="E306" s="42" t="s">
        <v>43</v>
      </c>
      <c r="F306" t="s">
        <v>142</v>
      </c>
      <c r="G306" s="32">
        <v>75.7</v>
      </c>
      <c r="H306" s="32">
        <v>80.2</v>
      </c>
      <c r="I306">
        <f>表1_4[[#This Row],[主队2]]-表1_4[[#This Row],[客队2]]</f>
        <v>-4.5</v>
      </c>
      <c r="J30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306" s="35" t="s">
        <v>182</v>
      </c>
      <c r="L30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06" s="11"/>
      <c r="N306" s="10" t="s">
        <v>119</v>
      </c>
      <c r="O306" s="10" t="s">
        <v>65</v>
      </c>
      <c r="P306" s="9">
        <v>-2</v>
      </c>
      <c r="T306" s="3"/>
      <c r="U306" s="25"/>
      <c r="V306" s="24" t="s">
        <v>816</v>
      </c>
      <c r="W306" s="244"/>
      <c r="X306" s="41"/>
    </row>
    <row r="307" spans="1:25">
      <c r="A307" t="s">
        <v>107</v>
      </c>
      <c r="B307" s="97">
        <v>43183.15625</v>
      </c>
      <c r="C307" s="1" t="s">
        <v>223</v>
      </c>
      <c r="D307" s="6" t="s">
        <v>262</v>
      </c>
      <c r="E307" s="107" t="s">
        <v>53</v>
      </c>
      <c r="F307" t="s">
        <v>117</v>
      </c>
      <c r="G307" s="32">
        <v>92.2</v>
      </c>
      <c r="H307" s="32">
        <v>89.6</v>
      </c>
      <c r="I307">
        <f>表1_4[[#This Row],[主队2]]-表1_4[[#This Row],[客队2]]</f>
        <v>2.6000000000000099</v>
      </c>
      <c r="J30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307" s="35" t="s">
        <v>166</v>
      </c>
      <c r="L30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307" s="11"/>
      <c r="N307" s="57" t="s">
        <v>119</v>
      </c>
      <c r="O307" s="57" t="s">
        <v>51</v>
      </c>
      <c r="P307" s="9">
        <v>-0.1</v>
      </c>
      <c r="T307" s="3"/>
      <c r="U307" s="25"/>
      <c r="V307" s="95" t="s">
        <v>817</v>
      </c>
      <c r="W307" s="40"/>
      <c r="X307" s="41"/>
    </row>
    <row r="308" spans="1:25">
      <c r="A308" t="s">
        <v>107</v>
      </c>
      <c r="B308" s="4">
        <v>43183.15625</v>
      </c>
      <c r="C308" s="30" t="s">
        <v>778</v>
      </c>
      <c r="D308" s="6" t="s">
        <v>174</v>
      </c>
      <c r="E308" s="42" t="s">
        <v>22</v>
      </c>
      <c r="F308" t="s">
        <v>204</v>
      </c>
      <c r="G308" s="32">
        <v>96.6</v>
      </c>
      <c r="H308" s="32">
        <v>88</v>
      </c>
      <c r="I308">
        <f>表1_4[[#This Row],[主队2]]-表1_4[[#This Row],[客队2]]</f>
        <v>8.5999999999999908</v>
      </c>
      <c r="J308" s="34">
        <v>0.75</v>
      </c>
      <c r="K308" s="35" t="s">
        <v>289</v>
      </c>
      <c r="L30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08" s="63" t="s">
        <v>818</v>
      </c>
      <c r="N308" s="57" t="s">
        <v>133</v>
      </c>
      <c r="O308" s="10" t="s">
        <v>65</v>
      </c>
      <c r="P308" s="9">
        <v>13</v>
      </c>
      <c r="T308" s="3"/>
      <c r="U308" s="83" t="s">
        <v>776</v>
      </c>
      <c r="V308" s="85" t="s">
        <v>819</v>
      </c>
      <c r="W308" s="71"/>
      <c r="X308" s="41"/>
    </row>
    <row r="309" spans="1:25">
      <c r="A309" t="s">
        <v>107</v>
      </c>
      <c r="B309" s="4">
        <v>43183.15625</v>
      </c>
      <c r="C309" s="5" t="s">
        <v>228</v>
      </c>
      <c r="D309" s="6" t="s">
        <v>270</v>
      </c>
      <c r="E309" s="42" t="s">
        <v>33</v>
      </c>
      <c r="F309" t="s">
        <v>820</v>
      </c>
      <c r="G309" s="32">
        <v>91.7</v>
      </c>
      <c r="H309" s="32">
        <v>78.7</v>
      </c>
      <c r="I309">
        <f>表1_4[[#This Row],[主队2]]-表1_4[[#This Row],[客队2]]</f>
        <v>13</v>
      </c>
      <c r="J309" s="34">
        <v>1.25</v>
      </c>
      <c r="K309" s="35" t="s">
        <v>118</v>
      </c>
      <c r="L30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309" s="11"/>
      <c r="N309" s="10" t="s">
        <v>112</v>
      </c>
      <c r="O309" s="10" t="s">
        <v>51</v>
      </c>
      <c r="P309" s="9">
        <v>20</v>
      </c>
      <c r="T309" s="3"/>
      <c r="U309" s="25" t="s">
        <v>776</v>
      </c>
      <c r="V309" s="24" t="s">
        <v>821</v>
      </c>
      <c r="W309" s="40"/>
      <c r="X309" s="41"/>
    </row>
    <row r="310" spans="1:25">
      <c r="A310" t="s">
        <v>107</v>
      </c>
      <c r="B310" s="4">
        <v>43183.166666666701</v>
      </c>
      <c r="C310" s="5" t="s">
        <v>233</v>
      </c>
      <c r="D310" s="6" t="s">
        <v>267</v>
      </c>
      <c r="E310" s="107" t="s">
        <v>62</v>
      </c>
      <c r="F310" t="s">
        <v>158</v>
      </c>
      <c r="G310" s="32">
        <v>93.3</v>
      </c>
      <c r="H310" s="32">
        <v>91.6</v>
      </c>
      <c r="I310">
        <f>表1_4[[#This Row],[主队2]]-表1_4[[#This Row],[客队2]]</f>
        <v>1.7</v>
      </c>
      <c r="J31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310" s="35" t="s">
        <v>118</v>
      </c>
      <c r="L31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10" s="11"/>
      <c r="N310" s="46" t="s">
        <v>112</v>
      </c>
      <c r="O310" s="46" t="s">
        <v>40</v>
      </c>
      <c r="P310" s="9">
        <v>13</v>
      </c>
      <c r="T310" s="3"/>
      <c r="U310" s="25" t="s">
        <v>707</v>
      </c>
      <c r="V310" s="245" t="s">
        <v>822</v>
      </c>
      <c r="W310" s="86"/>
      <c r="X310" s="41"/>
    </row>
    <row r="311" spans="1:25">
      <c r="A311" t="s">
        <v>107</v>
      </c>
      <c r="B311" s="4">
        <v>43182.815972222197</v>
      </c>
      <c r="C311" s="14" t="s">
        <v>367</v>
      </c>
      <c r="D311" s="6" t="s">
        <v>170</v>
      </c>
      <c r="E311" s="42" t="s">
        <v>22</v>
      </c>
      <c r="F311" t="s">
        <v>284</v>
      </c>
      <c r="G311" s="32">
        <v>89.9</v>
      </c>
      <c r="H311" s="32">
        <v>82.9</v>
      </c>
      <c r="I311">
        <f>表1_4[[#This Row],[主队2]]-表1_4[[#This Row],[客队2]]</f>
        <v>7</v>
      </c>
      <c r="J311" s="34">
        <v>0.75</v>
      </c>
      <c r="K311" s="35" t="s">
        <v>176</v>
      </c>
      <c r="L31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11" s="11"/>
      <c r="N311" s="10" t="s">
        <v>119</v>
      </c>
      <c r="O311" s="10" t="s">
        <v>24</v>
      </c>
      <c r="P311" s="9">
        <v>7</v>
      </c>
      <c r="T311" s="3"/>
      <c r="U311" s="83" t="s">
        <v>823</v>
      </c>
      <c r="V311" s="85" t="s">
        <v>824</v>
      </c>
      <c r="W311" s="244"/>
      <c r="X311" s="41"/>
    </row>
    <row r="312" spans="1:25">
      <c r="A312" s="58" t="s">
        <v>107</v>
      </c>
      <c r="B312" s="4">
        <v>43182.815972222197</v>
      </c>
      <c r="C312" s="5" t="s">
        <v>370</v>
      </c>
      <c r="D312" s="59" t="s">
        <v>147</v>
      </c>
      <c r="E312" s="31" t="s">
        <v>36</v>
      </c>
      <c r="F312" s="37" t="s">
        <v>825</v>
      </c>
      <c r="G312" s="32">
        <v>80</v>
      </c>
      <c r="H312" s="32">
        <v>72</v>
      </c>
      <c r="I312">
        <f>表1_4[[#This Row],[主队2]]-表1_4[[#This Row],[客队2]]</f>
        <v>8</v>
      </c>
      <c r="J312" s="34">
        <v>0.75</v>
      </c>
      <c r="K312" s="35" t="s">
        <v>289</v>
      </c>
      <c r="L31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12" s="63" t="s">
        <v>826</v>
      </c>
      <c r="N312" s="46" t="s">
        <v>160</v>
      </c>
      <c r="O312" s="10" t="s">
        <v>46</v>
      </c>
      <c r="P312" s="9" t="s">
        <v>161</v>
      </c>
      <c r="T312" s="3"/>
      <c r="U312" s="25" t="s">
        <v>776</v>
      </c>
      <c r="V312" s="24" t="s">
        <v>827</v>
      </c>
      <c r="W312" s="40"/>
      <c r="X312" s="41"/>
    </row>
    <row r="313" spans="1:25">
      <c r="A313" s="58" t="s">
        <v>107</v>
      </c>
      <c r="B313" s="4">
        <v>43182.815972222197</v>
      </c>
      <c r="C313" s="5" t="s">
        <v>189</v>
      </c>
      <c r="D313" s="59" t="s">
        <v>587</v>
      </c>
      <c r="E313" s="31" t="s">
        <v>36</v>
      </c>
      <c r="F313" s="37" t="s">
        <v>131</v>
      </c>
      <c r="G313" s="32">
        <v>80.099999999999994</v>
      </c>
      <c r="H313" s="32">
        <v>73.5</v>
      </c>
      <c r="I313">
        <f>表1_4[[#This Row],[主队2]]-表1_4[[#This Row],[客队2]]</f>
        <v>6.5999999999999899</v>
      </c>
      <c r="J31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313" s="35" t="s">
        <v>289</v>
      </c>
      <c r="L31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313" s="11"/>
      <c r="N313" s="46" t="s">
        <v>112</v>
      </c>
      <c r="O313" s="10" t="s">
        <v>143</v>
      </c>
      <c r="P313" s="9" t="s">
        <v>161</v>
      </c>
      <c r="T313" s="3"/>
      <c r="U313" s="25"/>
      <c r="V313" s="24" t="s">
        <v>828</v>
      </c>
      <c r="W313" s="38"/>
      <c r="X313" s="41"/>
    </row>
    <row r="314" spans="1:25">
      <c r="A314" s="58" t="s">
        <v>107</v>
      </c>
      <c r="B314" s="4">
        <v>43182.815972222197</v>
      </c>
      <c r="C314" s="264" t="s">
        <v>193</v>
      </c>
      <c r="D314" s="59" t="s">
        <v>190</v>
      </c>
      <c r="E314" s="42" t="s">
        <v>31</v>
      </c>
      <c r="F314" s="37" t="s">
        <v>199</v>
      </c>
      <c r="G314" s="32">
        <v>81.2</v>
      </c>
      <c r="H314" s="32">
        <v>82.5</v>
      </c>
      <c r="I314">
        <f>表1_4[[#This Row],[主队2]]-表1_4[[#This Row],[客队2]]</f>
        <v>-1.3</v>
      </c>
      <c r="J31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314" s="35" t="s">
        <v>182</v>
      </c>
      <c r="L31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14" s="11"/>
      <c r="N314" s="10" t="s">
        <v>112</v>
      </c>
      <c r="O314" s="108" t="s">
        <v>27</v>
      </c>
      <c r="P314" s="9" t="s">
        <v>161</v>
      </c>
      <c r="T314" s="3"/>
      <c r="U314" s="25"/>
      <c r="V314" s="24" t="s">
        <v>829</v>
      </c>
      <c r="W314" s="40"/>
      <c r="X314" s="249" t="s">
        <v>830</v>
      </c>
      <c r="Y314" s="250">
        <v>88</v>
      </c>
    </row>
    <row r="315" spans="1:25">
      <c r="A315" s="58" t="s">
        <v>107</v>
      </c>
      <c r="B315" s="4">
        <v>43182.815972222197</v>
      </c>
      <c r="C315" s="5" t="s">
        <v>203</v>
      </c>
      <c r="D315" s="59" t="s">
        <v>434</v>
      </c>
      <c r="E315" s="107" t="s">
        <v>60</v>
      </c>
      <c r="F315" s="37" t="s">
        <v>550</v>
      </c>
      <c r="G315" s="32">
        <v>84</v>
      </c>
      <c r="H315" s="32">
        <v>78.8</v>
      </c>
      <c r="I315">
        <f>表1_4[[#This Row],[主队2]]-表1_4[[#This Row],[客队2]]</f>
        <v>5.2</v>
      </c>
      <c r="J315" s="34">
        <v>0.5</v>
      </c>
      <c r="K315" s="35" t="s">
        <v>289</v>
      </c>
      <c r="L31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15" s="11"/>
      <c r="N315" s="10" t="s">
        <v>119</v>
      </c>
      <c r="O315" s="108" t="s">
        <v>35</v>
      </c>
      <c r="P315" s="9" t="s">
        <v>161</v>
      </c>
      <c r="T315" s="3"/>
      <c r="U315" s="246" t="s">
        <v>831</v>
      </c>
      <c r="V315" s="251" t="s">
        <v>832</v>
      </c>
      <c r="W315" s="71"/>
      <c r="X315" s="41"/>
    </row>
    <row r="316" spans="1:25">
      <c r="A316" s="58" t="s">
        <v>107</v>
      </c>
      <c r="B316" s="4">
        <v>43182.815972222197</v>
      </c>
      <c r="C316" s="5" t="s">
        <v>400</v>
      </c>
      <c r="D316" s="59" t="s">
        <v>194</v>
      </c>
      <c r="E316" s="42" t="s">
        <v>44</v>
      </c>
      <c r="F316" s="37" t="s">
        <v>309</v>
      </c>
      <c r="G316" s="32">
        <v>78.900000000000006</v>
      </c>
      <c r="H316" s="32">
        <v>79.900000000000006</v>
      </c>
      <c r="I316">
        <f>表1_4[[#This Row],[主队2]]-表1_4[[#This Row],[客队2]]</f>
        <v>-1</v>
      </c>
      <c r="J31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316" s="35" t="s">
        <v>289</v>
      </c>
      <c r="L31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16" s="11"/>
      <c r="N316" s="10" t="s">
        <v>112</v>
      </c>
      <c r="O316" s="108" t="s">
        <v>65</v>
      </c>
      <c r="P316" s="9" t="s">
        <v>161</v>
      </c>
      <c r="T316" s="3"/>
      <c r="U316" s="25"/>
      <c r="V316" s="24" t="s">
        <v>833</v>
      </c>
      <c r="W316" s="40"/>
      <c r="X316" s="41"/>
    </row>
    <row r="317" spans="1:25">
      <c r="A317" s="58" t="s">
        <v>107</v>
      </c>
      <c r="B317" s="4">
        <v>43182.815972222197</v>
      </c>
      <c r="C317" s="30" t="s">
        <v>208</v>
      </c>
      <c r="D317" s="59" t="s">
        <v>302</v>
      </c>
      <c r="E317" s="107" t="s">
        <v>53</v>
      </c>
      <c r="F317" s="37" t="s">
        <v>519</v>
      </c>
      <c r="G317" s="32">
        <v>86.5</v>
      </c>
      <c r="H317" s="32">
        <v>80.400000000000006</v>
      </c>
      <c r="I317">
        <f>表1_4[[#This Row],[主队2]]-表1_4[[#This Row],[客队2]]</f>
        <v>6.0999999999999899</v>
      </c>
      <c r="J31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317" s="35" t="s">
        <v>289</v>
      </c>
      <c r="L31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17" s="11"/>
      <c r="N317" s="10" t="s">
        <v>119</v>
      </c>
      <c r="O317" s="109" t="s">
        <v>40</v>
      </c>
      <c r="P317" s="9" t="s">
        <v>161</v>
      </c>
      <c r="T317" s="3"/>
      <c r="U317" s="83" t="s">
        <v>688</v>
      </c>
      <c r="V317" s="251" t="s">
        <v>834</v>
      </c>
      <c r="W317" s="86"/>
      <c r="X317" s="41"/>
    </row>
    <row r="318" spans="1:25">
      <c r="A318" s="58" t="s">
        <v>107</v>
      </c>
      <c r="B318" s="4">
        <v>43182.815972222197</v>
      </c>
      <c r="C318" s="30" t="s">
        <v>213</v>
      </c>
      <c r="D318" s="59" t="s">
        <v>123</v>
      </c>
      <c r="E318" s="107" t="s">
        <v>53</v>
      </c>
      <c r="F318" s="37" t="s">
        <v>230</v>
      </c>
      <c r="G318" s="32">
        <v>80.3</v>
      </c>
      <c r="H318" s="32">
        <v>79.3</v>
      </c>
      <c r="I318">
        <f>表1_4[[#This Row],[主队2]]-表1_4[[#This Row],[客队2]]</f>
        <v>1</v>
      </c>
      <c r="J31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318" s="35" t="s">
        <v>182</v>
      </c>
      <c r="L31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18" s="11"/>
      <c r="N318" s="10" t="s">
        <v>119</v>
      </c>
      <c r="O318" s="110" t="s">
        <v>46</v>
      </c>
      <c r="P318" s="9" t="s">
        <v>161</v>
      </c>
      <c r="T318" s="3"/>
      <c r="U318" s="25"/>
      <c r="V318" s="95" t="s">
        <v>835</v>
      </c>
      <c r="W318" s="86"/>
      <c r="X318" s="41"/>
    </row>
    <row r="319" spans="1:25">
      <c r="A319" s="58" t="s">
        <v>107</v>
      </c>
      <c r="B319" s="4">
        <v>43182.815972222197</v>
      </c>
      <c r="C319" s="7" t="s">
        <v>166</v>
      </c>
      <c r="D319" s="59" t="s">
        <v>287</v>
      </c>
      <c r="E319" s="31" t="s">
        <v>42</v>
      </c>
      <c r="F319" s="37" t="s">
        <v>403</v>
      </c>
      <c r="G319" s="32">
        <v>70.400000000000006</v>
      </c>
      <c r="H319" s="32">
        <v>68.7</v>
      </c>
      <c r="I319">
        <f>表1_4[[#This Row],[主队2]]-表1_4[[#This Row],[客队2]]</f>
        <v>1.7</v>
      </c>
      <c r="J31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319" s="35" t="s">
        <v>289</v>
      </c>
      <c r="L31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19" s="11"/>
      <c r="N319" s="10" t="s">
        <v>119</v>
      </c>
      <c r="O319" s="108" t="s">
        <v>46</v>
      </c>
      <c r="P319" s="9" t="s">
        <v>161</v>
      </c>
      <c r="T319" s="3"/>
      <c r="U319" s="25"/>
      <c r="V319" s="24" t="s">
        <v>836</v>
      </c>
      <c r="W319" s="40"/>
      <c r="X319" s="41"/>
    </row>
    <row r="320" spans="1:25" ht="28.9">
      <c r="A320" s="58" t="s">
        <v>107</v>
      </c>
      <c r="B320" s="4">
        <v>43182.815972222197</v>
      </c>
      <c r="C320" s="2" t="s">
        <v>166</v>
      </c>
      <c r="D320" s="59" t="s">
        <v>124</v>
      </c>
      <c r="E320" s="42" t="s">
        <v>31</v>
      </c>
      <c r="F320" s="37" t="s">
        <v>368</v>
      </c>
      <c r="G320" s="32">
        <v>73</v>
      </c>
      <c r="H320" s="32">
        <v>72.400000000000006</v>
      </c>
      <c r="I320">
        <f>表1_4[[#This Row],[主队2]]-表1_4[[#This Row],[客队2]]</f>
        <v>0.59999999999999398</v>
      </c>
      <c r="J320" s="34">
        <v>0</v>
      </c>
      <c r="K320" s="35" t="s">
        <v>182</v>
      </c>
      <c r="L32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20" s="11"/>
      <c r="N320" s="46" t="s">
        <v>112</v>
      </c>
      <c r="O320" s="108" t="s">
        <v>35</v>
      </c>
      <c r="P320" s="9" t="s">
        <v>161</v>
      </c>
      <c r="T320" s="3"/>
      <c r="U320" s="83" t="s">
        <v>837</v>
      </c>
      <c r="V320" s="85" t="s">
        <v>838</v>
      </c>
      <c r="W320" s="244"/>
      <c r="X320" s="41"/>
    </row>
    <row r="321" spans="1:25">
      <c r="A321" s="58" t="s">
        <v>107</v>
      </c>
      <c r="B321" s="4">
        <v>43182.815972222197</v>
      </c>
      <c r="C321" s="7" t="s">
        <v>166</v>
      </c>
      <c r="D321" s="59" t="s">
        <v>210</v>
      </c>
      <c r="E321" s="107" t="s">
        <v>60</v>
      </c>
      <c r="F321" s="37" t="s">
        <v>305</v>
      </c>
      <c r="G321" s="32">
        <v>75.5</v>
      </c>
      <c r="H321" s="32">
        <v>81</v>
      </c>
      <c r="I321">
        <f>表1_4[[#This Row],[主队2]]-表1_4[[#This Row],[客队2]]</f>
        <v>-5.5</v>
      </c>
      <c r="J32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321" s="35" t="s">
        <v>166</v>
      </c>
      <c r="L32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21" s="11"/>
      <c r="N321" s="10" t="s">
        <v>119</v>
      </c>
      <c r="O321" s="110" t="s">
        <v>51</v>
      </c>
      <c r="P321" s="9" t="s">
        <v>161</v>
      </c>
      <c r="T321" s="3"/>
      <c r="U321" s="246"/>
      <c r="V321" s="251" t="s">
        <v>839</v>
      </c>
      <c r="W321" s="86"/>
      <c r="X321" s="41"/>
    </row>
    <row r="322" spans="1:25">
      <c r="A322" t="s">
        <v>107</v>
      </c>
      <c r="B322" s="4">
        <v>43186.104166666701</v>
      </c>
      <c r="C322" s="5" t="s">
        <v>605</v>
      </c>
      <c r="D322" s="6" t="s">
        <v>270</v>
      </c>
      <c r="E322" s="107" t="s">
        <v>64</v>
      </c>
      <c r="F322" t="s">
        <v>262</v>
      </c>
      <c r="G322" s="32">
        <v>91.5</v>
      </c>
      <c r="H322" s="32">
        <v>91.7</v>
      </c>
      <c r="I322">
        <f>表1_4[[#This Row],[主队2]]-表1_4[[#This Row],[客队2]]</f>
        <v>-0.20000000000000301</v>
      </c>
      <c r="J322" s="34">
        <v>0.25</v>
      </c>
      <c r="K322" s="35" t="s">
        <v>182</v>
      </c>
      <c r="L32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22" s="11"/>
      <c r="N322" s="46" t="s">
        <v>112</v>
      </c>
      <c r="O322" s="108" t="s">
        <v>27</v>
      </c>
      <c r="P322" s="9">
        <v>8</v>
      </c>
      <c r="T322" s="3"/>
      <c r="U322" s="246"/>
      <c r="V322" s="247" t="s">
        <v>840</v>
      </c>
      <c r="W322" s="38"/>
      <c r="X322" s="41"/>
    </row>
    <row r="323" spans="1:25">
      <c r="A323" t="s">
        <v>107</v>
      </c>
      <c r="B323" s="4">
        <v>43186.847222222197</v>
      </c>
      <c r="C323" s="5" t="s">
        <v>312</v>
      </c>
      <c r="D323" s="6" t="s">
        <v>147</v>
      </c>
      <c r="E323" s="107" t="s">
        <v>60</v>
      </c>
      <c r="F323" t="s">
        <v>214</v>
      </c>
      <c r="G323" s="32">
        <v>79.7</v>
      </c>
      <c r="H323" s="32">
        <v>82.3</v>
      </c>
      <c r="I323">
        <f>表1_4[[#This Row],[主队2]]-表1_4[[#This Row],[客队2]]</f>
        <v>-2.5999999999999899</v>
      </c>
      <c r="J323" s="34">
        <v>0</v>
      </c>
      <c r="K323" s="35" t="s">
        <v>166</v>
      </c>
      <c r="L32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23" s="11"/>
      <c r="N323" s="10" t="s">
        <v>119</v>
      </c>
      <c r="O323" s="110" t="s">
        <v>143</v>
      </c>
      <c r="P323" s="9">
        <v>2</v>
      </c>
      <c r="T323" s="3"/>
      <c r="U323" s="83"/>
      <c r="V323" s="85" t="s">
        <v>841</v>
      </c>
      <c r="W323" s="244"/>
      <c r="X323" s="41"/>
    </row>
    <row r="324" spans="1:25">
      <c r="A324" t="s">
        <v>107</v>
      </c>
      <c r="B324" s="4">
        <v>43186.993055555598</v>
      </c>
      <c r="C324" s="14" t="s">
        <v>317</v>
      </c>
      <c r="D324" s="6" t="s">
        <v>353</v>
      </c>
      <c r="E324" s="107" t="s">
        <v>74</v>
      </c>
      <c r="F324" t="s">
        <v>267</v>
      </c>
      <c r="G324" s="32">
        <v>82.6</v>
      </c>
      <c r="H324" s="32">
        <v>92.8</v>
      </c>
      <c r="I324">
        <f>表1_4[[#This Row],[主队2]]-表1_4[[#This Row],[客队2]]</f>
        <v>-10.199999999999999</v>
      </c>
      <c r="J32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324" s="35" t="s">
        <v>245</v>
      </c>
      <c r="L32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24" s="11"/>
      <c r="N324" s="10" t="s">
        <v>119</v>
      </c>
      <c r="O324" s="108" t="s">
        <v>28</v>
      </c>
      <c r="P324" s="9">
        <v>9</v>
      </c>
      <c r="T324" s="3"/>
      <c r="U324" s="83"/>
      <c r="V324" s="85" t="s">
        <v>842</v>
      </c>
      <c r="W324" s="244"/>
      <c r="X324" s="41"/>
    </row>
    <row r="325" spans="1:25">
      <c r="A325" t="s">
        <v>107</v>
      </c>
      <c r="B325" s="4">
        <v>43187.041666666701</v>
      </c>
      <c r="C325" s="14" t="s">
        <v>320</v>
      </c>
      <c r="D325" s="6" t="s">
        <v>250</v>
      </c>
      <c r="E325" s="42" t="s">
        <v>55</v>
      </c>
      <c r="F325" t="s">
        <v>225</v>
      </c>
      <c r="G325" s="32">
        <v>84.2</v>
      </c>
      <c r="H325" s="32">
        <v>77.7</v>
      </c>
      <c r="I325">
        <f>表1_4[[#This Row],[主队2]]-表1_4[[#This Row],[客队2]]</f>
        <v>6.5</v>
      </c>
      <c r="J32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325" s="35" t="s">
        <v>81</v>
      </c>
      <c r="L32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325" s="11"/>
      <c r="N325" s="10" t="s">
        <v>133</v>
      </c>
      <c r="O325" s="108" t="s">
        <v>143</v>
      </c>
      <c r="P325" s="9">
        <v>8</v>
      </c>
      <c r="T325" s="3"/>
      <c r="U325" s="83" t="s">
        <v>167</v>
      </c>
      <c r="V325" s="85" t="s">
        <v>843</v>
      </c>
      <c r="W325" s="87"/>
      <c r="X325" s="41"/>
    </row>
    <row r="326" spans="1:25">
      <c r="A326" t="s">
        <v>107</v>
      </c>
      <c r="B326" s="4">
        <v>43187.114583333299</v>
      </c>
      <c r="C326" s="5" t="s">
        <v>325</v>
      </c>
      <c r="D326" s="6" t="s">
        <v>116</v>
      </c>
      <c r="E326" s="107" t="s">
        <v>53</v>
      </c>
      <c r="F326" t="s">
        <v>171</v>
      </c>
      <c r="G326" s="32">
        <v>98.5</v>
      </c>
      <c r="H326" s="32">
        <v>100.6</v>
      </c>
      <c r="I326">
        <f>表1_4[[#This Row],[主队2]]-表1_4[[#This Row],[客队2]]</f>
        <v>-2.0999999999999899</v>
      </c>
      <c r="J32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326" s="35" t="s">
        <v>182</v>
      </c>
      <c r="L326" s="36" t="s">
        <v>844</v>
      </c>
      <c r="M326" s="11"/>
      <c r="N326" s="57" t="s">
        <v>404</v>
      </c>
      <c r="O326" s="108" t="s">
        <v>65</v>
      </c>
      <c r="P326" s="9">
        <v>0.1</v>
      </c>
      <c r="T326" s="3"/>
      <c r="U326" s="254"/>
      <c r="V326" s="89" t="s">
        <v>845</v>
      </c>
      <c r="W326" s="87"/>
      <c r="X326" s="41"/>
    </row>
    <row r="327" spans="1:25">
      <c r="A327" t="s">
        <v>107</v>
      </c>
      <c r="B327" s="4">
        <v>43187.114583333299</v>
      </c>
      <c r="C327" s="14" t="s">
        <v>355</v>
      </c>
      <c r="D327" s="6" t="s">
        <v>274</v>
      </c>
      <c r="E327" s="42" t="s">
        <v>37</v>
      </c>
      <c r="F327" t="s">
        <v>138</v>
      </c>
      <c r="G327" s="32">
        <v>90.1</v>
      </c>
      <c r="H327" s="32">
        <v>73.900000000000006</v>
      </c>
      <c r="I327">
        <f>表1_4[[#This Row],[主队2]]-表1_4[[#This Row],[客队2]]</f>
        <v>16.2</v>
      </c>
      <c r="J32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327" s="35" t="s">
        <v>26</v>
      </c>
      <c r="L32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327" s="11"/>
      <c r="N327" s="10" t="s">
        <v>112</v>
      </c>
      <c r="O327" s="108" t="s">
        <v>40</v>
      </c>
      <c r="P327" s="9" t="s">
        <v>161</v>
      </c>
      <c r="T327" s="3"/>
      <c r="U327" s="25" t="s">
        <v>707</v>
      </c>
      <c r="V327" s="24" t="s">
        <v>846</v>
      </c>
      <c r="W327" s="38"/>
      <c r="X327" s="41"/>
    </row>
    <row r="328" spans="1:25">
      <c r="A328" t="s">
        <v>107</v>
      </c>
      <c r="B328" s="4">
        <v>43187.125</v>
      </c>
      <c r="C328" s="30" t="s">
        <v>357</v>
      </c>
      <c r="D328" s="6" t="s">
        <v>117</v>
      </c>
      <c r="E328" s="31" t="s">
        <v>36</v>
      </c>
      <c r="F328" t="s">
        <v>204</v>
      </c>
      <c r="G328" s="32">
        <v>90.1</v>
      </c>
      <c r="H328" s="32">
        <v>87.7</v>
      </c>
      <c r="I328">
        <f>表1_4[[#This Row],[主队2]]-表1_4[[#This Row],[客队2]]</f>
        <v>2.3999999999999901</v>
      </c>
      <c r="J32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328" s="35" t="s">
        <v>182</v>
      </c>
      <c r="L32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28" s="11"/>
      <c r="N328" s="10" t="s">
        <v>112</v>
      </c>
      <c r="O328" s="108" t="s">
        <v>48</v>
      </c>
      <c r="P328" s="9">
        <v>2</v>
      </c>
      <c r="T328" s="3"/>
      <c r="U328" s="255" t="s">
        <v>167</v>
      </c>
      <c r="V328" s="24" t="s">
        <v>847</v>
      </c>
      <c r="W328" s="86"/>
      <c r="X328" s="41"/>
    </row>
    <row r="329" spans="1:25">
      <c r="A329" s="36" t="s">
        <v>107</v>
      </c>
      <c r="B329" s="4">
        <v>43187.125</v>
      </c>
      <c r="C329" s="5" t="s">
        <v>359</v>
      </c>
      <c r="D329" s="6" t="s">
        <v>158</v>
      </c>
      <c r="E329" s="31" t="s">
        <v>42</v>
      </c>
      <c r="F329" s="37" t="s">
        <v>142</v>
      </c>
      <c r="G329" s="32">
        <v>92.1</v>
      </c>
      <c r="H329" s="32">
        <v>79.599999999999994</v>
      </c>
      <c r="I329">
        <f>表1_4[[#This Row],[主队2]]-表1_4[[#This Row],[客队2]]</f>
        <v>12.5</v>
      </c>
      <c r="J329" s="34">
        <v>1.25</v>
      </c>
      <c r="K329" s="35" t="s">
        <v>125</v>
      </c>
      <c r="L32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29" s="11"/>
      <c r="N329" s="10" t="s">
        <v>119</v>
      </c>
      <c r="O329" s="110" t="s">
        <v>28</v>
      </c>
      <c r="P329" s="9">
        <v>5</v>
      </c>
      <c r="T329" s="3"/>
      <c r="U329" s="83" t="s">
        <v>776</v>
      </c>
      <c r="V329" s="103" t="s">
        <v>848</v>
      </c>
      <c r="W329" s="244"/>
      <c r="X329" s="41"/>
    </row>
    <row r="330" spans="1:25">
      <c r="A330" t="s">
        <v>107</v>
      </c>
      <c r="B330" s="4">
        <v>43187.145833333299</v>
      </c>
      <c r="C330" s="30" t="s">
        <v>361</v>
      </c>
      <c r="D330" s="6" t="s">
        <v>209</v>
      </c>
      <c r="E330" s="42" t="s">
        <v>68</v>
      </c>
      <c r="F330" t="s">
        <v>174</v>
      </c>
      <c r="G330" s="32">
        <v>98.8</v>
      </c>
      <c r="H330" s="32">
        <v>96.9</v>
      </c>
      <c r="I330">
        <f>表1_4[[#This Row],[主队2]]-表1_4[[#This Row],[客队2]]</f>
        <v>1.8999999999999899</v>
      </c>
      <c r="J33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330" s="35" t="s">
        <v>182</v>
      </c>
      <c r="L33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30" s="11"/>
      <c r="N330" s="10" t="s">
        <v>112</v>
      </c>
      <c r="O330" s="108" t="s">
        <v>39</v>
      </c>
      <c r="P330" s="9">
        <v>-3</v>
      </c>
      <c r="T330" s="3"/>
      <c r="U330" s="111"/>
      <c r="V330" s="75" t="s">
        <v>849</v>
      </c>
      <c r="W330" s="40"/>
      <c r="X330" s="90" t="s">
        <v>850</v>
      </c>
      <c r="Y330" s="61">
        <v>82</v>
      </c>
    </row>
    <row r="331" spans="1:25">
      <c r="A331" t="s">
        <v>107</v>
      </c>
      <c r="B331" s="4">
        <v>43187.3125</v>
      </c>
      <c r="C331" s="264" t="s">
        <v>467</v>
      </c>
      <c r="D331" s="6" t="s">
        <v>234</v>
      </c>
      <c r="E331" s="42" t="s">
        <v>31</v>
      </c>
      <c r="F331" t="s">
        <v>164</v>
      </c>
      <c r="G331" s="32">
        <v>81.900000000000006</v>
      </c>
      <c r="H331" s="32">
        <v>84.2</v>
      </c>
      <c r="I331">
        <f>表1_4[[#This Row],[主队2]]-表1_4[[#This Row],[客队2]]</f>
        <v>-2.2999999999999998</v>
      </c>
      <c r="J33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331" s="35" t="s">
        <v>182</v>
      </c>
      <c r="L33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31" s="11"/>
      <c r="N331" s="10" t="s">
        <v>119</v>
      </c>
      <c r="O331" s="108" t="s">
        <v>65</v>
      </c>
      <c r="P331" s="9">
        <v>8</v>
      </c>
      <c r="T331" s="3"/>
      <c r="U331" s="246"/>
      <c r="V331" s="247" t="s">
        <v>851</v>
      </c>
      <c r="W331" s="244"/>
      <c r="X331" s="41"/>
    </row>
    <row r="332" spans="1:25">
      <c r="A332" t="s">
        <v>107</v>
      </c>
      <c r="B332" s="4">
        <v>43187.041666666701</v>
      </c>
      <c r="C332" s="30" t="s">
        <v>342</v>
      </c>
      <c r="D332" s="59" t="s">
        <v>306</v>
      </c>
      <c r="E332" s="31" t="s">
        <v>42</v>
      </c>
      <c r="F332" s="37" t="s">
        <v>175</v>
      </c>
      <c r="G332" s="32">
        <v>83.9</v>
      </c>
      <c r="H332" s="32">
        <v>88.9</v>
      </c>
      <c r="I332">
        <f>表1_4[[#This Row],[主队2]]-表1_4[[#This Row],[客队2]]</f>
        <v>-5</v>
      </c>
      <c r="J33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332" s="35" t="s">
        <v>166</v>
      </c>
      <c r="L33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32" s="11"/>
      <c r="N332" s="10" t="s">
        <v>133</v>
      </c>
      <c r="O332" s="108" t="s">
        <v>28</v>
      </c>
      <c r="P332" s="9" t="s">
        <v>161</v>
      </c>
      <c r="R332" t="s">
        <v>852</v>
      </c>
      <c r="T332" s="3"/>
      <c r="U332" s="83"/>
      <c r="V332" s="247" t="s">
        <v>853</v>
      </c>
      <c r="W332" s="86"/>
      <c r="X332" s="41"/>
    </row>
    <row r="333" spans="1:25">
      <c r="A333" t="s">
        <v>107</v>
      </c>
      <c r="B333" s="4">
        <v>43187.041666666701</v>
      </c>
      <c r="C333" s="1" t="s">
        <v>344</v>
      </c>
      <c r="D333" s="59" t="s">
        <v>271</v>
      </c>
      <c r="E333" s="107" t="s">
        <v>53</v>
      </c>
      <c r="F333" s="37" t="s">
        <v>123</v>
      </c>
      <c r="G333" s="32">
        <v>74.900000000000006</v>
      </c>
      <c r="H333" s="32">
        <v>79.8</v>
      </c>
      <c r="I333">
        <f>表1_4[[#This Row],[主队2]]-表1_4[[#This Row],[客队2]]</f>
        <v>-4.8999999999999897</v>
      </c>
      <c r="J33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333" s="35" t="s">
        <v>166</v>
      </c>
      <c r="L33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33" s="11"/>
      <c r="N333" s="10" t="s">
        <v>119</v>
      </c>
      <c r="O333" s="110" t="s">
        <v>24</v>
      </c>
      <c r="P333" s="9" t="s">
        <v>161</v>
      </c>
      <c r="T333" s="3"/>
      <c r="U333" s="246"/>
      <c r="V333" s="247" t="s">
        <v>854</v>
      </c>
      <c r="W333" s="71"/>
      <c r="X333" s="41"/>
    </row>
    <row r="334" spans="1:25">
      <c r="A334" t="s">
        <v>107</v>
      </c>
      <c r="B334" s="4">
        <v>43187.041666666701</v>
      </c>
      <c r="C334" s="30" t="s">
        <v>648</v>
      </c>
      <c r="D334" s="59" t="s">
        <v>305</v>
      </c>
      <c r="E334" s="42" t="s">
        <v>31</v>
      </c>
      <c r="F334" s="37" t="s">
        <v>239</v>
      </c>
      <c r="G334" s="32">
        <v>81.2</v>
      </c>
      <c r="H334" s="32">
        <v>87.2</v>
      </c>
      <c r="I334">
        <f>表1_4[[#This Row],[主队2]]-表1_4[[#This Row],[客队2]]</f>
        <v>-6</v>
      </c>
      <c r="J33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334" s="35" t="s">
        <v>166</v>
      </c>
      <c r="L33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34" s="11"/>
      <c r="N334" s="10" t="s">
        <v>112</v>
      </c>
      <c r="O334" s="108" t="s">
        <v>35</v>
      </c>
      <c r="P334" s="9" t="s">
        <v>161</v>
      </c>
      <c r="R334" t="s">
        <v>855</v>
      </c>
      <c r="T334" s="3"/>
      <c r="U334" s="83" t="s">
        <v>177</v>
      </c>
      <c r="V334" s="85" t="s">
        <v>856</v>
      </c>
      <c r="W334" s="87"/>
      <c r="X334" s="41"/>
    </row>
    <row r="335" spans="1:25">
      <c r="A335" t="s">
        <v>107</v>
      </c>
      <c r="B335" s="4">
        <v>43188.041666608799</v>
      </c>
      <c r="C335" s="14" t="s">
        <v>760</v>
      </c>
      <c r="D335" s="59" t="s">
        <v>302</v>
      </c>
      <c r="E335" s="42" t="s">
        <v>29</v>
      </c>
      <c r="F335" s="37" t="s">
        <v>185</v>
      </c>
      <c r="G335" s="32">
        <v>86.1</v>
      </c>
      <c r="H335" s="32">
        <v>78.400000000000006</v>
      </c>
      <c r="I335">
        <f>表1_4[[#This Row],[主队2]]-表1_4[[#This Row],[客队2]]</f>
        <v>7.6999999999999904</v>
      </c>
      <c r="J33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335" s="35" t="s">
        <v>118</v>
      </c>
      <c r="L33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35" s="11"/>
      <c r="N335" s="10" t="s">
        <v>112</v>
      </c>
      <c r="O335" s="108" t="s">
        <v>143</v>
      </c>
      <c r="P335" s="9" t="s">
        <v>161</v>
      </c>
      <c r="T335" s="3"/>
      <c r="U335" s="83"/>
      <c r="V335" s="247" t="s">
        <v>857</v>
      </c>
      <c r="W335" s="38"/>
      <c r="X335" s="41"/>
    </row>
    <row r="336" spans="1:25">
      <c r="A336" t="s">
        <v>107</v>
      </c>
      <c r="B336" s="4">
        <v>43248.791666666701</v>
      </c>
      <c r="C336" s="5" t="s">
        <v>609</v>
      </c>
      <c r="D336" s="6" t="s">
        <v>185</v>
      </c>
      <c r="E336" s="37" t="s">
        <v>22</v>
      </c>
      <c r="F336" t="s">
        <v>235</v>
      </c>
      <c r="G336" s="32">
        <v>78.3</v>
      </c>
      <c r="H336" s="32">
        <v>75.400000000000006</v>
      </c>
      <c r="I336">
        <f>表1_4[[#This Row],[主队2]]-表1_4[[#This Row],[客队2]]</f>
        <v>2.8999999999999901</v>
      </c>
      <c r="J33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336" s="35" t="s">
        <v>118</v>
      </c>
      <c r="L33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36" s="11"/>
      <c r="N336" s="10" t="s">
        <v>112</v>
      </c>
      <c r="O336" s="108" t="s">
        <v>28</v>
      </c>
      <c r="P336" s="9">
        <v>-0.1</v>
      </c>
      <c r="T336" s="3"/>
      <c r="U336" s="25"/>
      <c r="V336" s="245" t="s">
        <v>858</v>
      </c>
      <c r="W336" s="86"/>
      <c r="X336" s="41"/>
    </row>
    <row r="337" spans="1:24">
      <c r="A337" t="s">
        <v>107</v>
      </c>
      <c r="B337" s="4">
        <v>43249.09375</v>
      </c>
      <c r="C337" s="1" t="s">
        <v>611</v>
      </c>
      <c r="D337" s="6" t="s">
        <v>190</v>
      </c>
      <c r="E337" s="37" t="s">
        <v>33</v>
      </c>
      <c r="F337" t="s">
        <v>151</v>
      </c>
      <c r="G337" s="32">
        <v>81.900000000000006</v>
      </c>
      <c r="H337" s="32">
        <v>82.5</v>
      </c>
      <c r="I337">
        <f>表1_4[[#This Row],[主队2]]-表1_4[[#This Row],[客队2]]</f>
        <v>-0.59999999999999398</v>
      </c>
      <c r="J33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337" s="35" t="s">
        <v>289</v>
      </c>
      <c r="L33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37" s="11"/>
      <c r="N337" s="10" t="s">
        <v>133</v>
      </c>
      <c r="O337" s="108" t="s">
        <v>65</v>
      </c>
      <c r="P337" s="9">
        <v>8</v>
      </c>
      <c r="T337" s="3"/>
      <c r="U337" s="83" t="s">
        <v>167</v>
      </c>
      <c r="V337" s="101" t="s">
        <v>859</v>
      </c>
      <c r="W337" s="87"/>
      <c r="X337" s="41"/>
    </row>
    <row r="338" spans="1:24">
      <c r="A338" t="s">
        <v>107</v>
      </c>
      <c r="B338" s="4">
        <v>43249.114583333299</v>
      </c>
      <c r="C338" s="5" t="s">
        <v>382</v>
      </c>
      <c r="D338" s="6" t="s">
        <v>270</v>
      </c>
      <c r="E338" s="37" t="s">
        <v>25</v>
      </c>
      <c r="F338" t="s">
        <v>546</v>
      </c>
      <c r="G338" s="32">
        <v>91.1</v>
      </c>
      <c r="H338" s="32">
        <v>76.2</v>
      </c>
      <c r="I338">
        <f>表1_4[[#This Row],[主队2]]-表1_4[[#This Row],[客队2]]</f>
        <v>14.9</v>
      </c>
      <c r="J33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338" s="35" t="s">
        <v>125</v>
      </c>
      <c r="L33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338" s="11" t="s">
        <v>497</v>
      </c>
      <c r="N338" s="10" t="s">
        <v>133</v>
      </c>
      <c r="O338" s="108" t="s">
        <v>51</v>
      </c>
      <c r="P338" s="9">
        <v>-6</v>
      </c>
      <c r="T338" s="3"/>
      <c r="U338" s="83"/>
      <c r="V338" s="84" t="s">
        <v>860</v>
      </c>
      <c r="W338" s="87" t="s">
        <v>381</v>
      </c>
      <c r="X338" s="41"/>
    </row>
    <row r="339" spans="1:24">
      <c r="A339" t="s">
        <v>107</v>
      </c>
      <c r="B339" s="4">
        <v>43249.125</v>
      </c>
      <c r="C339" s="14" t="s">
        <v>605</v>
      </c>
      <c r="D339" s="6" t="s">
        <v>267</v>
      </c>
      <c r="E339" s="37" t="s">
        <v>22</v>
      </c>
      <c r="F339" t="s">
        <v>199</v>
      </c>
      <c r="G339" s="32">
        <v>93.3</v>
      </c>
      <c r="H339" s="32">
        <v>82.2</v>
      </c>
      <c r="I339">
        <f>表1_4[[#This Row],[主队2]]-表1_4[[#This Row],[客队2]]</f>
        <v>11.1</v>
      </c>
      <c r="J33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339" s="35" t="s">
        <v>81</v>
      </c>
      <c r="L33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39" s="11"/>
      <c r="N339" s="10" t="s">
        <v>112</v>
      </c>
      <c r="O339" s="108" t="s">
        <v>24</v>
      </c>
      <c r="P339" s="9">
        <v>-18</v>
      </c>
      <c r="T339" s="3"/>
      <c r="U339" s="25" t="s">
        <v>448</v>
      </c>
      <c r="V339" s="245" t="s">
        <v>861</v>
      </c>
      <c r="W339" s="40" t="s">
        <v>280</v>
      </c>
      <c r="X339" s="41"/>
    </row>
    <row r="340" spans="1:24">
      <c r="A340" t="s">
        <v>107</v>
      </c>
      <c r="B340" s="4">
        <v>43250.375</v>
      </c>
      <c r="C340" s="1" t="s">
        <v>312</v>
      </c>
      <c r="D340" s="6" t="s">
        <v>225</v>
      </c>
      <c r="E340" s="37" t="s">
        <v>42</v>
      </c>
      <c r="F340" t="s">
        <v>296</v>
      </c>
      <c r="G340" s="32">
        <v>77.2</v>
      </c>
      <c r="H340" s="32">
        <v>77.900000000000006</v>
      </c>
      <c r="I340">
        <f>表1_4[[#This Row],[主队2]]-表1_4[[#This Row],[客队2]]</f>
        <v>-0.70000000000000295</v>
      </c>
      <c r="J34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340" s="35" t="s">
        <v>289</v>
      </c>
      <c r="L34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40" s="11"/>
      <c r="N340" s="57" t="s">
        <v>404</v>
      </c>
      <c r="O340" s="108" t="s">
        <v>39</v>
      </c>
      <c r="P340" s="9">
        <v>-6</v>
      </c>
      <c r="T340" s="3"/>
      <c r="U340" s="83"/>
      <c r="V340" s="85" t="s">
        <v>862</v>
      </c>
      <c r="W340" s="87"/>
      <c r="X340" s="41"/>
    </row>
    <row r="341" spans="1:24">
      <c r="A341" t="s">
        <v>107</v>
      </c>
      <c r="B341" s="4">
        <v>43251.114583333299</v>
      </c>
      <c r="C341" s="264" t="s">
        <v>122</v>
      </c>
      <c r="D341" s="6" t="s">
        <v>194</v>
      </c>
      <c r="E341" s="37" t="s">
        <v>31</v>
      </c>
      <c r="F341" t="s">
        <v>353</v>
      </c>
      <c r="G341" s="32">
        <v>80.099999999999994</v>
      </c>
      <c r="H341" s="32">
        <v>82.1</v>
      </c>
      <c r="I341">
        <f>表1_4[[#This Row],[主队2]]-表1_4[[#This Row],[客队2]]</f>
        <v>-2</v>
      </c>
      <c r="J34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341" s="35" t="s">
        <v>182</v>
      </c>
      <c r="L34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41" s="11"/>
      <c r="N341" s="10" t="s">
        <v>119</v>
      </c>
      <c r="O341" s="108" t="s">
        <v>51</v>
      </c>
      <c r="P341" s="9">
        <v>12</v>
      </c>
      <c r="T341" s="3"/>
      <c r="U341" s="246"/>
      <c r="V341" s="247" t="s">
        <v>454</v>
      </c>
      <c r="W341" s="244"/>
      <c r="X341" s="41"/>
    </row>
    <row r="342" spans="1:24">
      <c r="A342" t="s">
        <v>107</v>
      </c>
      <c r="B342" s="4">
        <v>43251.916666666701</v>
      </c>
      <c r="C342" s="30" t="s">
        <v>149</v>
      </c>
      <c r="D342" s="6" t="s">
        <v>175</v>
      </c>
      <c r="E342" s="37" t="s">
        <v>29</v>
      </c>
      <c r="F342" t="s">
        <v>305</v>
      </c>
      <c r="G342" s="32">
        <v>88.9</v>
      </c>
      <c r="H342" s="32">
        <v>81.5</v>
      </c>
      <c r="I342">
        <f>表1_4[[#This Row],[主队2]]-表1_4[[#This Row],[客队2]]</f>
        <v>7.4000000000000101</v>
      </c>
      <c r="J342" s="34">
        <v>0.75</v>
      </c>
      <c r="K342" s="35" t="s">
        <v>182</v>
      </c>
      <c r="L34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342" s="11"/>
      <c r="N342" s="57" t="s">
        <v>119</v>
      </c>
      <c r="O342" s="110" t="s">
        <v>65</v>
      </c>
      <c r="P342" s="9">
        <v>5</v>
      </c>
      <c r="T342" s="3"/>
      <c r="U342" s="112" t="s">
        <v>776</v>
      </c>
      <c r="V342" s="85" t="s">
        <v>863</v>
      </c>
      <c r="W342" s="38"/>
      <c r="X342" s="41"/>
    </row>
    <row r="343" spans="1:24">
      <c r="A343" t="s">
        <v>107</v>
      </c>
      <c r="B343" s="4">
        <v>43252.083333333299</v>
      </c>
      <c r="C343" s="1" t="s">
        <v>129</v>
      </c>
      <c r="D343" s="6" t="s">
        <v>214</v>
      </c>
      <c r="E343" s="37" t="s">
        <v>42</v>
      </c>
      <c r="F343" t="s">
        <v>550</v>
      </c>
      <c r="G343" s="32">
        <v>82.6</v>
      </c>
      <c r="H343" s="32">
        <v>79.599999999999994</v>
      </c>
      <c r="I343">
        <f>表1_4[[#This Row],[主队2]]-表1_4[[#This Row],[客队2]]</f>
        <v>3</v>
      </c>
      <c r="J343" s="34">
        <v>0.25</v>
      </c>
      <c r="K343" s="35" t="s">
        <v>166</v>
      </c>
      <c r="L34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43" s="11"/>
      <c r="N343" s="10" t="s">
        <v>133</v>
      </c>
      <c r="O343" s="108" t="s">
        <v>65</v>
      </c>
      <c r="P343" s="9">
        <v>10</v>
      </c>
      <c r="T343" s="3"/>
      <c r="U343" s="246" t="s">
        <v>776</v>
      </c>
      <c r="V343" s="251" t="s">
        <v>864</v>
      </c>
      <c r="W343" s="40"/>
      <c r="X343" s="41"/>
    </row>
    <row r="344" spans="1:24">
      <c r="A344" t="s">
        <v>107</v>
      </c>
      <c r="B344" s="4">
        <v>43253.125</v>
      </c>
      <c r="C344" s="14" t="s">
        <v>865</v>
      </c>
      <c r="D344" s="6" t="s">
        <v>267</v>
      </c>
      <c r="E344" s="37" t="s">
        <v>41</v>
      </c>
      <c r="F344" t="s">
        <v>204</v>
      </c>
      <c r="G344" s="32">
        <v>93.5</v>
      </c>
      <c r="H344" s="32">
        <v>87.7</v>
      </c>
      <c r="I344">
        <f>表1_4[[#This Row],[主队2]]-表1_4[[#This Row],[客队2]]</f>
        <v>5.8</v>
      </c>
      <c r="J34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344" s="35" t="s">
        <v>118</v>
      </c>
      <c r="L34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44" s="11"/>
      <c r="N344" s="10" t="s">
        <v>112</v>
      </c>
      <c r="O344" s="108" t="s">
        <v>28</v>
      </c>
      <c r="P344" s="9">
        <v>-2</v>
      </c>
      <c r="T344" s="3"/>
      <c r="U344" s="83"/>
      <c r="V344" s="91" t="s">
        <v>866</v>
      </c>
      <c r="W344" s="87" t="s">
        <v>381</v>
      </c>
      <c r="X344" s="41"/>
    </row>
    <row r="345" spans="1:24">
      <c r="A345" t="s">
        <v>107</v>
      </c>
      <c r="B345" s="4">
        <v>43254</v>
      </c>
      <c r="C345" s="263" t="s">
        <v>867</v>
      </c>
      <c r="D345" s="6" t="s">
        <v>194</v>
      </c>
      <c r="E345" s="37" t="s">
        <v>33</v>
      </c>
      <c r="F345" t="s">
        <v>116</v>
      </c>
      <c r="G345" s="32">
        <v>80.400000000000006</v>
      </c>
      <c r="H345" s="32">
        <v>98.1</v>
      </c>
      <c r="I345">
        <f>表1_4[[#This Row],[主队2]]-表1_4[[#This Row],[客队2]]</f>
        <v>-17.7</v>
      </c>
      <c r="J34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345" s="35" t="s">
        <v>245</v>
      </c>
      <c r="L34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345" s="11"/>
      <c r="N345" s="10" t="s">
        <v>119</v>
      </c>
      <c r="O345" s="108" t="s">
        <v>35</v>
      </c>
      <c r="P345" s="9">
        <v>9</v>
      </c>
      <c r="T345" s="3"/>
      <c r="U345" s="246" t="s">
        <v>697</v>
      </c>
      <c r="V345" s="24" t="s">
        <v>868</v>
      </c>
      <c r="W345" s="87"/>
      <c r="X345" s="41"/>
    </row>
    <row r="346" spans="1:24">
      <c r="A346" t="s">
        <v>107</v>
      </c>
      <c r="B346" s="4">
        <v>43254.010416666701</v>
      </c>
      <c r="C346" s="5" t="s">
        <v>869</v>
      </c>
      <c r="D346" s="6" t="s">
        <v>117</v>
      </c>
      <c r="E346" s="37" t="s">
        <v>33</v>
      </c>
      <c r="F346" t="s">
        <v>519</v>
      </c>
      <c r="G346" s="32">
        <v>90</v>
      </c>
      <c r="H346" s="32">
        <v>80</v>
      </c>
      <c r="I346">
        <f>表1_4[[#This Row],[主队2]]-表1_4[[#This Row],[客队2]]</f>
        <v>10</v>
      </c>
      <c r="J34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346" s="35" t="s">
        <v>125</v>
      </c>
      <c r="L34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46" s="11"/>
      <c r="N346" s="10" t="s">
        <v>119</v>
      </c>
      <c r="O346" s="108" t="s">
        <v>24</v>
      </c>
      <c r="P346" s="9">
        <v>-4</v>
      </c>
      <c r="T346" s="3"/>
      <c r="U346" s="83"/>
      <c r="V346" s="85" t="s">
        <v>870</v>
      </c>
      <c r="W346" s="244"/>
      <c r="X346" s="41"/>
    </row>
    <row r="347" spans="1:24">
      <c r="A347" t="s">
        <v>107</v>
      </c>
      <c r="B347" s="97">
        <v>43254.072916666701</v>
      </c>
      <c r="C347" s="1" t="s">
        <v>871</v>
      </c>
      <c r="D347" s="6" t="s">
        <v>239</v>
      </c>
      <c r="E347" s="37" t="s">
        <v>42</v>
      </c>
      <c r="F347" t="s">
        <v>306</v>
      </c>
      <c r="G347" s="32">
        <v>86.9</v>
      </c>
      <c r="H347" s="32">
        <v>83.9</v>
      </c>
      <c r="I347">
        <f>表1_4[[#This Row],[主队2]]-表1_4[[#This Row],[客队2]]</f>
        <v>3</v>
      </c>
      <c r="J34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347" s="35" t="s">
        <v>166</v>
      </c>
      <c r="L34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347" s="11"/>
      <c r="N347" s="10" t="s">
        <v>112</v>
      </c>
      <c r="O347" s="108" t="s">
        <v>143</v>
      </c>
      <c r="P347" s="9">
        <v>2</v>
      </c>
      <c r="T347" s="3"/>
      <c r="U347" s="25"/>
      <c r="V347" s="24" t="s">
        <v>872</v>
      </c>
      <c r="W347" s="40"/>
      <c r="X347" s="41"/>
    </row>
    <row r="348" spans="1:24" ht="28.9">
      <c r="A348" t="s">
        <v>107</v>
      </c>
      <c r="B348" s="4">
        <v>43254.114583333299</v>
      </c>
      <c r="C348" s="5" t="s">
        <v>873</v>
      </c>
      <c r="D348" s="6" t="s">
        <v>274</v>
      </c>
      <c r="E348" s="37" t="s">
        <v>42</v>
      </c>
      <c r="F348" t="s">
        <v>270</v>
      </c>
      <c r="G348" s="32">
        <v>90.4</v>
      </c>
      <c r="H348" s="32">
        <v>90.7</v>
      </c>
      <c r="I348">
        <f>表1_4[[#This Row],[主队2]]-表1_4[[#This Row],[客队2]]</f>
        <v>-0.29999999999999699</v>
      </c>
      <c r="J34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348" s="35" t="s">
        <v>289</v>
      </c>
      <c r="L34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48" s="11"/>
      <c r="N348" s="10" t="s">
        <v>112</v>
      </c>
      <c r="O348" s="108" t="s">
        <v>51</v>
      </c>
      <c r="P348" s="9">
        <v>0.1</v>
      </c>
      <c r="T348" s="3"/>
      <c r="U348" s="246"/>
      <c r="V348" s="265" t="s">
        <v>874</v>
      </c>
      <c r="W348" s="40"/>
      <c r="X348" s="41"/>
    </row>
    <row r="349" spans="1:24">
      <c r="A349" t="s">
        <v>107</v>
      </c>
      <c r="B349" s="4">
        <v>43255.125</v>
      </c>
      <c r="C349" s="5" t="s">
        <v>875</v>
      </c>
      <c r="D349" s="6" t="s">
        <v>209</v>
      </c>
      <c r="E349" s="37" t="s">
        <v>36</v>
      </c>
      <c r="F349" t="s">
        <v>250</v>
      </c>
      <c r="G349" s="32">
        <v>99.4</v>
      </c>
      <c r="H349" s="32">
        <v>84.8</v>
      </c>
      <c r="I349">
        <f>表1_4[[#This Row],[主队2]]-表1_4[[#This Row],[客队2]]</f>
        <v>14.6</v>
      </c>
      <c r="J34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349" s="35" t="s">
        <v>81</v>
      </c>
      <c r="L34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49" s="63" t="s">
        <v>876</v>
      </c>
      <c r="N349" s="57" t="s">
        <v>404</v>
      </c>
      <c r="O349" s="108" t="s">
        <v>39</v>
      </c>
      <c r="P349" s="9">
        <v>-14</v>
      </c>
      <c r="T349" s="3"/>
      <c r="U349" s="83"/>
      <c r="V349" s="89" t="s">
        <v>877</v>
      </c>
      <c r="W349" s="87"/>
      <c r="X349" s="41"/>
    </row>
    <row r="350" spans="1:24">
      <c r="A350" t="s">
        <v>107</v>
      </c>
      <c r="B350" s="4">
        <v>43256.114583333299</v>
      </c>
      <c r="C350" s="264" t="s">
        <v>878</v>
      </c>
      <c r="D350" s="240" t="s">
        <v>204</v>
      </c>
      <c r="E350" s="37" t="s">
        <v>36</v>
      </c>
      <c r="F350" t="s">
        <v>262</v>
      </c>
      <c r="G350" s="32">
        <v>87.4</v>
      </c>
      <c r="H350" s="32">
        <v>91.8</v>
      </c>
      <c r="I350">
        <f>表1_4[[#This Row],[主队2]]-表1_4[[#This Row],[客队2]]</f>
        <v>-4.3999999999999897</v>
      </c>
      <c r="J35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350" s="35" t="s">
        <v>182</v>
      </c>
      <c r="L35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50" s="63" t="s">
        <v>879</v>
      </c>
      <c r="N350" s="10" t="s">
        <v>119</v>
      </c>
      <c r="O350" s="108" t="s">
        <v>51</v>
      </c>
      <c r="P350" s="9">
        <v>-6</v>
      </c>
      <c r="T350" s="3"/>
      <c r="U350" s="25"/>
      <c r="V350" s="24" t="s">
        <v>880</v>
      </c>
      <c r="W350" s="71"/>
      <c r="X350" s="41"/>
    </row>
    <row r="351" spans="1:24">
      <c r="A351" t="s">
        <v>107</v>
      </c>
      <c r="B351" s="4">
        <v>43257</v>
      </c>
      <c r="C351" s="5" t="s">
        <v>881</v>
      </c>
      <c r="D351" s="6" t="s">
        <v>353</v>
      </c>
      <c r="E351" s="37" t="s">
        <v>36</v>
      </c>
      <c r="F351" t="s">
        <v>190</v>
      </c>
      <c r="G351" s="32">
        <v>81.8</v>
      </c>
      <c r="H351" s="32">
        <v>82.4</v>
      </c>
      <c r="I351">
        <f>表1_4[[#This Row],[主队2]]-表1_4[[#This Row],[客队2]]</f>
        <v>-0.60000000000000897</v>
      </c>
      <c r="J35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351" s="35" t="s">
        <v>289</v>
      </c>
      <c r="L35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51" s="11"/>
      <c r="N351" s="10" t="s">
        <v>133</v>
      </c>
      <c r="O351" s="108" t="s">
        <v>40</v>
      </c>
      <c r="P351" s="9">
        <v>0.1</v>
      </c>
      <c r="T351" s="3"/>
      <c r="U351" s="83" t="s">
        <v>405</v>
      </c>
      <c r="V351" s="85" t="s">
        <v>882</v>
      </c>
      <c r="W351" s="87"/>
      <c r="X351" s="41"/>
    </row>
    <row r="352" spans="1:24">
      <c r="A352" t="s">
        <v>107</v>
      </c>
      <c r="B352" s="4">
        <v>43258.114583333299</v>
      </c>
      <c r="C352" s="14" t="s">
        <v>883</v>
      </c>
      <c r="D352" s="6" t="s">
        <v>274</v>
      </c>
      <c r="E352" s="37" t="s">
        <v>44</v>
      </c>
      <c r="F352" t="s">
        <v>820</v>
      </c>
      <c r="G352" s="32">
        <v>90.1</v>
      </c>
      <c r="H352" s="32">
        <v>78.5</v>
      </c>
      <c r="I352">
        <f>表1_4[[#This Row],[主队2]]-表1_4[[#This Row],[客队2]]</f>
        <v>11.6</v>
      </c>
      <c r="J35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352" s="35" t="s">
        <v>125</v>
      </c>
      <c r="L35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52" s="11"/>
      <c r="N352" s="10" t="s">
        <v>160</v>
      </c>
      <c r="O352" s="108" t="s">
        <v>28</v>
      </c>
      <c r="P352" s="9">
        <v>-10</v>
      </c>
      <c r="T352" s="3"/>
      <c r="U352" s="25"/>
      <c r="V352" s="24" t="s">
        <v>884</v>
      </c>
      <c r="W352" s="40"/>
      <c r="X352" s="41"/>
    </row>
    <row r="353" spans="1:25">
      <c r="A353" t="s">
        <v>107</v>
      </c>
      <c r="B353" s="4">
        <v>43258.840277777803</v>
      </c>
      <c r="C353" s="5" t="s">
        <v>885</v>
      </c>
      <c r="D353" s="6" t="s">
        <v>185</v>
      </c>
      <c r="E353" s="37" t="s">
        <v>42</v>
      </c>
      <c r="F353" t="s">
        <v>159</v>
      </c>
      <c r="G353" s="32">
        <v>78.3</v>
      </c>
      <c r="H353" s="32">
        <v>75</v>
      </c>
      <c r="I353">
        <f>表1_4[[#This Row],[主队2]]-表1_4[[#This Row],[客队2]]</f>
        <v>3.3</v>
      </c>
      <c r="J353" s="34">
        <v>0.25</v>
      </c>
      <c r="K353" s="35" t="s">
        <v>125</v>
      </c>
      <c r="L35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353" s="11"/>
      <c r="N353" s="57" t="s">
        <v>133</v>
      </c>
      <c r="O353" s="108" t="s">
        <v>46</v>
      </c>
      <c r="P353" s="9">
        <v>-18</v>
      </c>
      <c r="T353" s="3"/>
      <c r="U353" s="246" t="s">
        <v>886</v>
      </c>
      <c r="V353" s="247" t="s">
        <v>887</v>
      </c>
      <c r="W353" s="71"/>
      <c r="X353" s="41"/>
    </row>
    <row r="354" spans="1:25">
      <c r="A354" t="s">
        <v>107</v>
      </c>
      <c r="B354" s="4">
        <v>43259.125</v>
      </c>
      <c r="C354" s="5" t="s">
        <v>888</v>
      </c>
      <c r="D354" s="6" t="s">
        <v>117</v>
      </c>
      <c r="E354" s="37" t="s">
        <v>22</v>
      </c>
      <c r="F354" t="s">
        <v>230</v>
      </c>
      <c r="G354" s="32">
        <v>90.1</v>
      </c>
      <c r="H354" s="32">
        <v>80</v>
      </c>
      <c r="I354">
        <f>表1_4[[#This Row],[主队2]]-表1_4[[#This Row],[客队2]]</f>
        <v>10.1</v>
      </c>
      <c r="J35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354" s="35" t="s">
        <v>125</v>
      </c>
      <c r="L35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54" s="11"/>
      <c r="N354" s="10" t="s">
        <v>119</v>
      </c>
      <c r="O354" s="108" t="s">
        <v>65</v>
      </c>
      <c r="P354" s="9">
        <v>-16</v>
      </c>
      <c r="T354" s="3"/>
      <c r="U354" s="246"/>
      <c r="V354" s="247" t="s">
        <v>889</v>
      </c>
      <c r="W354" s="244"/>
      <c r="X354" s="41"/>
    </row>
    <row r="355" spans="1:25">
      <c r="A355" t="s">
        <v>107</v>
      </c>
      <c r="B355" s="4">
        <v>43260</v>
      </c>
      <c r="C355" s="14" t="s">
        <v>890</v>
      </c>
      <c r="D355" s="6" t="s">
        <v>110</v>
      </c>
      <c r="E355" s="37" t="s">
        <v>33</v>
      </c>
      <c r="F355" t="s">
        <v>587</v>
      </c>
      <c r="G355" s="32">
        <v>89.3</v>
      </c>
      <c r="H355" s="32">
        <v>79.599999999999994</v>
      </c>
      <c r="I355">
        <f>表1_4[[#This Row],[主队2]]-表1_4[[#This Row],[客队2]]</f>
        <v>9.6999999999999993</v>
      </c>
      <c r="J35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355" s="35" t="s">
        <v>118</v>
      </c>
      <c r="L35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355" s="11"/>
      <c r="N355" s="10" t="s">
        <v>112</v>
      </c>
      <c r="O355" s="108" t="s">
        <v>143</v>
      </c>
      <c r="P355" s="9">
        <v>10</v>
      </c>
      <c r="T355" s="3"/>
      <c r="U355" s="83"/>
      <c r="V355" s="85" t="s">
        <v>891</v>
      </c>
      <c r="W355" s="38"/>
      <c r="X355" s="41"/>
    </row>
    <row r="356" spans="1:25">
      <c r="A356" t="s">
        <v>107</v>
      </c>
      <c r="B356" s="4">
        <v>43260.041666666701</v>
      </c>
      <c r="C356" s="14" t="s">
        <v>865</v>
      </c>
      <c r="D356" s="6" t="s">
        <v>250</v>
      </c>
      <c r="E356" s="37" t="s">
        <v>22</v>
      </c>
      <c r="F356" t="s">
        <v>147</v>
      </c>
      <c r="G356" s="32">
        <v>85.2</v>
      </c>
      <c r="H356" s="32">
        <v>78.900000000000006</v>
      </c>
      <c r="I356">
        <f>表1_4[[#This Row],[主队2]]-表1_4[[#This Row],[客队2]]</f>
        <v>6.3</v>
      </c>
      <c r="J35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356" s="35" t="s">
        <v>118</v>
      </c>
      <c r="L35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56" s="11"/>
      <c r="N356" s="10" t="s">
        <v>112</v>
      </c>
      <c r="O356" s="108" t="s">
        <v>35</v>
      </c>
      <c r="P356" s="9">
        <v>11</v>
      </c>
      <c r="T356" s="3"/>
      <c r="U356" s="246" t="s">
        <v>791</v>
      </c>
      <c r="V356" s="247" t="s">
        <v>892</v>
      </c>
      <c r="W356" s="38"/>
      <c r="X356" s="41"/>
    </row>
    <row r="357" spans="1:25">
      <c r="A357" t="s">
        <v>107</v>
      </c>
      <c r="B357" s="4">
        <v>43260.0625</v>
      </c>
      <c r="C357" s="5" t="s">
        <v>893</v>
      </c>
      <c r="D357" s="6" t="s">
        <v>116</v>
      </c>
      <c r="E357" s="37" t="s">
        <v>33</v>
      </c>
      <c r="F357" t="s">
        <v>138</v>
      </c>
      <c r="G357" s="32">
        <v>97.8</v>
      </c>
      <c r="H357" s="32">
        <v>74</v>
      </c>
      <c r="I357">
        <f>表1_4[[#This Row],[主队2]]-表1_4[[#This Row],[客队2]]</f>
        <v>23.8</v>
      </c>
      <c r="J357" s="35" t="s">
        <v>30</v>
      </c>
      <c r="K357" s="35" t="s">
        <v>23</v>
      </c>
      <c r="L35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57" s="11" t="s">
        <v>894</v>
      </c>
      <c r="N357" s="10" t="s">
        <v>895</v>
      </c>
      <c r="O357" s="108" t="s">
        <v>35</v>
      </c>
      <c r="P357" s="9" t="s">
        <v>161</v>
      </c>
      <c r="T357" s="3"/>
      <c r="U357" s="25" t="s">
        <v>791</v>
      </c>
      <c r="V357" s="24" t="s">
        <v>896</v>
      </c>
      <c r="W357" s="40"/>
      <c r="X357" s="41"/>
    </row>
    <row r="358" spans="1:25">
      <c r="A358" t="s">
        <v>107</v>
      </c>
      <c r="B358" s="4">
        <v>43260.114583333299</v>
      </c>
      <c r="C358" s="30" t="s">
        <v>897</v>
      </c>
      <c r="D358" s="6" t="s">
        <v>302</v>
      </c>
      <c r="E358" s="37" t="s">
        <v>25</v>
      </c>
      <c r="F358" t="s">
        <v>175</v>
      </c>
      <c r="G358" s="32">
        <v>86.2</v>
      </c>
      <c r="H358" s="32">
        <v>88.9</v>
      </c>
      <c r="I358">
        <f>表1_4[[#This Row],[主队2]]-表1_4[[#This Row],[客队2]]</f>
        <v>-2.7</v>
      </c>
      <c r="J35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358" s="35" t="s">
        <v>289</v>
      </c>
      <c r="L35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358" s="11"/>
      <c r="N358" s="57" t="s">
        <v>133</v>
      </c>
      <c r="O358" s="108" t="s">
        <v>46</v>
      </c>
      <c r="P358" s="9">
        <v>7</v>
      </c>
      <c r="T358" s="3"/>
      <c r="U358" s="246"/>
      <c r="V358" s="247" t="s">
        <v>898</v>
      </c>
      <c r="W358" s="71"/>
      <c r="X358" s="41"/>
    </row>
    <row r="359" spans="1:25">
      <c r="A359" t="s">
        <v>107</v>
      </c>
      <c r="B359" s="4">
        <v>43261.052083333299</v>
      </c>
      <c r="C359" s="1" t="s">
        <v>899</v>
      </c>
      <c r="D359" s="6" t="s">
        <v>239</v>
      </c>
      <c r="E359" s="37" t="s">
        <v>42</v>
      </c>
      <c r="F359" t="s">
        <v>181</v>
      </c>
      <c r="G359" s="32">
        <v>86.7</v>
      </c>
      <c r="H359" s="32">
        <v>88.1</v>
      </c>
      <c r="I359">
        <f>表1_4[[#This Row],[主队2]]-表1_4[[#This Row],[客队2]]</f>
        <v>-1.3999999999999899</v>
      </c>
      <c r="J35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359" s="35" t="s">
        <v>182</v>
      </c>
      <c r="L35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59" s="11"/>
      <c r="N359" s="57" t="s">
        <v>119</v>
      </c>
      <c r="O359" s="110" t="s">
        <v>65</v>
      </c>
      <c r="P359" s="9">
        <v>-9</v>
      </c>
      <c r="T359" s="3"/>
      <c r="U359" s="83"/>
      <c r="V359" s="89" t="s">
        <v>900</v>
      </c>
      <c r="W359" s="87" t="s">
        <v>207</v>
      </c>
      <c r="X359" s="41"/>
    </row>
    <row r="360" spans="1:25">
      <c r="A360" t="s">
        <v>107</v>
      </c>
      <c r="B360" s="4">
        <v>43261.083333333299</v>
      </c>
      <c r="C360" s="14" t="s">
        <v>901</v>
      </c>
      <c r="D360" s="6" t="s">
        <v>306</v>
      </c>
      <c r="E360" s="37" t="s">
        <v>22</v>
      </c>
      <c r="F360" t="s">
        <v>229</v>
      </c>
      <c r="G360" s="32">
        <v>84.2</v>
      </c>
      <c r="H360" s="32">
        <v>88</v>
      </c>
      <c r="I360">
        <f>表1_4[[#This Row],[主队2]]-表1_4[[#This Row],[客队2]]</f>
        <v>-3.8</v>
      </c>
      <c r="J36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360" s="35" t="s">
        <v>182</v>
      </c>
      <c r="L36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60" s="11"/>
      <c r="N360" s="10" t="s">
        <v>119</v>
      </c>
      <c r="O360" s="108" t="s">
        <v>51</v>
      </c>
      <c r="P360" s="9">
        <v>-4</v>
      </c>
      <c r="T360" s="3"/>
      <c r="U360" s="83"/>
      <c r="V360" s="85" t="s">
        <v>902</v>
      </c>
      <c r="W360" s="71"/>
      <c r="X360" s="41"/>
    </row>
    <row r="361" spans="1:25">
      <c r="A361" t="s">
        <v>107</v>
      </c>
      <c r="B361" s="4">
        <v>43261.114583333299</v>
      </c>
      <c r="C361" s="5" t="s">
        <v>903</v>
      </c>
      <c r="D361" s="6" t="s">
        <v>209</v>
      </c>
      <c r="E361" s="37" t="s">
        <v>31</v>
      </c>
      <c r="F361" t="s">
        <v>546</v>
      </c>
      <c r="G361" s="32">
        <v>99</v>
      </c>
      <c r="H361" s="32">
        <v>76.599999999999994</v>
      </c>
      <c r="I361">
        <f>表1_4[[#This Row],[主队2]]-表1_4[[#This Row],[客队2]]</f>
        <v>22.4</v>
      </c>
      <c r="J361" s="34">
        <v>2.25</v>
      </c>
      <c r="K361" s="35" t="s">
        <v>81</v>
      </c>
      <c r="L36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361" s="63" t="s">
        <v>904</v>
      </c>
      <c r="N361" s="10" t="s">
        <v>112</v>
      </c>
      <c r="O361" s="108" t="s">
        <v>28</v>
      </c>
      <c r="P361" s="9">
        <v>-1</v>
      </c>
      <c r="T361" s="3"/>
      <c r="U361" s="246" t="s">
        <v>776</v>
      </c>
      <c r="V361" s="247" t="s">
        <v>905</v>
      </c>
      <c r="W361" s="244"/>
      <c r="X361" s="41"/>
    </row>
    <row r="362" spans="1:25" s="2" customFormat="1">
      <c r="A362" s="58" t="s">
        <v>107</v>
      </c>
      <c r="B362" s="4">
        <v>43545.815972222197</v>
      </c>
      <c r="C362" s="2" t="s">
        <v>906</v>
      </c>
      <c r="D362" s="59" t="s">
        <v>116</v>
      </c>
      <c r="E362" s="7" t="s">
        <v>36</v>
      </c>
      <c r="F362" s="37" t="s">
        <v>434</v>
      </c>
      <c r="G362" s="32">
        <v>95.8</v>
      </c>
      <c r="H362" s="32">
        <v>84.9</v>
      </c>
      <c r="I362">
        <f>表1_4[[#This Row],[主队2]]-表1_4[[#This Row],[客队2]]</f>
        <v>10.9</v>
      </c>
      <c r="J36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362" s="35" t="s">
        <v>125</v>
      </c>
      <c r="L36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62" s="11"/>
      <c r="N362" s="10" t="s">
        <v>119</v>
      </c>
      <c r="O362" s="46" t="s">
        <v>24</v>
      </c>
      <c r="P362" s="9" t="s">
        <v>161</v>
      </c>
      <c r="Q362" s="11"/>
      <c r="R362"/>
      <c r="S362"/>
      <c r="T362" s="3"/>
      <c r="U362" s="246"/>
      <c r="V362" s="247" t="s">
        <v>907</v>
      </c>
      <c r="W362" s="71"/>
      <c r="X362" s="41"/>
      <c r="Y362" s="113"/>
    </row>
    <row r="363" spans="1:25" s="2" customFormat="1" ht="28.9">
      <c r="A363" s="58" t="s">
        <v>908</v>
      </c>
      <c r="B363" s="4">
        <v>43546.15625</v>
      </c>
      <c r="C363" s="26" t="s">
        <v>906</v>
      </c>
      <c r="D363" s="59" t="s">
        <v>262</v>
      </c>
      <c r="E363" s="7" t="s">
        <v>37</v>
      </c>
      <c r="F363" s="37" t="s">
        <v>240</v>
      </c>
      <c r="G363" s="32">
        <v>92.8</v>
      </c>
      <c r="H363" s="32">
        <v>73.400000000000006</v>
      </c>
      <c r="I363">
        <f>表1_4[[#This Row],[主队2]]-表1_4[[#This Row],[客队2]]</f>
        <v>19.399999999999999</v>
      </c>
      <c r="J36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363" s="34">
        <v>2.25</v>
      </c>
      <c r="L36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63" s="11"/>
      <c r="N363" s="10" t="s">
        <v>133</v>
      </c>
      <c r="O363" s="114" t="s">
        <v>40</v>
      </c>
      <c r="P363" s="9" t="s">
        <v>161</v>
      </c>
      <c r="Q363" s="11"/>
      <c r="R363"/>
      <c r="S363"/>
      <c r="T363" s="3"/>
      <c r="U363" s="246" t="s">
        <v>405</v>
      </c>
      <c r="V363" s="247" t="s">
        <v>909</v>
      </c>
      <c r="W363" s="86"/>
      <c r="X363" s="41"/>
      <c r="Y363" s="113"/>
    </row>
    <row r="364" spans="1:25" s="2" customFormat="1">
      <c r="A364" s="58" t="s">
        <v>908</v>
      </c>
      <c r="B364" s="4">
        <v>43546.15625</v>
      </c>
      <c r="C364" s="26" t="s">
        <v>906</v>
      </c>
      <c r="D364" s="59" t="s">
        <v>296</v>
      </c>
      <c r="E364" s="7" t="s">
        <v>22</v>
      </c>
      <c r="F364" s="37" t="s">
        <v>403</v>
      </c>
      <c r="G364" s="32">
        <v>76.5</v>
      </c>
      <c r="H364" s="32">
        <v>68.5</v>
      </c>
      <c r="I364">
        <f>表1_4[[#This Row],[主队2]]-表1_4[[#This Row],[客队2]]</f>
        <v>8</v>
      </c>
      <c r="J36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364" s="35" t="s">
        <v>176</v>
      </c>
      <c r="L36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64" s="11"/>
      <c r="N364" s="10" t="s">
        <v>112</v>
      </c>
      <c r="O364" s="10" t="s">
        <v>143</v>
      </c>
      <c r="P364" s="9">
        <v>-24</v>
      </c>
      <c r="Q364" s="11"/>
      <c r="R364"/>
      <c r="S364"/>
      <c r="T364" s="3"/>
      <c r="U364" s="25"/>
      <c r="V364" s="24" t="s">
        <v>910</v>
      </c>
      <c r="W364" s="38"/>
      <c r="X364" s="41"/>
      <c r="Y364" s="113"/>
    </row>
    <row r="365" spans="1:25" s="2" customFormat="1">
      <c r="A365" s="58" t="s">
        <v>908</v>
      </c>
      <c r="B365" s="4">
        <v>43546.15625</v>
      </c>
      <c r="C365" s="7" t="s">
        <v>906</v>
      </c>
      <c r="D365" s="59" t="s">
        <v>110</v>
      </c>
      <c r="E365" s="7" t="s">
        <v>33</v>
      </c>
      <c r="F365" s="37" t="s">
        <v>278</v>
      </c>
      <c r="G365" s="32">
        <v>88.8</v>
      </c>
      <c r="H365" s="32">
        <v>65</v>
      </c>
      <c r="I365">
        <f>表1_4[[#This Row],[主队2]]-表1_4[[#This Row],[客队2]]</f>
        <v>23.8</v>
      </c>
      <c r="J365" s="34">
        <v>2.75</v>
      </c>
      <c r="K365" s="34">
        <v>2.25</v>
      </c>
      <c r="L36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365" s="11"/>
      <c r="N365" s="10" t="s">
        <v>119</v>
      </c>
      <c r="O365" s="10" t="s">
        <v>28</v>
      </c>
      <c r="P365" s="9" t="s">
        <v>161</v>
      </c>
      <c r="Q365" s="11"/>
      <c r="R365"/>
      <c r="S365"/>
      <c r="T365" s="3"/>
      <c r="U365" s="246"/>
      <c r="V365" s="247" t="s">
        <v>911</v>
      </c>
      <c r="W365" s="86"/>
      <c r="X365" s="41"/>
      <c r="Y365" s="113"/>
    </row>
    <row r="366" spans="1:25" s="2" customFormat="1">
      <c r="A366" s="58" t="s">
        <v>908</v>
      </c>
      <c r="B366" s="4">
        <v>43546.15625</v>
      </c>
      <c r="C366" s="26" t="s">
        <v>906</v>
      </c>
      <c r="D366" s="59" t="s">
        <v>425</v>
      </c>
      <c r="E366" s="7" t="s">
        <v>22</v>
      </c>
      <c r="F366" s="37" t="s">
        <v>271</v>
      </c>
      <c r="G366" s="32">
        <v>82.9</v>
      </c>
      <c r="H366" s="32">
        <v>76.2</v>
      </c>
      <c r="I366">
        <f>表1_4[[#This Row],[主队2]]-表1_4[[#This Row],[客队2]]</f>
        <v>6.7</v>
      </c>
      <c r="J36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366" s="35" t="s">
        <v>118</v>
      </c>
      <c r="L36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66" s="11"/>
      <c r="N366" s="10" t="s">
        <v>133</v>
      </c>
      <c r="O366" s="10" t="s">
        <v>46</v>
      </c>
      <c r="P366" s="9">
        <v>-11</v>
      </c>
      <c r="Q366" s="11"/>
      <c r="R366"/>
      <c r="S366"/>
      <c r="T366" s="3"/>
      <c r="U366" s="246"/>
      <c r="V366" s="247" t="s">
        <v>912</v>
      </c>
      <c r="W366" s="71"/>
      <c r="X366" s="41"/>
      <c r="Y366" s="113"/>
    </row>
    <row r="367" spans="1:25" s="2" customFormat="1">
      <c r="A367" s="58" t="s">
        <v>908</v>
      </c>
      <c r="B367" s="4">
        <v>43546.15625</v>
      </c>
      <c r="C367" s="2" t="s">
        <v>906</v>
      </c>
      <c r="D367" s="59" t="s">
        <v>440</v>
      </c>
      <c r="E367" s="7" t="s">
        <v>41</v>
      </c>
      <c r="F367" s="37" t="s">
        <v>251</v>
      </c>
      <c r="G367" s="32">
        <v>71.599999999999994</v>
      </c>
      <c r="H367" s="32">
        <v>64.099999999999994</v>
      </c>
      <c r="I367">
        <f>表1_4[[#This Row],[主队2]]-表1_4[[#This Row],[客队2]]</f>
        <v>7.5</v>
      </c>
      <c r="J36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367" s="35" t="s">
        <v>125</v>
      </c>
      <c r="L36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67" s="11"/>
      <c r="N367" s="10" t="s">
        <v>119</v>
      </c>
      <c r="O367" s="10" t="s">
        <v>143</v>
      </c>
      <c r="P367" s="9">
        <v>-24</v>
      </c>
      <c r="Q367" s="11"/>
      <c r="R367"/>
      <c r="S367"/>
      <c r="T367" s="3"/>
      <c r="U367" s="83"/>
      <c r="V367" s="101" t="s">
        <v>913</v>
      </c>
      <c r="W367" s="86"/>
      <c r="X367" s="41"/>
      <c r="Y367" s="113"/>
    </row>
    <row r="368" spans="1:25" s="2" customFormat="1">
      <c r="A368" s="58" t="s">
        <v>908</v>
      </c>
      <c r="B368" s="4">
        <v>43546.15625</v>
      </c>
      <c r="C368" s="26" t="s">
        <v>906</v>
      </c>
      <c r="D368" s="59" t="s">
        <v>194</v>
      </c>
      <c r="E368" s="7" t="s">
        <v>53</v>
      </c>
      <c r="F368" s="37" t="s">
        <v>302</v>
      </c>
      <c r="G368" s="32">
        <v>80.7</v>
      </c>
      <c r="H368" s="32">
        <v>84</v>
      </c>
      <c r="I368">
        <f>表1_4[[#This Row],[主队2]]-表1_4[[#This Row],[客队2]]</f>
        <v>-3.3</v>
      </c>
      <c r="J36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368" s="35" t="s">
        <v>182</v>
      </c>
      <c r="L36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68" s="11"/>
      <c r="N368" s="57" t="s">
        <v>119</v>
      </c>
      <c r="O368" s="57" t="s">
        <v>65</v>
      </c>
      <c r="P368" s="9">
        <v>-16</v>
      </c>
      <c r="Q368" s="11"/>
      <c r="R368"/>
      <c r="S368"/>
      <c r="T368" s="3"/>
      <c r="U368" s="83"/>
      <c r="V368" s="85" t="s">
        <v>914</v>
      </c>
      <c r="W368" s="71"/>
      <c r="X368" s="41"/>
      <c r="Y368" s="113"/>
    </row>
    <row r="369" spans="1:25" s="2" customFormat="1">
      <c r="A369" s="58" t="s">
        <v>908</v>
      </c>
      <c r="B369" s="4">
        <v>43546.15625</v>
      </c>
      <c r="C369" s="266" t="s">
        <v>906</v>
      </c>
      <c r="D369" s="59" t="s">
        <v>210</v>
      </c>
      <c r="E369" s="7" t="s">
        <v>36</v>
      </c>
      <c r="F369" s="37" t="s">
        <v>309</v>
      </c>
      <c r="G369" s="32">
        <v>75.8</v>
      </c>
      <c r="H369" s="32">
        <v>77.099999999999994</v>
      </c>
      <c r="I369">
        <f>表1_4[[#This Row],[主队2]]-表1_4[[#This Row],[客队2]]</f>
        <v>-1.3</v>
      </c>
      <c r="J36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369" s="35" t="s">
        <v>182</v>
      </c>
      <c r="L36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69" s="63" t="s">
        <v>879</v>
      </c>
      <c r="N369" s="57" t="s">
        <v>119</v>
      </c>
      <c r="O369" s="81" t="s">
        <v>51</v>
      </c>
      <c r="P369" s="9">
        <v>-12</v>
      </c>
      <c r="Q369" s="11"/>
      <c r="R369"/>
      <c r="S369"/>
      <c r="T369" s="3"/>
      <c r="U369" s="246"/>
      <c r="V369" s="247" t="s">
        <v>915</v>
      </c>
      <c r="W369" s="38"/>
      <c r="X369" s="41"/>
      <c r="Y369" s="113"/>
    </row>
    <row r="370" spans="1:25" s="2" customFormat="1">
      <c r="A370" s="58" t="s">
        <v>908</v>
      </c>
      <c r="B370" s="4">
        <v>43545.958333333299</v>
      </c>
      <c r="C370" s="115" t="s">
        <v>906</v>
      </c>
      <c r="D370" s="59" t="s">
        <v>288</v>
      </c>
      <c r="E370" s="7" t="s">
        <v>44</v>
      </c>
      <c r="F370" s="37" t="s">
        <v>123</v>
      </c>
      <c r="G370" s="32">
        <v>65.400000000000006</v>
      </c>
      <c r="H370" s="32">
        <v>80.5</v>
      </c>
      <c r="I370">
        <f>表1_4[[#This Row],[主队2]]-表1_4[[#This Row],[客队2]]</f>
        <v>-15.1</v>
      </c>
      <c r="J37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370" s="35" t="s">
        <v>132</v>
      </c>
      <c r="L37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370" s="11"/>
      <c r="N370" s="10" t="s">
        <v>119</v>
      </c>
      <c r="O370" s="116" t="s">
        <v>35</v>
      </c>
      <c r="P370" s="9">
        <v>7</v>
      </c>
      <c r="Q370" s="11"/>
      <c r="R370"/>
      <c r="S370"/>
      <c r="T370" s="3"/>
      <c r="U370" s="25" t="s">
        <v>693</v>
      </c>
      <c r="V370" s="247" t="s">
        <v>916</v>
      </c>
      <c r="W370" s="71"/>
      <c r="X370" s="41"/>
      <c r="Y370" s="113"/>
    </row>
    <row r="371" spans="1:25" s="2" customFormat="1" ht="28.9">
      <c r="A371" s="58" t="s">
        <v>908</v>
      </c>
      <c r="B371" s="4">
        <v>43546.041666666701</v>
      </c>
      <c r="C371" s="7" t="s">
        <v>906</v>
      </c>
      <c r="D371" s="59" t="s">
        <v>407</v>
      </c>
      <c r="E371" s="7" t="s">
        <v>57</v>
      </c>
      <c r="F371" s="37" t="s">
        <v>282</v>
      </c>
      <c r="G371" s="32">
        <v>65.8</v>
      </c>
      <c r="H371" s="32">
        <v>31.1</v>
      </c>
      <c r="I371">
        <f>表1_4[[#This Row],[主队2]]-表1_4[[#This Row],[客队2]]</f>
        <v>34.700000000000003</v>
      </c>
      <c r="J371" s="34">
        <v>3.75</v>
      </c>
      <c r="K371" s="34">
        <v>3.5</v>
      </c>
      <c r="L37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71" s="11"/>
      <c r="N371" s="10" t="s">
        <v>404</v>
      </c>
      <c r="O371" s="117" t="s">
        <v>35</v>
      </c>
      <c r="P371" s="9" t="s">
        <v>161</v>
      </c>
      <c r="Q371" s="11"/>
      <c r="R371"/>
      <c r="S371"/>
      <c r="T371" s="3"/>
      <c r="U371" s="83" t="s">
        <v>917</v>
      </c>
      <c r="V371" s="94" t="s">
        <v>918</v>
      </c>
      <c r="W371" s="87"/>
      <c r="X371" s="41"/>
      <c r="Y371" s="113"/>
    </row>
    <row r="372" spans="1:25" s="2" customFormat="1" ht="28.9">
      <c r="A372" s="58" t="s">
        <v>908</v>
      </c>
      <c r="B372" s="4">
        <v>43546.15625</v>
      </c>
      <c r="C372" s="26" t="s">
        <v>906</v>
      </c>
      <c r="D372" s="59" t="s">
        <v>274</v>
      </c>
      <c r="E372" s="7" t="s">
        <v>41</v>
      </c>
      <c r="F372" s="37" t="s">
        <v>353</v>
      </c>
      <c r="G372" s="32">
        <v>93.3</v>
      </c>
      <c r="H372" s="32">
        <v>84.2</v>
      </c>
      <c r="I372">
        <f>表1_4[[#This Row],[主队2]]-表1_4[[#This Row],[客队2]]</f>
        <v>9.0999999999999908</v>
      </c>
      <c r="J37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372" s="35" t="s">
        <v>81</v>
      </c>
      <c r="L37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72" s="11"/>
      <c r="N372" s="10" t="s">
        <v>133</v>
      </c>
      <c r="O372" s="114" t="s">
        <v>65</v>
      </c>
      <c r="P372" s="9">
        <v>-15</v>
      </c>
      <c r="Q372" s="11"/>
      <c r="R372"/>
      <c r="S372"/>
      <c r="T372" s="3"/>
      <c r="U372" s="83"/>
      <c r="V372" s="85" t="s">
        <v>919</v>
      </c>
      <c r="W372" s="87"/>
      <c r="X372" s="41"/>
      <c r="Y372" s="113"/>
    </row>
    <row r="373" spans="1:25" s="2" customFormat="1">
      <c r="A373" s="58" t="s">
        <v>908</v>
      </c>
      <c r="B373" s="4">
        <v>43547.041666666701</v>
      </c>
      <c r="C373" s="266" t="s">
        <v>906</v>
      </c>
      <c r="D373" s="59" t="s">
        <v>261</v>
      </c>
      <c r="E373" s="7" t="s">
        <v>36</v>
      </c>
      <c r="F373" s="37" t="s">
        <v>301</v>
      </c>
      <c r="G373" s="32">
        <v>74.7</v>
      </c>
      <c r="H373" s="32">
        <v>76</v>
      </c>
      <c r="I373">
        <f>表1_4[[#This Row],[主队2]]-表1_4[[#This Row],[客队2]]</f>
        <v>-1.3</v>
      </c>
      <c r="J37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373" s="35" t="s">
        <v>182</v>
      </c>
      <c r="L37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73" s="11"/>
      <c r="N373" s="57" t="s">
        <v>119</v>
      </c>
      <c r="O373" s="10" t="s">
        <v>39</v>
      </c>
      <c r="P373" s="9">
        <v>-7</v>
      </c>
      <c r="Q373" s="11"/>
      <c r="R373" t="s">
        <v>855</v>
      </c>
      <c r="S373"/>
      <c r="T373" s="3"/>
      <c r="U373" s="246"/>
      <c r="V373" s="247" t="s">
        <v>920</v>
      </c>
      <c r="W373" s="244"/>
      <c r="X373" s="249" t="s">
        <v>830</v>
      </c>
      <c r="Y373" s="118" t="s">
        <v>921</v>
      </c>
    </row>
    <row r="374" spans="1:25" s="2" customFormat="1" ht="28.9">
      <c r="A374" s="58" t="s">
        <v>908</v>
      </c>
      <c r="B374" s="4">
        <v>43547.15625</v>
      </c>
      <c r="C374" s="2" t="s">
        <v>906</v>
      </c>
      <c r="D374" s="59" t="s">
        <v>117</v>
      </c>
      <c r="E374" s="7" t="s">
        <v>57</v>
      </c>
      <c r="F374" s="37" t="s">
        <v>284</v>
      </c>
      <c r="G374" s="32">
        <v>92.7</v>
      </c>
      <c r="H374" s="32">
        <v>83.6</v>
      </c>
      <c r="I374">
        <f>表1_4[[#This Row],[主队2]]-表1_4[[#This Row],[客队2]]</f>
        <v>9.1000000000000103</v>
      </c>
      <c r="J37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374" s="35" t="s">
        <v>81</v>
      </c>
      <c r="L37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74" s="11"/>
      <c r="N374" s="10" t="s">
        <v>119</v>
      </c>
      <c r="O374" s="114" t="s">
        <v>28</v>
      </c>
      <c r="P374" s="9">
        <v>-24</v>
      </c>
      <c r="Q374" s="11"/>
      <c r="R374" t="s">
        <v>852</v>
      </c>
      <c r="S374"/>
      <c r="T374" s="3"/>
      <c r="U374" s="83"/>
      <c r="V374" s="85" t="s">
        <v>922</v>
      </c>
      <c r="W374" s="244"/>
      <c r="X374" s="41"/>
      <c r="Y374" s="113"/>
    </row>
    <row r="375" spans="1:25" s="2" customFormat="1" ht="28.9">
      <c r="A375" s="58" t="s">
        <v>908</v>
      </c>
      <c r="B375" s="4">
        <v>43547.15625</v>
      </c>
      <c r="C375" s="26" t="s">
        <v>906</v>
      </c>
      <c r="D375" s="59" t="s">
        <v>266</v>
      </c>
      <c r="E375" s="7" t="s">
        <v>33</v>
      </c>
      <c r="F375" s="37" t="s">
        <v>292</v>
      </c>
      <c r="G375" s="32">
        <v>59.8</v>
      </c>
      <c r="H375" s="32">
        <v>63.7</v>
      </c>
      <c r="I375">
        <f>表1_4[[#This Row],[主队2]]-表1_4[[#This Row],[客队2]]</f>
        <v>-3.9000000000000101</v>
      </c>
      <c r="J37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375" s="35" t="s">
        <v>182</v>
      </c>
      <c r="L37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75" s="11"/>
      <c r="N375" s="10" t="s">
        <v>119</v>
      </c>
      <c r="O375" s="114" t="s">
        <v>51</v>
      </c>
      <c r="P375" s="9" t="s">
        <v>161</v>
      </c>
      <c r="Q375" s="11"/>
      <c r="R375"/>
      <c r="S375"/>
      <c r="T375" s="3"/>
      <c r="U375" s="83"/>
      <c r="V375" s="85" t="s">
        <v>923</v>
      </c>
      <c r="W375" s="244"/>
      <c r="X375" s="41"/>
      <c r="Y375" s="113"/>
    </row>
    <row r="376" spans="1:25" s="2" customFormat="1">
      <c r="A376" s="58" t="s">
        <v>908</v>
      </c>
      <c r="B376" s="4">
        <v>43547.15625</v>
      </c>
      <c r="C376" s="2" t="s">
        <v>906</v>
      </c>
      <c r="D376" s="59" t="s">
        <v>270</v>
      </c>
      <c r="E376" s="7" t="s">
        <v>42</v>
      </c>
      <c r="F376" s="37" t="s">
        <v>214</v>
      </c>
      <c r="G376" s="32">
        <v>91.7</v>
      </c>
      <c r="H376" s="32">
        <v>82.9</v>
      </c>
      <c r="I376">
        <f>表1_4[[#This Row],[主队2]]-表1_4[[#This Row],[客队2]]</f>
        <v>8.8000000000000007</v>
      </c>
      <c r="J376" s="34">
        <v>1.25</v>
      </c>
      <c r="K376" s="35" t="s">
        <v>125</v>
      </c>
      <c r="L37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76" s="11"/>
      <c r="N376" s="10" t="s">
        <v>119</v>
      </c>
      <c r="O376" s="119" t="s">
        <v>143</v>
      </c>
      <c r="P376" s="9">
        <v>-23</v>
      </c>
      <c r="Q376" s="11"/>
      <c r="R376"/>
      <c r="S376"/>
      <c r="T376" s="3"/>
      <c r="U376" s="83"/>
      <c r="V376" s="85" t="s">
        <v>731</v>
      </c>
      <c r="W376" s="86"/>
      <c r="X376" s="41"/>
      <c r="Y376" s="113"/>
    </row>
    <row r="377" spans="1:25" s="2" customFormat="1" ht="28.9">
      <c r="A377" s="58" t="s">
        <v>908</v>
      </c>
      <c r="B377" s="4">
        <v>43547.15625</v>
      </c>
      <c r="C377" s="26" t="s">
        <v>906</v>
      </c>
      <c r="D377" s="59" t="s">
        <v>243</v>
      </c>
      <c r="E377" s="7" t="s">
        <v>47</v>
      </c>
      <c r="F377" s="37" t="s">
        <v>218</v>
      </c>
      <c r="G377" s="32">
        <v>48.1</v>
      </c>
      <c r="H377" s="32">
        <v>78.599999999999994</v>
      </c>
      <c r="I377">
        <f>表1_4[[#This Row],[主队2]]-表1_4[[#This Row],[客队2]]</f>
        <v>-30.5</v>
      </c>
      <c r="J377" s="34">
        <v>-2.75</v>
      </c>
      <c r="K377" s="34">
        <v>-1.75</v>
      </c>
      <c r="L37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377" s="11"/>
      <c r="N377" s="10" t="s">
        <v>133</v>
      </c>
      <c r="O377" s="114" t="s">
        <v>46</v>
      </c>
      <c r="P377" s="9" t="s">
        <v>161</v>
      </c>
      <c r="Q377" s="11"/>
      <c r="R377"/>
      <c r="S377"/>
      <c r="T377" s="3"/>
      <c r="U377" s="25"/>
      <c r="V377" s="24" t="s">
        <v>924</v>
      </c>
      <c r="W377" s="244"/>
      <c r="X377" s="41"/>
      <c r="Y377" s="113"/>
    </row>
    <row r="378" spans="1:25" s="2" customFormat="1">
      <c r="A378" s="58" t="s">
        <v>908</v>
      </c>
      <c r="B378" s="4">
        <v>43547.15625</v>
      </c>
      <c r="C378" s="7" t="s">
        <v>906</v>
      </c>
      <c r="D378" s="59" t="s">
        <v>205</v>
      </c>
      <c r="E378" s="7" t="s">
        <v>47</v>
      </c>
      <c r="F378" s="37" t="s">
        <v>190</v>
      </c>
      <c r="G378" s="32">
        <v>71.7</v>
      </c>
      <c r="H378" s="32">
        <v>81</v>
      </c>
      <c r="I378">
        <f>表1_4[[#This Row],[主队2]]-表1_4[[#This Row],[客队2]]</f>
        <v>-9.3000000000000007</v>
      </c>
      <c r="J37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378" s="35" t="s">
        <v>132</v>
      </c>
      <c r="L37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78" s="11"/>
      <c r="N378" s="10" t="s">
        <v>119</v>
      </c>
      <c r="O378" s="10" t="s">
        <v>143</v>
      </c>
      <c r="P378" s="9">
        <v>-3</v>
      </c>
      <c r="Q378" s="11"/>
      <c r="R378"/>
      <c r="S378"/>
      <c r="T378" s="3"/>
      <c r="U378" s="83"/>
      <c r="V378" s="94" t="s">
        <v>925</v>
      </c>
      <c r="W378" s="86"/>
      <c r="X378" s="41"/>
      <c r="Y378" s="113"/>
    </row>
    <row r="379" spans="1:25" s="2" customFormat="1" ht="28.9">
      <c r="A379" s="58" t="s">
        <v>908</v>
      </c>
      <c r="B379" s="4">
        <v>43547.15625</v>
      </c>
      <c r="C379" s="7" t="s">
        <v>906</v>
      </c>
      <c r="D379" s="59" t="s">
        <v>195</v>
      </c>
      <c r="E379" s="7" t="s">
        <v>75</v>
      </c>
      <c r="F379" s="37" t="s">
        <v>267</v>
      </c>
      <c r="G379" s="32">
        <v>63.2</v>
      </c>
      <c r="H379" s="32">
        <v>95.6</v>
      </c>
      <c r="I379">
        <f>表1_4[[#This Row],[主队2]]-表1_4[[#This Row],[客队2]]</f>
        <v>-32.4</v>
      </c>
      <c r="J379" s="34">
        <v>-3</v>
      </c>
      <c r="K379" s="34">
        <v>-2.25</v>
      </c>
      <c r="L37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379" s="11"/>
      <c r="N379" s="10" t="s">
        <v>112</v>
      </c>
      <c r="O379" s="114" t="s">
        <v>40</v>
      </c>
      <c r="P379" s="9" t="s">
        <v>161</v>
      </c>
      <c r="Q379" s="11"/>
      <c r="R379"/>
      <c r="S379"/>
      <c r="T379" s="3"/>
      <c r="U379" s="25" t="s">
        <v>113</v>
      </c>
      <c r="V379" s="24" t="s">
        <v>926</v>
      </c>
      <c r="W379" s="40" t="s">
        <v>280</v>
      </c>
      <c r="X379" s="41"/>
      <c r="Y379" s="113"/>
    </row>
    <row r="380" spans="1:25" s="2" customFormat="1">
      <c r="A380" s="58" t="s">
        <v>908</v>
      </c>
      <c r="B380" s="4">
        <v>43547.916666666701</v>
      </c>
      <c r="C380" s="26" t="s">
        <v>45</v>
      </c>
      <c r="D380" s="59" t="s">
        <v>430</v>
      </c>
      <c r="E380" s="7" t="s">
        <v>47</v>
      </c>
      <c r="F380" s="37" t="s">
        <v>250</v>
      </c>
      <c r="G380" s="32">
        <v>72.400000000000006</v>
      </c>
      <c r="H380" s="32">
        <v>88.2</v>
      </c>
      <c r="I380">
        <f>表1_4[[#This Row],[主队2]]-表1_4[[#This Row],[客队2]]</f>
        <v>-15.8</v>
      </c>
      <c r="J38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380" s="35" t="s">
        <v>245</v>
      </c>
      <c r="L38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80" s="11"/>
      <c r="N380" s="10" t="s">
        <v>133</v>
      </c>
      <c r="O380" s="114" t="s">
        <v>143</v>
      </c>
      <c r="P380" s="9">
        <v>7</v>
      </c>
      <c r="Q380" s="11"/>
      <c r="R380"/>
      <c r="S380"/>
      <c r="T380" s="3"/>
      <c r="U380" s="83"/>
      <c r="V380" s="89" t="s">
        <v>927</v>
      </c>
      <c r="W380" s="87"/>
      <c r="X380" s="41"/>
      <c r="Y380" s="113"/>
    </row>
    <row r="381" spans="1:25" s="2" customFormat="1">
      <c r="A381" s="58" t="s">
        <v>908</v>
      </c>
      <c r="B381" s="4">
        <v>43548.041666666701</v>
      </c>
      <c r="C381" s="7" t="s">
        <v>45</v>
      </c>
      <c r="D381" s="59" t="s">
        <v>256</v>
      </c>
      <c r="E381" s="7" t="s">
        <v>53</v>
      </c>
      <c r="F381" s="37" t="s">
        <v>199</v>
      </c>
      <c r="G381" s="32">
        <v>39.1</v>
      </c>
      <c r="H381" s="32">
        <v>81.3</v>
      </c>
      <c r="I381">
        <f>表1_4[[#This Row],[主队2]]-表1_4[[#This Row],[客队2]]</f>
        <v>-42.2</v>
      </c>
      <c r="J381" s="34">
        <v>-4</v>
      </c>
      <c r="K381" s="34">
        <v>-3.25</v>
      </c>
      <c r="L38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381" s="11"/>
      <c r="N381" s="57" t="s">
        <v>133</v>
      </c>
      <c r="O381" s="10" t="s">
        <v>143</v>
      </c>
      <c r="P381" s="9" t="s">
        <v>161</v>
      </c>
      <c r="Q381" s="11"/>
      <c r="R381"/>
      <c r="S381"/>
      <c r="T381" s="3"/>
      <c r="U381" s="24"/>
      <c r="V381" s="89" t="s">
        <v>928</v>
      </c>
      <c r="W381" s="86"/>
      <c r="X381" s="41"/>
      <c r="Y381" s="113"/>
    </row>
    <row r="382" spans="1:25" s="2" customFormat="1" ht="28.9">
      <c r="A382" s="58" t="s">
        <v>908</v>
      </c>
      <c r="B382" s="4">
        <v>43548.041666666701</v>
      </c>
      <c r="C382" s="115" t="s">
        <v>45</v>
      </c>
      <c r="D382" s="59" t="s">
        <v>929</v>
      </c>
      <c r="E382" s="7" t="s">
        <v>33</v>
      </c>
      <c r="F382" s="37" t="s">
        <v>244</v>
      </c>
      <c r="G382" s="32">
        <v>55.8</v>
      </c>
      <c r="H382" s="32">
        <v>57.5</v>
      </c>
      <c r="I382">
        <f>表1_4[[#This Row],[主队2]]-表1_4[[#This Row],[客队2]]</f>
        <v>-1.7</v>
      </c>
      <c r="J38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382" s="35" t="s">
        <v>152</v>
      </c>
      <c r="L38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82" s="11"/>
      <c r="N382" s="10" t="s">
        <v>119</v>
      </c>
      <c r="O382" s="114" t="s">
        <v>24</v>
      </c>
      <c r="P382" s="9" t="s">
        <v>161</v>
      </c>
      <c r="Q382" s="11"/>
      <c r="R382"/>
      <c r="S382"/>
      <c r="T382" s="3"/>
      <c r="U382" s="83"/>
      <c r="V382" s="85" t="s">
        <v>930</v>
      </c>
      <c r="W382" s="86"/>
      <c r="X382" s="41"/>
      <c r="Y382" s="113"/>
    </row>
    <row r="383" spans="1:25" s="2" customFormat="1" ht="28.9">
      <c r="A383" s="58" t="s">
        <v>908</v>
      </c>
      <c r="B383" s="4">
        <v>43548.041666666701</v>
      </c>
      <c r="C383" s="26" t="s">
        <v>45</v>
      </c>
      <c r="D383" s="59" t="s">
        <v>239</v>
      </c>
      <c r="E383" s="7" t="s">
        <v>33</v>
      </c>
      <c r="F383" s="37" t="s">
        <v>305</v>
      </c>
      <c r="G383" s="32">
        <v>86.6</v>
      </c>
      <c r="H383" s="32">
        <v>83.1</v>
      </c>
      <c r="I383">
        <f>表1_4[[#This Row],[主队2]]-表1_4[[#This Row],[客队2]]</f>
        <v>3.5</v>
      </c>
      <c r="J38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383" s="35" t="s">
        <v>118</v>
      </c>
      <c r="L38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83" s="11"/>
      <c r="N383" s="10" t="s">
        <v>119</v>
      </c>
      <c r="O383" s="114" t="s">
        <v>35</v>
      </c>
      <c r="P383" s="9">
        <v>-4</v>
      </c>
      <c r="Q383" s="11"/>
      <c r="R383"/>
      <c r="S383"/>
      <c r="T383" s="3"/>
      <c r="U383" s="83" t="s">
        <v>931</v>
      </c>
      <c r="V383" s="85" t="s">
        <v>932</v>
      </c>
      <c r="W383" s="86"/>
      <c r="X383" s="41"/>
      <c r="Y383" s="113"/>
    </row>
    <row r="384" spans="1:25" s="2" customFormat="1">
      <c r="A384" s="58" t="s">
        <v>908</v>
      </c>
      <c r="B384" s="4">
        <v>43548.15625</v>
      </c>
      <c r="C384" s="7" t="s">
        <v>45</v>
      </c>
      <c r="D384" s="59" t="s">
        <v>209</v>
      </c>
      <c r="E384" s="7" t="s">
        <v>33</v>
      </c>
      <c r="F384" s="37" t="s">
        <v>297</v>
      </c>
      <c r="G384" s="32">
        <v>96.8</v>
      </c>
      <c r="H384" s="32">
        <v>78.5</v>
      </c>
      <c r="I384">
        <f>表1_4[[#This Row],[主队2]]-表1_4[[#This Row],[客队2]]</f>
        <v>18.3</v>
      </c>
      <c r="J38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384" s="34">
        <v>2</v>
      </c>
      <c r="L38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84" s="11"/>
      <c r="N384" s="10" t="s">
        <v>133</v>
      </c>
      <c r="O384" s="10" t="s">
        <v>35</v>
      </c>
      <c r="P384" s="9">
        <v>-19</v>
      </c>
      <c r="Q384" s="11"/>
      <c r="R384"/>
      <c r="S384"/>
      <c r="T384" s="3"/>
      <c r="U384" s="246" t="s">
        <v>177</v>
      </c>
      <c r="V384" s="247" t="s">
        <v>933</v>
      </c>
      <c r="W384" s="71"/>
      <c r="X384" s="41"/>
      <c r="Y384" s="113"/>
    </row>
    <row r="385" spans="1:25" s="2" customFormat="1">
      <c r="A385" s="58" t="s">
        <v>908</v>
      </c>
      <c r="B385" s="4">
        <v>43548.15625</v>
      </c>
      <c r="C385" s="26" t="s">
        <v>45</v>
      </c>
      <c r="D385" s="267" t="s">
        <v>204</v>
      </c>
      <c r="E385" s="7" t="s">
        <v>22</v>
      </c>
      <c r="F385" s="37" t="s">
        <v>191</v>
      </c>
      <c r="G385" s="32">
        <v>87.5</v>
      </c>
      <c r="H385" s="32">
        <v>75.7</v>
      </c>
      <c r="I385">
        <f>表1_4[[#This Row],[主队2]]-表1_4[[#This Row],[客队2]]</f>
        <v>11.8</v>
      </c>
      <c r="J38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385" s="35" t="s">
        <v>125</v>
      </c>
      <c r="L38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85" s="11"/>
      <c r="N385" s="10" t="s">
        <v>112</v>
      </c>
      <c r="O385" s="114" t="s">
        <v>39</v>
      </c>
      <c r="P385" s="9" t="s">
        <v>161</v>
      </c>
      <c r="Q385" s="11"/>
      <c r="R385" t="s">
        <v>852</v>
      </c>
      <c r="S385"/>
      <c r="T385" s="3"/>
      <c r="U385" s="25"/>
      <c r="V385" s="84" t="s">
        <v>934</v>
      </c>
      <c r="W385" s="86"/>
      <c r="X385" s="41"/>
      <c r="Y385" s="113"/>
    </row>
    <row r="386" spans="1:25" s="2" customFormat="1">
      <c r="A386" s="58" t="s">
        <v>908</v>
      </c>
      <c r="B386" s="4">
        <v>43548.15625</v>
      </c>
      <c r="C386" s="26" t="s">
        <v>45</v>
      </c>
      <c r="D386" s="59" t="s">
        <v>255</v>
      </c>
      <c r="E386" s="7" t="s">
        <v>33</v>
      </c>
      <c r="F386" s="37" t="s">
        <v>287</v>
      </c>
      <c r="G386" s="32">
        <v>84.4</v>
      </c>
      <c r="H386" s="32">
        <v>69.099999999999994</v>
      </c>
      <c r="I386">
        <f>表1_4[[#This Row],[主队2]]-表1_4[[#This Row],[客队2]]</f>
        <v>15.3</v>
      </c>
      <c r="J38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386" s="35" t="s">
        <v>125</v>
      </c>
      <c r="L38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386" s="11"/>
      <c r="N386" s="10" t="s">
        <v>112</v>
      </c>
      <c r="O386" s="10" t="s">
        <v>35</v>
      </c>
      <c r="P386" s="9" t="s">
        <v>161</v>
      </c>
      <c r="Q386" s="11"/>
      <c r="R386"/>
      <c r="S386"/>
      <c r="T386" s="3"/>
      <c r="U386" s="246" t="s">
        <v>935</v>
      </c>
      <c r="V386" s="75" t="s">
        <v>936</v>
      </c>
      <c r="W386" s="86"/>
      <c r="X386" s="41"/>
      <c r="Y386" s="113"/>
    </row>
    <row r="387" spans="1:25" s="2" customFormat="1">
      <c r="A387" s="58" t="s">
        <v>908</v>
      </c>
      <c r="B387" s="4">
        <v>43548.15625</v>
      </c>
      <c r="C387" s="26" t="s">
        <v>45</v>
      </c>
      <c r="D387" s="59" t="s">
        <v>437</v>
      </c>
      <c r="E387" s="7" t="s">
        <v>47</v>
      </c>
      <c r="F387" s="37" t="s">
        <v>275</v>
      </c>
      <c r="G387" s="32">
        <v>48.9</v>
      </c>
      <c r="H387" s="32">
        <v>79.7</v>
      </c>
      <c r="I387">
        <f>表1_4[[#This Row],[主队2]]-表1_4[[#This Row],[客队2]]</f>
        <v>-30.8</v>
      </c>
      <c r="J387" s="34">
        <v>-2.75</v>
      </c>
      <c r="K387" s="34">
        <v>-1.75</v>
      </c>
      <c r="L38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387" s="11"/>
      <c r="N387" s="10" t="s">
        <v>112</v>
      </c>
      <c r="O387" s="10" t="s">
        <v>35</v>
      </c>
      <c r="P387" s="9" t="s">
        <v>161</v>
      </c>
      <c r="Q387" s="11"/>
      <c r="R387"/>
      <c r="S387"/>
      <c r="T387" s="3"/>
      <c r="U387" s="24" t="s">
        <v>633</v>
      </c>
      <c r="V387" s="24" t="s">
        <v>937</v>
      </c>
      <c r="W387" s="86"/>
      <c r="X387" s="41"/>
      <c r="Y387" s="113"/>
    </row>
    <row r="388" spans="1:25" s="2" customFormat="1" ht="28.9">
      <c r="A388" s="58" t="s">
        <v>908</v>
      </c>
      <c r="B388" s="4">
        <v>43549.15625</v>
      </c>
      <c r="C388" s="26" t="s">
        <v>45</v>
      </c>
      <c r="D388" s="59" t="s">
        <v>296</v>
      </c>
      <c r="E388" s="7" t="s">
        <v>33</v>
      </c>
      <c r="F388" s="37" t="s">
        <v>240</v>
      </c>
      <c r="G388" s="32">
        <v>76.900000000000006</v>
      </c>
      <c r="H388" s="32">
        <v>72.900000000000006</v>
      </c>
      <c r="I388">
        <f>表1_4[[#This Row],[主队2]]-表1_4[[#This Row],[客队2]]</f>
        <v>4</v>
      </c>
      <c r="J38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388" s="35" t="s">
        <v>118</v>
      </c>
      <c r="L38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88" s="11"/>
      <c r="N388" s="10" t="s">
        <v>119</v>
      </c>
      <c r="O388" s="114" t="s">
        <v>35</v>
      </c>
      <c r="P388" s="9">
        <v>29</v>
      </c>
      <c r="Q388" s="11"/>
      <c r="R388"/>
      <c r="S388"/>
      <c r="T388" s="3"/>
      <c r="U388" s="246" t="s">
        <v>938</v>
      </c>
      <c r="V388" s="247" t="s">
        <v>939</v>
      </c>
      <c r="W388" s="71"/>
      <c r="X388" s="41"/>
      <c r="Y388" s="113"/>
    </row>
    <row r="389" spans="1:25" s="2" customFormat="1">
      <c r="A389" s="58" t="s">
        <v>908</v>
      </c>
      <c r="B389" s="4">
        <v>43549.15625</v>
      </c>
      <c r="C389" s="2" t="s">
        <v>45</v>
      </c>
      <c r="D389" s="59" t="s">
        <v>262</v>
      </c>
      <c r="E389" s="7" t="s">
        <v>62</v>
      </c>
      <c r="F389" s="37" t="s">
        <v>116</v>
      </c>
      <c r="G389" s="32">
        <v>93.3</v>
      </c>
      <c r="H389" s="32">
        <v>95.3</v>
      </c>
      <c r="I389">
        <f>表1_4[[#This Row],[主队2]]-表1_4[[#This Row],[客队2]]</f>
        <v>-2</v>
      </c>
      <c r="J38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389" s="35" t="s">
        <v>182</v>
      </c>
      <c r="L38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89" s="11"/>
      <c r="N389" s="10" t="s">
        <v>119</v>
      </c>
      <c r="O389" s="10" t="s">
        <v>143</v>
      </c>
      <c r="P389" s="9">
        <v>3</v>
      </c>
      <c r="Q389" s="11"/>
      <c r="R389" t="s">
        <v>855</v>
      </c>
      <c r="S389"/>
      <c r="T389" s="3"/>
      <c r="U389" s="83"/>
      <c r="V389" s="85" t="s">
        <v>940</v>
      </c>
      <c r="W389" s="86"/>
      <c r="X389" s="41"/>
      <c r="Y389" s="113"/>
    </row>
    <row r="390" spans="1:25" s="2" customFormat="1" ht="28.9">
      <c r="A390" s="58" t="s">
        <v>908</v>
      </c>
      <c r="B390" s="4">
        <v>43548.916666666701</v>
      </c>
      <c r="C390" s="115" t="s">
        <v>45</v>
      </c>
      <c r="D390" s="59" t="s">
        <v>200</v>
      </c>
      <c r="E390" s="7" t="s">
        <v>31</v>
      </c>
      <c r="F390" s="37" t="s">
        <v>425</v>
      </c>
      <c r="G390" s="32">
        <v>79.8</v>
      </c>
      <c r="H390" s="32">
        <v>83.5</v>
      </c>
      <c r="I390">
        <f>表1_4[[#This Row],[主队2]]-表1_4[[#This Row],[客队2]]</f>
        <v>-3.7</v>
      </c>
      <c r="J39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390" s="35" t="s">
        <v>289</v>
      </c>
      <c r="L39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390" s="63" t="s">
        <v>941</v>
      </c>
      <c r="N390" s="10" t="s">
        <v>119</v>
      </c>
      <c r="O390" s="114" t="s">
        <v>65</v>
      </c>
      <c r="P390" s="9">
        <v>13</v>
      </c>
      <c r="Q390" s="11"/>
      <c r="R390"/>
      <c r="S390"/>
      <c r="T390" s="3"/>
      <c r="U390" s="83"/>
      <c r="V390" s="85" t="s">
        <v>942</v>
      </c>
      <c r="W390" s="86"/>
      <c r="X390" s="41"/>
      <c r="Y390" s="113"/>
    </row>
    <row r="391" spans="1:25" s="2" customFormat="1">
      <c r="A391" s="58" t="s">
        <v>908</v>
      </c>
      <c r="B391" s="4">
        <v>43549.041666666701</v>
      </c>
      <c r="C391" s="26" t="s">
        <v>45</v>
      </c>
      <c r="D391" s="59" t="s">
        <v>271</v>
      </c>
      <c r="E391" s="7" t="s">
        <v>33</v>
      </c>
      <c r="F391" s="37" t="s">
        <v>110</v>
      </c>
      <c r="G391" s="32">
        <v>75.599999999999994</v>
      </c>
      <c r="H391" s="32">
        <v>88.3</v>
      </c>
      <c r="I391">
        <f>表1_4[[#This Row],[主队2]]-表1_4[[#This Row],[客队2]]</f>
        <v>-12.7</v>
      </c>
      <c r="J39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391" s="35" t="s">
        <v>111</v>
      </c>
      <c r="L39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391" s="11"/>
      <c r="N391" s="10" t="s">
        <v>119</v>
      </c>
      <c r="O391" s="10" t="s">
        <v>46</v>
      </c>
      <c r="P391" s="9">
        <v>17</v>
      </c>
      <c r="Q391" s="11"/>
      <c r="R391"/>
      <c r="S391"/>
      <c r="T391" s="3"/>
      <c r="U391" s="246"/>
      <c r="V391" s="258" t="s">
        <v>635</v>
      </c>
      <c r="W391" s="244"/>
      <c r="X391" s="41"/>
      <c r="Y391" s="113"/>
    </row>
    <row r="392" spans="1:25" s="2" customFormat="1">
      <c r="A392" s="58" t="s">
        <v>908</v>
      </c>
      <c r="B392" s="4">
        <v>43549.041666666701</v>
      </c>
      <c r="C392" s="115" t="s">
        <v>45</v>
      </c>
      <c r="D392" s="59" t="s">
        <v>210</v>
      </c>
      <c r="E392" s="7" t="s">
        <v>54</v>
      </c>
      <c r="F392" s="37" t="s">
        <v>194</v>
      </c>
      <c r="G392" s="32">
        <v>75.5</v>
      </c>
      <c r="H392" s="32">
        <v>80</v>
      </c>
      <c r="I392">
        <f>表1_4[[#This Row],[主队2]]-表1_4[[#This Row],[客队2]]</f>
        <v>-4.5</v>
      </c>
      <c r="J39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392" s="35" t="s">
        <v>152</v>
      </c>
      <c r="L39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92" s="11"/>
      <c r="N392" s="10" t="s">
        <v>119</v>
      </c>
      <c r="O392" s="57" t="s">
        <v>143</v>
      </c>
      <c r="P392" s="9">
        <v>19</v>
      </c>
      <c r="Q392" s="11"/>
      <c r="R392"/>
      <c r="S392"/>
      <c r="T392" s="3"/>
      <c r="U392" s="83"/>
      <c r="V392" s="101" t="s">
        <v>726</v>
      </c>
      <c r="W392" s="86"/>
      <c r="X392" s="41"/>
      <c r="Y392" s="113"/>
    </row>
    <row r="393" spans="1:25" s="2" customFormat="1" ht="28.9">
      <c r="A393" s="58" t="s">
        <v>908</v>
      </c>
      <c r="B393" s="4">
        <v>43549.15625</v>
      </c>
      <c r="C393" s="2" t="s">
        <v>45</v>
      </c>
      <c r="D393" s="59" t="s">
        <v>309</v>
      </c>
      <c r="E393" s="7" t="s">
        <v>36</v>
      </c>
      <c r="F393" s="37" t="s">
        <v>572</v>
      </c>
      <c r="G393" s="32">
        <v>77.400000000000006</v>
      </c>
      <c r="H393" s="32">
        <v>72.099999999999994</v>
      </c>
      <c r="I393">
        <f>表1_4[[#This Row],[主队2]]-表1_4[[#This Row],[客队2]]</f>
        <v>5.3000000000000096</v>
      </c>
      <c r="J39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393" s="35" t="s">
        <v>118</v>
      </c>
      <c r="L39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93" s="11"/>
      <c r="N393" s="10" t="s">
        <v>133</v>
      </c>
      <c r="O393" s="114" t="s">
        <v>46</v>
      </c>
      <c r="P393" s="9">
        <v>15</v>
      </c>
      <c r="Q393" s="11"/>
      <c r="R393"/>
      <c r="S393"/>
      <c r="T393" s="3"/>
      <c r="U393" s="83"/>
      <c r="V393" s="85" t="s">
        <v>799</v>
      </c>
      <c r="W393" s="86"/>
      <c r="X393" s="41"/>
      <c r="Y393" s="113"/>
    </row>
    <row r="394" spans="1:25" s="2" customFormat="1">
      <c r="A394" s="58" t="s">
        <v>908</v>
      </c>
      <c r="B394" s="4">
        <v>43549.15625</v>
      </c>
      <c r="C394" s="2" t="s">
        <v>45</v>
      </c>
      <c r="D394" s="59" t="s">
        <v>302</v>
      </c>
      <c r="E394" s="7" t="s">
        <v>22</v>
      </c>
      <c r="F394" s="37" t="s">
        <v>251</v>
      </c>
      <c r="G394" s="32">
        <v>84.6</v>
      </c>
      <c r="H394" s="32">
        <v>63.5</v>
      </c>
      <c r="I394">
        <f>表1_4[[#This Row],[主队2]]-表1_4[[#This Row],[客队2]]</f>
        <v>21.1</v>
      </c>
      <c r="J39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394" s="34">
        <v>2.5</v>
      </c>
      <c r="L39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94" s="11" t="s">
        <v>943</v>
      </c>
      <c r="N394" s="10" t="s">
        <v>119</v>
      </c>
      <c r="O394" s="114" t="s">
        <v>143</v>
      </c>
      <c r="P394" s="9" t="s">
        <v>161</v>
      </c>
      <c r="Q394" s="11"/>
      <c r="R394" t="s">
        <v>855</v>
      </c>
      <c r="S394"/>
      <c r="T394" s="3"/>
      <c r="U394" s="25"/>
      <c r="V394" s="24" t="s">
        <v>944</v>
      </c>
      <c r="W394" s="86"/>
      <c r="X394" s="41"/>
      <c r="Y394" s="113"/>
    </row>
    <row r="395" spans="1:25" s="2" customFormat="1">
      <c r="A395" s="58" t="s">
        <v>908</v>
      </c>
      <c r="B395" s="4">
        <v>43548.916666666701</v>
      </c>
      <c r="C395" s="115" t="s">
        <v>45</v>
      </c>
      <c r="D395" s="59" t="s">
        <v>288</v>
      </c>
      <c r="E395" s="7" t="s">
        <v>61</v>
      </c>
      <c r="F395" s="37" t="s">
        <v>353</v>
      </c>
      <c r="G395" s="32">
        <v>66.3</v>
      </c>
      <c r="H395" s="32">
        <v>84.2</v>
      </c>
      <c r="I395">
        <f>表1_4[[#This Row],[主队2]]-表1_4[[#This Row],[客队2]]</f>
        <v>-17.899999999999999</v>
      </c>
      <c r="J39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395" s="35" t="s">
        <v>132</v>
      </c>
      <c r="L39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395" s="11"/>
      <c r="N395" s="10" t="s">
        <v>119</v>
      </c>
      <c r="O395" s="10" t="s">
        <v>46</v>
      </c>
      <c r="P395" s="9">
        <v>17</v>
      </c>
      <c r="Q395" s="11"/>
      <c r="R395"/>
      <c r="S395"/>
      <c r="T395" s="3"/>
      <c r="U395" s="25"/>
      <c r="V395" s="24" t="s">
        <v>945</v>
      </c>
      <c r="W395" s="86"/>
      <c r="X395" s="41"/>
      <c r="Y395" s="113"/>
    </row>
    <row r="396" spans="1:25" s="2" customFormat="1">
      <c r="A396" s="58" t="s">
        <v>908</v>
      </c>
      <c r="B396" s="4">
        <v>43549.041666666701</v>
      </c>
      <c r="C396" s="2" t="s">
        <v>45</v>
      </c>
      <c r="D396" s="59" t="s">
        <v>282</v>
      </c>
      <c r="E396" s="7" t="s">
        <v>47</v>
      </c>
      <c r="F396" s="37" t="s">
        <v>123</v>
      </c>
      <c r="G396" s="32">
        <v>30.7</v>
      </c>
      <c r="H396" s="32">
        <v>79.599999999999994</v>
      </c>
      <c r="I396">
        <f>表1_4[[#This Row],[主队2]]-表1_4[[#This Row],[客队2]]</f>
        <v>-48.9</v>
      </c>
      <c r="J396" s="34">
        <v>-4.75</v>
      </c>
      <c r="K396" s="34">
        <v>-3.25</v>
      </c>
      <c r="L39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396" s="11"/>
      <c r="N396" s="10" t="s">
        <v>112</v>
      </c>
      <c r="O396" s="10" t="s">
        <v>40</v>
      </c>
      <c r="P396" s="9" t="s">
        <v>161</v>
      </c>
      <c r="Q396" s="11"/>
      <c r="R396" t="s">
        <v>855</v>
      </c>
      <c r="S396"/>
      <c r="T396" s="3"/>
      <c r="U396" s="246" t="s">
        <v>688</v>
      </c>
      <c r="V396" s="247" t="s">
        <v>946</v>
      </c>
      <c r="W396" s="86"/>
      <c r="X396" s="41"/>
      <c r="Y396" s="113"/>
    </row>
    <row r="397" spans="1:25" s="2" customFormat="1">
      <c r="A397" s="58" t="s">
        <v>908</v>
      </c>
      <c r="B397" s="4">
        <v>43549.15625</v>
      </c>
      <c r="C397" s="2" t="s">
        <v>45</v>
      </c>
      <c r="D397" s="59" t="s">
        <v>407</v>
      </c>
      <c r="E397" s="7" t="s">
        <v>47</v>
      </c>
      <c r="F397" s="37" t="s">
        <v>274</v>
      </c>
      <c r="G397" s="32">
        <v>66.2</v>
      </c>
      <c r="H397" s="32">
        <v>93.3</v>
      </c>
      <c r="I397">
        <f>表1_4[[#This Row],[主队2]]-表1_4[[#This Row],[客队2]]</f>
        <v>-27.1</v>
      </c>
      <c r="J397" s="34">
        <v>-2.5</v>
      </c>
      <c r="K397" s="34">
        <v>-2</v>
      </c>
      <c r="L39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397" s="11"/>
      <c r="N397" s="10" t="s">
        <v>112</v>
      </c>
      <c r="O397" s="10" t="s">
        <v>40</v>
      </c>
      <c r="P397" s="9" t="s">
        <v>161</v>
      </c>
      <c r="Q397" s="11"/>
      <c r="R397" t="s">
        <v>855</v>
      </c>
      <c r="S397"/>
      <c r="T397" s="3"/>
      <c r="U397" s="25" t="s">
        <v>405</v>
      </c>
      <c r="V397" s="24" t="s">
        <v>947</v>
      </c>
      <c r="W397" s="86"/>
      <c r="X397" s="41"/>
      <c r="Y397" s="113"/>
    </row>
    <row r="398" spans="1:25" s="2" customFormat="1">
      <c r="A398" s="58" t="s">
        <v>948</v>
      </c>
      <c r="B398" s="4">
        <v>43622.114583333299</v>
      </c>
      <c r="C398" s="26" t="s">
        <v>166</v>
      </c>
      <c r="D398" s="59" t="s">
        <v>270</v>
      </c>
      <c r="E398" s="7" t="s">
        <v>41</v>
      </c>
      <c r="F398" s="37" t="s">
        <v>250</v>
      </c>
      <c r="G398" s="32">
        <v>90.5</v>
      </c>
      <c r="H398" s="32">
        <v>88.9</v>
      </c>
      <c r="I398">
        <f>表1_4[[#This Row],[主队2]]-表1_4[[#This Row],[客队2]]</f>
        <v>1.5999999999999901</v>
      </c>
      <c r="J398" s="34">
        <v>0.5</v>
      </c>
      <c r="K398" s="35" t="s">
        <v>118</v>
      </c>
      <c r="L39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398" s="11"/>
      <c r="N398" s="10" t="s">
        <v>119</v>
      </c>
      <c r="O398" s="10" t="s">
        <v>143</v>
      </c>
      <c r="P398" s="9">
        <v>-11</v>
      </c>
      <c r="Q398" s="11"/>
      <c r="R398"/>
      <c r="S398"/>
      <c r="T398" s="3"/>
      <c r="U398" s="25"/>
      <c r="V398" s="24" t="s">
        <v>920</v>
      </c>
      <c r="W398" s="86"/>
      <c r="X398" s="41"/>
      <c r="Y398" s="113"/>
    </row>
    <row r="399" spans="1:25" s="2" customFormat="1" ht="28.9">
      <c r="A399" s="58" t="s">
        <v>948</v>
      </c>
      <c r="B399" s="68">
        <v>43623.114583333299</v>
      </c>
      <c r="C399" s="26" t="s">
        <v>166</v>
      </c>
      <c r="D399" s="59" t="s">
        <v>117</v>
      </c>
      <c r="E399" s="7" t="s">
        <v>36</v>
      </c>
      <c r="F399" s="37" t="s">
        <v>262</v>
      </c>
      <c r="G399" s="32">
        <v>94.4</v>
      </c>
      <c r="H399" s="32">
        <v>92.1</v>
      </c>
      <c r="I399">
        <f>表1_4[[#This Row],[主队2]]-表1_4[[#This Row],[客队2]]</f>
        <v>2.30000000000001</v>
      </c>
      <c r="J399" s="34">
        <v>0.25</v>
      </c>
      <c r="K399" s="35" t="s">
        <v>182</v>
      </c>
      <c r="L39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399" s="72" t="s">
        <v>365</v>
      </c>
      <c r="N399" s="10" t="s">
        <v>119</v>
      </c>
      <c r="O399" s="46" t="s">
        <v>40</v>
      </c>
      <c r="P399" s="9">
        <v>5</v>
      </c>
      <c r="Q399" s="11"/>
      <c r="R399"/>
      <c r="S399"/>
      <c r="T399" s="3"/>
      <c r="U399" s="83" t="s">
        <v>949</v>
      </c>
      <c r="V399" s="85" t="s">
        <v>950</v>
      </c>
      <c r="W399" s="86"/>
      <c r="X399" s="41"/>
      <c r="Y399" s="113"/>
    </row>
    <row r="400" spans="1:25" s="2" customFormat="1">
      <c r="A400" s="58" t="s">
        <v>908</v>
      </c>
      <c r="B400" s="4">
        <v>43624</v>
      </c>
      <c r="C400" s="26">
        <v>3</v>
      </c>
      <c r="D400" s="59" t="s">
        <v>430</v>
      </c>
      <c r="E400" s="7" t="s">
        <v>44</v>
      </c>
      <c r="F400" s="37" t="s">
        <v>256</v>
      </c>
      <c r="G400" s="32">
        <v>71.900000000000006</v>
      </c>
      <c r="H400" s="32">
        <v>39.6</v>
      </c>
      <c r="I400">
        <f>表1_4[[#This Row],[主队2]]-表1_4[[#This Row],[客队2]]</f>
        <v>32.299999999999997</v>
      </c>
      <c r="J400" s="34">
        <v>3.5</v>
      </c>
      <c r="K400" s="34">
        <v>3</v>
      </c>
      <c r="L40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400" s="11"/>
      <c r="N400" s="46" t="s">
        <v>404</v>
      </c>
      <c r="O400" s="46" t="s">
        <v>35</v>
      </c>
      <c r="P400" s="9" t="s">
        <v>161</v>
      </c>
      <c r="Q400" s="11"/>
      <c r="R400"/>
      <c r="S400"/>
      <c r="T400" s="3"/>
      <c r="U400" s="83" t="s">
        <v>791</v>
      </c>
      <c r="V400" s="247" t="s">
        <v>319</v>
      </c>
      <c r="W400" s="86"/>
      <c r="X400" s="41"/>
      <c r="Y400" s="113"/>
    </row>
    <row r="401" spans="1:25" s="2" customFormat="1">
      <c r="A401" s="58" t="s">
        <v>908</v>
      </c>
      <c r="B401" s="4">
        <v>43624.114583333299</v>
      </c>
      <c r="C401" s="115">
        <v>3</v>
      </c>
      <c r="D401" s="59" t="s">
        <v>301</v>
      </c>
      <c r="E401" s="7" t="s">
        <v>36</v>
      </c>
      <c r="F401" s="37" t="s">
        <v>217</v>
      </c>
      <c r="G401" s="32">
        <v>75.7</v>
      </c>
      <c r="H401" s="32">
        <v>66.7</v>
      </c>
      <c r="I401">
        <f>表1_4[[#This Row],[主队2]]-表1_4[[#This Row],[客队2]]</f>
        <v>9</v>
      </c>
      <c r="J40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401" s="35" t="s">
        <v>289</v>
      </c>
      <c r="L40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401" s="11"/>
      <c r="N401" s="57" t="s">
        <v>404</v>
      </c>
      <c r="O401" s="10" t="s">
        <v>39</v>
      </c>
      <c r="P401" s="9" t="s">
        <v>161</v>
      </c>
      <c r="Q401" s="11"/>
      <c r="R401" t="s">
        <v>852</v>
      </c>
      <c r="S401"/>
      <c r="T401" s="3"/>
      <c r="U401" s="83"/>
      <c r="V401" s="85" t="s">
        <v>951</v>
      </c>
      <c r="W401" s="86"/>
      <c r="X401" s="41"/>
      <c r="Y401" s="113"/>
    </row>
    <row r="402" spans="1:25" s="2" customFormat="1">
      <c r="A402" s="58" t="s">
        <v>908</v>
      </c>
      <c r="B402" s="4">
        <v>43624.114583333299</v>
      </c>
      <c r="C402" s="26">
        <v>3</v>
      </c>
      <c r="D402" s="59" t="s">
        <v>284</v>
      </c>
      <c r="E402" s="7" t="s">
        <v>33</v>
      </c>
      <c r="F402" s="37" t="s">
        <v>261</v>
      </c>
      <c r="G402" s="32">
        <v>82.5</v>
      </c>
      <c r="H402" s="32">
        <v>74.3</v>
      </c>
      <c r="I402">
        <f>表1_4[[#This Row],[主队2]]-表1_4[[#This Row],[客队2]]</f>
        <v>8.1999999999999993</v>
      </c>
      <c r="J40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402" s="35" t="s">
        <v>176</v>
      </c>
      <c r="L40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02" s="11"/>
      <c r="N402" s="57" t="s">
        <v>133</v>
      </c>
      <c r="O402" s="57" t="s">
        <v>51</v>
      </c>
      <c r="P402" s="9">
        <v>8</v>
      </c>
      <c r="Q402" s="11"/>
      <c r="R402" t="s">
        <v>852</v>
      </c>
      <c r="S402"/>
      <c r="T402" s="3"/>
      <c r="U402" s="83"/>
      <c r="V402" s="85" t="s">
        <v>952</v>
      </c>
      <c r="W402" s="87"/>
      <c r="X402" s="41"/>
      <c r="Y402" s="113"/>
    </row>
    <row r="403" spans="1:25" s="2" customFormat="1">
      <c r="A403" s="58" t="s">
        <v>908</v>
      </c>
      <c r="B403" s="4">
        <v>43624.114583333299</v>
      </c>
      <c r="C403" s="2">
        <v>3</v>
      </c>
      <c r="D403" s="59" t="s">
        <v>214</v>
      </c>
      <c r="E403" s="7" t="s">
        <v>57</v>
      </c>
      <c r="F403" s="37" t="s">
        <v>434</v>
      </c>
      <c r="G403" s="32">
        <v>83.1</v>
      </c>
      <c r="H403" s="32">
        <v>85.9</v>
      </c>
      <c r="I403">
        <f>表1_4[[#This Row],[主队2]]-表1_4[[#This Row],[客队2]]</f>
        <v>-2.80000000000001</v>
      </c>
      <c r="J40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403" s="35" t="s">
        <v>166</v>
      </c>
      <c r="L40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03" s="11"/>
      <c r="N403" s="10" t="s">
        <v>119</v>
      </c>
      <c r="O403" s="10" t="s">
        <v>48</v>
      </c>
      <c r="P403" s="9">
        <v>1</v>
      </c>
      <c r="Q403" s="11"/>
      <c r="R403" t="s">
        <v>852</v>
      </c>
      <c r="S403"/>
      <c r="T403" s="3"/>
      <c r="U403" s="25"/>
      <c r="V403" s="24" t="s">
        <v>945</v>
      </c>
      <c r="W403" s="86"/>
      <c r="X403" s="41"/>
      <c r="Y403" s="113"/>
    </row>
    <row r="404" spans="1:25" s="2" customFormat="1">
      <c r="A404" s="58" t="s">
        <v>908</v>
      </c>
      <c r="B404" s="4">
        <v>43624.114583333299</v>
      </c>
      <c r="C404" s="115">
        <v>3</v>
      </c>
      <c r="D404" s="59" t="s">
        <v>292</v>
      </c>
      <c r="E404" s="7" t="s">
        <v>36</v>
      </c>
      <c r="F404" s="37" t="s">
        <v>266</v>
      </c>
      <c r="G404" s="32">
        <v>63.7</v>
      </c>
      <c r="H404" s="32">
        <v>60</v>
      </c>
      <c r="I404">
        <f>表1_4[[#This Row],[主队2]]-表1_4[[#This Row],[客队2]]</f>
        <v>3.7</v>
      </c>
      <c r="J404" s="34">
        <v>0.5</v>
      </c>
      <c r="K404" s="35" t="s">
        <v>182</v>
      </c>
      <c r="L40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04" s="11"/>
      <c r="N404" s="57" t="s">
        <v>133</v>
      </c>
      <c r="O404" s="57" t="s">
        <v>65</v>
      </c>
      <c r="P404" s="9">
        <v>-14</v>
      </c>
      <c r="Q404" s="11"/>
      <c r="R404" t="s">
        <v>852</v>
      </c>
      <c r="S404"/>
      <c r="T404" s="3"/>
      <c r="U404" s="83"/>
      <c r="V404" s="85" t="s">
        <v>953</v>
      </c>
      <c r="W404" s="86"/>
      <c r="X404" s="41"/>
      <c r="Y404" s="113"/>
    </row>
    <row r="405" spans="1:25" s="2" customFormat="1">
      <c r="A405" s="58" t="s">
        <v>908</v>
      </c>
      <c r="B405" s="4">
        <v>43624.114583333299</v>
      </c>
      <c r="C405" s="26">
        <v>3</v>
      </c>
      <c r="D405" s="59" t="s">
        <v>306</v>
      </c>
      <c r="E405" s="7" t="s">
        <v>36</v>
      </c>
      <c r="F405" s="37" t="s">
        <v>199</v>
      </c>
      <c r="G405" s="32">
        <v>86.4</v>
      </c>
      <c r="H405" s="32">
        <v>81</v>
      </c>
      <c r="I405">
        <f>表1_4[[#This Row],[主队2]]-表1_4[[#This Row],[客队2]]</f>
        <v>5.4000000000000101</v>
      </c>
      <c r="J40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405" s="35" t="s">
        <v>118</v>
      </c>
      <c r="L40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05" s="11"/>
      <c r="N405" s="10" t="s">
        <v>119</v>
      </c>
      <c r="O405" s="10" t="s">
        <v>40</v>
      </c>
      <c r="P405" s="9">
        <v>11</v>
      </c>
      <c r="Q405" s="11"/>
      <c r="R405" t="s">
        <v>855</v>
      </c>
      <c r="S405"/>
      <c r="T405" s="3"/>
      <c r="U405" s="25" t="s">
        <v>954</v>
      </c>
      <c r="V405" s="75" t="s">
        <v>955</v>
      </c>
      <c r="W405" s="38"/>
      <c r="X405" s="41"/>
      <c r="Y405" s="113"/>
    </row>
    <row r="406" spans="1:25" s="2" customFormat="1">
      <c r="A406" s="58" t="s">
        <v>908</v>
      </c>
      <c r="B406" s="4">
        <v>43624.114583333299</v>
      </c>
      <c r="C406" s="115">
        <v>3</v>
      </c>
      <c r="D406" s="59" t="s">
        <v>297</v>
      </c>
      <c r="E406" s="7" t="s">
        <v>25</v>
      </c>
      <c r="F406" s="37" t="s">
        <v>305</v>
      </c>
      <c r="G406" s="32">
        <v>79.3</v>
      </c>
      <c r="H406" s="32">
        <v>82.6</v>
      </c>
      <c r="I406">
        <f>表1_4[[#This Row],[主队2]]-表1_4[[#This Row],[客队2]]</f>
        <v>-3.3</v>
      </c>
      <c r="J40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406" s="35" t="s">
        <v>289</v>
      </c>
      <c r="L40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406" s="11"/>
      <c r="N406" s="10" t="s">
        <v>119</v>
      </c>
      <c r="O406" s="46" t="s">
        <v>40</v>
      </c>
      <c r="P406" s="9">
        <v>-3</v>
      </c>
      <c r="Q406" s="11"/>
      <c r="R406"/>
      <c r="S406"/>
      <c r="T406" s="3"/>
      <c r="U406" s="83" t="s">
        <v>718</v>
      </c>
      <c r="V406" s="85" t="s">
        <v>956</v>
      </c>
      <c r="W406" s="86"/>
      <c r="X406" s="41"/>
      <c r="Y406" s="113"/>
    </row>
    <row r="407" spans="1:25" s="2" customFormat="1">
      <c r="A407" s="58" t="s">
        <v>908</v>
      </c>
      <c r="B407" s="4">
        <v>43624.114583333299</v>
      </c>
      <c r="C407" s="7">
        <v>3</v>
      </c>
      <c r="D407" s="59" t="s">
        <v>244</v>
      </c>
      <c r="E407" s="7" t="s">
        <v>75</v>
      </c>
      <c r="F407" s="37" t="s">
        <v>209</v>
      </c>
      <c r="G407" s="32">
        <v>56.6</v>
      </c>
      <c r="H407" s="32">
        <v>96.2</v>
      </c>
      <c r="I407">
        <f>表1_4[[#This Row],[主队2]]-表1_4[[#This Row],[客队2]]</f>
        <v>-39.6</v>
      </c>
      <c r="J407" s="34">
        <v>-3.75</v>
      </c>
      <c r="K407" s="34">
        <v>-3.25</v>
      </c>
      <c r="L40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407" s="11"/>
      <c r="N407" s="10" t="s">
        <v>133</v>
      </c>
      <c r="O407" s="10" t="s">
        <v>40</v>
      </c>
      <c r="P407" s="9" t="s">
        <v>161</v>
      </c>
      <c r="Q407" s="11"/>
      <c r="R407"/>
      <c r="S407"/>
      <c r="T407" s="3"/>
      <c r="U407" s="247" t="s">
        <v>398</v>
      </c>
      <c r="V407" s="94" t="s">
        <v>957</v>
      </c>
      <c r="W407" s="86"/>
      <c r="X407" s="41"/>
      <c r="Y407" s="113"/>
    </row>
    <row r="408" spans="1:25" s="2" customFormat="1">
      <c r="A408" s="58" t="s">
        <v>908</v>
      </c>
      <c r="B408" s="4">
        <v>43624.114583333299</v>
      </c>
      <c r="C408" s="26">
        <v>3</v>
      </c>
      <c r="D408" s="59" t="s">
        <v>239</v>
      </c>
      <c r="E408" s="7" t="s">
        <v>44</v>
      </c>
      <c r="F408" s="37" t="s">
        <v>929</v>
      </c>
      <c r="G408" s="32">
        <v>86.8</v>
      </c>
      <c r="H408" s="32">
        <v>56.7</v>
      </c>
      <c r="I408">
        <f>表1_4[[#This Row],[主队2]]-表1_4[[#This Row],[客队2]]</f>
        <v>30.1</v>
      </c>
      <c r="J408" s="34">
        <v>3.25</v>
      </c>
      <c r="K408" s="34">
        <v>3</v>
      </c>
      <c r="L40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08" s="11"/>
      <c r="N408" s="10" t="s">
        <v>119</v>
      </c>
      <c r="O408" s="10" t="s">
        <v>40</v>
      </c>
      <c r="P408" s="9" t="s">
        <v>161</v>
      </c>
      <c r="Q408" s="11"/>
      <c r="R408"/>
      <c r="S408"/>
      <c r="T408" s="3"/>
      <c r="U408" s="247" t="s">
        <v>958</v>
      </c>
      <c r="V408" s="25" t="s">
        <v>959</v>
      </c>
      <c r="W408" s="86"/>
      <c r="X408" s="41"/>
      <c r="Y408" s="113"/>
    </row>
    <row r="409" spans="1:25" s="2" customFormat="1">
      <c r="A409" s="58" t="s">
        <v>908</v>
      </c>
      <c r="B409" s="4">
        <v>43624.114583333299</v>
      </c>
      <c r="C409" s="26">
        <v>3</v>
      </c>
      <c r="D409" s="59" t="s">
        <v>194</v>
      </c>
      <c r="E409" s="7" t="s">
        <v>31</v>
      </c>
      <c r="F409" s="37" t="s">
        <v>309</v>
      </c>
      <c r="G409" s="32">
        <v>79.400000000000006</v>
      </c>
      <c r="H409" s="32">
        <v>77.099999999999994</v>
      </c>
      <c r="I409">
        <f>表1_4[[#This Row],[主队2]]-表1_4[[#This Row],[客队2]]</f>
        <v>2.30000000000001</v>
      </c>
      <c r="J40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409" s="35" t="s">
        <v>118</v>
      </c>
      <c r="L40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409" s="11"/>
      <c r="N409" s="10" t="s">
        <v>119</v>
      </c>
      <c r="O409" s="10" t="s">
        <v>32</v>
      </c>
      <c r="P409" s="9">
        <v>14</v>
      </c>
      <c r="Q409" s="11"/>
      <c r="R409"/>
      <c r="S409"/>
      <c r="T409" s="3"/>
      <c r="U409" s="246"/>
      <c r="V409" s="94" t="s">
        <v>960</v>
      </c>
      <c r="W409" s="86"/>
      <c r="X409" s="41"/>
      <c r="Y409" s="113"/>
    </row>
    <row r="410" spans="1:25" s="2" customFormat="1">
      <c r="A410" s="58" t="s">
        <v>908</v>
      </c>
      <c r="B410" s="4">
        <v>43624.114583333299</v>
      </c>
      <c r="C410" s="2">
        <v>3</v>
      </c>
      <c r="D410" s="59" t="s">
        <v>440</v>
      </c>
      <c r="E410" s="7" t="s">
        <v>53</v>
      </c>
      <c r="F410" s="37" t="s">
        <v>302</v>
      </c>
      <c r="G410" s="32">
        <v>72.5</v>
      </c>
      <c r="H410" s="32">
        <v>84.4</v>
      </c>
      <c r="I410">
        <f>表1_4[[#This Row],[主队2]]-表1_4[[#This Row],[客队2]]</f>
        <v>-11.9</v>
      </c>
      <c r="J41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410" s="35" t="s">
        <v>132</v>
      </c>
      <c r="L41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410" s="11"/>
      <c r="N410" s="10" t="s">
        <v>119</v>
      </c>
      <c r="O410" s="10" t="s">
        <v>28</v>
      </c>
      <c r="P410" s="9">
        <v>23</v>
      </c>
      <c r="Q410" s="11"/>
      <c r="R410" t="s">
        <v>852</v>
      </c>
      <c r="S410"/>
      <c r="T410" s="3"/>
      <c r="U410" s="25"/>
      <c r="V410" s="251" t="s">
        <v>518</v>
      </c>
      <c r="W410" s="86"/>
      <c r="X410" s="41"/>
      <c r="Y410" s="113"/>
    </row>
    <row r="411" spans="1:25" s="2" customFormat="1">
      <c r="A411" s="58" t="s">
        <v>908</v>
      </c>
      <c r="B411" s="4">
        <v>43624.114583333299</v>
      </c>
      <c r="C411" s="26">
        <v>3</v>
      </c>
      <c r="D411" s="59" t="s">
        <v>251</v>
      </c>
      <c r="E411" s="7" t="s">
        <v>64</v>
      </c>
      <c r="F411" s="37" t="s">
        <v>210</v>
      </c>
      <c r="G411" s="32">
        <v>63.8</v>
      </c>
      <c r="H411" s="32">
        <v>76.099999999999994</v>
      </c>
      <c r="I411">
        <f>表1_4[[#This Row],[主队2]]-表1_4[[#This Row],[客队2]]</f>
        <v>-12.3</v>
      </c>
      <c r="J41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411" s="35" t="s">
        <v>111</v>
      </c>
      <c r="L41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11" s="11"/>
      <c r="N411" s="10" t="s">
        <v>112</v>
      </c>
      <c r="O411" s="10" t="s">
        <v>143</v>
      </c>
      <c r="P411" s="9">
        <v>18</v>
      </c>
      <c r="Q411" s="11"/>
      <c r="R411" t="s">
        <v>855</v>
      </c>
      <c r="S411"/>
      <c r="T411" s="3"/>
      <c r="U411" s="25"/>
      <c r="V411" s="24" t="s">
        <v>640</v>
      </c>
      <c r="W411" s="86"/>
      <c r="X411" s="41"/>
      <c r="Y411" s="113"/>
    </row>
    <row r="412" spans="1:25" s="2" customFormat="1">
      <c r="A412" s="58" t="s">
        <v>908</v>
      </c>
      <c r="B412" s="4">
        <v>43624.875</v>
      </c>
      <c r="C412" s="26">
        <v>3</v>
      </c>
      <c r="D412" s="59" t="s">
        <v>218</v>
      </c>
      <c r="E412" s="7" t="s">
        <v>31</v>
      </c>
      <c r="F412" s="37" t="s">
        <v>205</v>
      </c>
      <c r="G412" s="32">
        <v>78</v>
      </c>
      <c r="H412" s="32">
        <v>71.5</v>
      </c>
      <c r="I412">
        <f>表1_4[[#This Row],[主队2]]-表1_4[[#This Row],[客队2]]</f>
        <v>6.5</v>
      </c>
      <c r="J41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412" s="35" t="s">
        <v>118</v>
      </c>
      <c r="L41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12" s="11"/>
      <c r="N412" s="10" t="s">
        <v>119</v>
      </c>
      <c r="O412" s="10" t="s">
        <v>65</v>
      </c>
      <c r="P412" s="9">
        <v>17</v>
      </c>
      <c r="Q412" s="11"/>
      <c r="R412" t="s">
        <v>852</v>
      </c>
      <c r="S412"/>
      <c r="T412" s="3"/>
      <c r="U412" s="246"/>
      <c r="V412" s="247" t="s">
        <v>920</v>
      </c>
      <c r="W412" s="86"/>
      <c r="X412" s="41"/>
      <c r="Y412" s="113"/>
    </row>
    <row r="413" spans="1:25" s="2" customFormat="1">
      <c r="A413" s="58" t="s">
        <v>908</v>
      </c>
      <c r="B413" s="4">
        <v>43624.875</v>
      </c>
      <c r="C413" s="26">
        <v>3</v>
      </c>
      <c r="D413" s="59" t="s">
        <v>110</v>
      </c>
      <c r="E413" s="7" t="s">
        <v>33</v>
      </c>
      <c r="F413" s="37" t="s">
        <v>200</v>
      </c>
      <c r="G413" s="32">
        <v>87.8</v>
      </c>
      <c r="H413" s="32">
        <v>80.7</v>
      </c>
      <c r="I413">
        <f>表1_4[[#This Row],[主队2]]-表1_4[[#This Row],[客队2]]</f>
        <v>7.0999999999999899</v>
      </c>
      <c r="J41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413" s="35" t="s">
        <v>118</v>
      </c>
      <c r="L41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13" s="11"/>
      <c r="N413" s="10" t="s">
        <v>119</v>
      </c>
      <c r="O413" s="10" t="s">
        <v>28</v>
      </c>
      <c r="P413" s="9">
        <v>16</v>
      </c>
      <c r="Q413" s="11"/>
      <c r="R413" t="s">
        <v>852</v>
      </c>
      <c r="S413"/>
      <c r="T413" s="3"/>
      <c r="U413" s="25"/>
      <c r="V413" s="24" t="s">
        <v>392</v>
      </c>
      <c r="W413" s="38"/>
      <c r="X413" s="41"/>
      <c r="Y413" s="113"/>
    </row>
    <row r="414" spans="1:25" s="2" customFormat="1" ht="28.9">
      <c r="A414" s="58" t="s">
        <v>908</v>
      </c>
      <c r="B414" s="4">
        <v>43625</v>
      </c>
      <c r="C414" s="26">
        <v>3</v>
      </c>
      <c r="D414" s="59" t="s">
        <v>195</v>
      </c>
      <c r="E414" s="7" t="s">
        <v>31</v>
      </c>
      <c r="F414" s="37" t="s">
        <v>243</v>
      </c>
      <c r="G414" s="32">
        <v>62</v>
      </c>
      <c r="H414" s="32">
        <v>47.4</v>
      </c>
      <c r="I414">
        <f>表1_4[[#This Row],[主队2]]-表1_4[[#This Row],[客队2]]</f>
        <v>14.6</v>
      </c>
      <c r="J41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414" s="35" t="s">
        <v>176</v>
      </c>
      <c r="L41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414" s="11"/>
      <c r="N414" s="10" t="s">
        <v>119</v>
      </c>
      <c r="O414" s="114" t="s">
        <v>24</v>
      </c>
      <c r="P414" s="9" t="s">
        <v>161</v>
      </c>
      <c r="Q414" s="11"/>
      <c r="R414" t="s">
        <v>852</v>
      </c>
      <c r="S414"/>
      <c r="T414" s="3"/>
      <c r="U414" s="246"/>
      <c r="V414" s="247" t="s">
        <v>645</v>
      </c>
      <c r="W414" s="86"/>
      <c r="X414" s="41"/>
      <c r="Y414" s="113"/>
    </row>
    <row r="415" spans="1:25" s="2" customFormat="1">
      <c r="A415" s="58" t="s">
        <v>908</v>
      </c>
      <c r="B415" s="4">
        <v>43625.114583333299</v>
      </c>
      <c r="C415" s="2">
        <v>3</v>
      </c>
      <c r="D415" s="59" t="s">
        <v>190</v>
      </c>
      <c r="E415" s="7" t="s">
        <v>22</v>
      </c>
      <c r="F415" s="37" t="s">
        <v>267</v>
      </c>
      <c r="G415" s="32">
        <v>83.4</v>
      </c>
      <c r="H415" s="32">
        <v>96.5</v>
      </c>
      <c r="I415">
        <f>表1_4[[#This Row],[主队2]]-表1_4[[#This Row],[客队2]]</f>
        <v>-13.1</v>
      </c>
      <c r="J41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415" s="35" t="s">
        <v>245</v>
      </c>
      <c r="L41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15" s="11"/>
      <c r="N415" s="10" t="s">
        <v>133</v>
      </c>
      <c r="O415" s="10" t="s">
        <v>46</v>
      </c>
      <c r="P415" s="9">
        <v>26</v>
      </c>
      <c r="Q415" s="11"/>
      <c r="R415" t="s">
        <v>852</v>
      </c>
      <c r="S415"/>
      <c r="T415" s="3"/>
      <c r="U415" s="83"/>
      <c r="V415" s="247" t="s">
        <v>319</v>
      </c>
      <c r="W415" s="86"/>
      <c r="X415" s="41"/>
      <c r="Y415" s="113"/>
    </row>
    <row r="416" spans="1:25" s="2" customFormat="1" ht="28.9">
      <c r="A416" s="58" t="s">
        <v>908</v>
      </c>
      <c r="B416" s="4">
        <v>43625</v>
      </c>
      <c r="C416" s="2">
        <v>3</v>
      </c>
      <c r="D416" s="59" t="s">
        <v>278</v>
      </c>
      <c r="E416" s="7" t="s">
        <v>74</v>
      </c>
      <c r="F416" s="37" t="s">
        <v>271</v>
      </c>
      <c r="G416" s="32">
        <v>65</v>
      </c>
      <c r="H416" s="32">
        <v>76.099999999999994</v>
      </c>
      <c r="I416">
        <f>表1_4[[#This Row],[主队2]]-表1_4[[#This Row],[客队2]]</f>
        <v>-11.1</v>
      </c>
      <c r="J41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416" s="35" t="s">
        <v>152</v>
      </c>
      <c r="L41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416" s="11"/>
      <c r="N416" s="10" t="s">
        <v>112</v>
      </c>
      <c r="O416" s="114" t="s">
        <v>65</v>
      </c>
      <c r="P416" s="9">
        <v>34</v>
      </c>
      <c r="Q416" s="11"/>
      <c r="R416" t="s">
        <v>855</v>
      </c>
      <c r="S416"/>
      <c r="T416" s="3"/>
      <c r="U416" s="83"/>
      <c r="V416" s="89" t="s">
        <v>961</v>
      </c>
      <c r="W416" s="86"/>
      <c r="X416" s="41"/>
      <c r="Y416" s="113"/>
    </row>
    <row r="417" spans="1:25" s="2" customFormat="1">
      <c r="A417" s="58" t="s">
        <v>908</v>
      </c>
      <c r="B417" s="4">
        <v>43625.114583333299</v>
      </c>
      <c r="C417" s="7">
        <v>3</v>
      </c>
      <c r="D417" s="59" t="s">
        <v>274</v>
      </c>
      <c r="E417" s="7" t="s">
        <v>44</v>
      </c>
      <c r="F417" s="37" t="s">
        <v>288</v>
      </c>
      <c r="G417" s="32">
        <v>93.6</v>
      </c>
      <c r="H417" s="32">
        <v>65.400000000000006</v>
      </c>
      <c r="I417">
        <f>表1_4[[#This Row],[主队2]]-表1_4[[#This Row],[客队2]]</f>
        <v>28.2</v>
      </c>
      <c r="J417" s="34">
        <v>3</v>
      </c>
      <c r="K417" s="34">
        <v>3.75</v>
      </c>
      <c r="L41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417" s="11"/>
      <c r="N417" s="10" t="s">
        <v>119</v>
      </c>
      <c r="O417" s="10" t="s">
        <v>51</v>
      </c>
      <c r="P417" s="9" t="s">
        <v>161</v>
      </c>
      <c r="Q417" s="11"/>
      <c r="R417"/>
      <c r="S417"/>
      <c r="T417" s="3"/>
      <c r="U417" s="246"/>
      <c r="V417" s="94" t="s">
        <v>962</v>
      </c>
      <c r="W417" s="86" t="s">
        <v>541</v>
      </c>
      <c r="X417" s="41"/>
      <c r="Y417" s="113"/>
    </row>
    <row r="418" spans="1:25" s="2" customFormat="1" ht="28.9">
      <c r="A418" s="58" t="s">
        <v>908</v>
      </c>
      <c r="B418" s="4">
        <v>43625.114583333299</v>
      </c>
      <c r="C418" s="26">
        <v>3</v>
      </c>
      <c r="D418" s="59" t="s">
        <v>123</v>
      </c>
      <c r="E418" s="7" t="s">
        <v>33</v>
      </c>
      <c r="F418" s="37" t="s">
        <v>407</v>
      </c>
      <c r="G418" s="32">
        <v>79.400000000000006</v>
      </c>
      <c r="H418" s="32">
        <v>65.8</v>
      </c>
      <c r="I418">
        <f>表1_4[[#This Row],[主队2]]-表1_4[[#This Row],[客队2]]</f>
        <v>13.6</v>
      </c>
      <c r="J41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418" s="35" t="s">
        <v>176</v>
      </c>
      <c r="L41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418" s="11"/>
      <c r="N418" s="46" t="s">
        <v>112</v>
      </c>
      <c r="O418" s="114" t="s">
        <v>46</v>
      </c>
      <c r="P418" s="9">
        <v>12</v>
      </c>
      <c r="Q418" s="11"/>
      <c r="R418"/>
      <c r="S418"/>
      <c r="T418" s="3"/>
      <c r="U418" s="83"/>
      <c r="V418" s="246" t="s">
        <v>963</v>
      </c>
      <c r="W418" s="86"/>
      <c r="X418" s="41"/>
      <c r="Y418" s="113"/>
    </row>
    <row r="419" spans="1:25" s="2" customFormat="1">
      <c r="A419" s="58" t="s">
        <v>908</v>
      </c>
      <c r="B419" s="4">
        <v>43625</v>
      </c>
      <c r="C419" s="7">
        <v>3</v>
      </c>
      <c r="D419" s="59" t="s">
        <v>191</v>
      </c>
      <c r="E419" s="7" t="s">
        <v>22</v>
      </c>
      <c r="F419" s="37" t="s">
        <v>255</v>
      </c>
      <c r="G419" s="32">
        <v>76.2</v>
      </c>
      <c r="H419" s="32">
        <v>84.3</v>
      </c>
      <c r="I419">
        <f>表1_4[[#This Row],[主队2]]-表1_4[[#This Row],[客队2]]</f>
        <v>-8.0999999999999908</v>
      </c>
      <c r="J41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419" s="35" t="s">
        <v>152</v>
      </c>
      <c r="L41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19" s="11"/>
      <c r="N419" s="120" t="s">
        <v>133</v>
      </c>
      <c r="O419" s="10" t="s">
        <v>40</v>
      </c>
      <c r="P419" s="9">
        <v>2</v>
      </c>
      <c r="Q419" s="11"/>
      <c r="R419"/>
      <c r="S419"/>
      <c r="T419" s="3"/>
      <c r="U419" s="83" t="s">
        <v>964</v>
      </c>
      <c r="V419" s="85" t="s">
        <v>930</v>
      </c>
      <c r="W419" s="71"/>
      <c r="X419" s="41"/>
      <c r="Y419" s="113"/>
    </row>
    <row r="420" spans="1:25" s="2" customFormat="1" ht="28.9">
      <c r="A420" s="58" t="s">
        <v>908</v>
      </c>
      <c r="B420" s="4">
        <v>43625</v>
      </c>
      <c r="C420" s="2">
        <v>3</v>
      </c>
      <c r="D420" s="59" t="s">
        <v>287</v>
      </c>
      <c r="E420" s="7" t="s">
        <v>44</v>
      </c>
      <c r="F420" s="37" t="s">
        <v>437</v>
      </c>
      <c r="G420" s="32">
        <v>68.5</v>
      </c>
      <c r="H420" s="32">
        <v>48.5</v>
      </c>
      <c r="I420">
        <f>表1_4[[#This Row],[主队2]]-表1_4[[#This Row],[客队2]]</f>
        <v>20</v>
      </c>
      <c r="J42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420" s="34">
        <v>1.75</v>
      </c>
      <c r="L42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420" s="11"/>
      <c r="N420" s="120" t="s">
        <v>160</v>
      </c>
      <c r="O420" s="121" t="s">
        <v>40</v>
      </c>
      <c r="P420" s="9" t="s">
        <v>161</v>
      </c>
      <c r="Q420" s="11"/>
      <c r="R420" t="s">
        <v>852</v>
      </c>
      <c r="S420"/>
      <c r="T420" s="3"/>
      <c r="U420" s="25" t="s">
        <v>196</v>
      </c>
      <c r="V420" s="84" t="s">
        <v>965</v>
      </c>
      <c r="W420" s="86"/>
      <c r="X420" s="41"/>
      <c r="Y420" s="113"/>
    </row>
    <row r="421" spans="1:25" s="2" customFormat="1">
      <c r="A421" s="58" t="s">
        <v>908</v>
      </c>
      <c r="B421" s="4">
        <v>43625.114583333299</v>
      </c>
      <c r="C421" s="2">
        <v>3</v>
      </c>
      <c r="D421" s="59" t="s">
        <v>275</v>
      </c>
      <c r="E421" s="7" t="s">
        <v>64</v>
      </c>
      <c r="F421" s="260" t="s">
        <v>204</v>
      </c>
      <c r="G421" s="32">
        <v>78.900000000000006</v>
      </c>
      <c r="H421" s="32">
        <v>88.5</v>
      </c>
      <c r="I421">
        <f>表1_4[[#This Row],[主队2]]-表1_4[[#This Row],[客队2]]</f>
        <v>-9.5999999999999908</v>
      </c>
      <c r="J42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421" s="35" t="s">
        <v>132</v>
      </c>
      <c r="L42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21" s="11"/>
      <c r="N421" s="122" t="s">
        <v>112</v>
      </c>
      <c r="O421" s="10" t="s">
        <v>27</v>
      </c>
      <c r="P421" s="9">
        <v>28</v>
      </c>
      <c r="Q421" s="11"/>
      <c r="R421" t="s">
        <v>852</v>
      </c>
      <c r="S421"/>
      <c r="T421" s="3"/>
      <c r="U421" s="83"/>
      <c r="V421" s="85" t="s">
        <v>726</v>
      </c>
      <c r="W421" s="86"/>
      <c r="X421" s="41"/>
      <c r="Y421" s="113"/>
    </row>
    <row r="422" spans="1:25" s="2" customFormat="1">
      <c r="A422" s="58" t="s">
        <v>908</v>
      </c>
      <c r="B422" s="4">
        <v>43625</v>
      </c>
      <c r="C422" s="2">
        <v>3</v>
      </c>
      <c r="D422" s="70" t="s">
        <v>403</v>
      </c>
      <c r="E422" s="7" t="s">
        <v>60</v>
      </c>
      <c r="F422" s="37" t="s">
        <v>296</v>
      </c>
      <c r="G422" s="32">
        <v>67.900000000000006</v>
      </c>
      <c r="H422" s="32">
        <v>77</v>
      </c>
      <c r="I422">
        <f>表1_4[[#This Row],[主队2]]-表1_4[[#This Row],[客队2]]</f>
        <v>-9.0999999999999908</v>
      </c>
      <c r="J42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422" s="35" t="s">
        <v>132</v>
      </c>
      <c r="L42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22" s="11"/>
      <c r="N422" s="122" t="s">
        <v>119</v>
      </c>
      <c r="O422" s="10" t="s">
        <v>143</v>
      </c>
      <c r="P422" s="9">
        <v>21</v>
      </c>
      <c r="Q422" s="11"/>
      <c r="R422" t="s">
        <v>852</v>
      </c>
      <c r="S422"/>
      <c r="T422" s="3"/>
      <c r="U422" s="246"/>
      <c r="V422" s="247" t="s">
        <v>454</v>
      </c>
      <c r="W422" s="86"/>
      <c r="X422" s="41"/>
      <c r="Y422" s="113"/>
    </row>
    <row r="423" spans="1:25" s="2" customFormat="1">
      <c r="A423" s="58" t="s">
        <v>908</v>
      </c>
      <c r="B423" s="4">
        <v>43625.114583333299</v>
      </c>
      <c r="C423" s="2">
        <v>3</v>
      </c>
      <c r="D423" s="59" t="s">
        <v>240</v>
      </c>
      <c r="E423" s="7" t="s">
        <v>47</v>
      </c>
      <c r="F423" s="37" t="s">
        <v>116</v>
      </c>
      <c r="G423" s="32">
        <v>72.900000000000006</v>
      </c>
      <c r="H423" s="32">
        <v>96.5</v>
      </c>
      <c r="I423">
        <f>表1_4[[#This Row],[主队2]]-表1_4[[#This Row],[客队2]]</f>
        <v>-23.6</v>
      </c>
      <c r="J423" s="34">
        <v>-2</v>
      </c>
      <c r="K423" s="34">
        <v>-2</v>
      </c>
      <c r="L42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23" s="11"/>
      <c r="N423" s="122" t="s">
        <v>119</v>
      </c>
      <c r="O423" s="10" t="s">
        <v>40</v>
      </c>
      <c r="P423" s="9" t="s">
        <v>161</v>
      </c>
      <c r="Q423" s="11"/>
      <c r="R423" t="s">
        <v>852</v>
      </c>
      <c r="S423"/>
      <c r="T423" s="3"/>
      <c r="U423" s="83" t="s">
        <v>718</v>
      </c>
      <c r="V423" s="85" t="s">
        <v>966</v>
      </c>
      <c r="W423" s="86"/>
      <c r="X423" s="41"/>
      <c r="Y423" s="113"/>
    </row>
    <row r="424" spans="1:25" s="2" customFormat="1">
      <c r="A424" s="58" t="s">
        <v>948</v>
      </c>
      <c r="B424" s="4">
        <v>43626.114583333299</v>
      </c>
      <c r="C424" s="115" t="s">
        <v>166</v>
      </c>
      <c r="D424" s="59" t="s">
        <v>117</v>
      </c>
      <c r="E424" s="7" t="s">
        <v>42</v>
      </c>
      <c r="F424" s="37" t="s">
        <v>250</v>
      </c>
      <c r="G424" s="32">
        <v>94.3</v>
      </c>
      <c r="H424" s="32">
        <v>87.9</v>
      </c>
      <c r="I424">
        <f>表1_4[[#This Row],[主队2]]-表1_4[[#This Row],[客队2]]</f>
        <v>6.3999999999999897</v>
      </c>
      <c r="J424" s="34">
        <v>0.75</v>
      </c>
      <c r="K424" s="35" t="s">
        <v>289</v>
      </c>
      <c r="L42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24" s="11"/>
      <c r="N424" s="122" t="s">
        <v>119</v>
      </c>
      <c r="O424" s="114" t="s">
        <v>143</v>
      </c>
      <c r="P424" s="9">
        <v>18</v>
      </c>
      <c r="Q424" s="11"/>
      <c r="R424" t="s">
        <v>855</v>
      </c>
      <c r="S424"/>
      <c r="T424" s="3"/>
      <c r="U424" s="83" t="s">
        <v>776</v>
      </c>
      <c r="V424" s="101" t="s">
        <v>967</v>
      </c>
      <c r="W424" s="86"/>
      <c r="X424" s="41"/>
      <c r="Y424" s="113"/>
    </row>
    <row r="425" spans="1:25" s="2" customFormat="1">
      <c r="A425" s="58" t="s">
        <v>948</v>
      </c>
      <c r="B425" s="68">
        <v>43626.114583333299</v>
      </c>
      <c r="C425" s="26" t="s">
        <v>166</v>
      </c>
      <c r="D425" s="59" t="s">
        <v>270</v>
      </c>
      <c r="E425" s="7" t="s">
        <v>31</v>
      </c>
      <c r="F425" s="37" t="s">
        <v>262</v>
      </c>
      <c r="G425" s="32">
        <v>91.5</v>
      </c>
      <c r="H425" s="32">
        <v>92.2</v>
      </c>
      <c r="I425">
        <f>表1_4[[#This Row],[主队2]]-表1_4[[#This Row],[客队2]]</f>
        <v>-0.70000000000000295</v>
      </c>
      <c r="J42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425" s="35" t="s">
        <v>182</v>
      </c>
      <c r="L42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25" s="11"/>
      <c r="N425" s="122" t="s">
        <v>119</v>
      </c>
      <c r="O425" s="10" t="s">
        <v>24</v>
      </c>
      <c r="P425" s="9">
        <v>6</v>
      </c>
      <c r="Q425" s="11"/>
      <c r="R425" t="s">
        <v>852</v>
      </c>
      <c r="S425"/>
      <c r="T425" s="3"/>
      <c r="U425" s="83"/>
      <c r="V425" s="85" t="s">
        <v>968</v>
      </c>
      <c r="W425" s="244"/>
      <c r="X425" s="93" t="s">
        <v>772</v>
      </c>
      <c r="Y425" s="123" t="s">
        <v>772</v>
      </c>
    </row>
    <row r="426" spans="1:25" s="2" customFormat="1">
      <c r="A426" s="58" t="s">
        <v>908</v>
      </c>
      <c r="B426" s="4">
        <v>43627.114583333299</v>
      </c>
      <c r="C426" s="26">
        <v>4</v>
      </c>
      <c r="D426" s="59" t="s">
        <v>284</v>
      </c>
      <c r="E426" s="7" t="s">
        <v>44</v>
      </c>
      <c r="F426" s="37" t="s">
        <v>301</v>
      </c>
      <c r="G426" s="32">
        <v>82.2</v>
      </c>
      <c r="H426" s="32">
        <v>75.2</v>
      </c>
      <c r="I426">
        <f>表1_4[[#This Row],[主队2]]-表1_4[[#This Row],[客队2]]</f>
        <v>7</v>
      </c>
      <c r="J42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426" s="35" t="s">
        <v>118</v>
      </c>
      <c r="L42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26" s="11"/>
      <c r="N426" s="120" t="s">
        <v>160</v>
      </c>
      <c r="O426" s="114" t="s">
        <v>27</v>
      </c>
      <c r="P426" s="9">
        <v>-0.1</v>
      </c>
      <c r="Q426" s="11"/>
      <c r="R426" t="s">
        <v>855</v>
      </c>
      <c r="S426"/>
      <c r="T426" s="3"/>
      <c r="U426" s="25"/>
      <c r="V426" s="24" t="s">
        <v>969</v>
      </c>
      <c r="W426" s="40"/>
      <c r="X426" s="41"/>
      <c r="Y426" s="113"/>
    </row>
    <row r="427" spans="1:25" s="2" customFormat="1">
      <c r="A427" s="58" t="s">
        <v>908</v>
      </c>
      <c r="B427" s="4">
        <v>43627.114583333299</v>
      </c>
      <c r="C427" s="115">
        <v>4</v>
      </c>
      <c r="D427" s="59" t="s">
        <v>261</v>
      </c>
      <c r="E427" s="7" t="s">
        <v>62</v>
      </c>
      <c r="F427" s="37" t="s">
        <v>217</v>
      </c>
      <c r="G427" s="32">
        <v>74.5</v>
      </c>
      <c r="H427" s="32">
        <v>67.2</v>
      </c>
      <c r="I427">
        <f>表1_4[[#This Row],[主队2]]-表1_4[[#This Row],[客队2]]</f>
        <v>7.3</v>
      </c>
      <c r="J42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427" s="35" t="s">
        <v>182</v>
      </c>
      <c r="L42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427" s="11"/>
      <c r="N427" s="122" t="s">
        <v>119</v>
      </c>
      <c r="O427" s="10" t="s">
        <v>65</v>
      </c>
      <c r="P427" s="9">
        <v>12</v>
      </c>
      <c r="Q427" s="11"/>
      <c r="R427"/>
      <c r="S427"/>
      <c r="T427" s="3"/>
      <c r="U427" s="246"/>
      <c r="V427" s="247" t="s">
        <v>970</v>
      </c>
      <c r="W427" s="86"/>
      <c r="X427" s="41"/>
      <c r="Y427" s="113"/>
    </row>
    <row r="428" spans="1:25" s="2" customFormat="1">
      <c r="A428" s="58" t="s">
        <v>908</v>
      </c>
      <c r="B428" s="4">
        <v>43627.114583333299</v>
      </c>
      <c r="C428" s="2">
        <v>4</v>
      </c>
      <c r="D428" s="59" t="s">
        <v>214</v>
      </c>
      <c r="E428" s="7" t="s">
        <v>31</v>
      </c>
      <c r="F428" s="37" t="s">
        <v>266</v>
      </c>
      <c r="G428" s="32">
        <v>84.2</v>
      </c>
      <c r="H428" s="32">
        <v>60.3</v>
      </c>
      <c r="I428">
        <f>表1_4[[#This Row],[主队2]]-表1_4[[#This Row],[客队2]]</f>
        <v>23.9</v>
      </c>
      <c r="J428" s="34">
        <v>2.75</v>
      </c>
      <c r="K428" s="34">
        <v>2.25</v>
      </c>
      <c r="L42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428" s="11"/>
      <c r="N428" s="122" t="s">
        <v>119</v>
      </c>
      <c r="O428" s="10" t="s">
        <v>143</v>
      </c>
      <c r="P428" s="9" t="s">
        <v>161</v>
      </c>
      <c r="Q428" s="11"/>
      <c r="R428" t="s">
        <v>855</v>
      </c>
      <c r="S428"/>
      <c r="T428" s="3"/>
      <c r="U428" s="246"/>
      <c r="V428" s="247" t="s">
        <v>971</v>
      </c>
      <c r="W428" s="87"/>
      <c r="X428" s="41"/>
      <c r="Y428" s="113"/>
    </row>
    <row r="429" spans="1:25" s="2" customFormat="1">
      <c r="A429" s="58" t="s">
        <v>908</v>
      </c>
      <c r="B429" s="4">
        <v>43627.114583333299</v>
      </c>
      <c r="C429" s="26">
        <v>4</v>
      </c>
      <c r="D429" s="59" t="s">
        <v>434</v>
      </c>
      <c r="E429" s="7" t="s">
        <v>43</v>
      </c>
      <c r="F429" s="37" t="s">
        <v>292</v>
      </c>
      <c r="G429" s="32">
        <v>84.8</v>
      </c>
      <c r="H429" s="32">
        <v>63.5</v>
      </c>
      <c r="I429">
        <f>表1_4[[#This Row],[主队2]]-表1_4[[#This Row],[客队2]]</f>
        <v>21.3</v>
      </c>
      <c r="J429" s="34">
        <v>2.5</v>
      </c>
      <c r="K429" s="34">
        <v>2.5</v>
      </c>
      <c r="L42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29" s="11"/>
      <c r="N429" s="122" t="s">
        <v>133</v>
      </c>
      <c r="O429" s="10" t="s">
        <v>28</v>
      </c>
      <c r="P429" s="9" t="s">
        <v>161</v>
      </c>
      <c r="Q429" s="11"/>
      <c r="R429" t="s">
        <v>852</v>
      </c>
      <c r="S429"/>
      <c r="T429" s="3"/>
      <c r="U429" s="83"/>
      <c r="V429" s="85" t="s">
        <v>972</v>
      </c>
      <c r="W429" s="86"/>
      <c r="X429" s="41"/>
      <c r="Y429" s="113"/>
    </row>
    <row r="430" spans="1:25" s="2" customFormat="1">
      <c r="A430" s="58" t="s">
        <v>908</v>
      </c>
      <c r="B430" s="4">
        <v>43627.114583333299</v>
      </c>
      <c r="C430" s="7">
        <v>4</v>
      </c>
      <c r="D430" s="59" t="s">
        <v>199</v>
      </c>
      <c r="E430" s="7" t="s">
        <v>22</v>
      </c>
      <c r="F430" s="37" t="s">
        <v>256</v>
      </c>
      <c r="G430" s="32">
        <v>81.400000000000006</v>
      </c>
      <c r="H430" s="32">
        <v>39.700000000000003</v>
      </c>
      <c r="I430">
        <f>表1_4[[#This Row],[主队2]]-表1_4[[#This Row],[客队2]]</f>
        <v>41.7</v>
      </c>
      <c r="J430" s="34">
        <v>4.5</v>
      </c>
      <c r="K430" s="34">
        <v>3.75</v>
      </c>
      <c r="L43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430" s="11"/>
      <c r="N430" s="122" t="s">
        <v>404</v>
      </c>
      <c r="O430" s="10" t="s">
        <v>28</v>
      </c>
      <c r="P430" s="9" t="s">
        <v>161</v>
      </c>
      <c r="Q430" s="11"/>
      <c r="R430"/>
      <c r="S430"/>
      <c r="T430" s="3"/>
      <c r="U430" s="246"/>
      <c r="V430" s="247" t="s">
        <v>635</v>
      </c>
      <c r="W430" s="86"/>
      <c r="X430" s="41"/>
      <c r="Y430" s="113"/>
    </row>
    <row r="431" spans="1:25" s="2" customFormat="1">
      <c r="A431" s="58" t="s">
        <v>908</v>
      </c>
      <c r="B431" s="4">
        <v>43627.114583333299</v>
      </c>
      <c r="C431" s="26">
        <v>4</v>
      </c>
      <c r="D431" s="59" t="s">
        <v>306</v>
      </c>
      <c r="E431" s="7" t="s">
        <v>82</v>
      </c>
      <c r="F431" s="37" t="s">
        <v>430</v>
      </c>
      <c r="G431" s="32">
        <v>85.9</v>
      </c>
      <c r="H431" s="32">
        <v>71.8</v>
      </c>
      <c r="I431">
        <f>表1_4[[#This Row],[主队2]]-表1_4[[#This Row],[客队2]]</f>
        <v>14.1</v>
      </c>
      <c r="J43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431" s="35" t="s">
        <v>81</v>
      </c>
      <c r="L43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31" s="11"/>
      <c r="N431" s="122" t="s">
        <v>112</v>
      </c>
      <c r="O431" s="10" t="s">
        <v>35</v>
      </c>
      <c r="P431" s="9">
        <v>-10</v>
      </c>
      <c r="Q431" s="11"/>
      <c r="R431"/>
      <c r="S431"/>
      <c r="T431" s="3"/>
      <c r="U431" s="246" t="s">
        <v>791</v>
      </c>
      <c r="V431" s="247" t="s">
        <v>973</v>
      </c>
      <c r="W431" s="38"/>
      <c r="X431" s="41"/>
      <c r="Y431" s="113"/>
    </row>
    <row r="432" spans="1:25" s="2" customFormat="1">
      <c r="A432" s="58" t="s">
        <v>908</v>
      </c>
      <c r="B432" s="4">
        <v>43627.114583333299</v>
      </c>
      <c r="C432" s="26">
        <v>4</v>
      </c>
      <c r="D432" s="59" t="s">
        <v>209</v>
      </c>
      <c r="E432" s="7" t="s">
        <v>44</v>
      </c>
      <c r="F432" s="37" t="s">
        <v>239</v>
      </c>
      <c r="G432" s="32">
        <v>96.3</v>
      </c>
      <c r="H432" s="32">
        <v>86.7</v>
      </c>
      <c r="I432">
        <f>表1_4[[#This Row],[主队2]]-表1_4[[#This Row],[客队2]]</f>
        <v>9.5999999999999908</v>
      </c>
      <c r="J43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432" s="35" t="s">
        <v>81</v>
      </c>
      <c r="L43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432" s="11"/>
      <c r="N432" s="122" t="s">
        <v>119</v>
      </c>
      <c r="O432" s="10" t="s">
        <v>48</v>
      </c>
      <c r="P432" s="9">
        <v>-21</v>
      </c>
      <c r="Q432" s="11"/>
      <c r="R432" t="s">
        <v>852</v>
      </c>
      <c r="S432"/>
      <c r="T432" s="3"/>
      <c r="U432" s="246"/>
      <c r="V432" s="247" t="s">
        <v>974</v>
      </c>
      <c r="W432" s="71"/>
      <c r="X432" s="41"/>
      <c r="Y432" s="113"/>
    </row>
    <row r="433" spans="1:25" s="2" customFormat="1">
      <c r="A433" s="58" t="s">
        <v>908</v>
      </c>
      <c r="B433" s="4">
        <v>43627.114583333299</v>
      </c>
      <c r="C433" s="26">
        <v>4</v>
      </c>
      <c r="D433" s="59" t="s">
        <v>929</v>
      </c>
      <c r="E433" s="7" t="s">
        <v>61</v>
      </c>
      <c r="F433" s="37" t="s">
        <v>305</v>
      </c>
      <c r="G433" s="32">
        <v>56.8</v>
      </c>
      <c r="H433" s="32">
        <v>82.4</v>
      </c>
      <c r="I433">
        <f>表1_4[[#This Row],[主队2]]-表1_4[[#This Row],[客队2]]</f>
        <v>-25.6</v>
      </c>
      <c r="J433" s="34">
        <v>-2.5</v>
      </c>
      <c r="K433" s="34">
        <v>-1.75</v>
      </c>
      <c r="L43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433" s="11"/>
      <c r="N433" s="122" t="s">
        <v>119</v>
      </c>
      <c r="O433" s="10" t="s">
        <v>35</v>
      </c>
      <c r="P433" s="9" t="s">
        <v>161</v>
      </c>
      <c r="Q433" s="11"/>
      <c r="R433"/>
      <c r="S433"/>
      <c r="T433" s="3"/>
      <c r="U433" s="83" t="s">
        <v>697</v>
      </c>
      <c r="V433" s="85" t="s">
        <v>975</v>
      </c>
      <c r="W433" s="38"/>
      <c r="X433" s="41"/>
      <c r="Y433" s="113"/>
    </row>
    <row r="434" spans="1:25" s="2" customFormat="1">
      <c r="A434" s="58" t="s">
        <v>908</v>
      </c>
      <c r="B434" s="4">
        <v>43627.114583333299</v>
      </c>
      <c r="C434" s="26">
        <v>4</v>
      </c>
      <c r="D434" s="59" t="s">
        <v>244</v>
      </c>
      <c r="E434" s="7" t="s">
        <v>47</v>
      </c>
      <c r="F434" s="37" t="s">
        <v>297</v>
      </c>
      <c r="G434" s="32">
        <v>56.5</v>
      </c>
      <c r="H434" s="32">
        <v>79.5</v>
      </c>
      <c r="I434">
        <f>表1_4[[#This Row],[主队2]]-表1_4[[#This Row],[客队2]]</f>
        <v>-23</v>
      </c>
      <c r="J434" s="34">
        <v>-2</v>
      </c>
      <c r="K434" s="34">
        <v>-1.25</v>
      </c>
      <c r="L43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434" s="11"/>
      <c r="N434" s="122" t="s">
        <v>112</v>
      </c>
      <c r="O434" s="10" t="s">
        <v>35</v>
      </c>
      <c r="P434" s="9">
        <v>-7</v>
      </c>
      <c r="Q434" s="11"/>
      <c r="R434"/>
      <c r="S434"/>
      <c r="T434" s="3"/>
      <c r="U434" s="25" t="s">
        <v>120</v>
      </c>
      <c r="V434" s="24" t="s">
        <v>976</v>
      </c>
      <c r="W434" s="40" t="s">
        <v>280</v>
      </c>
      <c r="X434" s="41"/>
      <c r="Y434" s="113"/>
    </row>
    <row r="435" spans="1:25" s="2" customFormat="1">
      <c r="A435" s="58" t="s">
        <v>908</v>
      </c>
      <c r="B435" s="4">
        <v>43627.114583333299</v>
      </c>
      <c r="C435" s="26">
        <v>4</v>
      </c>
      <c r="D435" s="59" t="s">
        <v>302</v>
      </c>
      <c r="E435" s="7" t="s">
        <v>37</v>
      </c>
      <c r="F435" s="37" t="s">
        <v>210</v>
      </c>
      <c r="G435" s="32">
        <v>84.3</v>
      </c>
      <c r="H435" s="32">
        <v>76.599999999999994</v>
      </c>
      <c r="I435">
        <f>表1_4[[#This Row],[主队2]]-表1_4[[#This Row],[客队2]]</f>
        <v>7.7</v>
      </c>
      <c r="J43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435" s="35" t="s">
        <v>176</v>
      </c>
      <c r="L43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35" s="11"/>
      <c r="N435" s="122" t="s">
        <v>119</v>
      </c>
      <c r="O435" s="10" t="s">
        <v>28</v>
      </c>
      <c r="P435" s="9">
        <v>-1</v>
      </c>
      <c r="Q435" s="11"/>
      <c r="R435" t="s">
        <v>852</v>
      </c>
      <c r="S435"/>
      <c r="T435" s="3"/>
      <c r="U435" s="246"/>
      <c r="V435" s="247" t="s">
        <v>977</v>
      </c>
      <c r="W435" s="86"/>
      <c r="X435" s="41"/>
      <c r="Y435" s="113"/>
    </row>
    <row r="436" spans="1:25" s="2" customFormat="1">
      <c r="A436" s="58" t="s">
        <v>908</v>
      </c>
      <c r="B436" s="4">
        <v>43627.114583333299</v>
      </c>
      <c r="C436" s="26">
        <v>4</v>
      </c>
      <c r="D436" s="59" t="s">
        <v>251</v>
      </c>
      <c r="E436" s="7" t="s">
        <v>978</v>
      </c>
      <c r="F436" s="37" t="s">
        <v>309</v>
      </c>
      <c r="G436" s="32">
        <v>63.4</v>
      </c>
      <c r="H436" s="32">
        <v>76.900000000000006</v>
      </c>
      <c r="I436">
        <f>表1_4[[#This Row],[主队2]]-表1_4[[#This Row],[客队2]]</f>
        <v>-13.5</v>
      </c>
      <c r="J43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436" s="35" t="s">
        <v>111</v>
      </c>
      <c r="L43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36" s="11"/>
      <c r="N436" s="122" t="s">
        <v>112</v>
      </c>
      <c r="O436" s="10" t="s">
        <v>143</v>
      </c>
      <c r="P436" s="9">
        <v>5</v>
      </c>
      <c r="Q436" s="11"/>
      <c r="R436" t="s">
        <v>852</v>
      </c>
      <c r="S436"/>
      <c r="T436" s="3"/>
      <c r="U436" s="25"/>
      <c r="V436" s="24" t="s">
        <v>979</v>
      </c>
      <c r="W436" s="40"/>
      <c r="X436" s="41"/>
      <c r="Y436" s="113"/>
    </row>
    <row r="437" spans="1:25" s="2" customFormat="1">
      <c r="A437" s="58" t="s">
        <v>908</v>
      </c>
      <c r="B437" s="4">
        <v>43627.114583333299</v>
      </c>
      <c r="C437" s="7">
        <v>4</v>
      </c>
      <c r="D437" s="59" t="s">
        <v>440</v>
      </c>
      <c r="E437" s="7" t="s">
        <v>75</v>
      </c>
      <c r="F437" s="37" t="s">
        <v>194</v>
      </c>
      <c r="G437" s="32">
        <v>72.599999999999994</v>
      </c>
      <c r="H437" s="32">
        <v>79.599999999999994</v>
      </c>
      <c r="I437">
        <f>表1_4[[#This Row],[主队2]]-表1_4[[#This Row],[客队2]]</f>
        <v>-7</v>
      </c>
      <c r="J43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437" s="35" t="s">
        <v>132</v>
      </c>
      <c r="L43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37" s="11"/>
      <c r="N437" s="122" t="s">
        <v>133</v>
      </c>
      <c r="O437" s="10" t="s">
        <v>28</v>
      </c>
      <c r="P437" s="9">
        <v>15</v>
      </c>
      <c r="Q437" s="11"/>
      <c r="R437"/>
      <c r="S437"/>
      <c r="T437" s="3"/>
      <c r="U437" s="83"/>
      <c r="V437" s="85" t="s">
        <v>980</v>
      </c>
      <c r="W437" s="86"/>
      <c r="X437" s="41"/>
      <c r="Y437" s="113"/>
    </row>
    <row r="438" spans="1:25" s="2" customFormat="1">
      <c r="A438" s="58" t="s">
        <v>908</v>
      </c>
      <c r="B438" s="4">
        <v>43627.916666666701</v>
      </c>
      <c r="C438" s="2">
        <v>4</v>
      </c>
      <c r="D438" s="59" t="s">
        <v>288</v>
      </c>
      <c r="E438" s="7" t="s">
        <v>37</v>
      </c>
      <c r="F438" s="37" t="s">
        <v>282</v>
      </c>
      <c r="G438" s="32">
        <v>65.3</v>
      </c>
      <c r="H438" s="32">
        <v>30.2</v>
      </c>
      <c r="I438">
        <f>表1_4[[#This Row],[主队2]]-表1_4[[#This Row],[客队2]]</f>
        <v>35.1</v>
      </c>
      <c r="J438" s="34">
        <v>3.75</v>
      </c>
      <c r="K438" s="34">
        <v>3.25</v>
      </c>
      <c r="L43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438" s="11"/>
      <c r="N438" s="122" t="s">
        <v>160</v>
      </c>
      <c r="O438" s="10" t="s">
        <v>46</v>
      </c>
      <c r="P438" s="9" t="s">
        <v>161</v>
      </c>
      <c r="Q438" s="11"/>
      <c r="R438" t="s">
        <v>852</v>
      </c>
      <c r="S438"/>
      <c r="T438" s="3"/>
      <c r="U438" s="246" t="s">
        <v>448</v>
      </c>
      <c r="V438" s="247" t="s">
        <v>981</v>
      </c>
      <c r="W438" s="40"/>
      <c r="X438" s="41"/>
      <c r="Y438" s="113"/>
    </row>
    <row r="439" spans="1:25" s="2" customFormat="1">
      <c r="A439" s="58" t="s">
        <v>908</v>
      </c>
      <c r="B439" s="4">
        <v>43628.114583333299</v>
      </c>
      <c r="C439" s="124">
        <v>4</v>
      </c>
      <c r="D439" s="59" t="s">
        <v>353</v>
      </c>
      <c r="E439" s="7" t="s">
        <v>31</v>
      </c>
      <c r="F439" s="37" t="s">
        <v>407</v>
      </c>
      <c r="G439" s="32">
        <v>85.9</v>
      </c>
      <c r="H439" s="32">
        <v>66.099999999999994</v>
      </c>
      <c r="I439">
        <f>表1_4[[#This Row],[主队2]]-表1_4[[#This Row],[客队2]]</f>
        <v>19.8</v>
      </c>
      <c r="J43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439" s="35" t="s">
        <v>81</v>
      </c>
      <c r="L43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439" s="11"/>
      <c r="N439" s="122" t="s">
        <v>112</v>
      </c>
      <c r="O439" s="10" t="s">
        <v>46</v>
      </c>
      <c r="P439" s="9">
        <v>8</v>
      </c>
      <c r="Q439" s="11"/>
      <c r="R439" t="s">
        <v>855</v>
      </c>
      <c r="S439"/>
      <c r="T439" s="3"/>
      <c r="U439" s="25"/>
      <c r="V439" s="24" t="s">
        <v>982</v>
      </c>
      <c r="W439" s="40"/>
      <c r="X439" s="41"/>
      <c r="Y439" s="113"/>
    </row>
    <row r="440" spans="1:25" s="2" customFormat="1">
      <c r="A440" s="58" t="s">
        <v>908</v>
      </c>
      <c r="B440" s="4">
        <v>43628.114583333299</v>
      </c>
      <c r="C440" s="26">
        <v>4</v>
      </c>
      <c r="D440" s="59" t="s">
        <v>274</v>
      </c>
      <c r="E440" s="7" t="s">
        <v>44</v>
      </c>
      <c r="F440" s="37" t="s">
        <v>123</v>
      </c>
      <c r="G440" s="32">
        <v>93.7</v>
      </c>
      <c r="H440" s="32">
        <v>79.099999999999994</v>
      </c>
      <c r="I440">
        <f>表1_4[[#This Row],[主队2]]-表1_4[[#This Row],[客队2]]</f>
        <v>14.6</v>
      </c>
      <c r="J44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440" s="34">
        <v>2.25</v>
      </c>
      <c r="L44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440" s="11"/>
      <c r="N440" s="10" t="s">
        <v>133</v>
      </c>
      <c r="O440" s="10" t="s">
        <v>40</v>
      </c>
      <c r="P440" s="9" t="s">
        <v>161</v>
      </c>
      <c r="Q440" s="11"/>
      <c r="R440" t="s">
        <v>852</v>
      </c>
      <c r="S440"/>
      <c r="T440" s="3"/>
      <c r="U440" s="83" t="s">
        <v>500</v>
      </c>
      <c r="V440" s="85" t="s">
        <v>983</v>
      </c>
      <c r="W440" s="87"/>
      <c r="X440" s="41"/>
      <c r="Y440" s="113"/>
    </row>
    <row r="441" spans="1:25" s="2" customFormat="1" ht="28.9">
      <c r="A441" s="58" t="s">
        <v>908</v>
      </c>
      <c r="B441" s="4">
        <v>43628.114583333299</v>
      </c>
      <c r="C441" s="7">
        <v>4</v>
      </c>
      <c r="D441" s="59" t="s">
        <v>116</v>
      </c>
      <c r="E441" s="42" t="s">
        <v>700</v>
      </c>
      <c r="F441" s="37" t="s">
        <v>403</v>
      </c>
      <c r="G441" s="32">
        <v>96.7</v>
      </c>
      <c r="H441" s="32">
        <v>67.900000000000006</v>
      </c>
      <c r="I441">
        <f>表1_4[[#This Row],[主队2]]-表1_4[[#This Row],[客队2]]</f>
        <v>28.8</v>
      </c>
      <c r="J441" s="34">
        <v>3.25</v>
      </c>
      <c r="K441" s="34">
        <v>3.25</v>
      </c>
      <c r="L44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41" s="11"/>
      <c r="N441" s="46" t="s">
        <v>160</v>
      </c>
      <c r="O441" s="114" t="s">
        <v>40</v>
      </c>
      <c r="P441" s="9" t="s">
        <v>161</v>
      </c>
      <c r="Q441" s="11"/>
      <c r="R441"/>
      <c r="S441"/>
      <c r="T441" s="3"/>
      <c r="U441" s="25" t="s">
        <v>958</v>
      </c>
      <c r="V441" s="24" t="s">
        <v>984</v>
      </c>
      <c r="W441" s="40" t="s">
        <v>280</v>
      </c>
      <c r="X441" s="41"/>
      <c r="Y441" s="113"/>
    </row>
    <row r="442" spans="1:25" s="2" customFormat="1">
      <c r="A442" s="58" t="s">
        <v>908</v>
      </c>
      <c r="B442" s="4">
        <v>43628.114583333299</v>
      </c>
      <c r="C442" s="2">
        <v>4</v>
      </c>
      <c r="D442" s="59" t="s">
        <v>240</v>
      </c>
      <c r="E442" s="7" t="s">
        <v>53</v>
      </c>
      <c r="F442" s="37" t="s">
        <v>296</v>
      </c>
      <c r="G442" s="32">
        <v>72.7</v>
      </c>
      <c r="H442" s="32">
        <v>77</v>
      </c>
      <c r="I442">
        <f>表1_4[[#This Row],[主队2]]-表1_4[[#This Row],[客队2]]</f>
        <v>-4.3</v>
      </c>
      <c r="J442" s="34">
        <v>-0.25</v>
      </c>
      <c r="K442" s="35" t="s">
        <v>166</v>
      </c>
      <c r="L44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42" s="11"/>
      <c r="N442" s="10" t="s">
        <v>119</v>
      </c>
      <c r="O442" s="10" t="s">
        <v>46</v>
      </c>
      <c r="P442" s="9">
        <v>27</v>
      </c>
      <c r="Q442" s="11"/>
      <c r="R442" t="s">
        <v>855</v>
      </c>
      <c r="S442"/>
      <c r="T442" s="3"/>
      <c r="U442" s="246"/>
      <c r="V442" s="251" t="s">
        <v>985</v>
      </c>
      <c r="W442" s="38"/>
      <c r="X442" s="41"/>
      <c r="Y442" s="113"/>
    </row>
    <row r="443" spans="1:25" s="2" customFormat="1">
      <c r="A443" s="58" t="s">
        <v>908</v>
      </c>
      <c r="B443" s="4">
        <v>43628</v>
      </c>
      <c r="C443" s="26">
        <v>4</v>
      </c>
      <c r="D443" s="59" t="s">
        <v>278</v>
      </c>
      <c r="E443" s="49" t="s">
        <v>76</v>
      </c>
      <c r="F443" s="37" t="s">
        <v>425</v>
      </c>
      <c r="G443" s="32">
        <v>64.400000000000006</v>
      </c>
      <c r="H443" s="32">
        <v>83</v>
      </c>
      <c r="I443">
        <f>表1_4[[#This Row],[主队2]]-表1_4[[#This Row],[客队2]]</f>
        <v>-18.600000000000001</v>
      </c>
      <c r="J44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443" s="35" t="s">
        <v>111</v>
      </c>
      <c r="L44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443" s="11"/>
      <c r="N443" s="10" t="s">
        <v>119</v>
      </c>
      <c r="O443" s="10" t="s">
        <v>27</v>
      </c>
      <c r="P443" s="9">
        <v>29</v>
      </c>
      <c r="Q443" s="11"/>
      <c r="R443"/>
      <c r="S443"/>
      <c r="T443" s="3"/>
      <c r="U443" s="246"/>
      <c r="V443" s="247" t="s">
        <v>986</v>
      </c>
      <c r="W443" s="244"/>
      <c r="X443" s="41"/>
      <c r="Y443" s="113"/>
    </row>
    <row r="444" spans="1:25" s="2" customFormat="1">
      <c r="A444" s="58" t="s">
        <v>908</v>
      </c>
      <c r="B444" s="4">
        <v>43628.114583333299</v>
      </c>
      <c r="C444" s="2">
        <v>4</v>
      </c>
      <c r="D444" s="59" t="s">
        <v>271</v>
      </c>
      <c r="E444" s="7" t="s">
        <v>31</v>
      </c>
      <c r="F444" s="37" t="s">
        <v>200</v>
      </c>
      <c r="G444" s="32">
        <v>76.8</v>
      </c>
      <c r="H444" s="32">
        <v>80.400000000000006</v>
      </c>
      <c r="I444">
        <f>表1_4[[#This Row],[主队2]]-表1_4[[#This Row],[客队2]]</f>
        <v>-3.6000000000000099</v>
      </c>
      <c r="J44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444" s="35" t="s">
        <v>166</v>
      </c>
      <c r="L44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44" s="11"/>
      <c r="N444" s="10" t="s">
        <v>119</v>
      </c>
      <c r="O444" s="10" t="s">
        <v>51</v>
      </c>
      <c r="P444" s="9">
        <v>5</v>
      </c>
      <c r="Q444" s="11"/>
      <c r="R444" t="s">
        <v>855</v>
      </c>
      <c r="S444"/>
      <c r="T444" s="3"/>
      <c r="U444" s="83"/>
      <c r="V444" s="85" t="s">
        <v>987</v>
      </c>
      <c r="W444" s="71"/>
      <c r="X444" s="41"/>
      <c r="Y444" s="113"/>
    </row>
    <row r="445" spans="1:25" s="2" customFormat="1">
      <c r="A445" s="58" t="s">
        <v>908</v>
      </c>
      <c r="B445" s="4">
        <v>43628.114583333299</v>
      </c>
      <c r="C445" s="2">
        <v>4</v>
      </c>
      <c r="D445" s="59" t="s">
        <v>218</v>
      </c>
      <c r="E445" s="7" t="s">
        <v>33</v>
      </c>
      <c r="F445" s="37" t="s">
        <v>190</v>
      </c>
      <c r="G445" s="32">
        <v>78.099999999999994</v>
      </c>
      <c r="H445" s="32">
        <v>84.3</v>
      </c>
      <c r="I445">
        <f>表1_4[[#This Row],[主队2]]-表1_4[[#This Row],[客队2]]</f>
        <v>-6.2</v>
      </c>
      <c r="J445" s="34">
        <v>-0.25</v>
      </c>
      <c r="K445" s="35" t="s">
        <v>166</v>
      </c>
      <c r="L44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45" s="11"/>
      <c r="N445" s="10" t="s">
        <v>112</v>
      </c>
      <c r="O445" s="10" t="s">
        <v>35</v>
      </c>
      <c r="P445" s="9">
        <v>18</v>
      </c>
      <c r="Q445" s="11"/>
      <c r="R445" t="s">
        <v>852</v>
      </c>
      <c r="S445"/>
      <c r="T445" s="3"/>
      <c r="U445" s="25" t="s">
        <v>988</v>
      </c>
      <c r="V445" s="75" t="s">
        <v>989</v>
      </c>
      <c r="W445" s="40"/>
      <c r="X445" s="41"/>
      <c r="Y445" s="113"/>
    </row>
    <row r="446" spans="1:25" s="2" customFormat="1">
      <c r="A446" s="58" t="s">
        <v>908</v>
      </c>
      <c r="B446" s="4">
        <v>43628.114583333299</v>
      </c>
      <c r="C446" s="2">
        <v>4</v>
      </c>
      <c r="D446" s="59" t="s">
        <v>243</v>
      </c>
      <c r="E446" s="7" t="s">
        <v>61</v>
      </c>
      <c r="F446" s="37" t="s">
        <v>267</v>
      </c>
      <c r="G446" s="32">
        <v>47.2</v>
      </c>
      <c r="H446" s="32">
        <v>95.6</v>
      </c>
      <c r="I446">
        <f>表1_4[[#This Row],[主队2]]-表1_4[[#This Row],[客队2]]</f>
        <v>-48.4</v>
      </c>
      <c r="J446" s="34">
        <v>-4.5</v>
      </c>
      <c r="K446" s="34">
        <v>-3.5</v>
      </c>
      <c r="L44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446" s="11"/>
      <c r="N446" s="10" t="s">
        <v>119</v>
      </c>
      <c r="O446" s="114" t="s">
        <v>143</v>
      </c>
      <c r="P446" s="9" t="s">
        <v>161</v>
      </c>
      <c r="Q446" s="11"/>
      <c r="R446" t="s">
        <v>855</v>
      </c>
      <c r="S446"/>
      <c r="T446" s="3"/>
      <c r="U446" s="246"/>
      <c r="V446" s="247" t="s">
        <v>990</v>
      </c>
      <c r="W446" s="86"/>
      <c r="X446" s="41"/>
      <c r="Y446" s="113"/>
    </row>
    <row r="447" spans="1:25" s="2" customFormat="1">
      <c r="A447" s="58" t="s">
        <v>908</v>
      </c>
      <c r="B447" s="4">
        <v>43628.114583333299</v>
      </c>
      <c r="C447" s="26">
        <v>4</v>
      </c>
      <c r="D447" s="59" t="s">
        <v>205</v>
      </c>
      <c r="E447" s="7" t="s">
        <v>22</v>
      </c>
      <c r="F447" s="37" t="s">
        <v>195</v>
      </c>
      <c r="G447" s="32">
        <v>71.400000000000006</v>
      </c>
      <c r="H447" s="32">
        <v>62.2</v>
      </c>
      <c r="I447">
        <f>表1_4[[#This Row],[主队2]]-表1_4[[#This Row],[客队2]]</f>
        <v>9.1999999999999993</v>
      </c>
      <c r="J44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447" s="35" t="s">
        <v>176</v>
      </c>
      <c r="L44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47" s="11"/>
      <c r="N447" s="10" t="s">
        <v>119</v>
      </c>
      <c r="O447" s="10" t="s">
        <v>143</v>
      </c>
      <c r="P447" s="9" t="s">
        <v>161</v>
      </c>
      <c r="Q447" s="11"/>
      <c r="R447" t="s">
        <v>852</v>
      </c>
      <c r="S447"/>
      <c r="T447" s="3"/>
      <c r="U447" s="246"/>
      <c r="V447" s="247" t="s">
        <v>991</v>
      </c>
      <c r="W447" s="244"/>
      <c r="X447" s="41"/>
      <c r="Y447" s="113"/>
    </row>
    <row r="448" spans="1:25" s="2" customFormat="1">
      <c r="A448" s="58" t="s">
        <v>908</v>
      </c>
      <c r="B448" s="4">
        <v>43628.114583333299</v>
      </c>
      <c r="C448" s="26">
        <v>4</v>
      </c>
      <c r="D448" s="59" t="s">
        <v>437</v>
      </c>
      <c r="E448" s="7" t="s">
        <v>47</v>
      </c>
      <c r="F448" s="37" t="s">
        <v>191</v>
      </c>
      <c r="G448" s="32">
        <v>48.1</v>
      </c>
      <c r="H448" s="32">
        <v>77.3</v>
      </c>
      <c r="I448">
        <f>表1_4[[#This Row],[主队2]]-表1_4[[#This Row],[客队2]]</f>
        <v>-29.2</v>
      </c>
      <c r="J448" s="34">
        <v>-2.75</v>
      </c>
      <c r="K448" s="34">
        <v>-1.75</v>
      </c>
      <c r="L44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448" s="11"/>
      <c r="N448" s="10" t="s">
        <v>160</v>
      </c>
      <c r="O448" s="10" t="s">
        <v>46</v>
      </c>
      <c r="P448" s="9" t="s">
        <v>161</v>
      </c>
      <c r="Q448" s="11"/>
      <c r="R448" t="s">
        <v>852</v>
      </c>
      <c r="S448"/>
      <c r="T448" s="3"/>
      <c r="U448" s="25"/>
      <c r="V448" s="24" t="s">
        <v>992</v>
      </c>
      <c r="W448" s="40"/>
      <c r="X448" s="41"/>
      <c r="Y448" s="113"/>
    </row>
    <row r="449" spans="1:25" s="2" customFormat="1">
      <c r="A449" s="58" t="s">
        <v>908</v>
      </c>
      <c r="B449" s="4">
        <v>43628.114583333299</v>
      </c>
      <c r="C449" s="2">
        <v>4</v>
      </c>
      <c r="D449" s="267" t="s">
        <v>204</v>
      </c>
      <c r="E449" s="7" t="s">
        <v>33</v>
      </c>
      <c r="F449" s="37" t="s">
        <v>255</v>
      </c>
      <c r="G449" s="32">
        <v>89.2</v>
      </c>
      <c r="H449" s="32">
        <v>83.2</v>
      </c>
      <c r="I449">
        <f>表1_4[[#This Row],[主队2]]-表1_4[[#This Row],[客队2]]</f>
        <v>6</v>
      </c>
      <c r="J44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449" s="35" t="s">
        <v>125</v>
      </c>
      <c r="L44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449" s="11"/>
      <c r="N449" s="10" t="s">
        <v>112</v>
      </c>
      <c r="O449" s="10" t="s">
        <v>35</v>
      </c>
      <c r="P449" s="9">
        <v>13</v>
      </c>
      <c r="Q449" s="11"/>
      <c r="R449" t="s">
        <v>852</v>
      </c>
      <c r="S449"/>
      <c r="T449" s="3"/>
      <c r="U449" s="246" t="s">
        <v>791</v>
      </c>
      <c r="V449" s="251" t="s">
        <v>993</v>
      </c>
      <c r="W449" s="87" t="s">
        <v>381</v>
      </c>
      <c r="X449" s="41"/>
      <c r="Y449" s="113"/>
    </row>
    <row r="450" spans="1:25" s="2" customFormat="1">
      <c r="A450" s="58" t="s">
        <v>908</v>
      </c>
      <c r="B450" s="4">
        <v>43628.114583333299</v>
      </c>
      <c r="C450" s="2">
        <v>4</v>
      </c>
      <c r="D450" s="59" t="s">
        <v>275</v>
      </c>
      <c r="E450" s="7" t="s">
        <v>62</v>
      </c>
      <c r="F450" s="37" t="s">
        <v>287</v>
      </c>
      <c r="G450" s="32">
        <v>78.2</v>
      </c>
      <c r="H450" s="32">
        <v>68.900000000000006</v>
      </c>
      <c r="I450">
        <f>表1_4[[#This Row],[主队2]]-表1_4[[#This Row],[客队2]]</f>
        <v>9.3000000000000007</v>
      </c>
      <c r="J45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450" s="35" t="s">
        <v>176</v>
      </c>
      <c r="L45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50" s="11"/>
      <c r="N450" s="10" t="s">
        <v>119</v>
      </c>
      <c r="O450" s="57" t="s">
        <v>24</v>
      </c>
      <c r="P450" s="9">
        <v>23</v>
      </c>
      <c r="Q450" s="11"/>
      <c r="R450" t="s">
        <v>855</v>
      </c>
      <c r="S450"/>
      <c r="T450" s="3"/>
      <c r="U450" s="25"/>
      <c r="V450" s="24" t="s">
        <v>994</v>
      </c>
      <c r="W450" s="244"/>
      <c r="X450" s="41"/>
      <c r="Y450" s="113"/>
    </row>
    <row r="451" spans="1:25" s="2" customFormat="1">
      <c r="A451" s="58" t="s">
        <v>128</v>
      </c>
      <c r="B451" s="125">
        <v>43713.8125</v>
      </c>
      <c r="C451" s="26" t="s">
        <v>906</v>
      </c>
      <c r="D451" s="59" t="s">
        <v>995</v>
      </c>
      <c r="E451" s="49" t="s">
        <v>996</v>
      </c>
      <c r="F451" s="37" t="s">
        <v>130</v>
      </c>
      <c r="G451" s="32">
        <v>43.8</v>
      </c>
      <c r="H451" s="32">
        <v>69.400000000000006</v>
      </c>
      <c r="I451">
        <f>表1_4[[#This Row],[主队2]]-表1_4[[#This Row],[客队2]]</f>
        <v>-25.6</v>
      </c>
      <c r="J451" s="35" t="s">
        <v>692</v>
      </c>
      <c r="K451" s="35" t="s">
        <v>111</v>
      </c>
      <c r="L45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451" s="11"/>
      <c r="N451" s="10" t="s">
        <v>112</v>
      </c>
      <c r="O451" s="10" t="s">
        <v>46</v>
      </c>
      <c r="P451" s="9" t="s">
        <v>161</v>
      </c>
      <c r="Q451" s="11"/>
      <c r="R451"/>
      <c r="S451"/>
      <c r="T451" s="3"/>
      <c r="U451" s="25"/>
      <c r="V451" s="24" t="s">
        <v>997</v>
      </c>
      <c r="W451" s="86"/>
      <c r="X451" s="41"/>
      <c r="Y451" s="113"/>
    </row>
    <row r="452" spans="1:25" s="2" customFormat="1">
      <c r="A452" s="58" t="s">
        <v>128</v>
      </c>
      <c r="B452" s="4">
        <v>43714.020833333299</v>
      </c>
      <c r="C452" s="7" t="s">
        <v>906</v>
      </c>
      <c r="D452" s="59" t="s">
        <v>998</v>
      </c>
      <c r="E452" s="7" t="s">
        <v>36</v>
      </c>
      <c r="F452" s="37" t="s">
        <v>141</v>
      </c>
      <c r="G452" s="32">
        <v>67.2</v>
      </c>
      <c r="H452" s="32">
        <v>70.099999999999994</v>
      </c>
      <c r="I452">
        <f>表1_4[[#This Row],[主队2]]-表1_4[[#This Row],[客队2]]</f>
        <v>-2.8999999999999901</v>
      </c>
      <c r="J45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452" s="35" t="s">
        <v>166</v>
      </c>
      <c r="L45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52" s="11"/>
      <c r="N452" s="10" t="s">
        <v>112</v>
      </c>
      <c r="O452" s="10" t="s">
        <v>65</v>
      </c>
      <c r="P452" s="9">
        <v>13</v>
      </c>
      <c r="Q452" s="11"/>
      <c r="R452"/>
      <c r="S452"/>
      <c r="T452" s="3"/>
      <c r="U452" s="83"/>
      <c r="V452" s="94" t="s">
        <v>999</v>
      </c>
      <c r="W452" s="86"/>
      <c r="X452" s="41"/>
      <c r="Y452" s="113"/>
    </row>
    <row r="453" spans="1:25" s="2" customFormat="1">
      <c r="A453" s="58" t="s">
        <v>128</v>
      </c>
      <c r="B453" s="4">
        <v>43713.916666666701</v>
      </c>
      <c r="C453" s="26" t="s">
        <v>906</v>
      </c>
      <c r="D453" s="59" t="s">
        <v>1000</v>
      </c>
      <c r="E453" s="7" t="s">
        <v>31</v>
      </c>
      <c r="F453" s="37" t="s">
        <v>1001</v>
      </c>
      <c r="G453" s="32">
        <v>53.2</v>
      </c>
      <c r="H453" s="32">
        <v>53.7</v>
      </c>
      <c r="I453">
        <f>表1_4[[#This Row],[主队2]]-表1_4[[#This Row],[客队2]]</f>
        <v>-0.5</v>
      </c>
      <c r="J45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453" s="35" t="s">
        <v>182</v>
      </c>
      <c r="L45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53" s="11"/>
      <c r="N453" s="10" t="s">
        <v>119</v>
      </c>
      <c r="O453" s="10" t="s">
        <v>48</v>
      </c>
      <c r="P453" s="9">
        <v>-1</v>
      </c>
      <c r="Q453" s="11"/>
      <c r="R453"/>
      <c r="S453"/>
      <c r="T453" s="3"/>
      <c r="U453" s="83"/>
      <c r="V453" s="85" t="s">
        <v>731</v>
      </c>
      <c r="W453" s="86"/>
      <c r="X453" s="41"/>
      <c r="Y453" s="113"/>
    </row>
    <row r="454" spans="1:25" s="2" customFormat="1">
      <c r="A454" s="58" t="s">
        <v>128</v>
      </c>
      <c r="B454" s="4">
        <v>43713.833333333299</v>
      </c>
      <c r="C454" s="115" t="s">
        <v>906</v>
      </c>
      <c r="D454" s="59" t="s">
        <v>137</v>
      </c>
      <c r="E454" s="7" t="s">
        <v>42</v>
      </c>
      <c r="F454" s="37" t="s">
        <v>1002</v>
      </c>
      <c r="G454" s="32">
        <v>62.3</v>
      </c>
      <c r="H454" s="32">
        <v>57.5</v>
      </c>
      <c r="I454">
        <f>表1_4[[#This Row],[主队2]]-表1_4[[#This Row],[客队2]]</f>
        <v>4.8</v>
      </c>
      <c r="J45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454" s="35" t="s">
        <v>289</v>
      </c>
      <c r="L45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54" s="11"/>
      <c r="N454" s="10" t="s">
        <v>133</v>
      </c>
      <c r="O454" s="57" t="s">
        <v>46</v>
      </c>
      <c r="P454" s="9">
        <v>11</v>
      </c>
      <c r="Q454" s="11"/>
      <c r="R454"/>
      <c r="S454"/>
      <c r="T454" s="3"/>
      <c r="U454" s="83"/>
      <c r="V454" s="85" t="s">
        <v>1003</v>
      </c>
      <c r="W454" s="86"/>
      <c r="X454" s="41"/>
      <c r="Y454" s="113"/>
    </row>
    <row r="455" spans="1:25" s="2" customFormat="1">
      <c r="A455" s="58" t="s">
        <v>128</v>
      </c>
      <c r="B455" s="4">
        <v>43713.6875</v>
      </c>
      <c r="C455" s="7" t="s">
        <v>906</v>
      </c>
      <c r="D455" s="59" t="s">
        <v>1004</v>
      </c>
      <c r="E455" s="7" t="s">
        <v>22</v>
      </c>
      <c r="F455" s="37" t="s">
        <v>1005</v>
      </c>
      <c r="G455" s="32">
        <v>61.6</v>
      </c>
      <c r="H455" s="32">
        <v>61.5</v>
      </c>
      <c r="I455">
        <f>表1_4[[#This Row],[主队2]]-表1_4[[#This Row],[客队2]]</f>
        <v>0.100000000000001</v>
      </c>
      <c r="J45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455" s="35" t="s">
        <v>182</v>
      </c>
      <c r="L45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55" s="11"/>
      <c r="N455" s="10" t="s">
        <v>119</v>
      </c>
      <c r="O455" s="10" t="s">
        <v>46</v>
      </c>
      <c r="P455" s="9" t="s">
        <v>161</v>
      </c>
      <c r="Q455" s="11"/>
      <c r="R455"/>
      <c r="S455"/>
      <c r="T455" s="3"/>
      <c r="U455" s="246"/>
      <c r="V455" s="85" t="s">
        <v>1006</v>
      </c>
      <c r="W455" s="71"/>
      <c r="X455" s="41"/>
      <c r="Y455" s="113"/>
    </row>
    <row r="456" spans="1:25" s="2" customFormat="1">
      <c r="A456" s="58" t="s">
        <v>908</v>
      </c>
      <c r="B456" s="4">
        <v>43714</v>
      </c>
      <c r="C456" s="26">
        <v>5</v>
      </c>
      <c r="D456" s="59" t="s">
        <v>287</v>
      </c>
      <c r="E456" s="7" t="s">
        <v>74</v>
      </c>
      <c r="F456" s="260" t="s">
        <v>204</v>
      </c>
      <c r="G456" s="32">
        <v>69.599999999999994</v>
      </c>
      <c r="H456" s="32">
        <v>89</v>
      </c>
      <c r="I456">
        <f>表1_4[[#This Row],[主队2]]-表1_4[[#This Row],[客队2]]</f>
        <v>-19.399999999999999</v>
      </c>
      <c r="J45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456" s="35" t="s">
        <v>666</v>
      </c>
      <c r="L45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56" s="11"/>
      <c r="N456" s="10" t="s">
        <v>133</v>
      </c>
      <c r="O456" s="10" t="s">
        <v>46</v>
      </c>
      <c r="P456" s="9">
        <v>-3</v>
      </c>
      <c r="Q456" s="11"/>
      <c r="R456" t="s">
        <v>852</v>
      </c>
      <c r="S456"/>
      <c r="T456" s="3"/>
      <c r="U456" s="83"/>
      <c r="V456" s="247" t="s">
        <v>1007</v>
      </c>
      <c r="W456" s="71"/>
      <c r="X456" s="41"/>
      <c r="Y456" s="113"/>
    </row>
    <row r="457" spans="1:25" s="2" customFormat="1" ht="28.9">
      <c r="A457" s="58" t="s">
        <v>908</v>
      </c>
      <c r="B457" s="4">
        <v>43714.114583333299</v>
      </c>
      <c r="C457" s="266">
        <v>5</v>
      </c>
      <c r="D457" s="59" t="s">
        <v>191</v>
      </c>
      <c r="E457" s="7" t="s">
        <v>31</v>
      </c>
      <c r="F457" s="37" t="s">
        <v>275</v>
      </c>
      <c r="G457" s="32">
        <v>77.3</v>
      </c>
      <c r="H457" s="32">
        <v>77.5</v>
      </c>
      <c r="I457">
        <f>表1_4[[#This Row],[主队2]]-表1_4[[#This Row],[客队2]]</f>
        <v>-0.20000000000000301</v>
      </c>
      <c r="J45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457" s="35" t="s">
        <v>182</v>
      </c>
      <c r="L45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57" s="11"/>
      <c r="N457" s="10" t="s">
        <v>112</v>
      </c>
      <c r="O457" s="114" t="s">
        <v>35</v>
      </c>
      <c r="P457" s="9">
        <v>11</v>
      </c>
      <c r="Q457" s="11"/>
      <c r="R457"/>
      <c r="S457"/>
      <c r="T457" s="3"/>
      <c r="U457" s="25" t="s">
        <v>1008</v>
      </c>
      <c r="V457" s="84" t="s">
        <v>1009</v>
      </c>
      <c r="W457" s="86"/>
      <c r="X457" s="41"/>
      <c r="Y457" s="113"/>
    </row>
    <row r="458" spans="1:25" s="2" customFormat="1">
      <c r="A458" s="58" t="s">
        <v>908</v>
      </c>
      <c r="B458" s="4">
        <v>43714.114583333299</v>
      </c>
      <c r="C458" s="2">
        <v>5</v>
      </c>
      <c r="D458" s="59" t="s">
        <v>255</v>
      </c>
      <c r="E458" s="7" t="s">
        <v>57</v>
      </c>
      <c r="F458" s="37" t="s">
        <v>437</v>
      </c>
      <c r="G458" s="32">
        <v>83.4</v>
      </c>
      <c r="H458" s="32">
        <v>48.2</v>
      </c>
      <c r="I458">
        <f>表1_4[[#This Row],[主队2]]-表1_4[[#This Row],[客队2]]</f>
        <v>35.200000000000003</v>
      </c>
      <c r="J458" s="35" t="s">
        <v>50</v>
      </c>
      <c r="K458" s="35" t="s">
        <v>56</v>
      </c>
      <c r="L45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58" s="11"/>
      <c r="N458" s="10" t="s">
        <v>112</v>
      </c>
      <c r="O458" s="10" t="s">
        <v>143</v>
      </c>
      <c r="P458" s="9" t="s">
        <v>161</v>
      </c>
      <c r="Q458" s="11"/>
      <c r="R458" t="s">
        <v>852</v>
      </c>
      <c r="S458"/>
      <c r="T458" s="3"/>
      <c r="U458" s="246"/>
      <c r="V458" s="24" t="s">
        <v>1010</v>
      </c>
      <c r="W458" s="86"/>
      <c r="X458" s="41"/>
      <c r="Y458" s="113"/>
    </row>
    <row r="459" spans="1:25" s="2" customFormat="1">
      <c r="A459" s="58" t="s">
        <v>908</v>
      </c>
      <c r="B459" s="4">
        <v>43714.114583333299</v>
      </c>
      <c r="C459" s="7">
        <v>5</v>
      </c>
      <c r="D459" s="59" t="s">
        <v>210</v>
      </c>
      <c r="E459" s="7" t="s">
        <v>36</v>
      </c>
      <c r="F459" s="37" t="s">
        <v>572</v>
      </c>
      <c r="G459" s="32">
        <v>75.5</v>
      </c>
      <c r="H459" s="32">
        <v>71.7</v>
      </c>
      <c r="I459">
        <f>表1_4[[#This Row],[主队2]]-表1_4[[#This Row],[客队2]]</f>
        <v>3.8</v>
      </c>
      <c r="J45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459" s="35" t="s">
        <v>118</v>
      </c>
      <c r="L45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59" s="11"/>
      <c r="N459" s="10" t="s">
        <v>133</v>
      </c>
      <c r="O459" s="10" t="s">
        <v>40</v>
      </c>
      <c r="P459" s="9">
        <v>25</v>
      </c>
      <c r="Q459" s="11"/>
      <c r="R459"/>
      <c r="S459"/>
      <c r="T459" s="3"/>
      <c r="U459" s="83" t="s">
        <v>1011</v>
      </c>
      <c r="V459" s="94" t="s">
        <v>1012</v>
      </c>
      <c r="W459" s="86"/>
      <c r="X459" s="41"/>
      <c r="Y459" s="113"/>
    </row>
    <row r="460" spans="1:25" s="2" customFormat="1">
      <c r="A460" s="58" t="s">
        <v>908</v>
      </c>
      <c r="B460" s="4">
        <v>43714.114583333299</v>
      </c>
      <c r="C460" s="126">
        <v>5</v>
      </c>
      <c r="D460" s="59" t="s">
        <v>305</v>
      </c>
      <c r="E460" s="7" t="s">
        <v>60</v>
      </c>
      <c r="F460" s="37" t="s">
        <v>209</v>
      </c>
      <c r="G460" s="32">
        <v>83.3</v>
      </c>
      <c r="H460" s="32">
        <v>97</v>
      </c>
      <c r="I460">
        <f>表1_4[[#This Row],[主队2]]-表1_4[[#This Row],[客队2]]</f>
        <v>-13.7</v>
      </c>
      <c r="J46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460" s="35" t="s">
        <v>219</v>
      </c>
      <c r="L46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460" s="11"/>
      <c r="N460" s="10" t="s">
        <v>119</v>
      </c>
      <c r="O460" s="10" t="s">
        <v>24</v>
      </c>
      <c r="P460" s="9">
        <v>5</v>
      </c>
      <c r="Q460" s="11"/>
      <c r="R460" t="s">
        <v>852</v>
      </c>
      <c r="S460"/>
      <c r="T460" s="3"/>
      <c r="U460" s="83"/>
      <c r="V460" s="85" t="s">
        <v>1013</v>
      </c>
      <c r="W460" s="86"/>
      <c r="X460" s="41"/>
      <c r="Y460" s="113"/>
    </row>
    <row r="461" spans="1:25" s="2" customFormat="1">
      <c r="A461" s="58" t="s">
        <v>908</v>
      </c>
      <c r="B461" s="68">
        <v>43714.114583333299</v>
      </c>
      <c r="C461" s="26">
        <v>5</v>
      </c>
      <c r="D461" s="59" t="s">
        <v>297</v>
      </c>
      <c r="E461" s="7" t="s">
        <v>22</v>
      </c>
      <c r="F461" s="37" t="s">
        <v>929</v>
      </c>
      <c r="G461" s="32">
        <v>79.5</v>
      </c>
      <c r="H461" s="32">
        <v>56</v>
      </c>
      <c r="I461">
        <f>表1_4[[#This Row],[主队2]]-表1_4[[#This Row],[客队2]]</f>
        <v>23.5</v>
      </c>
      <c r="J461" s="35" t="s">
        <v>23</v>
      </c>
      <c r="K461" s="35" t="s">
        <v>34</v>
      </c>
      <c r="L46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461" s="11" t="s">
        <v>1014</v>
      </c>
      <c r="N461" s="46" t="s">
        <v>112</v>
      </c>
      <c r="O461" s="10" t="s">
        <v>28</v>
      </c>
      <c r="P461" s="9" t="s">
        <v>161</v>
      </c>
      <c r="Q461" s="11"/>
      <c r="R461"/>
      <c r="S461"/>
      <c r="T461" s="3"/>
      <c r="U461" s="246"/>
      <c r="V461" s="247" t="s">
        <v>1015</v>
      </c>
      <c r="W461" s="40"/>
      <c r="X461" s="41"/>
      <c r="Y461" s="113"/>
    </row>
    <row r="462" spans="1:25" s="2" customFormat="1">
      <c r="A462" s="58" t="s">
        <v>908</v>
      </c>
      <c r="B462" s="4">
        <v>43714.114583333299</v>
      </c>
      <c r="C462" s="26">
        <v>5</v>
      </c>
      <c r="D462" s="59" t="s">
        <v>244</v>
      </c>
      <c r="E462" s="7" t="s">
        <v>61</v>
      </c>
      <c r="F462" s="37" t="s">
        <v>239</v>
      </c>
      <c r="G462" s="32">
        <v>56.5</v>
      </c>
      <c r="H462" s="32">
        <v>86</v>
      </c>
      <c r="I462">
        <f>表1_4[[#This Row],[主队2]]-表1_4[[#This Row],[客队2]]</f>
        <v>-29.5</v>
      </c>
      <c r="J462" s="35" t="s">
        <v>1016</v>
      </c>
      <c r="K462" s="35" t="s">
        <v>666</v>
      </c>
      <c r="L46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462" s="11"/>
      <c r="N462" s="10" t="s">
        <v>119</v>
      </c>
      <c r="O462" s="10" t="s">
        <v>28</v>
      </c>
      <c r="P462" s="9" t="s">
        <v>161</v>
      </c>
      <c r="Q462" s="11"/>
      <c r="R462" t="s">
        <v>852</v>
      </c>
      <c r="S462"/>
      <c r="T462" s="3"/>
      <c r="U462" s="246"/>
      <c r="V462" s="24" t="s">
        <v>1017</v>
      </c>
      <c r="W462" s="244"/>
      <c r="X462" s="41"/>
      <c r="Y462" s="113"/>
    </row>
    <row r="463" spans="1:25" s="2" customFormat="1">
      <c r="A463" s="58" t="s">
        <v>908</v>
      </c>
      <c r="B463" s="4">
        <v>43714.114583333299</v>
      </c>
      <c r="C463" s="2">
        <v>5</v>
      </c>
      <c r="D463" s="59" t="s">
        <v>199</v>
      </c>
      <c r="E463" s="7" t="s">
        <v>36</v>
      </c>
      <c r="F463" s="37" t="s">
        <v>250</v>
      </c>
      <c r="G463" s="32">
        <v>81.099999999999994</v>
      </c>
      <c r="H463" s="32">
        <v>88.3</v>
      </c>
      <c r="I463">
        <f>表1_4[[#This Row],[主队2]]-表1_4[[#This Row],[客队2]]</f>
        <v>-7.2</v>
      </c>
      <c r="J46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463" s="35" t="s">
        <v>152</v>
      </c>
      <c r="L46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63" s="11"/>
      <c r="N463" s="10" t="s">
        <v>112</v>
      </c>
      <c r="O463" s="10" t="s">
        <v>35</v>
      </c>
      <c r="P463" s="9">
        <v>17</v>
      </c>
      <c r="Q463" s="11"/>
      <c r="R463" t="s">
        <v>855</v>
      </c>
      <c r="S463"/>
      <c r="T463" s="3"/>
      <c r="U463" s="25" t="s">
        <v>1018</v>
      </c>
      <c r="V463" s="84" t="s">
        <v>1019</v>
      </c>
      <c r="W463" s="86"/>
      <c r="X463" s="41"/>
      <c r="Y463" s="113"/>
    </row>
    <row r="464" spans="1:25" s="2" customFormat="1">
      <c r="A464" s="58" t="s">
        <v>908</v>
      </c>
      <c r="B464" s="4">
        <v>43714.114583333299</v>
      </c>
      <c r="C464" s="2">
        <v>5</v>
      </c>
      <c r="D464" s="59" t="s">
        <v>256</v>
      </c>
      <c r="E464" s="49" t="s">
        <v>283</v>
      </c>
      <c r="F464" s="37" t="s">
        <v>306</v>
      </c>
      <c r="G464" s="32">
        <v>40.1</v>
      </c>
      <c r="H464" s="32">
        <v>86.7</v>
      </c>
      <c r="I464">
        <f>表1_4[[#This Row],[主队2]]-表1_4[[#This Row],[客队2]]</f>
        <v>-46.6</v>
      </c>
      <c r="J464" s="35" t="s">
        <v>1020</v>
      </c>
      <c r="K464" s="35" t="s">
        <v>1021</v>
      </c>
      <c r="L46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464" s="11"/>
      <c r="N464" s="10" t="s">
        <v>119</v>
      </c>
      <c r="O464" s="10" t="s">
        <v>40</v>
      </c>
      <c r="P464" s="9" t="s">
        <v>161</v>
      </c>
      <c r="Q464" s="11"/>
      <c r="R464" t="s">
        <v>852</v>
      </c>
      <c r="S464"/>
      <c r="T464" s="3"/>
      <c r="U464" s="246" t="s">
        <v>1022</v>
      </c>
      <c r="V464" s="24" t="s">
        <v>1023</v>
      </c>
      <c r="W464" s="86"/>
      <c r="X464" s="41"/>
      <c r="Y464" s="113"/>
    </row>
    <row r="465" spans="1:25" s="2" customFormat="1">
      <c r="A465" s="58" t="s">
        <v>908</v>
      </c>
      <c r="B465" s="4">
        <v>43715</v>
      </c>
      <c r="C465" s="115">
        <v>5</v>
      </c>
      <c r="D465" s="59" t="s">
        <v>407</v>
      </c>
      <c r="E465" s="7" t="s">
        <v>36</v>
      </c>
      <c r="F465" s="37" t="s">
        <v>288</v>
      </c>
      <c r="G465" s="32">
        <v>66.7</v>
      </c>
      <c r="H465" s="32">
        <v>65.2</v>
      </c>
      <c r="I465">
        <f>表1_4[[#This Row],[主队2]]-表1_4[[#This Row],[客队2]]</f>
        <v>1.5</v>
      </c>
      <c r="J46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465" s="35" t="s">
        <v>182</v>
      </c>
      <c r="L46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65" s="11"/>
      <c r="N465" s="10" t="s">
        <v>119</v>
      </c>
      <c r="O465" s="10" t="s">
        <v>24</v>
      </c>
      <c r="P465" s="9" t="s">
        <v>161</v>
      </c>
      <c r="Q465" s="11"/>
      <c r="R465"/>
      <c r="S465"/>
      <c r="T465" s="3"/>
      <c r="U465" s="25"/>
      <c r="V465" s="247" t="s">
        <v>1024</v>
      </c>
      <c r="W465" s="86"/>
      <c r="X465" s="41"/>
      <c r="Y465" s="113"/>
    </row>
    <row r="466" spans="1:25" s="2" customFormat="1">
      <c r="A466" s="58" t="s">
        <v>908</v>
      </c>
      <c r="B466" s="4">
        <v>43715.114583333299</v>
      </c>
      <c r="C466" s="7">
        <v>5</v>
      </c>
      <c r="D466" s="59" t="s">
        <v>282</v>
      </c>
      <c r="E466" s="7" t="s">
        <v>61</v>
      </c>
      <c r="F466" s="37" t="s">
        <v>274</v>
      </c>
      <c r="G466" s="32">
        <v>30.3</v>
      </c>
      <c r="H466" s="32">
        <v>94.1</v>
      </c>
      <c r="I466">
        <f>表1_4[[#This Row],[主队2]]-表1_4[[#This Row],[客队2]]</f>
        <v>-63.8</v>
      </c>
      <c r="J466" s="35" t="s">
        <v>1025</v>
      </c>
      <c r="K466" s="35" t="s">
        <v>1026</v>
      </c>
      <c r="L46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66" s="11"/>
      <c r="N466" s="10" t="s">
        <v>112</v>
      </c>
      <c r="O466" s="10" t="s">
        <v>40</v>
      </c>
      <c r="P466" s="9" t="s">
        <v>161</v>
      </c>
      <c r="Q466" s="11"/>
      <c r="R466"/>
      <c r="S466"/>
      <c r="T466" s="3"/>
      <c r="U466" s="25" t="s">
        <v>1027</v>
      </c>
      <c r="V466" s="24" t="s">
        <v>1028</v>
      </c>
      <c r="W466" s="268"/>
      <c r="X466" s="269"/>
      <c r="Y466" s="113"/>
    </row>
    <row r="467" spans="1:25" s="2" customFormat="1">
      <c r="A467" s="58" t="s">
        <v>908</v>
      </c>
      <c r="B467" s="4">
        <v>43715.114583333299</v>
      </c>
      <c r="C467" s="7">
        <v>5</v>
      </c>
      <c r="D467" s="59" t="s">
        <v>123</v>
      </c>
      <c r="E467" s="7" t="s">
        <v>60</v>
      </c>
      <c r="F467" s="37" t="s">
        <v>353</v>
      </c>
      <c r="G467" s="32">
        <v>78.7</v>
      </c>
      <c r="H467" s="32">
        <v>85.4</v>
      </c>
      <c r="I467">
        <f>表1_4[[#This Row],[主队2]]-表1_4[[#This Row],[客队2]]</f>
        <v>-6.7</v>
      </c>
      <c r="J46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467" s="35" t="s">
        <v>166</v>
      </c>
      <c r="L46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467" s="11"/>
      <c r="N467" s="10" t="s">
        <v>112</v>
      </c>
      <c r="O467" s="46" t="s">
        <v>35</v>
      </c>
      <c r="P467" s="9">
        <v>8</v>
      </c>
      <c r="Q467" s="11"/>
      <c r="R467"/>
      <c r="S467"/>
      <c r="T467" s="3"/>
      <c r="U467" s="270" t="s">
        <v>1029</v>
      </c>
      <c r="V467" s="24" t="s">
        <v>1030</v>
      </c>
      <c r="W467" s="86"/>
      <c r="X467" s="41"/>
      <c r="Y467" s="113"/>
    </row>
    <row r="468" spans="1:25" s="2" customFormat="1">
      <c r="A468" s="58" t="s">
        <v>908</v>
      </c>
      <c r="B468" s="4">
        <v>43715.114583333299</v>
      </c>
      <c r="C468" s="7">
        <v>5</v>
      </c>
      <c r="D468" s="59" t="s">
        <v>309</v>
      </c>
      <c r="E468" s="7" t="s">
        <v>22</v>
      </c>
      <c r="F468" s="37" t="s">
        <v>302</v>
      </c>
      <c r="G468" s="32">
        <v>77.7</v>
      </c>
      <c r="H468" s="32">
        <v>85.4</v>
      </c>
      <c r="I468">
        <f>表1_4[[#This Row],[主队2]]-表1_4[[#This Row],[客队2]]</f>
        <v>-7.7</v>
      </c>
      <c r="J46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468" s="35" t="s">
        <v>152</v>
      </c>
      <c r="L46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68" s="11"/>
      <c r="N468" s="10" t="s">
        <v>119</v>
      </c>
      <c r="O468" s="57" t="s">
        <v>24</v>
      </c>
      <c r="P468" s="9">
        <v>14</v>
      </c>
      <c r="Q468" s="11"/>
      <c r="R468"/>
      <c r="S468"/>
      <c r="T468" s="3"/>
      <c r="U468" s="246"/>
      <c r="V468" s="247" t="s">
        <v>1031</v>
      </c>
      <c r="W468" s="244"/>
      <c r="X468" s="41"/>
      <c r="Y468" s="113"/>
    </row>
    <row r="469" spans="1:25" s="2" customFormat="1">
      <c r="A469" s="58" t="s">
        <v>908</v>
      </c>
      <c r="B469" s="4">
        <v>43715.114583333299</v>
      </c>
      <c r="C469" s="7">
        <v>5</v>
      </c>
      <c r="D469" s="59" t="s">
        <v>194</v>
      </c>
      <c r="E469" s="7" t="s">
        <v>55</v>
      </c>
      <c r="F469" s="37" t="s">
        <v>251</v>
      </c>
      <c r="G469" s="32">
        <v>80.5</v>
      </c>
      <c r="H469" s="32">
        <v>62.6</v>
      </c>
      <c r="I469">
        <f>表1_4[[#This Row],[主队2]]-表1_4[[#This Row],[客队2]]</f>
        <v>17.899999999999999</v>
      </c>
      <c r="J46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469" s="35" t="s">
        <v>23</v>
      </c>
      <c r="L46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469" s="11" t="s">
        <v>1032</v>
      </c>
      <c r="N469" s="10" t="s">
        <v>160</v>
      </c>
      <c r="O469" s="10" t="s">
        <v>46</v>
      </c>
      <c r="P469" s="9" t="s">
        <v>161</v>
      </c>
      <c r="Q469" s="11"/>
      <c r="R469"/>
      <c r="S469"/>
      <c r="T469" s="3"/>
      <c r="U469" s="83"/>
      <c r="V469" s="84" t="s">
        <v>1033</v>
      </c>
      <c r="W469" s="86"/>
      <c r="X469" s="41"/>
      <c r="Y469" s="113"/>
    </row>
    <row r="470" spans="1:25" s="2" customFormat="1">
      <c r="A470" s="58" t="s">
        <v>908</v>
      </c>
      <c r="B470" s="4">
        <v>43715.114583333299</v>
      </c>
      <c r="C470" s="2">
        <v>5</v>
      </c>
      <c r="D470" s="59" t="s">
        <v>200</v>
      </c>
      <c r="E470" s="7" t="s">
        <v>33</v>
      </c>
      <c r="F470" s="37" t="s">
        <v>278</v>
      </c>
      <c r="G470" s="32">
        <v>80</v>
      </c>
      <c r="H470" s="32">
        <v>63.8</v>
      </c>
      <c r="I470">
        <f>表1_4[[#This Row],[主队2]]-表1_4[[#This Row],[客队2]]</f>
        <v>16.2</v>
      </c>
      <c r="J47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470" s="35" t="s">
        <v>81</v>
      </c>
      <c r="L47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70" s="63" t="s">
        <v>1034</v>
      </c>
      <c r="N470" s="46" t="s">
        <v>112</v>
      </c>
      <c r="O470" s="46" t="s">
        <v>35</v>
      </c>
      <c r="P470" s="9" t="s">
        <v>161</v>
      </c>
      <c r="Q470" s="11"/>
      <c r="R470"/>
      <c r="S470"/>
      <c r="T470" s="3"/>
      <c r="U470" s="257" t="s">
        <v>1035</v>
      </c>
      <c r="V470" s="247" t="s">
        <v>1036</v>
      </c>
      <c r="W470" s="38"/>
      <c r="X470" s="41"/>
      <c r="Y470" s="113"/>
    </row>
    <row r="471" spans="1:25" s="2" customFormat="1">
      <c r="A471" s="58" t="s">
        <v>908</v>
      </c>
      <c r="B471" s="4">
        <v>43715.114583333299</v>
      </c>
      <c r="C471" s="2">
        <v>5</v>
      </c>
      <c r="D471" s="59" t="s">
        <v>425</v>
      </c>
      <c r="E471" s="7" t="s">
        <v>61</v>
      </c>
      <c r="F471" s="37" t="s">
        <v>110</v>
      </c>
      <c r="G471" s="32">
        <v>83.6</v>
      </c>
      <c r="H471" s="32">
        <v>87.7</v>
      </c>
      <c r="I471">
        <f>表1_4[[#This Row],[主队2]]-表1_4[[#This Row],[客队2]]</f>
        <v>-4.1000000000000103</v>
      </c>
      <c r="J47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471" s="35" t="s">
        <v>132</v>
      </c>
      <c r="L47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471" s="11"/>
      <c r="N471" s="10" t="s">
        <v>133</v>
      </c>
      <c r="O471" s="10" t="s">
        <v>48</v>
      </c>
      <c r="P471" s="9">
        <v>9</v>
      </c>
      <c r="Q471" s="11"/>
      <c r="R471" t="s">
        <v>855</v>
      </c>
      <c r="S471"/>
      <c r="T471" s="3"/>
      <c r="U471" s="83" t="s">
        <v>629</v>
      </c>
      <c r="V471" s="94" t="s">
        <v>1037</v>
      </c>
      <c r="W471" s="86"/>
      <c r="X471" s="41"/>
      <c r="Y471" s="113"/>
    </row>
    <row r="472" spans="1:25" s="2" customFormat="1">
      <c r="A472" s="58" t="s">
        <v>908</v>
      </c>
      <c r="B472" s="4">
        <v>43715</v>
      </c>
      <c r="C472" s="115">
        <v>5</v>
      </c>
      <c r="D472" s="70" t="s">
        <v>403</v>
      </c>
      <c r="E472" s="7" t="s">
        <v>60</v>
      </c>
      <c r="F472" s="37" t="s">
        <v>240</v>
      </c>
      <c r="G472" s="32">
        <v>67.3</v>
      </c>
      <c r="H472" s="32">
        <v>72.3</v>
      </c>
      <c r="I472">
        <f>表1_4[[#This Row],[主队2]]-表1_4[[#This Row],[客队2]]</f>
        <v>-5</v>
      </c>
      <c r="J47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472" s="35" t="s">
        <v>152</v>
      </c>
      <c r="L47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72" s="11"/>
      <c r="N472" s="10" t="s">
        <v>119</v>
      </c>
      <c r="O472" s="10" t="s">
        <v>65</v>
      </c>
      <c r="P472" s="9">
        <v>7</v>
      </c>
      <c r="Q472" s="11"/>
      <c r="R472" t="s">
        <v>855</v>
      </c>
      <c r="S472"/>
      <c r="T472" s="3"/>
      <c r="U472" s="83"/>
      <c r="V472" s="85" t="s">
        <v>930</v>
      </c>
      <c r="W472" s="86"/>
      <c r="X472" s="41"/>
      <c r="Y472" s="113"/>
    </row>
    <row r="473" spans="1:25" s="2" customFormat="1">
      <c r="A473" s="58" t="s">
        <v>908</v>
      </c>
      <c r="B473" s="4">
        <v>43715.114583333299</v>
      </c>
      <c r="C473" s="7">
        <v>5</v>
      </c>
      <c r="D473" s="59" t="s">
        <v>116</v>
      </c>
      <c r="E473" s="7" t="s">
        <v>78</v>
      </c>
      <c r="F473" s="37" t="s">
        <v>262</v>
      </c>
      <c r="G473" s="32">
        <v>97.3</v>
      </c>
      <c r="H473" s="32">
        <v>91.6</v>
      </c>
      <c r="I473">
        <f>表1_4[[#This Row],[主队2]]-表1_4[[#This Row],[客队2]]</f>
        <v>5.7</v>
      </c>
      <c r="J47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473" s="35" t="s">
        <v>289</v>
      </c>
      <c r="L47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73" s="11"/>
      <c r="N473" s="10" t="s">
        <v>119</v>
      </c>
      <c r="O473" s="10" t="s">
        <v>40</v>
      </c>
      <c r="P473" s="9">
        <v>0.1</v>
      </c>
      <c r="Q473" s="11"/>
      <c r="R473"/>
      <c r="S473"/>
      <c r="T473" s="3"/>
      <c r="U473" s="246" t="s">
        <v>126</v>
      </c>
      <c r="V473" s="247" t="s">
        <v>1038</v>
      </c>
      <c r="W473" s="86"/>
      <c r="X473" s="41"/>
      <c r="Y473" s="113"/>
    </row>
    <row r="474" spans="1:25" s="2" customFormat="1">
      <c r="A474" s="58" t="s">
        <v>908</v>
      </c>
      <c r="B474" s="4">
        <v>43715.875</v>
      </c>
      <c r="C474" s="7">
        <v>5</v>
      </c>
      <c r="D474" s="59" t="s">
        <v>217</v>
      </c>
      <c r="E474" s="7" t="s">
        <v>33</v>
      </c>
      <c r="F474" s="37" t="s">
        <v>284</v>
      </c>
      <c r="G474" s="32">
        <v>67.8</v>
      </c>
      <c r="H474" s="32">
        <v>82.9</v>
      </c>
      <c r="I474">
        <f>表1_4[[#This Row],[主队2]]-表1_4[[#This Row],[客队2]]</f>
        <v>-15.1</v>
      </c>
      <c r="J47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474" s="35" t="s">
        <v>152</v>
      </c>
      <c r="L47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474" s="11"/>
      <c r="N474" s="10" t="s">
        <v>119</v>
      </c>
      <c r="O474" s="10" t="s">
        <v>28</v>
      </c>
      <c r="P474" s="9" t="s">
        <v>161</v>
      </c>
      <c r="Q474" s="11"/>
      <c r="R474"/>
      <c r="S474"/>
      <c r="T474" s="3"/>
      <c r="U474" s="83"/>
      <c r="V474" s="85" t="s">
        <v>930</v>
      </c>
      <c r="W474" s="86"/>
      <c r="X474" s="41"/>
      <c r="Y474" s="113"/>
    </row>
    <row r="475" spans="1:25" s="2" customFormat="1" ht="28.9">
      <c r="A475" s="58" t="s">
        <v>908</v>
      </c>
      <c r="B475" s="4">
        <v>43716</v>
      </c>
      <c r="C475" s="26">
        <v>5</v>
      </c>
      <c r="D475" s="59" t="s">
        <v>117</v>
      </c>
      <c r="E475" s="7" t="s">
        <v>37</v>
      </c>
      <c r="F475" s="37" t="s">
        <v>261</v>
      </c>
      <c r="G475" s="32">
        <v>93.9</v>
      </c>
      <c r="H475" s="32">
        <v>74</v>
      </c>
      <c r="I475">
        <f>表1_4[[#This Row],[主队2]]-表1_4[[#This Row],[客队2]]</f>
        <v>19.899999999999999</v>
      </c>
      <c r="J47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475" s="35" t="s">
        <v>23</v>
      </c>
      <c r="L47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475" s="11"/>
      <c r="N475" s="10" t="s">
        <v>119</v>
      </c>
      <c r="O475" s="114" t="s">
        <v>40</v>
      </c>
      <c r="P475" s="9" t="s">
        <v>161</v>
      </c>
      <c r="Q475" s="11"/>
      <c r="R475" t="s">
        <v>852</v>
      </c>
      <c r="S475"/>
      <c r="T475" s="3"/>
      <c r="U475" s="25" t="s">
        <v>371</v>
      </c>
      <c r="V475" s="24" t="s">
        <v>1039</v>
      </c>
      <c r="W475" s="86"/>
      <c r="X475" s="41"/>
      <c r="Y475" s="113"/>
    </row>
    <row r="476" spans="1:25" s="2" customFormat="1">
      <c r="A476" s="58" t="s">
        <v>908</v>
      </c>
      <c r="B476" s="4">
        <v>43716</v>
      </c>
      <c r="C476" s="26">
        <v>5</v>
      </c>
      <c r="D476" s="59" t="s">
        <v>292</v>
      </c>
      <c r="E476" s="7" t="s">
        <v>64</v>
      </c>
      <c r="F476" s="37" t="s">
        <v>214</v>
      </c>
      <c r="G476" s="32">
        <v>63.2</v>
      </c>
      <c r="H476" s="32">
        <v>83.7</v>
      </c>
      <c r="I476">
        <f>表1_4[[#This Row],[主队2]]-表1_4[[#This Row],[客队2]]</f>
        <v>-20.5</v>
      </c>
      <c r="J476" s="35" t="s">
        <v>666</v>
      </c>
      <c r="K476" s="35" t="s">
        <v>219</v>
      </c>
      <c r="L47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476" s="11"/>
      <c r="N476" s="10" t="s">
        <v>112</v>
      </c>
      <c r="O476" s="10" t="s">
        <v>35</v>
      </c>
      <c r="P476" s="9">
        <v>-4</v>
      </c>
      <c r="Q476" s="11"/>
      <c r="R476" t="s">
        <v>852</v>
      </c>
      <c r="S476"/>
      <c r="T476" s="3"/>
      <c r="U476" s="25" t="s">
        <v>1040</v>
      </c>
      <c r="V476" s="84" t="s">
        <v>1041</v>
      </c>
      <c r="W476" s="86"/>
      <c r="X476" s="41"/>
      <c r="Y476" s="113"/>
    </row>
    <row r="477" spans="1:25" s="2" customFormat="1">
      <c r="A477" s="58" t="s">
        <v>908</v>
      </c>
      <c r="B477" s="4">
        <v>43716.114583333299</v>
      </c>
      <c r="C477" s="2">
        <v>5</v>
      </c>
      <c r="D477" s="59" t="s">
        <v>434</v>
      </c>
      <c r="E477" s="7" t="s">
        <v>78</v>
      </c>
      <c r="F477" s="37" t="s">
        <v>270</v>
      </c>
      <c r="G477" s="32">
        <v>85.1</v>
      </c>
      <c r="H477" s="32">
        <v>92.1</v>
      </c>
      <c r="I477">
        <f>表1_4[[#This Row],[主队2]]-表1_4[[#This Row],[客队2]]</f>
        <v>-7</v>
      </c>
      <c r="J47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477" s="35" t="s">
        <v>152</v>
      </c>
      <c r="L47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77" s="11"/>
      <c r="N477" s="10" t="s">
        <v>119</v>
      </c>
      <c r="O477" s="10" t="s">
        <v>46</v>
      </c>
      <c r="P477" s="9">
        <v>19</v>
      </c>
      <c r="Q477" s="11"/>
      <c r="R477" t="s">
        <v>852</v>
      </c>
      <c r="S477"/>
      <c r="T477" s="3"/>
      <c r="U477" s="246"/>
      <c r="V477" s="251" t="s">
        <v>1042</v>
      </c>
      <c r="W477" s="86"/>
      <c r="X477" s="41"/>
      <c r="Y477" s="113"/>
    </row>
    <row r="478" spans="1:25" s="2" customFormat="1">
      <c r="A478" s="58" t="s">
        <v>908</v>
      </c>
      <c r="B478" s="4">
        <v>43716</v>
      </c>
      <c r="C478" s="26">
        <v>5</v>
      </c>
      <c r="D478" s="59" t="s">
        <v>218</v>
      </c>
      <c r="E478" s="7" t="s">
        <v>44</v>
      </c>
      <c r="F478" s="37" t="s">
        <v>195</v>
      </c>
      <c r="G478" s="32">
        <v>79</v>
      </c>
      <c r="H478" s="32">
        <v>61.9</v>
      </c>
      <c r="I478">
        <f>表1_4[[#This Row],[主队2]]-表1_4[[#This Row],[客队2]]</f>
        <v>17.100000000000001</v>
      </c>
      <c r="J47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478" s="35" t="s">
        <v>81</v>
      </c>
      <c r="L47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478" s="11"/>
      <c r="N478" s="10" t="s">
        <v>119</v>
      </c>
      <c r="O478" s="10" t="s">
        <v>40</v>
      </c>
      <c r="P478" s="9" t="s">
        <v>161</v>
      </c>
      <c r="Q478" s="11"/>
      <c r="R478" t="s">
        <v>852</v>
      </c>
      <c r="S478"/>
      <c r="T478" s="3"/>
      <c r="U478" s="246" t="s">
        <v>1043</v>
      </c>
      <c r="V478" s="247" t="s">
        <v>1044</v>
      </c>
      <c r="W478" s="38"/>
      <c r="X478" s="41"/>
      <c r="Y478" s="113"/>
    </row>
    <row r="479" spans="1:25" s="2" customFormat="1">
      <c r="A479" s="58" t="s">
        <v>908</v>
      </c>
      <c r="B479" s="68">
        <v>43716.114583333299</v>
      </c>
      <c r="C479" s="26">
        <v>5</v>
      </c>
      <c r="D479" s="59" t="s">
        <v>190</v>
      </c>
      <c r="E479" s="7" t="s">
        <v>31</v>
      </c>
      <c r="F479" s="37" t="s">
        <v>243</v>
      </c>
      <c r="G479" s="32">
        <v>83.4</v>
      </c>
      <c r="H479" s="32">
        <v>46.7</v>
      </c>
      <c r="I479">
        <f>表1_4[[#This Row],[主队2]]-表1_4[[#This Row],[客队2]]</f>
        <v>36.700000000000003</v>
      </c>
      <c r="J479" s="35" t="s">
        <v>59</v>
      </c>
      <c r="K479" s="35" t="s">
        <v>34</v>
      </c>
      <c r="L47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479" s="63" t="s">
        <v>1045</v>
      </c>
      <c r="N479" s="46" t="s">
        <v>1046</v>
      </c>
      <c r="O479" s="10" t="s">
        <v>35</v>
      </c>
      <c r="P479" s="9" t="s">
        <v>161</v>
      </c>
      <c r="Q479" s="11"/>
      <c r="R479" t="s">
        <v>855</v>
      </c>
      <c r="S479"/>
      <c r="T479" s="3"/>
      <c r="U479" s="25" t="s">
        <v>1047</v>
      </c>
      <c r="V479" s="24" t="s">
        <v>1048</v>
      </c>
      <c r="W479" s="86"/>
      <c r="X479" s="41"/>
      <c r="Y479" s="113"/>
    </row>
    <row r="480" spans="1:25" s="2" customFormat="1">
      <c r="A480" s="58" t="s">
        <v>908</v>
      </c>
      <c r="B480" s="4">
        <v>43716.114583333299</v>
      </c>
      <c r="C480" s="26">
        <v>5</v>
      </c>
      <c r="D480" s="59" t="s">
        <v>267</v>
      </c>
      <c r="E480" s="7" t="s">
        <v>43</v>
      </c>
      <c r="F480" s="37" t="s">
        <v>205</v>
      </c>
      <c r="G480" s="32">
        <v>96.1</v>
      </c>
      <c r="H480" s="32">
        <v>71.7</v>
      </c>
      <c r="I480">
        <f>表1_4[[#This Row],[主队2]]-表1_4[[#This Row],[客队2]]</f>
        <v>24.4</v>
      </c>
      <c r="J480" s="35" t="s">
        <v>30</v>
      </c>
      <c r="K480" s="35" t="s">
        <v>23</v>
      </c>
      <c r="L48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80" s="11"/>
      <c r="N480" s="10" t="s">
        <v>404</v>
      </c>
      <c r="O480" s="10" t="s">
        <v>28</v>
      </c>
      <c r="P480" s="9" t="s">
        <v>161</v>
      </c>
      <c r="Q480" s="11"/>
      <c r="R480" t="s">
        <v>852</v>
      </c>
      <c r="S480"/>
      <c r="T480" s="3"/>
      <c r="U480" s="246"/>
      <c r="V480" s="85" t="s">
        <v>1049</v>
      </c>
      <c r="W480" s="86"/>
      <c r="X480" s="41"/>
      <c r="Y480" s="113"/>
    </row>
    <row r="481" spans="1:25" s="2" customFormat="1" ht="28.9">
      <c r="A481" s="58" t="s">
        <v>908</v>
      </c>
      <c r="B481" s="125">
        <v>43716.875</v>
      </c>
      <c r="C481" s="115" t="s">
        <v>1050</v>
      </c>
      <c r="D481" s="59" t="s">
        <v>287</v>
      </c>
      <c r="E481" s="7" t="s">
        <v>54</v>
      </c>
      <c r="F481" s="37" t="s">
        <v>255</v>
      </c>
      <c r="G481" s="32">
        <v>69.7</v>
      </c>
      <c r="H481" s="32">
        <v>83.4</v>
      </c>
      <c r="I481">
        <f>表1_4[[#This Row],[主队2]]-表1_4[[#This Row],[客队2]]</f>
        <v>-13.7</v>
      </c>
      <c r="J48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481" s="35" t="s">
        <v>132</v>
      </c>
      <c r="L48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481" s="11"/>
      <c r="N481" s="10" t="s">
        <v>112</v>
      </c>
      <c r="O481" s="114" t="s">
        <v>24</v>
      </c>
      <c r="P481" s="9">
        <v>26</v>
      </c>
      <c r="Q481" s="11"/>
      <c r="R481"/>
      <c r="S481"/>
      <c r="T481" s="3"/>
      <c r="U481" s="246"/>
      <c r="V481" s="247" t="s">
        <v>1031</v>
      </c>
      <c r="W481" s="244"/>
      <c r="X481" s="41"/>
      <c r="Y481" s="113"/>
    </row>
    <row r="482" spans="1:25" s="2" customFormat="1">
      <c r="A482" s="58" t="s">
        <v>908</v>
      </c>
      <c r="B482" s="127">
        <v>43717.114583333299</v>
      </c>
      <c r="C482" s="26" t="s">
        <v>1050</v>
      </c>
      <c r="D482" s="59" t="s">
        <v>275</v>
      </c>
      <c r="E482" s="7" t="s">
        <v>36</v>
      </c>
      <c r="F482" s="37" t="s">
        <v>437</v>
      </c>
      <c r="G482" s="32">
        <v>77.2</v>
      </c>
      <c r="H482" s="32">
        <v>48.1</v>
      </c>
      <c r="I482">
        <f>表1_4[[#This Row],[主队2]]-表1_4[[#This Row],[客队2]]</f>
        <v>29.1</v>
      </c>
      <c r="J482" s="35" t="s">
        <v>38</v>
      </c>
      <c r="K482" s="35" t="s">
        <v>34</v>
      </c>
      <c r="L48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82" s="128" t="s">
        <v>1051</v>
      </c>
      <c r="N482" s="10" t="s">
        <v>133</v>
      </c>
      <c r="O482" s="10" t="s">
        <v>143</v>
      </c>
      <c r="P482" s="9" t="s">
        <v>161</v>
      </c>
      <c r="Q482" s="66"/>
      <c r="R482" t="s">
        <v>855</v>
      </c>
      <c r="S482"/>
      <c r="T482" s="3"/>
      <c r="U482" s="25"/>
      <c r="V482" s="24" t="s">
        <v>1052</v>
      </c>
      <c r="W482" s="86"/>
      <c r="X482" s="41"/>
      <c r="Y482" s="113"/>
    </row>
    <row r="483" spans="1:25" s="2" customFormat="1">
      <c r="A483" s="58" t="s">
        <v>908</v>
      </c>
      <c r="B483" s="125">
        <v>43717.114583333299</v>
      </c>
      <c r="C483" s="26" t="s">
        <v>1050</v>
      </c>
      <c r="D483" s="59" t="s">
        <v>191</v>
      </c>
      <c r="E483" s="7" t="s">
        <v>60</v>
      </c>
      <c r="F483" s="260" t="s">
        <v>204</v>
      </c>
      <c r="G483" s="32">
        <v>77.599999999999994</v>
      </c>
      <c r="H483" s="32">
        <v>88.8</v>
      </c>
      <c r="I483">
        <f>表1_4[[#This Row],[主队2]]-表1_4[[#This Row],[客队2]]</f>
        <v>-11.2</v>
      </c>
      <c r="J48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483" s="35" t="s">
        <v>111</v>
      </c>
      <c r="L48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83" s="11"/>
      <c r="N483" s="10" t="s">
        <v>119</v>
      </c>
      <c r="O483" s="10" t="s">
        <v>143</v>
      </c>
      <c r="P483" s="9">
        <v>18</v>
      </c>
      <c r="Q483" s="11"/>
      <c r="R483" t="s">
        <v>852</v>
      </c>
      <c r="S483"/>
      <c r="T483" s="3"/>
      <c r="U483" s="246"/>
      <c r="V483" s="247" t="s">
        <v>1053</v>
      </c>
      <c r="W483" s="244"/>
      <c r="X483" s="41"/>
      <c r="Y483" s="113"/>
    </row>
    <row r="484" spans="1:25" s="2" customFormat="1" ht="28.9">
      <c r="A484" s="58" t="s">
        <v>908</v>
      </c>
      <c r="B484" s="68">
        <v>43717</v>
      </c>
      <c r="C484" s="26" t="s">
        <v>1050</v>
      </c>
      <c r="D484" s="59" t="s">
        <v>305</v>
      </c>
      <c r="E484" s="7" t="s">
        <v>31</v>
      </c>
      <c r="F484" s="37" t="s">
        <v>929</v>
      </c>
      <c r="G484" s="32">
        <v>82.7</v>
      </c>
      <c r="H484" s="32">
        <v>56.3</v>
      </c>
      <c r="I484">
        <f>表1_4[[#This Row],[主队2]]-表1_4[[#This Row],[客队2]]</f>
        <v>26.4</v>
      </c>
      <c r="J484" s="35" t="s">
        <v>34</v>
      </c>
      <c r="K484" s="35" t="s">
        <v>30</v>
      </c>
      <c r="L48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84" s="63" t="s">
        <v>1054</v>
      </c>
      <c r="N484" s="10" t="s">
        <v>160</v>
      </c>
      <c r="O484" s="114" t="s">
        <v>40</v>
      </c>
      <c r="P484" s="9" t="s">
        <v>161</v>
      </c>
      <c r="Q484" s="11"/>
      <c r="R484" t="s">
        <v>855</v>
      </c>
      <c r="S484"/>
      <c r="T484" s="3"/>
      <c r="U484" s="246" t="s">
        <v>126</v>
      </c>
      <c r="V484" s="251" t="s">
        <v>645</v>
      </c>
      <c r="W484" s="86"/>
      <c r="X484" s="41"/>
      <c r="Y484" s="113"/>
    </row>
    <row r="485" spans="1:25" s="2" customFormat="1">
      <c r="A485" s="58" t="s">
        <v>908</v>
      </c>
      <c r="B485" s="4">
        <v>43717.114583333299</v>
      </c>
      <c r="C485" s="2" t="s">
        <v>1050</v>
      </c>
      <c r="D485" s="59" t="s">
        <v>239</v>
      </c>
      <c r="E485" s="7" t="s">
        <v>36</v>
      </c>
      <c r="F485" s="37" t="s">
        <v>297</v>
      </c>
      <c r="G485" s="32">
        <v>86.8</v>
      </c>
      <c r="H485" s="32">
        <v>79.2</v>
      </c>
      <c r="I485">
        <f>表1_4[[#This Row],[主队2]]-表1_4[[#This Row],[客队2]]</f>
        <v>7.5999999999999899</v>
      </c>
      <c r="J48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485" s="35" t="s">
        <v>289</v>
      </c>
      <c r="L48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485" s="11"/>
      <c r="N485" s="10" t="s">
        <v>119</v>
      </c>
      <c r="O485" s="10" t="s">
        <v>143</v>
      </c>
      <c r="P485" s="9">
        <v>19</v>
      </c>
      <c r="Q485" s="11"/>
      <c r="R485" t="s">
        <v>855</v>
      </c>
      <c r="S485"/>
      <c r="T485" s="3"/>
      <c r="U485" s="246"/>
      <c r="V485" s="247" t="s">
        <v>645</v>
      </c>
      <c r="W485" s="86"/>
      <c r="X485" s="41"/>
      <c r="Y485" s="113"/>
    </row>
    <row r="486" spans="1:25" s="2" customFormat="1">
      <c r="A486" s="58" t="s">
        <v>908</v>
      </c>
      <c r="B486" s="4">
        <v>43717</v>
      </c>
      <c r="C486" s="7" t="s">
        <v>1050</v>
      </c>
      <c r="D486" s="59" t="s">
        <v>250</v>
      </c>
      <c r="E486" s="7" t="s">
        <v>37</v>
      </c>
      <c r="F486" s="37" t="s">
        <v>256</v>
      </c>
      <c r="G486" s="32">
        <v>88.1</v>
      </c>
      <c r="H486" s="32">
        <v>39.4</v>
      </c>
      <c r="I486">
        <f>表1_4[[#This Row],[主队2]]-表1_4[[#This Row],[客队2]]</f>
        <v>48.7</v>
      </c>
      <c r="J486" s="35" t="s">
        <v>58</v>
      </c>
      <c r="K486" s="35" t="s">
        <v>1055</v>
      </c>
      <c r="L48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486" s="11"/>
      <c r="N486" s="10" t="s">
        <v>133</v>
      </c>
      <c r="O486" s="10" t="s">
        <v>40</v>
      </c>
      <c r="P486" s="9" t="s">
        <v>161</v>
      </c>
      <c r="Q486" s="11"/>
      <c r="R486"/>
      <c r="S486"/>
      <c r="T486" s="3"/>
      <c r="U486" s="246" t="s">
        <v>1056</v>
      </c>
      <c r="V486" s="247" t="s">
        <v>645</v>
      </c>
      <c r="W486" s="86"/>
      <c r="X486" s="41"/>
      <c r="Y486" s="113"/>
    </row>
    <row r="487" spans="1:25" s="2" customFormat="1">
      <c r="A487" s="58" t="s">
        <v>908</v>
      </c>
      <c r="B487" s="4">
        <v>43717</v>
      </c>
      <c r="C487" s="26" t="s">
        <v>1050</v>
      </c>
      <c r="D487" s="59" t="s">
        <v>430</v>
      </c>
      <c r="E487" s="7" t="s">
        <v>42</v>
      </c>
      <c r="F487" s="37" t="s">
        <v>306</v>
      </c>
      <c r="G487" s="32">
        <v>71.3</v>
      </c>
      <c r="H487" s="32">
        <v>87.4</v>
      </c>
      <c r="I487">
        <f>表1_4[[#This Row],[主队2]]-表1_4[[#This Row],[客队2]]</f>
        <v>-16.100000000000001</v>
      </c>
      <c r="J48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487" s="35" t="s">
        <v>245</v>
      </c>
      <c r="L48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87" s="63" t="s">
        <v>263</v>
      </c>
      <c r="N487" s="46" t="s">
        <v>112</v>
      </c>
      <c r="O487" s="10" t="s">
        <v>28</v>
      </c>
      <c r="P487" s="9">
        <v>18</v>
      </c>
      <c r="Q487" s="11"/>
      <c r="R487" t="s">
        <v>855</v>
      </c>
      <c r="S487"/>
      <c r="T487" s="3"/>
      <c r="U487" s="83"/>
      <c r="V487" s="85" t="s">
        <v>980</v>
      </c>
      <c r="W487" s="86"/>
      <c r="X487" s="41"/>
      <c r="Y487" s="113"/>
    </row>
    <row r="488" spans="1:25" s="2" customFormat="1">
      <c r="A488" s="58" t="s">
        <v>908</v>
      </c>
      <c r="B488" s="4">
        <v>43718.114583333299</v>
      </c>
      <c r="C488" s="26" t="s">
        <v>1050</v>
      </c>
      <c r="D488" s="59" t="s">
        <v>123</v>
      </c>
      <c r="E488" s="7" t="s">
        <v>61</v>
      </c>
      <c r="F488" s="37" t="s">
        <v>274</v>
      </c>
      <c r="G488" s="32">
        <v>78.400000000000006</v>
      </c>
      <c r="H488" s="32">
        <v>93.9</v>
      </c>
      <c r="I488">
        <f>表1_4[[#This Row],[主队2]]-表1_4[[#This Row],[客队2]]</f>
        <v>-15.5</v>
      </c>
      <c r="J48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488" s="35" t="s">
        <v>219</v>
      </c>
      <c r="L48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88" s="11"/>
      <c r="N488" s="10" t="s">
        <v>119</v>
      </c>
      <c r="O488" s="10" t="s">
        <v>143</v>
      </c>
      <c r="P488" s="9">
        <v>5</v>
      </c>
      <c r="Q488" s="11"/>
      <c r="R488" t="s">
        <v>852</v>
      </c>
      <c r="S488"/>
      <c r="T488" s="3"/>
      <c r="U488" s="83"/>
      <c r="V488" s="247" t="s">
        <v>1057</v>
      </c>
      <c r="W488" s="40" t="s">
        <v>381</v>
      </c>
      <c r="X488" s="41"/>
      <c r="Y488" s="113"/>
    </row>
    <row r="489" spans="1:25" s="2" customFormat="1">
      <c r="A489" s="58" t="s">
        <v>908</v>
      </c>
      <c r="B489" s="4">
        <v>43718.114583333299</v>
      </c>
      <c r="C489" s="7" t="s">
        <v>1050</v>
      </c>
      <c r="D489" s="59" t="s">
        <v>353</v>
      </c>
      <c r="E489" s="7" t="s">
        <v>31</v>
      </c>
      <c r="F489" s="37" t="s">
        <v>288</v>
      </c>
      <c r="G489" s="32">
        <v>85.7</v>
      </c>
      <c r="H489" s="32">
        <v>65.8</v>
      </c>
      <c r="I489">
        <f>表1_4[[#This Row],[主队2]]-表1_4[[#This Row],[客队2]]</f>
        <v>19.899999999999999</v>
      </c>
      <c r="J48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489" s="35" t="s">
        <v>45</v>
      </c>
      <c r="L48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89" s="11"/>
      <c r="N489" s="10" t="s">
        <v>119</v>
      </c>
      <c r="O489" s="10" t="s">
        <v>46</v>
      </c>
      <c r="P489" s="9" t="s">
        <v>161</v>
      </c>
      <c r="Q489" s="11"/>
      <c r="R489"/>
      <c r="S489"/>
      <c r="T489" s="3"/>
      <c r="U489" s="83"/>
      <c r="V489" s="247" t="s">
        <v>1058</v>
      </c>
      <c r="W489" s="38"/>
      <c r="X489" s="41"/>
      <c r="Y489" s="113"/>
    </row>
    <row r="490" spans="1:25" s="2" customFormat="1">
      <c r="A490" s="58" t="s">
        <v>908</v>
      </c>
      <c r="B490" s="4">
        <v>43718.114583333299</v>
      </c>
      <c r="C490" s="7" t="s">
        <v>1050</v>
      </c>
      <c r="D490" s="59" t="s">
        <v>282</v>
      </c>
      <c r="E490" s="7" t="s">
        <v>61</v>
      </c>
      <c r="F490" s="37" t="s">
        <v>407</v>
      </c>
      <c r="G490" s="32">
        <v>30.5</v>
      </c>
      <c r="H490" s="32">
        <v>66</v>
      </c>
      <c r="I490">
        <f>表1_4[[#This Row],[主队2]]-表1_4[[#This Row],[客队2]]</f>
        <v>-35.5</v>
      </c>
      <c r="J490" s="35" t="s">
        <v>1059</v>
      </c>
      <c r="K490" s="35" t="s">
        <v>670</v>
      </c>
      <c r="L49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90" s="11"/>
      <c r="N490" s="10" t="s">
        <v>404</v>
      </c>
      <c r="O490" s="10" t="s">
        <v>48</v>
      </c>
      <c r="P490" s="9" t="s">
        <v>161</v>
      </c>
      <c r="Q490" s="11"/>
      <c r="R490"/>
      <c r="S490"/>
      <c r="T490" s="3"/>
      <c r="U490" s="246"/>
      <c r="V490" s="247" t="s">
        <v>1060</v>
      </c>
      <c r="W490" s="87"/>
      <c r="X490" s="41"/>
      <c r="Y490" s="113"/>
    </row>
    <row r="491" spans="1:25" s="2" customFormat="1">
      <c r="A491" s="58" t="s">
        <v>908</v>
      </c>
      <c r="B491" s="4">
        <v>43718.114583333299</v>
      </c>
      <c r="C491" s="26" t="s">
        <v>1050</v>
      </c>
      <c r="D491" s="59" t="s">
        <v>296</v>
      </c>
      <c r="E491" s="7" t="s">
        <v>47</v>
      </c>
      <c r="F491" s="37" t="s">
        <v>116</v>
      </c>
      <c r="G491" s="32">
        <v>77.2</v>
      </c>
      <c r="H491" s="32">
        <v>96.4</v>
      </c>
      <c r="I491">
        <f>表1_4[[#This Row],[主队2]]-表1_4[[#This Row],[客队2]]</f>
        <v>-19.2</v>
      </c>
      <c r="J49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491" s="35" t="s">
        <v>706</v>
      </c>
      <c r="L49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491" s="11"/>
      <c r="N491" s="10" t="s">
        <v>119</v>
      </c>
      <c r="O491" s="10" t="s">
        <v>143</v>
      </c>
      <c r="P491" s="9">
        <v>1</v>
      </c>
      <c r="Q491" s="11"/>
      <c r="R491" t="s">
        <v>852</v>
      </c>
      <c r="S491"/>
      <c r="T491" s="3"/>
      <c r="U491" s="246"/>
      <c r="V491" s="85" t="s">
        <v>1061</v>
      </c>
      <c r="W491" s="87"/>
      <c r="X491" s="41"/>
      <c r="Y491" s="113"/>
    </row>
    <row r="492" spans="1:25" s="2" customFormat="1">
      <c r="A492" s="58" t="s">
        <v>908</v>
      </c>
      <c r="B492" s="4">
        <v>43718.114583333299</v>
      </c>
      <c r="C492" s="2" t="s">
        <v>1050</v>
      </c>
      <c r="D492" s="70" t="s">
        <v>403</v>
      </c>
      <c r="E492" s="7" t="s">
        <v>61</v>
      </c>
      <c r="F492" s="37" t="s">
        <v>262</v>
      </c>
      <c r="G492" s="32">
        <v>66.8</v>
      </c>
      <c r="H492" s="32">
        <v>92.5</v>
      </c>
      <c r="I492">
        <f>表1_4[[#This Row],[主队2]]-表1_4[[#This Row],[客队2]]</f>
        <v>-25.7</v>
      </c>
      <c r="J492" s="35" t="s">
        <v>692</v>
      </c>
      <c r="K492" s="35" t="s">
        <v>1062</v>
      </c>
      <c r="L49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492" s="11"/>
      <c r="N492" s="10" t="s">
        <v>119</v>
      </c>
      <c r="O492" s="10" t="s">
        <v>28</v>
      </c>
      <c r="P492" s="9" t="s">
        <v>161</v>
      </c>
      <c r="Q492" s="11"/>
      <c r="R492" t="s">
        <v>852</v>
      </c>
      <c r="S492"/>
      <c r="T492" s="3"/>
      <c r="U492" s="25"/>
      <c r="V492" s="24" t="s">
        <v>1063</v>
      </c>
      <c r="W492" s="40" t="s">
        <v>280</v>
      </c>
      <c r="X492" s="41"/>
      <c r="Y492" s="113"/>
    </row>
    <row r="493" spans="1:25" s="2" customFormat="1">
      <c r="A493" s="58" t="s">
        <v>908</v>
      </c>
      <c r="B493" s="4">
        <v>43718</v>
      </c>
      <c r="C493" s="26" t="s">
        <v>1050</v>
      </c>
      <c r="D493" s="59" t="s">
        <v>278</v>
      </c>
      <c r="E493" s="7" t="s">
        <v>36</v>
      </c>
      <c r="F493" s="37" t="s">
        <v>110</v>
      </c>
      <c r="G493" s="32">
        <v>64.099999999999994</v>
      </c>
      <c r="H493" s="32">
        <v>88.8</v>
      </c>
      <c r="I493">
        <f>表1_4[[#This Row],[主队2]]-表1_4[[#This Row],[客队2]]</f>
        <v>-24.7</v>
      </c>
      <c r="J493" s="35" t="s">
        <v>692</v>
      </c>
      <c r="K493" s="35" t="s">
        <v>706</v>
      </c>
      <c r="L49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493" s="11"/>
      <c r="N493" s="10" t="s">
        <v>119</v>
      </c>
      <c r="O493" s="10" t="s">
        <v>46</v>
      </c>
      <c r="P493" s="9" t="s">
        <v>161</v>
      </c>
      <c r="Q493" s="11"/>
      <c r="R493"/>
      <c r="S493"/>
      <c r="T493" s="3"/>
      <c r="U493" s="83"/>
      <c r="V493" s="247" t="s">
        <v>1064</v>
      </c>
      <c r="W493" s="40"/>
      <c r="X493" s="41"/>
      <c r="Y493" s="113"/>
    </row>
    <row r="494" spans="1:25" s="2" customFormat="1">
      <c r="A494" s="58" t="s">
        <v>908</v>
      </c>
      <c r="B494" s="4">
        <v>43718.114583333299</v>
      </c>
      <c r="C494" s="7" t="s">
        <v>1050</v>
      </c>
      <c r="D494" s="59" t="s">
        <v>271</v>
      </c>
      <c r="E494" s="7" t="s">
        <v>60</v>
      </c>
      <c r="F494" s="37" t="s">
        <v>425</v>
      </c>
      <c r="G494" s="32">
        <v>76.900000000000006</v>
      </c>
      <c r="H494" s="32">
        <v>82.4</v>
      </c>
      <c r="I494">
        <f>表1_4[[#This Row],[主队2]]-表1_4[[#This Row],[客队2]]</f>
        <v>-5.5</v>
      </c>
      <c r="J49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494" s="35" t="s">
        <v>182</v>
      </c>
      <c r="L494" s="36" t="s">
        <v>183</v>
      </c>
      <c r="M494" s="11"/>
      <c r="N494" s="57" t="s">
        <v>119</v>
      </c>
      <c r="O494" s="57" t="s">
        <v>24</v>
      </c>
      <c r="P494" s="9">
        <v>12</v>
      </c>
      <c r="Q494" s="11"/>
      <c r="R494"/>
      <c r="S494"/>
      <c r="T494" s="3"/>
      <c r="U494" s="83"/>
      <c r="V494" s="89" t="s">
        <v>1065</v>
      </c>
      <c r="W494" s="71"/>
      <c r="X494" s="41"/>
      <c r="Y494" s="113"/>
    </row>
    <row r="495" spans="1:25" s="2" customFormat="1">
      <c r="A495" s="58" t="s">
        <v>908</v>
      </c>
      <c r="B495" s="68">
        <v>43718.114583333299</v>
      </c>
      <c r="C495" s="115" t="s">
        <v>1050</v>
      </c>
      <c r="D495" s="59" t="s">
        <v>309</v>
      </c>
      <c r="E495" s="7" t="s">
        <v>29</v>
      </c>
      <c r="F495" s="37" t="s">
        <v>210</v>
      </c>
      <c r="G495" s="32">
        <v>78.7</v>
      </c>
      <c r="H495" s="32">
        <v>75.099999999999994</v>
      </c>
      <c r="I495">
        <f>表1_4[[#This Row],[主队2]]-表1_4[[#This Row],[客队2]]</f>
        <v>3.6000000000000099</v>
      </c>
      <c r="J49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495" s="35" t="s">
        <v>289</v>
      </c>
      <c r="L49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95" s="63" t="s">
        <v>463</v>
      </c>
      <c r="N495" s="10" t="s">
        <v>112</v>
      </c>
      <c r="O495" s="10" t="s">
        <v>46</v>
      </c>
      <c r="P495" s="9">
        <v>18</v>
      </c>
      <c r="Q495" s="11"/>
      <c r="R495"/>
      <c r="S495"/>
      <c r="T495" s="3" t="s">
        <v>1066</v>
      </c>
      <c r="U495" s="83"/>
      <c r="V495" s="251" t="s">
        <v>1067</v>
      </c>
      <c r="W495" s="38"/>
      <c r="X495" s="41"/>
      <c r="Y495" s="113"/>
    </row>
    <row r="496" spans="1:25" s="2" customFormat="1">
      <c r="A496" s="58" t="s">
        <v>908</v>
      </c>
      <c r="B496" s="4">
        <v>43718.114583333299</v>
      </c>
      <c r="C496" s="26" t="s">
        <v>1050</v>
      </c>
      <c r="D496" s="59" t="s">
        <v>251</v>
      </c>
      <c r="E496" s="7" t="s">
        <v>47</v>
      </c>
      <c r="F496" s="37" t="s">
        <v>572</v>
      </c>
      <c r="G496" s="32">
        <v>62</v>
      </c>
      <c r="H496" s="32">
        <v>72.099999999999994</v>
      </c>
      <c r="I496">
        <f>表1_4[[#This Row],[主队2]]-表1_4[[#This Row],[客队2]]</f>
        <v>-10.1</v>
      </c>
      <c r="J49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496" s="35" t="s">
        <v>111</v>
      </c>
      <c r="L49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96" s="11"/>
      <c r="N496" s="10" t="s">
        <v>112</v>
      </c>
      <c r="O496" s="10" t="s">
        <v>143</v>
      </c>
      <c r="P496" s="9">
        <v>10</v>
      </c>
      <c r="Q496" s="11"/>
      <c r="R496" t="s">
        <v>852</v>
      </c>
      <c r="S496"/>
      <c r="T496" s="3"/>
      <c r="U496" s="25"/>
      <c r="V496" s="24" t="s">
        <v>1068</v>
      </c>
      <c r="W496" s="38"/>
      <c r="X496" s="41"/>
      <c r="Y496" s="113"/>
    </row>
    <row r="497" spans="1:25" s="2" customFormat="1">
      <c r="A497" s="58" t="s">
        <v>908</v>
      </c>
      <c r="B497" s="4">
        <v>43718.114583333299</v>
      </c>
      <c r="C497" s="115" t="s">
        <v>1050</v>
      </c>
      <c r="D497" s="59" t="s">
        <v>302</v>
      </c>
      <c r="E497" s="7" t="s">
        <v>42</v>
      </c>
      <c r="F497" s="37" t="s">
        <v>194</v>
      </c>
      <c r="G497" s="32">
        <v>84.4</v>
      </c>
      <c r="H497" s="32">
        <v>81.099999999999994</v>
      </c>
      <c r="I497">
        <f>表1_4[[#This Row],[主队2]]-表1_4[[#This Row],[客队2]]</f>
        <v>3.30000000000001</v>
      </c>
      <c r="J49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497" s="35" t="s">
        <v>289</v>
      </c>
      <c r="L49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97" s="11"/>
      <c r="N497" s="10" t="s">
        <v>133</v>
      </c>
      <c r="O497" s="10" t="s">
        <v>143</v>
      </c>
      <c r="P497" s="9">
        <v>12</v>
      </c>
      <c r="Q497" s="11"/>
      <c r="R497"/>
      <c r="S497"/>
      <c r="T497" s="3"/>
      <c r="U497" s="83"/>
      <c r="V497" s="85" t="s">
        <v>1069</v>
      </c>
      <c r="W497" s="87"/>
      <c r="X497" s="41"/>
      <c r="Y497" s="113"/>
    </row>
    <row r="498" spans="1:25" s="2" customFormat="1">
      <c r="A498" s="58" t="s">
        <v>908</v>
      </c>
      <c r="B498" s="4">
        <v>43719.114583333299</v>
      </c>
      <c r="C498" s="7" t="s">
        <v>1050</v>
      </c>
      <c r="D498" s="59" t="s">
        <v>301</v>
      </c>
      <c r="E498" s="7" t="s">
        <v>64</v>
      </c>
      <c r="F498" s="37" t="s">
        <v>284</v>
      </c>
      <c r="G498" s="32">
        <v>74.7</v>
      </c>
      <c r="H498" s="32">
        <v>82.4</v>
      </c>
      <c r="I498">
        <f>表1_4[[#This Row],[主队2]]-表1_4[[#This Row],[客队2]]</f>
        <v>-7.7</v>
      </c>
      <c r="J49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498" s="35" t="s">
        <v>132</v>
      </c>
      <c r="L49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498" s="11"/>
      <c r="N498" s="10" t="s">
        <v>119</v>
      </c>
      <c r="O498" s="10" t="s">
        <v>48</v>
      </c>
      <c r="P498" s="9">
        <v>19</v>
      </c>
      <c r="Q498" s="11"/>
      <c r="R498"/>
      <c r="S498"/>
      <c r="T498" s="3"/>
      <c r="U498" s="83"/>
      <c r="V498" s="85" t="s">
        <v>1070</v>
      </c>
      <c r="W498" s="87"/>
      <c r="X498" s="41"/>
      <c r="Y498" s="113"/>
    </row>
    <row r="499" spans="1:25" s="2" customFormat="1">
      <c r="A499" s="58" t="s">
        <v>908</v>
      </c>
      <c r="B499" s="4">
        <v>43719.114583333299</v>
      </c>
      <c r="C499" s="26" t="s">
        <v>1050</v>
      </c>
      <c r="D499" s="59" t="s">
        <v>117</v>
      </c>
      <c r="E499" s="42" t="s">
        <v>1071</v>
      </c>
      <c r="F499" s="37" t="s">
        <v>217</v>
      </c>
      <c r="G499" s="32">
        <v>94.4</v>
      </c>
      <c r="H499" s="32">
        <v>68.400000000000006</v>
      </c>
      <c r="I499">
        <f>表1_4[[#This Row],[主队2]]-表1_4[[#This Row],[客队2]]</f>
        <v>26</v>
      </c>
      <c r="J499" s="35" t="s">
        <v>30</v>
      </c>
      <c r="K499" s="35" t="s">
        <v>34</v>
      </c>
      <c r="L49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499" s="66"/>
      <c r="N499" s="10" t="s">
        <v>1072</v>
      </c>
      <c r="O499" s="10" t="s">
        <v>46</v>
      </c>
      <c r="P499" s="9" t="s">
        <v>161</v>
      </c>
      <c r="Q499" s="66"/>
      <c r="R499" t="s">
        <v>852</v>
      </c>
      <c r="S499"/>
      <c r="T499" s="3"/>
      <c r="U499" s="83"/>
      <c r="V499" s="129" t="s">
        <v>1073</v>
      </c>
      <c r="W499" s="87"/>
      <c r="X499" s="41"/>
      <c r="Y499" s="113"/>
    </row>
    <row r="500" spans="1:25" s="2" customFormat="1">
      <c r="A500" s="58" t="s">
        <v>908</v>
      </c>
      <c r="B500" s="4">
        <v>43719.114583333299</v>
      </c>
      <c r="C500" s="26" t="s">
        <v>1050</v>
      </c>
      <c r="D500" s="59" t="s">
        <v>266</v>
      </c>
      <c r="E500" s="7" t="s">
        <v>74</v>
      </c>
      <c r="F500" s="37" t="s">
        <v>434</v>
      </c>
      <c r="G500" s="32">
        <v>61</v>
      </c>
      <c r="H500" s="32">
        <v>84.5</v>
      </c>
      <c r="I500">
        <f>表1_4[[#This Row],[主队2]]-表1_4[[#This Row],[客队2]]</f>
        <v>-23.5</v>
      </c>
      <c r="J500" s="34">
        <v>-2</v>
      </c>
      <c r="K500" s="35" t="s">
        <v>666</v>
      </c>
      <c r="L50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00" s="11"/>
      <c r="N500" s="10" t="s">
        <v>404</v>
      </c>
      <c r="O500" s="10" t="s">
        <v>46</v>
      </c>
      <c r="P500" s="9" t="s">
        <v>161</v>
      </c>
      <c r="Q500" s="11"/>
      <c r="R500"/>
      <c r="S500"/>
      <c r="T500" s="3"/>
      <c r="U500" s="246"/>
      <c r="V500" s="89" t="s">
        <v>1074</v>
      </c>
      <c r="W500" s="87"/>
      <c r="X500" s="41"/>
      <c r="Y500" s="113"/>
    </row>
    <row r="501" spans="1:25" s="2" customFormat="1">
      <c r="A501" s="58" t="s">
        <v>908</v>
      </c>
      <c r="B501" s="4">
        <v>43719.114583333299</v>
      </c>
      <c r="C501" s="7" t="s">
        <v>1050</v>
      </c>
      <c r="D501" s="59" t="s">
        <v>292</v>
      </c>
      <c r="E501" s="49" t="s">
        <v>76</v>
      </c>
      <c r="F501" s="37" t="s">
        <v>270</v>
      </c>
      <c r="G501" s="32">
        <v>62.7</v>
      </c>
      <c r="H501" s="32">
        <v>92.8</v>
      </c>
      <c r="I501">
        <f>表1_4[[#This Row],[主队2]]-表1_4[[#This Row],[客队2]]</f>
        <v>-30.1</v>
      </c>
      <c r="J501" s="35" t="s">
        <v>1016</v>
      </c>
      <c r="K501" s="35" t="s">
        <v>692</v>
      </c>
      <c r="L50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01" s="11"/>
      <c r="N501" s="10" t="s">
        <v>112</v>
      </c>
      <c r="O501" s="10" t="s">
        <v>143</v>
      </c>
      <c r="P501" s="9" t="s">
        <v>161</v>
      </c>
      <c r="Q501" s="11"/>
      <c r="R501"/>
      <c r="S501"/>
      <c r="T501" s="3"/>
      <c r="U501" s="25"/>
      <c r="V501" s="84" t="s">
        <v>1075</v>
      </c>
      <c r="W501" s="86"/>
      <c r="X501" s="41"/>
      <c r="Y501" s="113"/>
    </row>
    <row r="502" spans="1:25" s="2" customFormat="1">
      <c r="A502" s="58" t="s">
        <v>908</v>
      </c>
      <c r="B502" s="4">
        <v>43719.114583333299</v>
      </c>
      <c r="C502" s="2" t="s">
        <v>1050</v>
      </c>
      <c r="D502" s="59" t="s">
        <v>267</v>
      </c>
      <c r="E502" s="7" t="s">
        <v>44</v>
      </c>
      <c r="F502" s="37" t="s">
        <v>243</v>
      </c>
      <c r="G502" s="32">
        <v>96.3</v>
      </c>
      <c r="H502" s="32">
        <v>47.2</v>
      </c>
      <c r="I502">
        <f>表1_4[[#This Row],[主队2]]-表1_4[[#This Row],[客队2]]</f>
        <v>49.1</v>
      </c>
      <c r="J502" s="35" t="s">
        <v>1055</v>
      </c>
      <c r="K502" s="35" t="s">
        <v>257</v>
      </c>
      <c r="L50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02" s="11"/>
      <c r="N502" s="46" t="s">
        <v>133</v>
      </c>
      <c r="O502" s="10" t="s">
        <v>40</v>
      </c>
      <c r="P502" s="9" t="s">
        <v>161</v>
      </c>
      <c r="Q502" s="11"/>
      <c r="R502" t="s">
        <v>852</v>
      </c>
      <c r="S502"/>
      <c r="T502" s="3"/>
      <c r="U502" s="25" t="s">
        <v>1076</v>
      </c>
      <c r="V502" s="24" t="s">
        <v>1077</v>
      </c>
      <c r="W502" s="244"/>
      <c r="X502" s="41"/>
      <c r="Y502" s="113"/>
    </row>
    <row r="503" spans="1:25" s="2" customFormat="1">
      <c r="A503" s="58" t="s">
        <v>908</v>
      </c>
      <c r="B503" s="4">
        <v>43719.114583333299</v>
      </c>
      <c r="C503" s="26" t="s">
        <v>1050</v>
      </c>
      <c r="D503" s="59" t="s">
        <v>195</v>
      </c>
      <c r="E503" s="7" t="s">
        <v>61</v>
      </c>
      <c r="F503" s="37" t="s">
        <v>190</v>
      </c>
      <c r="G503" s="32">
        <v>61.5</v>
      </c>
      <c r="H503" s="32">
        <v>82.8</v>
      </c>
      <c r="I503">
        <f>表1_4[[#This Row],[主队2]]-表1_4[[#This Row],[客队2]]</f>
        <v>-21.3</v>
      </c>
      <c r="J503" s="35" t="s">
        <v>686</v>
      </c>
      <c r="K503" s="35" t="s">
        <v>245</v>
      </c>
      <c r="L50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03" s="11"/>
      <c r="N503" s="10" t="s">
        <v>160</v>
      </c>
      <c r="O503" s="10" t="s">
        <v>143</v>
      </c>
      <c r="P503" s="9">
        <v>6</v>
      </c>
      <c r="Q503" s="11"/>
      <c r="R503" t="s">
        <v>852</v>
      </c>
      <c r="S503"/>
      <c r="T503" s="3"/>
      <c r="U503" s="25"/>
      <c r="V503" s="84" t="s">
        <v>1078</v>
      </c>
      <c r="W503" s="86"/>
      <c r="X503" s="41"/>
      <c r="Y503" s="113"/>
    </row>
    <row r="504" spans="1:25" s="2" customFormat="1">
      <c r="A504" s="58" t="s">
        <v>908</v>
      </c>
      <c r="B504" s="4">
        <v>43719.114583333299</v>
      </c>
      <c r="C504" s="7" t="s">
        <v>1050</v>
      </c>
      <c r="D504" s="59" t="s">
        <v>205</v>
      </c>
      <c r="E504" s="7" t="s">
        <v>54</v>
      </c>
      <c r="F504" s="37" t="s">
        <v>218</v>
      </c>
      <c r="G504" s="32">
        <v>71.5</v>
      </c>
      <c r="H504" s="32">
        <v>79.400000000000006</v>
      </c>
      <c r="I504">
        <f>表1_4[[#This Row],[主队2]]-表1_4[[#This Row],[客队2]]</f>
        <v>-7.9000000000000101</v>
      </c>
      <c r="J50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504" s="35" t="s">
        <v>166</v>
      </c>
      <c r="L50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04" s="11"/>
      <c r="N504" s="10" t="s">
        <v>112</v>
      </c>
      <c r="O504" s="46" t="s">
        <v>35</v>
      </c>
      <c r="P504" s="9">
        <v>25</v>
      </c>
      <c r="Q504" s="11"/>
      <c r="R504"/>
      <c r="S504"/>
      <c r="T504" s="3"/>
      <c r="U504" s="25" t="s">
        <v>931</v>
      </c>
      <c r="V504" s="84" t="s">
        <v>1079</v>
      </c>
      <c r="W504" s="86"/>
      <c r="X504" s="41"/>
      <c r="Y504" s="113"/>
    </row>
    <row r="505" spans="1:25" s="2" customFormat="1">
      <c r="A505" s="58" t="s">
        <v>128</v>
      </c>
      <c r="B505" s="4">
        <v>43719.114583333299</v>
      </c>
      <c r="C505" s="2" t="s">
        <v>906</v>
      </c>
      <c r="D505" s="59" t="s">
        <v>1080</v>
      </c>
      <c r="E505" s="7" t="s">
        <v>978</v>
      </c>
      <c r="F505" s="37" t="s">
        <v>109</v>
      </c>
      <c r="G505" s="32">
        <v>35.1</v>
      </c>
      <c r="H505" s="32">
        <v>68.3</v>
      </c>
      <c r="I505">
        <f>表1_4[[#This Row],[主队2]]-表1_4[[#This Row],[客队2]]</f>
        <v>-33.200000000000003</v>
      </c>
      <c r="J505" s="35" t="s">
        <v>670</v>
      </c>
      <c r="K505" s="35" t="s">
        <v>1062</v>
      </c>
      <c r="L50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05" s="11"/>
      <c r="N505" s="46" t="s">
        <v>160</v>
      </c>
      <c r="O505" s="10" t="s">
        <v>40</v>
      </c>
      <c r="P505" s="9" t="s">
        <v>161</v>
      </c>
      <c r="Q505" s="11"/>
      <c r="R505" t="s">
        <v>852</v>
      </c>
      <c r="S505"/>
      <c r="T505" s="3"/>
      <c r="U505" s="25" t="s">
        <v>398</v>
      </c>
      <c r="V505" s="24" t="s">
        <v>1081</v>
      </c>
      <c r="W505" s="40" t="s">
        <v>280</v>
      </c>
      <c r="X505" s="41"/>
      <c r="Y505" s="113"/>
    </row>
    <row r="506" spans="1:25" s="2" customFormat="1">
      <c r="A506" s="58" t="s">
        <v>128</v>
      </c>
      <c r="B506" s="125">
        <v>43748.833333333299</v>
      </c>
      <c r="C506" s="2">
        <v>3</v>
      </c>
      <c r="D506" s="59" t="s">
        <v>109</v>
      </c>
      <c r="E506" s="42" t="s">
        <v>49</v>
      </c>
      <c r="F506" s="37" t="s">
        <v>1082</v>
      </c>
      <c r="G506" s="32">
        <v>69</v>
      </c>
      <c r="H506" s="32">
        <v>0</v>
      </c>
      <c r="I506">
        <f>表1_4[[#This Row],[主队2]]-表1_4[[#This Row],[客队2]]</f>
        <v>69</v>
      </c>
      <c r="J506" s="35" t="s">
        <v>1083</v>
      </c>
      <c r="K506" s="35" t="s">
        <v>52</v>
      </c>
      <c r="L50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06" s="11"/>
      <c r="N506" s="46" t="s">
        <v>1046</v>
      </c>
      <c r="O506" s="10" t="s">
        <v>40</v>
      </c>
      <c r="P506" s="9" t="s">
        <v>161</v>
      </c>
      <c r="Q506" s="11"/>
      <c r="R506" t="s">
        <v>852</v>
      </c>
      <c r="S506"/>
      <c r="T506" s="3"/>
      <c r="U506" s="246" t="s">
        <v>1084</v>
      </c>
      <c r="V506" s="84" t="s">
        <v>1085</v>
      </c>
      <c r="W506" s="86"/>
      <c r="X506" s="41"/>
      <c r="Y506" s="113"/>
    </row>
    <row r="507" spans="1:25" s="2" customFormat="1">
      <c r="A507" s="58" t="s">
        <v>128</v>
      </c>
      <c r="B507" s="4">
        <v>43748.833333333299</v>
      </c>
      <c r="C507" s="26">
        <v>3</v>
      </c>
      <c r="D507" s="59" t="s">
        <v>131</v>
      </c>
      <c r="E507" s="7" t="s">
        <v>57</v>
      </c>
      <c r="F507" s="37" t="s">
        <v>1086</v>
      </c>
      <c r="G507" s="32">
        <v>73.900000000000006</v>
      </c>
      <c r="H507" s="32">
        <v>51.4</v>
      </c>
      <c r="I507">
        <f>表1_4[[#This Row],[主队2]]-表1_4[[#This Row],[客队2]]</f>
        <v>22.5</v>
      </c>
      <c r="J507" s="35" t="s">
        <v>23</v>
      </c>
      <c r="K507" s="35" t="s">
        <v>23</v>
      </c>
      <c r="L50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507" s="11"/>
      <c r="N507" s="10" t="s">
        <v>404</v>
      </c>
      <c r="O507" s="10" t="s">
        <v>143</v>
      </c>
      <c r="P507" s="9" t="s">
        <v>161</v>
      </c>
      <c r="Q507" s="11"/>
      <c r="R507"/>
      <c r="S507"/>
      <c r="T507" s="3"/>
      <c r="U507" s="83"/>
      <c r="V507" s="85" t="s">
        <v>314</v>
      </c>
      <c r="W507" s="86"/>
      <c r="X507" s="41"/>
      <c r="Y507" s="113"/>
    </row>
    <row r="508" spans="1:25" s="2" customFormat="1">
      <c r="A508" s="58" t="s">
        <v>128</v>
      </c>
      <c r="B508" s="4">
        <v>43748.875</v>
      </c>
      <c r="C508" s="26">
        <v>3</v>
      </c>
      <c r="D508" s="59" t="s">
        <v>1002</v>
      </c>
      <c r="E508" s="7" t="s">
        <v>31</v>
      </c>
      <c r="F508" s="37" t="s">
        <v>1087</v>
      </c>
      <c r="G508" s="32">
        <v>58</v>
      </c>
      <c r="H508" s="32">
        <v>48.9</v>
      </c>
      <c r="I508">
        <f>表1_4[[#This Row],[主队2]]-表1_4[[#This Row],[客队2]]</f>
        <v>9.1</v>
      </c>
      <c r="J50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508" s="35" t="s">
        <v>118</v>
      </c>
      <c r="L50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08" s="11"/>
      <c r="N508" s="10" t="s">
        <v>119</v>
      </c>
      <c r="O508" s="10" t="s">
        <v>40</v>
      </c>
      <c r="P508" s="9">
        <v>17</v>
      </c>
      <c r="Q508" s="11"/>
      <c r="R508" t="s">
        <v>852</v>
      </c>
      <c r="S508"/>
      <c r="T508" s="3"/>
      <c r="U508" s="25" t="s">
        <v>126</v>
      </c>
      <c r="V508" s="24" t="s">
        <v>1088</v>
      </c>
      <c r="W508" s="86"/>
      <c r="X508" s="41"/>
      <c r="Y508" s="113"/>
    </row>
    <row r="509" spans="1:25" s="2" customFormat="1" ht="28.9">
      <c r="A509" s="58" t="s">
        <v>128</v>
      </c>
      <c r="B509" s="125">
        <v>43748.916666666701</v>
      </c>
      <c r="C509" s="7">
        <v>3</v>
      </c>
      <c r="D509" s="59" t="s">
        <v>130</v>
      </c>
      <c r="E509" s="7" t="s">
        <v>33</v>
      </c>
      <c r="F509" s="37" t="s">
        <v>1080</v>
      </c>
      <c r="G509" s="32">
        <v>70.099999999999994</v>
      </c>
      <c r="H509" s="32">
        <v>34.4</v>
      </c>
      <c r="I509">
        <f>表1_4[[#This Row],[主队2]]-表1_4[[#This Row],[客队2]]</f>
        <v>35.700000000000003</v>
      </c>
      <c r="J509" s="35" t="s">
        <v>50</v>
      </c>
      <c r="K509" s="35" t="s">
        <v>45</v>
      </c>
      <c r="L50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09" s="11"/>
      <c r="N509" s="10" t="s">
        <v>1046</v>
      </c>
      <c r="O509" s="10" t="s">
        <v>40</v>
      </c>
      <c r="P509" s="9" t="s">
        <v>161</v>
      </c>
      <c r="Q509" s="11"/>
      <c r="R509"/>
      <c r="S509"/>
      <c r="T509" s="3"/>
      <c r="U509" s="25" t="s">
        <v>1089</v>
      </c>
      <c r="V509" s="24" t="s">
        <v>1090</v>
      </c>
      <c r="W509" s="86"/>
      <c r="X509" s="41"/>
      <c r="Y509" s="113"/>
    </row>
    <row r="510" spans="1:25" s="2" customFormat="1">
      <c r="A510" s="58" t="s">
        <v>128</v>
      </c>
      <c r="B510" s="4">
        <v>43748.9375</v>
      </c>
      <c r="C510" s="26">
        <v>3</v>
      </c>
      <c r="D510" s="59" t="s">
        <v>1001</v>
      </c>
      <c r="E510" s="42" t="s">
        <v>49</v>
      </c>
      <c r="F510" s="37" t="s">
        <v>1091</v>
      </c>
      <c r="G510" s="32">
        <v>53.1</v>
      </c>
      <c r="H510" s="32">
        <v>38.299999999999997</v>
      </c>
      <c r="I510">
        <f>表1_4[[#This Row],[主队2]]-表1_4[[#This Row],[客队2]]</f>
        <v>14.8</v>
      </c>
      <c r="J51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510" s="35" t="s">
        <v>125</v>
      </c>
      <c r="L51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10" s="11"/>
      <c r="N510" s="46" t="s">
        <v>112</v>
      </c>
      <c r="O510" s="46" t="s">
        <v>40</v>
      </c>
      <c r="P510" s="9" t="s">
        <v>161</v>
      </c>
      <c r="Q510" s="11"/>
      <c r="R510" t="s">
        <v>855</v>
      </c>
      <c r="S510"/>
      <c r="T510" s="3"/>
      <c r="U510" s="83" t="s">
        <v>196</v>
      </c>
      <c r="V510" s="85" t="s">
        <v>1092</v>
      </c>
      <c r="W510" s="38"/>
      <c r="X510" s="41"/>
      <c r="Y510" s="113"/>
    </row>
    <row r="511" spans="1:25" s="2" customFormat="1">
      <c r="A511" s="58" t="s">
        <v>128</v>
      </c>
      <c r="B511" s="4">
        <v>43748.958333333299</v>
      </c>
      <c r="C511" s="26">
        <v>3</v>
      </c>
      <c r="D511" s="59" t="s">
        <v>1093</v>
      </c>
      <c r="E511" s="7" t="s">
        <v>44</v>
      </c>
      <c r="F511" s="37" t="s">
        <v>1094</v>
      </c>
      <c r="G511" s="32">
        <v>64.2</v>
      </c>
      <c r="H511" s="32">
        <v>37.299999999999997</v>
      </c>
      <c r="I511">
        <f>表1_4[[#This Row],[主队2]]-表1_4[[#This Row],[客队2]]</f>
        <v>26.9</v>
      </c>
      <c r="J511" s="35" t="s">
        <v>34</v>
      </c>
      <c r="K511" s="35" t="s">
        <v>30</v>
      </c>
      <c r="L51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11" s="11"/>
      <c r="N511" s="10" t="s">
        <v>119</v>
      </c>
      <c r="O511" s="10" t="s">
        <v>143</v>
      </c>
      <c r="P511" s="9" t="s">
        <v>161</v>
      </c>
      <c r="Q511" s="11"/>
      <c r="R511"/>
      <c r="S511"/>
      <c r="T511" s="3"/>
      <c r="U511" s="246"/>
      <c r="V511" s="247" t="s">
        <v>454</v>
      </c>
      <c r="W511" s="86"/>
      <c r="X511" s="41"/>
      <c r="Y511" s="113"/>
    </row>
    <row r="512" spans="1:25" s="2" customFormat="1">
      <c r="A512" s="58" t="s">
        <v>128</v>
      </c>
      <c r="B512" s="4">
        <v>43749</v>
      </c>
      <c r="C512" s="2">
        <v>3</v>
      </c>
      <c r="D512" s="59" t="s">
        <v>1005</v>
      </c>
      <c r="E512" s="7" t="s">
        <v>33</v>
      </c>
      <c r="F512" s="37" t="s">
        <v>1095</v>
      </c>
      <c r="G512" s="32">
        <v>60.2</v>
      </c>
      <c r="H512" s="32">
        <v>53.5</v>
      </c>
      <c r="I512">
        <f>表1_4[[#This Row],[主队2]]-表1_4[[#This Row],[客队2]]</f>
        <v>6.7</v>
      </c>
      <c r="J51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512" s="35" t="s">
        <v>125</v>
      </c>
      <c r="L51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12" s="11"/>
      <c r="N512" s="10" t="s">
        <v>133</v>
      </c>
      <c r="O512" s="10" t="s">
        <v>35</v>
      </c>
      <c r="P512" s="9" t="s">
        <v>161</v>
      </c>
      <c r="Q512" s="11"/>
      <c r="R512"/>
      <c r="S512"/>
      <c r="T512" s="3"/>
      <c r="U512" s="83" t="s">
        <v>1096</v>
      </c>
      <c r="V512" s="85" t="s">
        <v>1097</v>
      </c>
      <c r="W512" s="87"/>
      <c r="X512" s="41"/>
      <c r="Y512" s="113"/>
    </row>
    <row r="513" spans="1:25" s="2" customFormat="1">
      <c r="A513" s="58" t="s">
        <v>128</v>
      </c>
      <c r="B513" s="4">
        <v>43749</v>
      </c>
      <c r="C513" s="26">
        <v>3</v>
      </c>
      <c r="D513" s="59" t="s">
        <v>1098</v>
      </c>
      <c r="E513" s="7" t="s">
        <v>42</v>
      </c>
      <c r="F513" s="37" t="s">
        <v>1099</v>
      </c>
      <c r="G513" s="32">
        <v>66.5</v>
      </c>
      <c r="H513" s="32">
        <v>64.3</v>
      </c>
      <c r="I513">
        <f>表1_4[[#This Row],[主队2]]-表1_4[[#This Row],[客队2]]</f>
        <v>2.2000000000000002</v>
      </c>
      <c r="J51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513" s="35" t="s">
        <v>118</v>
      </c>
      <c r="L51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13" s="11"/>
      <c r="N513" s="10" t="s">
        <v>119</v>
      </c>
      <c r="O513" s="57" t="s">
        <v>24</v>
      </c>
      <c r="P513" s="9">
        <v>11</v>
      </c>
      <c r="Q513" s="11"/>
      <c r="R513"/>
      <c r="S513"/>
      <c r="T513" s="3"/>
      <c r="U513" s="246"/>
      <c r="V513" s="247" t="s">
        <v>635</v>
      </c>
      <c r="W513" s="86"/>
      <c r="X513" s="41"/>
      <c r="Y513" s="113"/>
    </row>
    <row r="514" spans="1:25" s="2" customFormat="1" ht="28.9">
      <c r="A514" s="58" t="s">
        <v>128</v>
      </c>
      <c r="B514" s="4">
        <v>43749</v>
      </c>
      <c r="C514" s="26">
        <v>3</v>
      </c>
      <c r="D514" s="59" t="s">
        <v>146</v>
      </c>
      <c r="E514" s="7" t="s">
        <v>57</v>
      </c>
      <c r="F514" s="37" t="s">
        <v>1100</v>
      </c>
      <c r="G514" s="32">
        <v>68.7</v>
      </c>
      <c r="H514" s="32">
        <v>51</v>
      </c>
      <c r="I514">
        <f>表1_4[[#This Row],[主队2]]-表1_4[[#This Row],[客队2]]</f>
        <v>17.7</v>
      </c>
      <c r="J51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514" s="35" t="s">
        <v>26</v>
      </c>
      <c r="L51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14" s="11"/>
      <c r="N514" s="10" t="s">
        <v>112</v>
      </c>
      <c r="O514" s="10" t="s">
        <v>40</v>
      </c>
      <c r="P514" s="9" t="s">
        <v>161</v>
      </c>
      <c r="Q514" s="11"/>
      <c r="R514"/>
      <c r="S514"/>
      <c r="T514" s="3"/>
      <c r="U514" s="25" t="s">
        <v>1101</v>
      </c>
      <c r="V514" s="24" t="s">
        <v>1102</v>
      </c>
      <c r="W514" s="86"/>
      <c r="X514" s="41"/>
      <c r="Y514" s="113"/>
    </row>
    <row r="515" spans="1:25" s="2" customFormat="1" ht="28.9">
      <c r="A515" s="58" t="s">
        <v>128</v>
      </c>
      <c r="B515" s="4">
        <v>43749</v>
      </c>
      <c r="C515" s="7">
        <v>3</v>
      </c>
      <c r="D515" s="59" t="s">
        <v>141</v>
      </c>
      <c r="E515" s="7" t="s">
        <v>22</v>
      </c>
      <c r="F515" s="37" t="s">
        <v>1103</v>
      </c>
      <c r="G515" s="32">
        <v>70</v>
      </c>
      <c r="H515" s="32">
        <v>49.3</v>
      </c>
      <c r="I515">
        <f>表1_4[[#This Row],[主队2]]-表1_4[[#This Row],[客队2]]</f>
        <v>20.7</v>
      </c>
      <c r="J515" s="35" t="s">
        <v>26</v>
      </c>
      <c r="K515" s="35" t="s">
        <v>23</v>
      </c>
      <c r="L51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15" s="11" t="s">
        <v>1104</v>
      </c>
      <c r="N515" s="10" t="s">
        <v>112</v>
      </c>
      <c r="O515" s="10" t="s">
        <v>40</v>
      </c>
      <c r="P515" s="9" t="s">
        <v>161</v>
      </c>
      <c r="Q515" s="11"/>
      <c r="R515"/>
      <c r="S515"/>
      <c r="T515" s="3"/>
      <c r="U515" s="246" t="s">
        <v>1105</v>
      </c>
      <c r="V515" s="247" t="s">
        <v>1106</v>
      </c>
      <c r="W515" s="86"/>
      <c r="X515" s="41"/>
      <c r="Y515" s="113"/>
    </row>
    <row r="516" spans="1:25" s="2" customFormat="1">
      <c r="A516" s="58" t="s">
        <v>128</v>
      </c>
      <c r="B516" s="4">
        <v>43749.041666666701</v>
      </c>
      <c r="C516" s="26">
        <v>3</v>
      </c>
      <c r="D516" s="59" t="s">
        <v>138</v>
      </c>
      <c r="E516" s="7" t="s">
        <v>44</v>
      </c>
      <c r="F516" s="37" t="s">
        <v>453</v>
      </c>
      <c r="G516" s="32">
        <v>70.900000000000006</v>
      </c>
      <c r="H516" s="32">
        <v>48.1</v>
      </c>
      <c r="I516">
        <f>表1_4[[#This Row],[主队2]]-表1_4[[#This Row],[客队2]]</f>
        <v>22.8</v>
      </c>
      <c r="J516" s="35" t="s">
        <v>23</v>
      </c>
      <c r="K516" s="35" t="s">
        <v>26</v>
      </c>
      <c r="L51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16" s="11"/>
      <c r="N516" s="10" t="s">
        <v>112</v>
      </c>
      <c r="O516" s="10" t="s">
        <v>40</v>
      </c>
      <c r="P516" s="9" t="s">
        <v>161</v>
      </c>
      <c r="Q516" s="11"/>
      <c r="R516"/>
      <c r="S516"/>
      <c r="T516" s="3"/>
      <c r="U516" s="25" t="s">
        <v>405</v>
      </c>
      <c r="V516" s="24" t="s">
        <v>640</v>
      </c>
      <c r="W516" s="86"/>
      <c r="X516" s="41"/>
      <c r="Y516" s="113"/>
    </row>
    <row r="517" spans="1:25" s="2" customFormat="1">
      <c r="A517" s="58" t="s">
        <v>908</v>
      </c>
      <c r="B517" s="4">
        <v>43748.916666666701</v>
      </c>
      <c r="C517" s="2">
        <v>7</v>
      </c>
      <c r="D517" s="59" t="s">
        <v>288</v>
      </c>
      <c r="E517" s="7" t="s">
        <v>60</v>
      </c>
      <c r="F517" s="37" t="s">
        <v>407</v>
      </c>
      <c r="G517" s="32">
        <v>66.400000000000006</v>
      </c>
      <c r="H517" s="32">
        <v>66.400000000000006</v>
      </c>
      <c r="I517">
        <f>表1_4[[#This Row],[主队2]]-表1_4[[#This Row],[客队2]]</f>
        <v>0</v>
      </c>
      <c r="J51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517" s="35" t="s">
        <v>289</v>
      </c>
      <c r="L51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17" s="11"/>
      <c r="N517" s="57" t="s">
        <v>133</v>
      </c>
      <c r="O517" s="10" t="s">
        <v>28</v>
      </c>
      <c r="P517" s="9" t="s">
        <v>161</v>
      </c>
      <c r="Q517" s="11"/>
      <c r="R517" t="s">
        <v>855</v>
      </c>
      <c r="S517"/>
      <c r="T517" s="3"/>
      <c r="U517" s="83"/>
      <c r="V517" s="94" t="s">
        <v>1107</v>
      </c>
      <c r="W517" s="86"/>
      <c r="X517" s="41"/>
      <c r="Y517" s="113"/>
    </row>
    <row r="518" spans="1:25" s="2" customFormat="1">
      <c r="A518" s="58" t="s">
        <v>908</v>
      </c>
      <c r="B518" s="4">
        <v>43749</v>
      </c>
      <c r="C518" s="2">
        <v>7</v>
      </c>
      <c r="D518" s="59" t="s">
        <v>240</v>
      </c>
      <c r="E518" s="7" t="s">
        <v>42</v>
      </c>
      <c r="F518" s="37" t="s">
        <v>403</v>
      </c>
      <c r="G518" s="32">
        <v>72.599999999999994</v>
      </c>
      <c r="H518" s="32">
        <v>66.3</v>
      </c>
      <c r="I518">
        <f>表1_4[[#This Row],[主队2]]-表1_4[[#This Row],[客队2]]</f>
        <v>6.3</v>
      </c>
      <c r="J51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518" s="35" t="s">
        <v>176</v>
      </c>
      <c r="L51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518" s="63" t="s">
        <v>326</v>
      </c>
      <c r="N518" s="57" t="s">
        <v>119</v>
      </c>
      <c r="O518" s="57" t="s">
        <v>51</v>
      </c>
      <c r="P518" s="9" t="s">
        <v>161</v>
      </c>
      <c r="Q518" s="11"/>
      <c r="R518" t="s">
        <v>855</v>
      </c>
      <c r="S518"/>
      <c r="T518" s="3"/>
      <c r="U518" s="246"/>
      <c r="V518" s="247" t="s">
        <v>1108</v>
      </c>
      <c r="W518" s="244"/>
      <c r="X518" s="41"/>
      <c r="Y518" s="113"/>
    </row>
    <row r="519" spans="1:25" s="2" customFormat="1">
      <c r="A519" s="58" t="s">
        <v>908</v>
      </c>
      <c r="B519" s="4">
        <v>43749.114583333299</v>
      </c>
      <c r="C519" s="26">
        <v>7</v>
      </c>
      <c r="D519" s="59" t="s">
        <v>353</v>
      </c>
      <c r="E519" s="7" t="s">
        <v>37</v>
      </c>
      <c r="F519" s="37" t="s">
        <v>123</v>
      </c>
      <c r="G519" s="32">
        <v>85.1</v>
      </c>
      <c r="H519" s="32">
        <v>77.8</v>
      </c>
      <c r="I519">
        <f>表1_4[[#This Row],[主队2]]-表1_4[[#This Row],[客队2]]</f>
        <v>7.3</v>
      </c>
      <c r="J51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519" s="35" t="s">
        <v>176</v>
      </c>
      <c r="L51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519" s="11"/>
      <c r="N519" s="10" t="s">
        <v>112</v>
      </c>
      <c r="O519" s="10" t="s">
        <v>143</v>
      </c>
      <c r="P519" s="9">
        <v>7</v>
      </c>
      <c r="Q519" s="11"/>
      <c r="R519" t="s">
        <v>852</v>
      </c>
      <c r="S519"/>
      <c r="T519" s="3"/>
      <c r="U519" s="246"/>
      <c r="V519" s="247" t="s">
        <v>1109</v>
      </c>
      <c r="W519" s="86"/>
      <c r="X519" s="41"/>
      <c r="Y519" s="113"/>
    </row>
    <row r="520" spans="1:25" s="2" customFormat="1">
      <c r="A520" s="58" t="s">
        <v>908</v>
      </c>
      <c r="B520" s="4">
        <v>43749.114583333299</v>
      </c>
      <c r="C520" s="2">
        <v>7</v>
      </c>
      <c r="D520" s="59" t="s">
        <v>274</v>
      </c>
      <c r="E520" s="42" t="s">
        <v>490</v>
      </c>
      <c r="F520" s="37" t="s">
        <v>282</v>
      </c>
      <c r="G520" s="32">
        <v>94.5</v>
      </c>
      <c r="H520" s="32">
        <v>30.2</v>
      </c>
      <c r="I520">
        <f>表1_4[[#This Row],[主队2]]-表1_4[[#This Row],[客队2]]</f>
        <v>64.3</v>
      </c>
      <c r="J520" s="35" t="s">
        <v>1110</v>
      </c>
      <c r="K520" s="35" t="s">
        <v>1111</v>
      </c>
      <c r="L52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520" s="11"/>
      <c r="N520" s="10" t="s">
        <v>133</v>
      </c>
      <c r="O520" s="10" t="s">
        <v>40</v>
      </c>
      <c r="P520" s="9" t="s">
        <v>161</v>
      </c>
      <c r="Q520" s="11"/>
      <c r="R520" t="s">
        <v>852</v>
      </c>
      <c r="S520"/>
      <c r="T520" s="3"/>
      <c r="U520" s="246" t="s">
        <v>1112</v>
      </c>
      <c r="V520" s="247" t="s">
        <v>454</v>
      </c>
      <c r="W520" s="86"/>
      <c r="X520" s="41"/>
      <c r="Y520" s="113"/>
    </row>
    <row r="521" spans="1:25" s="2" customFormat="1">
      <c r="A521" s="58" t="s">
        <v>908</v>
      </c>
      <c r="B521" s="4">
        <v>43749.114583333299</v>
      </c>
      <c r="C521" s="2">
        <v>7</v>
      </c>
      <c r="D521" s="59" t="s">
        <v>251</v>
      </c>
      <c r="E521" s="7" t="s">
        <v>64</v>
      </c>
      <c r="F521" s="37" t="s">
        <v>302</v>
      </c>
      <c r="G521" s="32">
        <v>61.5</v>
      </c>
      <c r="H521" s="32">
        <v>83.9</v>
      </c>
      <c r="I521">
        <f>表1_4[[#This Row],[主队2]]-表1_4[[#This Row],[客队2]]</f>
        <v>-22.4</v>
      </c>
      <c r="J521" s="35" t="s">
        <v>686</v>
      </c>
      <c r="K521" s="35" t="s">
        <v>1062</v>
      </c>
      <c r="L52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521" s="11"/>
      <c r="N521" s="57" t="s">
        <v>404</v>
      </c>
      <c r="O521" s="10" t="s">
        <v>143</v>
      </c>
      <c r="P521" s="9" t="s">
        <v>161</v>
      </c>
      <c r="Q521" s="11"/>
      <c r="R521" t="s">
        <v>852</v>
      </c>
      <c r="S521"/>
      <c r="T521" s="3"/>
      <c r="U521" s="246"/>
      <c r="V521" s="94" t="s">
        <v>1113</v>
      </c>
      <c r="W521" s="71"/>
      <c r="X521" s="41"/>
      <c r="Y521" s="113"/>
    </row>
    <row r="522" spans="1:25" s="2" customFormat="1">
      <c r="A522" s="58" t="s">
        <v>908</v>
      </c>
      <c r="B522" s="4">
        <v>43749.114583333299</v>
      </c>
      <c r="C522" s="2">
        <v>7</v>
      </c>
      <c r="D522" s="59" t="s">
        <v>440</v>
      </c>
      <c r="E522" s="7" t="s">
        <v>33</v>
      </c>
      <c r="F522" s="37" t="s">
        <v>309</v>
      </c>
      <c r="G522" s="32">
        <v>72.5</v>
      </c>
      <c r="H522" s="32">
        <v>78.7</v>
      </c>
      <c r="I522">
        <f>表1_4[[#This Row],[主队2]]-表1_4[[#This Row],[客队2]]</f>
        <v>-6.2</v>
      </c>
      <c r="J522" s="34">
        <v>-0.25</v>
      </c>
      <c r="K522" s="35" t="s">
        <v>166</v>
      </c>
      <c r="L52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22" s="11"/>
      <c r="N522" s="10" t="s">
        <v>112</v>
      </c>
      <c r="O522" s="10" t="s">
        <v>65</v>
      </c>
      <c r="P522" s="9">
        <v>23</v>
      </c>
      <c r="Q522" s="11"/>
      <c r="R522" t="s">
        <v>852</v>
      </c>
      <c r="S522"/>
      <c r="T522" s="3"/>
      <c r="U522" s="25"/>
      <c r="V522" s="84" t="s">
        <v>1114</v>
      </c>
      <c r="W522" s="86"/>
      <c r="X522" s="41"/>
      <c r="Y522" s="113"/>
    </row>
    <row r="523" spans="1:25" s="2" customFormat="1">
      <c r="A523" s="58" t="s">
        <v>908</v>
      </c>
      <c r="B523" s="4">
        <v>43749.114583333299</v>
      </c>
      <c r="C523" s="2">
        <v>7</v>
      </c>
      <c r="D523" s="59" t="s">
        <v>194</v>
      </c>
      <c r="E523" s="7" t="s">
        <v>41</v>
      </c>
      <c r="F523" s="37" t="s">
        <v>210</v>
      </c>
      <c r="G523" s="32">
        <v>81.599999999999994</v>
      </c>
      <c r="H523" s="32">
        <v>75</v>
      </c>
      <c r="I523">
        <f>表1_4[[#This Row],[主队2]]-表1_4[[#This Row],[客队2]]</f>
        <v>6.5999999999999899</v>
      </c>
      <c r="J52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523" s="35" t="s">
        <v>125</v>
      </c>
      <c r="L52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23" s="11"/>
      <c r="N523" s="10" t="s">
        <v>119</v>
      </c>
      <c r="O523" s="10" t="s">
        <v>65</v>
      </c>
      <c r="P523" s="9">
        <v>4</v>
      </c>
      <c r="Q523" s="11"/>
      <c r="R523" t="s">
        <v>855</v>
      </c>
      <c r="S523"/>
      <c r="T523" s="3"/>
      <c r="U523" s="83"/>
      <c r="V523" s="247" t="s">
        <v>1115</v>
      </c>
      <c r="W523" s="86"/>
      <c r="X523" s="41"/>
      <c r="Y523" s="113"/>
    </row>
    <row r="524" spans="1:25" s="2" customFormat="1">
      <c r="A524" s="58" t="s">
        <v>908</v>
      </c>
      <c r="B524" s="4">
        <v>43749.114583333299</v>
      </c>
      <c r="C524" s="115">
        <v>7</v>
      </c>
      <c r="D524" s="59" t="s">
        <v>425</v>
      </c>
      <c r="E524" s="7" t="s">
        <v>36</v>
      </c>
      <c r="F524" s="37" t="s">
        <v>200</v>
      </c>
      <c r="G524" s="32">
        <v>82.9</v>
      </c>
      <c r="H524" s="32">
        <v>79.8</v>
      </c>
      <c r="I524">
        <f>表1_4[[#This Row],[主队2]]-表1_4[[#This Row],[客队2]]</f>
        <v>3.1000000000000099</v>
      </c>
      <c r="J52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524" s="35" t="s">
        <v>182</v>
      </c>
      <c r="L52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24" s="11"/>
      <c r="N524" s="57" t="s">
        <v>133</v>
      </c>
      <c r="O524" s="10" t="s">
        <v>51</v>
      </c>
      <c r="P524" s="9">
        <v>3</v>
      </c>
      <c r="Q524" s="11"/>
      <c r="R524" t="s">
        <v>852</v>
      </c>
      <c r="S524"/>
      <c r="T524" s="3"/>
      <c r="U524" s="254" t="s">
        <v>167</v>
      </c>
      <c r="V524" s="89" t="s">
        <v>1116</v>
      </c>
      <c r="W524" s="87"/>
      <c r="X524" s="41"/>
      <c r="Y524" s="113"/>
    </row>
    <row r="525" spans="1:25" s="2" customFormat="1">
      <c r="A525" s="58" t="s">
        <v>908</v>
      </c>
      <c r="B525" s="4">
        <v>43749.114583333299</v>
      </c>
      <c r="C525" s="26">
        <v>7</v>
      </c>
      <c r="D525" s="59" t="s">
        <v>110</v>
      </c>
      <c r="E525" s="7" t="s">
        <v>44</v>
      </c>
      <c r="F525" s="37" t="s">
        <v>271</v>
      </c>
      <c r="G525" s="32">
        <v>88.2</v>
      </c>
      <c r="H525" s="32">
        <v>76.400000000000006</v>
      </c>
      <c r="I525">
        <f>表1_4[[#This Row],[主队2]]-表1_4[[#This Row],[客队2]]</f>
        <v>11.8</v>
      </c>
      <c r="J52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525" s="35" t="s">
        <v>125</v>
      </c>
      <c r="L52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25" s="11"/>
      <c r="N525" s="10" t="s">
        <v>119</v>
      </c>
      <c r="O525" s="10" t="s">
        <v>28</v>
      </c>
      <c r="P525" s="9">
        <v>2</v>
      </c>
      <c r="Q525" s="11"/>
      <c r="R525" t="s">
        <v>852</v>
      </c>
      <c r="S525"/>
      <c r="T525" s="3"/>
      <c r="U525" s="25"/>
      <c r="V525" s="24" t="s">
        <v>1117</v>
      </c>
      <c r="W525" s="40" t="s">
        <v>381</v>
      </c>
      <c r="X525" s="41"/>
      <c r="Y525" s="113"/>
    </row>
    <row r="526" spans="1:25" s="2" customFormat="1">
      <c r="A526" s="58" t="s">
        <v>908</v>
      </c>
      <c r="B526" s="4">
        <v>43749.114583333299</v>
      </c>
      <c r="C526" s="7">
        <v>7</v>
      </c>
      <c r="D526" s="59" t="s">
        <v>262</v>
      </c>
      <c r="E526" s="7" t="s">
        <v>41</v>
      </c>
      <c r="F526" s="37" t="s">
        <v>296</v>
      </c>
      <c r="G526" s="32">
        <v>93</v>
      </c>
      <c r="H526" s="32">
        <v>77</v>
      </c>
      <c r="I526">
        <f>表1_4[[#This Row],[主队2]]-表1_4[[#This Row],[客队2]]</f>
        <v>16</v>
      </c>
      <c r="J52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526" s="35" t="s">
        <v>45</v>
      </c>
      <c r="L52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26" s="11"/>
      <c r="N526" s="10" t="s">
        <v>119</v>
      </c>
      <c r="O526" s="10" t="s">
        <v>35</v>
      </c>
      <c r="P526" s="9">
        <v>1</v>
      </c>
      <c r="Q526" s="11"/>
      <c r="R526"/>
      <c r="S526"/>
      <c r="T526" s="3"/>
      <c r="U526" s="25" t="s">
        <v>791</v>
      </c>
      <c r="V526" s="247" t="s">
        <v>1118</v>
      </c>
      <c r="W526" s="87"/>
      <c r="X526" s="41"/>
      <c r="Y526" s="113"/>
    </row>
    <row r="527" spans="1:25" s="2" customFormat="1">
      <c r="A527" s="58" t="s">
        <v>908</v>
      </c>
      <c r="B527" s="4">
        <v>43750.114583333299</v>
      </c>
      <c r="C527" s="26">
        <v>7</v>
      </c>
      <c r="D527" s="59" t="s">
        <v>190</v>
      </c>
      <c r="E527" s="7" t="s">
        <v>31</v>
      </c>
      <c r="F527" s="37" t="s">
        <v>205</v>
      </c>
      <c r="G527" s="32">
        <v>83.4</v>
      </c>
      <c r="H527" s="32">
        <v>72.5</v>
      </c>
      <c r="I527">
        <f>表1_4[[#This Row],[主队2]]-表1_4[[#This Row],[客队2]]</f>
        <v>10.9</v>
      </c>
      <c r="J52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527" s="35" t="s">
        <v>176</v>
      </c>
      <c r="L52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27" s="11"/>
      <c r="N527" s="10" t="s">
        <v>119</v>
      </c>
      <c r="O527" s="57" t="s">
        <v>51</v>
      </c>
      <c r="P527" s="9" t="s">
        <v>161</v>
      </c>
      <c r="Q527" s="11"/>
      <c r="R527" t="s">
        <v>852</v>
      </c>
      <c r="S527"/>
      <c r="T527" s="3"/>
      <c r="U527" s="25"/>
      <c r="V527" s="84" t="s">
        <v>1119</v>
      </c>
      <c r="W527" s="71"/>
      <c r="X527" s="41"/>
      <c r="Y527" s="113"/>
    </row>
    <row r="528" spans="1:25" s="2" customFormat="1">
      <c r="A528" s="58" t="s">
        <v>908</v>
      </c>
      <c r="B528" s="4">
        <v>43750.114583333299</v>
      </c>
      <c r="C528" s="26">
        <v>7</v>
      </c>
      <c r="D528" s="59" t="s">
        <v>218</v>
      </c>
      <c r="E528" s="7" t="s">
        <v>53</v>
      </c>
      <c r="F528" s="37" t="s">
        <v>267</v>
      </c>
      <c r="G528" s="32">
        <v>78.400000000000006</v>
      </c>
      <c r="H528" s="32">
        <v>96.1</v>
      </c>
      <c r="I528">
        <f>表1_4[[#This Row],[主队2]]-表1_4[[#This Row],[客队2]]</f>
        <v>-17.7</v>
      </c>
      <c r="J52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528" s="35" t="s">
        <v>219</v>
      </c>
      <c r="L52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28" s="11"/>
      <c r="N528" s="10" t="s">
        <v>133</v>
      </c>
      <c r="O528" s="10" t="s">
        <v>46</v>
      </c>
      <c r="P528" s="9">
        <v>19</v>
      </c>
      <c r="Q528" s="11"/>
      <c r="R528" t="s">
        <v>852</v>
      </c>
      <c r="S528"/>
      <c r="T528" s="3"/>
      <c r="U528" s="246"/>
      <c r="V528" s="94" t="s">
        <v>1120</v>
      </c>
      <c r="W528" s="86"/>
      <c r="X528" s="41"/>
      <c r="Y528" s="113"/>
    </row>
    <row r="529" spans="1:25" s="2" customFormat="1">
      <c r="A529" s="58" t="s">
        <v>908</v>
      </c>
      <c r="B529" s="4">
        <v>43750.114583333299</v>
      </c>
      <c r="C529" s="115">
        <v>7</v>
      </c>
      <c r="D529" s="59" t="s">
        <v>243</v>
      </c>
      <c r="E529" s="7" t="s">
        <v>31</v>
      </c>
      <c r="F529" s="37" t="s">
        <v>195</v>
      </c>
      <c r="G529" s="32">
        <v>47.4</v>
      </c>
      <c r="H529" s="32">
        <v>61</v>
      </c>
      <c r="I529">
        <f>表1_4[[#This Row],[主队2]]-表1_4[[#This Row],[客队2]]</f>
        <v>-13.6</v>
      </c>
      <c r="J52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529" s="35" t="s">
        <v>132</v>
      </c>
      <c r="L52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29" s="11"/>
      <c r="N529" s="10" t="s">
        <v>119</v>
      </c>
      <c r="O529" s="57" t="s">
        <v>48</v>
      </c>
      <c r="P529" s="9" t="s">
        <v>161</v>
      </c>
      <c r="Q529" s="11"/>
      <c r="R529"/>
      <c r="S529"/>
      <c r="T529" s="3"/>
      <c r="U529" s="25"/>
      <c r="V529" s="89" t="s">
        <v>1121</v>
      </c>
      <c r="W529" s="86"/>
      <c r="X529" s="41"/>
      <c r="Y529" s="113"/>
    </row>
    <row r="530" spans="1:25" s="2" customFormat="1">
      <c r="A530" s="58" t="s">
        <v>908</v>
      </c>
      <c r="B530" s="4">
        <v>43750.114583333299</v>
      </c>
      <c r="C530" s="2">
        <v>7</v>
      </c>
      <c r="D530" s="59" t="s">
        <v>214</v>
      </c>
      <c r="E530" s="7" t="s">
        <v>22</v>
      </c>
      <c r="F530" s="37" t="s">
        <v>292</v>
      </c>
      <c r="G530" s="32">
        <v>83.7</v>
      </c>
      <c r="H530" s="32">
        <v>62.4</v>
      </c>
      <c r="I530">
        <f>表1_4[[#This Row],[主队2]]-表1_4[[#This Row],[客队2]]</f>
        <v>21.3</v>
      </c>
      <c r="J530" s="35" t="s">
        <v>23</v>
      </c>
      <c r="K530" s="35" t="s">
        <v>23</v>
      </c>
      <c r="L53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530" s="11" t="s">
        <v>1104</v>
      </c>
      <c r="N530" s="46" t="s">
        <v>160</v>
      </c>
      <c r="O530" s="46" t="s">
        <v>35</v>
      </c>
      <c r="P530" s="9" t="s">
        <v>161</v>
      </c>
      <c r="Q530" s="57"/>
      <c r="R530" t="s">
        <v>855</v>
      </c>
      <c r="S530"/>
      <c r="T530" s="3"/>
      <c r="U530" s="246" t="s">
        <v>1122</v>
      </c>
      <c r="V530" s="24" t="s">
        <v>1123</v>
      </c>
      <c r="W530" s="40"/>
      <c r="X530" s="41"/>
      <c r="Y530" s="113"/>
    </row>
    <row r="531" spans="1:25" s="2" customFormat="1">
      <c r="A531" s="58" t="s">
        <v>908</v>
      </c>
      <c r="B531" s="4">
        <v>43750.114583333299</v>
      </c>
      <c r="C531" s="26">
        <v>7</v>
      </c>
      <c r="D531" s="59" t="s">
        <v>270</v>
      </c>
      <c r="E531" s="7" t="s">
        <v>44</v>
      </c>
      <c r="F531" s="37" t="s">
        <v>266</v>
      </c>
      <c r="G531" s="32">
        <v>93.1</v>
      </c>
      <c r="H531" s="32">
        <v>60.8</v>
      </c>
      <c r="I531">
        <f>表1_4[[#This Row],[主队2]]-表1_4[[#This Row],[客队2]]</f>
        <v>32.299999999999997</v>
      </c>
      <c r="J531" s="35" t="s">
        <v>56</v>
      </c>
      <c r="K531" s="35" t="s">
        <v>34</v>
      </c>
      <c r="L53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31" s="11"/>
      <c r="N531" s="10" t="s">
        <v>112</v>
      </c>
      <c r="O531" s="10" t="s">
        <v>35</v>
      </c>
      <c r="P531" s="9" t="s">
        <v>161</v>
      </c>
      <c r="Q531" s="11"/>
      <c r="R531" t="s">
        <v>852</v>
      </c>
      <c r="S531"/>
      <c r="T531" s="3"/>
      <c r="U531" s="83" t="s">
        <v>1124</v>
      </c>
      <c r="V531" s="247" t="s">
        <v>1125</v>
      </c>
      <c r="W531" s="40"/>
      <c r="X531" s="41"/>
      <c r="Y531" s="113"/>
    </row>
    <row r="532" spans="1:25" s="2" customFormat="1">
      <c r="A532" s="58" t="s">
        <v>908</v>
      </c>
      <c r="B532" s="4">
        <v>43750.114583333299</v>
      </c>
      <c r="C532" s="7">
        <v>7</v>
      </c>
      <c r="D532" s="59" t="s">
        <v>301</v>
      </c>
      <c r="E532" s="7" t="s">
        <v>42</v>
      </c>
      <c r="F532" s="37" t="s">
        <v>261</v>
      </c>
      <c r="G532" s="32">
        <v>74</v>
      </c>
      <c r="H532" s="32">
        <v>73.3</v>
      </c>
      <c r="I532">
        <f>表1_4[[#This Row],[主队2]]-表1_4[[#This Row],[客队2]]</f>
        <v>0.70000000000000295</v>
      </c>
      <c r="J53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532" s="35" t="s">
        <v>289</v>
      </c>
      <c r="L53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32" s="11"/>
      <c r="N532" s="10" t="s">
        <v>119</v>
      </c>
      <c r="O532" s="10" t="s">
        <v>35</v>
      </c>
      <c r="P532" s="9">
        <v>11</v>
      </c>
      <c r="Q532" s="11"/>
      <c r="R532"/>
      <c r="S532"/>
      <c r="T532" s="3"/>
      <c r="U532" s="83" t="s">
        <v>1126</v>
      </c>
      <c r="V532" s="85" t="s">
        <v>1127</v>
      </c>
      <c r="W532" s="86"/>
      <c r="X532" s="41"/>
      <c r="Y532" s="113"/>
    </row>
    <row r="533" spans="1:25" s="2" customFormat="1">
      <c r="A533" s="58" t="s">
        <v>908</v>
      </c>
      <c r="B533" s="4">
        <v>43750.114583333299</v>
      </c>
      <c r="C533" s="2">
        <v>7</v>
      </c>
      <c r="D533" s="59" t="s">
        <v>284</v>
      </c>
      <c r="E533" s="7" t="s">
        <v>33</v>
      </c>
      <c r="F533" s="37" t="s">
        <v>117</v>
      </c>
      <c r="G533" s="32">
        <v>83.1</v>
      </c>
      <c r="H533" s="32">
        <v>94.2</v>
      </c>
      <c r="I533">
        <f>表1_4[[#This Row],[主队2]]-表1_4[[#This Row],[客队2]]</f>
        <v>-11.1</v>
      </c>
      <c r="J53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533" s="35" t="s">
        <v>245</v>
      </c>
      <c r="L53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33" s="11"/>
      <c r="N533" s="245" t="s">
        <v>133</v>
      </c>
      <c r="O533" s="10" t="s">
        <v>65</v>
      </c>
      <c r="P533" s="9">
        <v>13</v>
      </c>
      <c r="Q533" s="11"/>
      <c r="R533" t="s">
        <v>852</v>
      </c>
      <c r="S533"/>
      <c r="T533" s="3"/>
      <c r="U533" s="25"/>
      <c r="V533" s="24" t="s">
        <v>1128</v>
      </c>
      <c r="W533" s="86"/>
      <c r="X533" s="41"/>
      <c r="Y533" s="113"/>
    </row>
    <row r="534" spans="1:25" s="2" customFormat="1">
      <c r="A534" s="58" t="s">
        <v>908</v>
      </c>
      <c r="B534" s="4">
        <v>43750.875</v>
      </c>
      <c r="C534" s="2">
        <v>7</v>
      </c>
      <c r="D534" s="59" t="s">
        <v>430</v>
      </c>
      <c r="E534" s="7" t="s">
        <v>42</v>
      </c>
      <c r="F534" s="37" t="s">
        <v>199</v>
      </c>
      <c r="G534" s="32">
        <v>72</v>
      </c>
      <c r="H534" s="32">
        <v>81.5</v>
      </c>
      <c r="I534">
        <f>表1_4[[#This Row],[主队2]]-表1_4[[#This Row],[客队2]]</f>
        <v>-9.5</v>
      </c>
      <c r="J53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534" s="35" t="s">
        <v>152</v>
      </c>
      <c r="L53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34" s="11"/>
      <c r="N534" s="10" t="s">
        <v>119</v>
      </c>
      <c r="O534" s="10" t="s">
        <v>65</v>
      </c>
      <c r="P534" s="9">
        <v>22</v>
      </c>
      <c r="Q534" s="11"/>
      <c r="R534" t="s">
        <v>852</v>
      </c>
      <c r="S534"/>
      <c r="T534" s="3"/>
      <c r="U534" s="246"/>
      <c r="V534" s="247" t="s">
        <v>1129</v>
      </c>
      <c r="W534" s="86"/>
      <c r="X534" s="41"/>
      <c r="Y534" s="113"/>
    </row>
    <row r="535" spans="1:25" s="2" customFormat="1">
      <c r="A535" s="58" t="s">
        <v>908</v>
      </c>
      <c r="B535" s="4">
        <v>43751</v>
      </c>
      <c r="C535" s="2">
        <v>7</v>
      </c>
      <c r="D535" s="59" t="s">
        <v>306</v>
      </c>
      <c r="E535" s="7" t="s">
        <v>31</v>
      </c>
      <c r="F535" s="37" t="s">
        <v>250</v>
      </c>
      <c r="G535" s="32">
        <v>86.7</v>
      </c>
      <c r="H535" s="32">
        <v>87.9</v>
      </c>
      <c r="I535">
        <f>表1_4[[#This Row],[主队2]]-表1_4[[#This Row],[客队2]]</f>
        <v>-1.2</v>
      </c>
      <c r="J53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535" s="35" t="s">
        <v>182</v>
      </c>
      <c r="L53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535" s="11"/>
      <c r="N535" s="10" t="s">
        <v>119</v>
      </c>
      <c r="O535" s="10" t="s">
        <v>28</v>
      </c>
      <c r="P535" s="9">
        <v>-3</v>
      </c>
      <c r="Q535" s="11"/>
      <c r="R535" t="s">
        <v>852</v>
      </c>
      <c r="S535"/>
      <c r="T535" s="3"/>
      <c r="U535" s="246"/>
      <c r="V535" s="247" t="s">
        <v>1130</v>
      </c>
      <c r="W535" s="244"/>
      <c r="X535" s="41"/>
      <c r="Y535" s="113"/>
    </row>
    <row r="536" spans="1:25" s="2" customFormat="1">
      <c r="A536" s="58" t="s">
        <v>908</v>
      </c>
      <c r="B536" s="4">
        <v>43751</v>
      </c>
      <c r="C536" s="26">
        <v>7</v>
      </c>
      <c r="D536" s="59" t="s">
        <v>244</v>
      </c>
      <c r="E536" s="7" t="s">
        <v>64</v>
      </c>
      <c r="F536" s="37" t="s">
        <v>305</v>
      </c>
      <c r="G536" s="32">
        <v>55.9</v>
      </c>
      <c r="H536" s="32">
        <v>82.3</v>
      </c>
      <c r="I536">
        <f>表1_4[[#This Row],[主队2]]-表1_4[[#This Row],[客队2]]</f>
        <v>-26.4</v>
      </c>
      <c r="J536" s="35" t="s">
        <v>1062</v>
      </c>
      <c r="K536" s="35" t="s">
        <v>666</v>
      </c>
      <c r="L53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36" s="11"/>
      <c r="N536" s="10" t="s">
        <v>133</v>
      </c>
      <c r="O536" s="10" t="s">
        <v>65</v>
      </c>
      <c r="P536" s="9" t="s">
        <v>161</v>
      </c>
      <c r="Q536" s="11"/>
      <c r="R536" t="s">
        <v>852</v>
      </c>
      <c r="S536"/>
      <c r="T536" s="3"/>
      <c r="U536" s="83"/>
      <c r="V536" s="94" t="s">
        <v>1131</v>
      </c>
      <c r="W536" s="86"/>
      <c r="X536" s="41"/>
      <c r="Y536" s="113"/>
    </row>
    <row r="537" spans="1:25" s="2" customFormat="1" ht="28.9">
      <c r="A537" s="58" t="s">
        <v>908</v>
      </c>
      <c r="B537" s="4">
        <v>43751.114583333299</v>
      </c>
      <c r="C537" s="2">
        <v>7</v>
      </c>
      <c r="D537" s="59" t="s">
        <v>297</v>
      </c>
      <c r="E537" s="7" t="s">
        <v>36</v>
      </c>
      <c r="F537" s="37" t="s">
        <v>209</v>
      </c>
      <c r="G537" s="32">
        <v>79.7</v>
      </c>
      <c r="H537" s="32">
        <v>97.4</v>
      </c>
      <c r="I537">
        <f>表1_4[[#This Row],[主队2]]-表1_4[[#This Row],[客队2]]</f>
        <v>-17.7</v>
      </c>
      <c r="J53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537" s="35" t="s">
        <v>245</v>
      </c>
      <c r="L53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37" s="11"/>
      <c r="N537" s="10" t="s">
        <v>133</v>
      </c>
      <c r="O537" s="114" t="s">
        <v>51</v>
      </c>
      <c r="P537" s="9">
        <v>8</v>
      </c>
      <c r="Q537" s="11"/>
      <c r="R537" t="s">
        <v>852</v>
      </c>
      <c r="S537"/>
      <c r="T537" s="3"/>
      <c r="U537" s="25"/>
      <c r="V537" s="24" t="s">
        <v>1132</v>
      </c>
      <c r="W537" s="87"/>
      <c r="X537" s="41"/>
      <c r="Y537" s="113"/>
    </row>
    <row r="538" spans="1:25" s="2" customFormat="1">
      <c r="A538" s="58" t="s">
        <v>908</v>
      </c>
      <c r="B538" s="4">
        <v>43751.114583333299</v>
      </c>
      <c r="C538" s="2">
        <v>7</v>
      </c>
      <c r="D538" s="59" t="s">
        <v>929</v>
      </c>
      <c r="E538" s="7" t="s">
        <v>61</v>
      </c>
      <c r="F538" s="37" t="s">
        <v>239</v>
      </c>
      <c r="G538" s="32">
        <v>56.7</v>
      </c>
      <c r="H538" s="32">
        <v>86.3</v>
      </c>
      <c r="I538">
        <f>表1_4[[#This Row],[主队2]]-表1_4[[#This Row],[客队2]]</f>
        <v>-29.6</v>
      </c>
      <c r="J538" s="35" t="s">
        <v>1016</v>
      </c>
      <c r="K538" s="35" t="s">
        <v>1062</v>
      </c>
      <c r="L53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38" s="11"/>
      <c r="N538" s="10" t="s">
        <v>112</v>
      </c>
      <c r="O538" s="10" t="s">
        <v>28</v>
      </c>
      <c r="P538" s="9" t="s">
        <v>161</v>
      </c>
      <c r="Q538" s="11"/>
      <c r="R538" t="s">
        <v>852</v>
      </c>
      <c r="S538"/>
      <c r="T538" s="3"/>
      <c r="U538" s="246"/>
      <c r="V538" s="247" t="s">
        <v>1133</v>
      </c>
      <c r="W538" s="86"/>
      <c r="X538" s="41"/>
      <c r="Y538" s="113"/>
    </row>
    <row r="539" spans="1:25" s="2" customFormat="1">
      <c r="A539" s="58" t="s">
        <v>908</v>
      </c>
      <c r="B539" s="4">
        <v>43751</v>
      </c>
      <c r="C539" s="115">
        <v>7</v>
      </c>
      <c r="D539" s="59" t="s">
        <v>255</v>
      </c>
      <c r="E539" s="7" t="s">
        <v>43</v>
      </c>
      <c r="F539" s="37" t="s">
        <v>191</v>
      </c>
      <c r="G539" s="32">
        <v>82.6</v>
      </c>
      <c r="H539" s="32">
        <v>77.400000000000006</v>
      </c>
      <c r="I539">
        <f>表1_4[[#This Row],[主队2]]-表1_4[[#This Row],[客队2]]</f>
        <v>5.1999999999999904</v>
      </c>
      <c r="J53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539" s="35" t="s">
        <v>289</v>
      </c>
      <c r="L53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39" s="63" t="s">
        <v>1134</v>
      </c>
      <c r="N539" s="10" t="s">
        <v>119</v>
      </c>
      <c r="O539" s="10" t="s">
        <v>27</v>
      </c>
      <c r="P539" s="9">
        <v>-1</v>
      </c>
      <c r="Q539" s="11"/>
      <c r="R539" t="s">
        <v>855</v>
      </c>
      <c r="S539"/>
      <c r="T539" s="3" t="s">
        <v>1066</v>
      </c>
      <c r="U539" s="83"/>
      <c r="V539" s="130" t="s">
        <v>1135</v>
      </c>
      <c r="W539" s="86"/>
      <c r="X539" s="41"/>
      <c r="Y539" s="113"/>
    </row>
    <row r="540" spans="1:25" s="2" customFormat="1">
      <c r="A540" s="58" t="s">
        <v>908</v>
      </c>
      <c r="B540" s="4">
        <v>43751.114583333299</v>
      </c>
      <c r="C540" s="2">
        <v>7</v>
      </c>
      <c r="D540" s="59" t="s">
        <v>437</v>
      </c>
      <c r="E540" s="7" t="s">
        <v>36</v>
      </c>
      <c r="F540" s="37" t="s">
        <v>287</v>
      </c>
      <c r="G540" s="32">
        <v>48.5</v>
      </c>
      <c r="H540" s="32">
        <v>70.5</v>
      </c>
      <c r="I540">
        <f>表1_4[[#This Row],[主队2]]-表1_4[[#This Row],[客队2]]</f>
        <v>-22</v>
      </c>
      <c r="J540" s="35" t="s">
        <v>686</v>
      </c>
      <c r="K540" s="35" t="s">
        <v>686</v>
      </c>
      <c r="L54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540" s="11"/>
      <c r="N540" s="10" t="s">
        <v>133</v>
      </c>
      <c r="O540" s="10" t="s">
        <v>51</v>
      </c>
      <c r="P540" s="9" t="s">
        <v>161</v>
      </c>
      <c r="Q540" s="11"/>
      <c r="R540" t="s">
        <v>855</v>
      </c>
      <c r="S540"/>
      <c r="T540" s="3"/>
      <c r="U540" s="83" t="s">
        <v>448</v>
      </c>
      <c r="V540" s="252" t="s">
        <v>1136</v>
      </c>
      <c r="W540" s="87"/>
      <c r="X540" s="41"/>
      <c r="Y540" s="113"/>
    </row>
    <row r="541" spans="1:25" s="2" customFormat="1">
      <c r="A541" s="58" t="s">
        <v>908</v>
      </c>
      <c r="B541" s="4">
        <v>43751.114583333299</v>
      </c>
      <c r="C541" s="2">
        <v>7</v>
      </c>
      <c r="D541" s="267" t="s">
        <v>204</v>
      </c>
      <c r="E541" s="7" t="s">
        <v>22</v>
      </c>
      <c r="F541" s="37" t="s">
        <v>275</v>
      </c>
      <c r="G541" s="32">
        <v>89.1</v>
      </c>
      <c r="H541" s="32">
        <v>76.8</v>
      </c>
      <c r="I541">
        <f>表1_4[[#This Row],[主队2]]-表1_4[[#This Row],[客队2]]</f>
        <v>12.3</v>
      </c>
      <c r="J54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541" s="35" t="s">
        <v>63</v>
      </c>
      <c r="L54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41" s="11"/>
      <c r="N541" s="10" t="s">
        <v>119</v>
      </c>
      <c r="O541" s="10" t="s">
        <v>28</v>
      </c>
      <c r="P541" s="9">
        <v>0.1</v>
      </c>
      <c r="Q541" s="11"/>
      <c r="R541" t="s">
        <v>852</v>
      </c>
      <c r="S541"/>
      <c r="T541" s="3"/>
      <c r="U541" s="25"/>
      <c r="V541" s="24" t="s">
        <v>1137</v>
      </c>
      <c r="W541" s="86"/>
      <c r="X541" s="41"/>
      <c r="Y541" s="113"/>
    </row>
    <row r="542" spans="1:25" s="2" customFormat="1">
      <c r="A542" s="58" t="s">
        <v>908</v>
      </c>
      <c r="B542" s="4">
        <v>43751.875</v>
      </c>
      <c r="C542" s="2">
        <v>8</v>
      </c>
      <c r="D542" s="59" t="s">
        <v>288</v>
      </c>
      <c r="E542" s="7" t="s">
        <v>47</v>
      </c>
      <c r="F542" s="37" t="s">
        <v>274</v>
      </c>
      <c r="G542" s="32">
        <v>65.8</v>
      </c>
      <c r="H542" s="32">
        <v>94.9</v>
      </c>
      <c r="I542">
        <f>表1_4[[#This Row],[主队2]]-表1_4[[#This Row],[客队2]]</f>
        <v>-29.1</v>
      </c>
      <c r="J542" s="35" t="s">
        <v>1016</v>
      </c>
      <c r="K542" s="35" t="s">
        <v>686</v>
      </c>
      <c r="L54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42" s="11"/>
      <c r="N542" s="10" t="s">
        <v>133</v>
      </c>
      <c r="O542" s="10" t="s">
        <v>24</v>
      </c>
      <c r="P542" s="9">
        <v>6</v>
      </c>
      <c r="Q542" s="11"/>
      <c r="R542" t="s">
        <v>852</v>
      </c>
      <c r="S542"/>
      <c r="T542" s="3"/>
      <c r="U542" s="25"/>
      <c r="V542" s="24" t="s">
        <v>1138</v>
      </c>
      <c r="W542" s="40" t="s">
        <v>381</v>
      </c>
      <c r="X542" s="41"/>
      <c r="Y542" s="113"/>
    </row>
    <row r="543" spans="1:25" s="2" customFormat="1">
      <c r="A543" s="58" t="s">
        <v>908</v>
      </c>
      <c r="B543" s="4">
        <v>43752</v>
      </c>
      <c r="C543" s="2">
        <v>8</v>
      </c>
      <c r="D543" s="59" t="s">
        <v>123</v>
      </c>
      <c r="E543" s="7" t="s">
        <v>55</v>
      </c>
      <c r="F543" s="37" t="s">
        <v>282</v>
      </c>
      <c r="G543" s="32">
        <v>77.2</v>
      </c>
      <c r="H543" s="32">
        <v>29.8</v>
      </c>
      <c r="I543">
        <f>表1_4[[#This Row],[主队2]]-表1_4[[#This Row],[客队2]]</f>
        <v>47.4</v>
      </c>
      <c r="J543" s="35" t="s">
        <v>58</v>
      </c>
      <c r="K543" s="35" t="s">
        <v>58</v>
      </c>
      <c r="L54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543" s="11"/>
      <c r="N543" s="10" t="s">
        <v>1139</v>
      </c>
      <c r="O543" s="10" t="s">
        <v>40</v>
      </c>
      <c r="P543" s="9" t="s">
        <v>161</v>
      </c>
      <c r="Q543" s="11"/>
      <c r="R543" t="s">
        <v>855</v>
      </c>
      <c r="S543"/>
      <c r="T543" s="3"/>
      <c r="U543" s="83" t="s">
        <v>469</v>
      </c>
      <c r="V543" s="85" t="s">
        <v>980</v>
      </c>
      <c r="W543" s="86"/>
      <c r="X543" s="41"/>
      <c r="Y543" s="113"/>
    </row>
    <row r="544" spans="1:25" s="2" customFormat="1">
      <c r="A544" s="58" t="s">
        <v>908</v>
      </c>
      <c r="B544" s="4">
        <v>43752</v>
      </c>
      <c r="C544" s="26">
        <v>8</v>
      </c>
      <c r="D544" s="59" t="s">
        <v>407</v>
      </c>
      <c r="E544" s="7" t="s">
        <v>978</v>
      </c>
      <c r="F544" s="37" t="s">
        <v>353</v>
      </c>
      <c r="G544" s="32">
        <v>67</v>
      </c>
      <c r="H544" s="32">
        <v>85.7</v>
      </c>
      <c r="I544">
        <f>表1_4[[#This Row],[主队2]]-表1_4[[#This Row],[客队2]]</f>
        <v>-18.7</v>
      </c>
      <c r="J54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544" s="35" t="s">
        <v>245</v>
      </c>
      <c r="L54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44" s="11"/>
      <c r="N544" s="10" t="s">
        <v>112</v>
      </c>
      <c r="O544" s="10" t="s">
        <v>143</v>
      </c>
      <c r="P544" s="9">
        <v>7</v>
      </c>
      <c r="Q544" s="11"/>
      <c r="R544" t="s">
        <v>855</v>
      </c>
      <c r="S544"/>
      <c r="T544" s="3"/>
      <c r="U544" s="246"/>
      <c r="V544" s="247" t="s">
        <v>635</v>
      </c>
      <c r="W544" s="86"/>
      <c r="X544" s="41"/>
      <c r="Y544" s="113"/>
    </row>
    <row r="545" spans="1:25" s="2" customFormat="1">
      <c r="A545" s="58" t="s">
        <v>908</v>
      </c>
      <c r="B545" s="4">
        <v>43752.114583333299</v>
      </c>
      <c r="C545" s="115">
        <v>8</v>
      </c>
      <c r="D545" s="59" t="s">
        <v>309</v>
      </c>
      <c r="E545" s="7" t="s">
        <v>53</v>
      </c>
      <c r="F545" s="37" t="s">
        <v>194</v>
      </c>
      <c r="G545" s="32">
        <v>77.900000000000006</v>
      </c>
      <c r="H545" s="32">
        <v>81.900000000000006</v>
      </c>
      <c r="I545">
        <f>表1_4[[#This Row],[主队2]]-表1_4[[#This Row],[客队2]]</f>
        <v>-4</v>
      </c>
      <c r="J54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545" s="35" t="s">
        <v>152</v>
      </c>
      <c r="L54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545" s="11"/>
      <c r="N545" s="10" t="s">
        <v>133</v>
      </c>
      <c r="O545" s="10" t="s">
        <v>143</v>
      </c>
      <c r="P545" s="9">
        <v>0.1</v>
      </c>
      <c r="Q545" s="11"/>
      <c r="R545"/>
      <c r="S545"/>
      <c r="T545" s="3"/>
      <c r="U545" s="83"/>
      <c r="V545" s="85" t="s">
        <v>1140</v>
      </c>
      <c r="W545" s="87"/>
      <c r="X545" s="41"/>
      <c r="Y545" s="113"/>
    </row>
    <row r="546" spans="1:25" s="2" customFormat="1">
      <c r="A546" s="58" t="s">
        <v>908</v>
      </c>
      <c r="B546" s="4">
        <v>43752.114583333299</v>
      </c>
      <c r="C546" s="26">
        <v>8</v>
      </c>
      <c r="D546" s="59" t="s">
        <v>302</v>
      </c>
      <c r="E546" s="7" t="s">
        <v>22</v>
      </c>
      <c r="F546" s="37" t="s">
        <v>572</v>
      </c>
      <c r="G546" s="32">
        <v>84.3</v>
      </c>
      <c r="H546" s="32">
        <v>73.3</v>
      </c>
      <c r="I546">
        <f>表1_4[[#This Row],[主队2]]-表1_4[[#This Row],[客队2]]</f>
        <v>11</v>
      </c>
      <c r="J54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546" s="35" t="s">
        <v>81</v>
      </c>
      <c r="L54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46" s="11"/>
      <c r="N546" s="10" t="s">
        <v>404</v>
      </c>
      <c r="O546" s="10" t="s">
        <v>24</v>
      </c>
      <c r="P546" s="9">
        <v>15</v>
      </c>
      <c r="Q546" s="11"/>
      <c r="R546" t="s">
        <v>852</v>
      </c>
      <c r="S546"/>
      <c r="T546" s="3"/>
      <c r="U546" s="83" t="s">
        <v>448</v>
      </c>
      <c r="V546" s="85" t="s">
        <v>1141</v>
      </c>
      <c r="W546" s="87"/>
      <c r="X546" s="41"/>
      <c r="Y546" s="113"/>
    </row>
    <row r="547" spans="1:25" s="2" customFormat="1">
      <c r="A547" s="58" t="s">
        <v>908</v>
      </c>
      <c r="B547" s="4">
        <v>43752</v>
      </c>
      <c r="C547" s="2">
        <v>8</v>
      </c>
      <c r="D547" s="59" t="s">
        <v>271</v>
      </c>
      <c r="E547" s="7" t="s">
        <v>31</v>
      </c>
      <c r="F547" s="37" t="s">
        <v>278</v>
      </c>
      <c r="G547" s="32">
        <v>75.7</v>
      </c>
      <c r="H547" s="32">
        <v>65.3</v>
      </c>
      <c r="I547">
        <f>表1_4[[#This Row],[主队2]]-表1_4[[#This Row],[客队2]]</f>
        <v>10.4</v>
      </c>
      <c r="J54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547" s="35" t="s">
        <v>81</v>
      </c>
      <c r="L54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47" s="63" t="s">
        <v>1142</v>
      </c>
      <c r="N547" s="46" t="s">
        <v>133</v>
      </c>
      <c r="O547" s="10" t="s">
        <v>143</v>
      </c>
      <c r="P547" s="9" t="s">
        <v>161</v>
      </c>
      <c r="Q547" s="11"/>
      <c r="R547" t="s">
        <v>852</v>
      </c>
      <c r="S547"/>
      <c r="T547" s="3"/>
      <c r="U547" s="246"/>
      <c r="V547" s="247" t="s">
        <v>1143</v>
      </c>
      <c r="W547" s="87"/>
      <c r="X547" s="41"/>
      <c r="Y547" s="113"/>
    </row>
    <row r="548" spans="1:25" s="2" customFormat="1">
      <c r="A548" s="58" t="s">
        <v>908</v>
      </c>
      <c r="B548" s="4">
        <v>43752.114583333299</v>
      </c>
      <c r="C548" s="2">
        <v>8</v>
      </c>
      <c r="D548" s="59" t="s">
        <v>200</v>
      </c>
      <c r="E548" s="7" t="s">
        <v>36</v>
      </c>
      <c r="F548" s="37" t="s">
        <v>110</v>
      </c>
      <c r="G548" s="32">
        <v>80.3</v>
      </c>
      <c r="H548" s="32">
        <v>88.9</v>
      </c>
      <c r="I548">
        <f>表1_4[[#This Row],[主队2]]-表1_4[[#This Row],[客队2]]</f>
        <v>-8.6000000000000103</v>
      </c>
      <c r="J54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548" s="35" t="s">
        <v>152</v>
      </c>
      <c r="L54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48" s="11"/>
      <c r="N548" s="10" t="s">
        <v>119</v>
      </c>
      <c r="O548" s="10" t="s">
        <v>28</v>
      </c>
      <c r="P548" s="9">
        <v>11</v>
      </c>
      <c r="Q548" s="11"/>
      <c r="R548" t="s">
        <v>852</v>
      </c>
      <c r="S548"/>
      <c r="T548" s="3"/>
      <c r="U548" s="83"/>
      <c r="V548" s="89" t="s">
        <v>1144</v>
      </c>
      <c r="W548" s="71"/>
      <c r="X548" s="41"/>
      <c r="Y548" s="113"/>
    </row>
    <row r="549" spans="1:25" s="2" customFormat="1">
      <c r="A549" s="58" t="s">
        <v>908</v>
      </c>
      <c r="B549" s="4">
        <v>43752</v>
      </c>
      <c r="C549" s="2">
        <v>8</v>
      </c>
      <c r="D549" s="59" t="s">
        <v>240</v>
      </c>
      <c r="E549" s="7" t="s">
        <v>60</v>
      </c>
      <c r="F549" s="37" t="s">
        <v>262</v>
      </c>
      <c r="G549" s="32">
        <v>72.099999999999994</v>
      </c>
      <c r="H549" s="32">
        <v>92.8</v>
      </c>
      <c r="I549">
        <f>表1_4[[#This Row],[主队2]]-表1_4[[#This Row],[客队2]]</f>
        <v>-20.7</v>
      </c>
      <c r="J549" s="35" t="s">
        <v>666</v>
      </c>
      <c r="K549" s="35" t="s">
        <v>686</v>
      </c>
      <c r="L54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49" s="11"/>
      <c r="N549" s="57" t="s">
        <v>404</v>
      </c>
      <c r="O549" s="10" t="s">
        <v>46</v>
      </c>
      <c r="P549" s="9">
        <v>6</v>
      </c>
      <c r="Q549" s="11"/>
      <c r="R549" t="s">
        <v>855</v>
      </c>
      <c r="S549"/>
      <c r="T549" s="3"/>
      <c r="U549" s="246"/>
      <c r="V549" s="85" t="s">
        <v>1145</v>
      </c>
      <c r="W549" s="87"/>
      <c r="X549" s="41"/>
      <c r="Y549" s="113"/>
    </row>
    <row r="550" spans="1:25" s="2" customFormat="1">
      <c r="A550" s="58" t="s">
        <v>908</v>
      </c>
      <c r="B550" s="4">
        <v>43752.114583333299</v>
      </c>
      <c r="C550" s="2">
        <v>8</v>
      </c>
      <c r="D550" s="70" t="s">
        <v>403</v>
      </c>
      <c r="E550" s="7" t="s">
        <v>64</v>
      </c>
      <c r="F550" s="37" t="s">
        <v>116</v>
      </c>
      <c r="G550" s="32">
        <v>66.8</v>
      </c>
      <c r="H550" s="32">
        <v>96.6</v>
      </c>
      <c r="I550">
        <f>表1_4[[#This Row],[主队2]]-表1_4[[#This Row],[客队2]]</f>
        <v>-29.8</v>
      </c>
      <c r="J550" s="35" t="s">
        <v>1016</v>
      </c>
      <c r="K550" s="35" t="s">
        <v>1059</v>
      </c>
      <c r="L55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550" s="11"/>
      <c r="N550" s="10" t="s">
        <v>112</v>
      </c>
      <c r="O550" s="10" t="s">
        <v>35</v>
      </c>
      <c r="P550" s="9" t="s">
        <v>161</v>
      </c>
      <c r="Q550" s="11"/>
      <c r="R550"/>
      <c r="S550"/>
      <c r="T550" s="3"/>
      <c r="U550" s="246" t="s">
        <v>1146</v>
      </c>
      <c r="V550" s="247" t="s">
        <v>1147</v>
      </c>
      <c r="W550" s="40"/>
      <c r="X550" s="41"/>
      <c r="Y550" s="113"/>
    </row>
    <row r="551" spans="1:25" s="2" customFormat="1">
      <c r="A551" s="58" t="s">
        <v>908</v>
      </c>
      <c r="B551" s="4">
        <v>43753.114583333299</v>
      </c>
      <c r="C551" s="2">
        <v>8</v>
      </c>
      <c r="D551" s="59" t="s">
        <v>214</v>
      </c>
      <c r="E551" s="7" t="s">
        <v>33</v>
      </c>
      <c r="F551" s="37" t="s">
        <v>270</v>
      </c>
      <c r="G551" s="32">
        <v>83.5</v>
      </c>
      <c r="H551" s="32">
        <v>92.9</v>
      </c>
      <c r="I551">
        <f>表1_4[[#This Row],[主队2]]-表1_4[[#This Row],[客队2]]</f>
        <v>-9.4000000000000092</v>
      </c>
      <c r="J55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551" s="35" t="s">
        <v>132</v>
      </c>
      <c r="L55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51" s="11"/>
      <c r="N551" s="10" t="s">
        <v>133</v>
      </c>
      <c r="O551" s="10" t="s">
        <v>143</v>
      </c>
      <c r="P551" s="9">
        <v>11</v>
      </c>
      <c r="Q551" s="11"/>
      <c r="R551" t="s">
        <v>855</v>
      </c>
      <c r="S551"/>
      <c r="T551" s="3"/>
      <c r="U551" s="83"/>
      <c r="V551" s="85" t="s">
        <v>1148</v>
      </c>
      <c r="W551" s="87"/>
      <c r="X551" s="41"/>
      <c r="Y551" s="113"/>
    </row>
    <row r="552" spans="1:25" s="2" customFormat="1">
      <c r="A552" s="58" t="s">
        <v>908</v>
      </c>
      <c r="B552" s="4">
        <v>43753.114583333299</v>
      </c>
      <c r="C552" s="2">
        <v>8</v>
      </c>
      <c r="D552" s="59" t="s">
        <v>292</v>
      </c>
      <c r="E552" s="7" t="s">
        <v>60</v>
      </c>
      <c r="F552" s="37" t="s">
        <v>434</v>
      </c>
      <c r="G552" s="32">
        <v>62.5</v>
      </c>
      <c r="H552" s="32">
        <v>84.5</v>
      </c>
      <c r="I552">
        <f>表1_4[[#This Row],[主队2]]-表1_4[[#This Row],[客队2]]</f>
        <v>-22</v>
      </c>
      <c r="J552" s="35" t="s">
        <v>686</v>
      </c>
      <c r="K552" s="35" t="s">
        <v>686</v>
      </c>
      <c r="L55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552" s="11"/>
      <c r="N552" s="57" t="s">
        <v>404</v>
      </c>
      <c r="O552" s="10" t="s">
        <v>143</v>
      </c>
      <c r="P552" s="9">
        <v>4</v>
      </c>
      <c r="Q552" s="11"/>
      <c r="R552" t="s">
        <v>852</v>
      </c>
      <c r="S552"/>
      <c r="T552" s="3"/>
      <c r="U552" s="83" t="s">
        <v>448</v>
      </c>
      <c r="V552" s="89" t="s">
        <v>1149</v>
      </c>
      <c r="W552" s="87"/>
      <c r="X552" s="41"/>
      <c r="Y552" s="113"/>
    </row>
    <row r="553" spans="1:25" s="2" customFormat="1">
      <c r="A553" s="58" t="s">
        <v>908</v>
      </c>
      <c r="B553" s="4">
        <v>43753.114583333299</v>
      </c>
      <c r="C553" s="2">
        <v>8</v>
      </c>
      <c r="D553" s="59" t="s">
        <v>195</v>
      </c>
      <c r="E553" s="7" t="s">
        <v>61</v>
      </c>
      <c r="F553" s="37" t="s">
        <v>205</v>
      </c>
      <c r="G553" s="32">
        <v>60.6</v>
      </c>
      <c r="H553" s="32">
        <v>72.8</v>
      </c>
      <c r="I553">
        <f>表1_4[[#This Row],[主队2]]-表1_4[[#This Row],[客队2]]</f>
        <v>-12.2</v>
      </c>
      <c r="J55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553" s="35" t="s">
        <v>132</v>
      </c>
      <c r="L55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53" s="11"/>
      <c r="N553" s="10" t="s">
        <v>119</v>
      </c>
      <c r="O553" s="10" t="s">
        <v>24</v>
      </c>
      <c r="P553" s="9" t="s">
        <v>161</v>
      </c>
      <c r="Q553" s="11"/>
      <c r="R553" t="s">
        <v>852</v>
      </c>
      <c r="S553"/>
      <c r="T553" s="3"/>
      <c r="U553" s="25"/>
      <c r="V553" s="24" t="s">
        <v>1150</v>
      </c>
      <c r="W553" s="40" t="s">
        <v>381</v>
      </c>
      <c r="X553" s="41"/>
      <c r="Y553" s="113"/>
    </row>
    <row r="554" spans="1:25" s="2" customFormat="1">
      <c r="A554" s="58" t="s">
        <v>908</v>
      </c>
      <c r="B554" s="68">
        <v>43753.114583333299</v>
      </c>
      <c r="C554" s="26">
        <v>8</v>
      </c>
      <c r="D554" s="59" t="s">
        <v>218</v>
      </c>
      <c r="E554" s="7" t="s">
        <v>22</v>
      </c>
      <c r="F554" s="37" t="s">
        <v>243</v>
      </c>
      <c r="G554" s="32">
        <v>78.599999999999994</v>
      </c>
      <c r="H554" s="32">
        <v>47.8</v>
      </c>
      <c r="I554">
        <f>表1_4[[#This Row],[主队2]]-表1_4[[#This Row],[客队2]]</f>
        <v>30.8</v>
      </c>
      <c r="J554" s="35" t="s">
        <v>38</v>
      </c>
      <c r="K554" s="35" t="s">
        <v>34</v>
      </c>
      <c r="L55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54" s="63" t="s">
        <v>1151</v>
      </c>
      <c r="N554" s="46" t="s">
        <v>404</v>
      </c>
      <c r="O554" s="10" t="s">
        <v>24</v>
      </c>
      <c r="P554" s="9" t="s">
        <v>161</v>
      </c>
      <c r="Q554" s="11"/>
      <c r="R554" t="s">
        <v>852</v>
      </c>
      <c r="S554"/>
      <c r="T554" s="3"/>
      <c r="U554" s="25" t="s">
        <v>448</v>
      </c>
      <c r="V554" s="24" t="s">
        <v>1152</v>
      </c>
      <c r="W554" s="87"/>
      <c r="X554" s="41"/>
      <c r="Y554" s="113"/>
    </row>
    <row r="555" spans="1:25" s="2" customFormat="1">
      <c r="A555" s="58" t="s">
        <v>908</v>
      </c>
      <c r="B555" s="4">
        <v>43753.114583333299</v>
      </c>
      <c r="C555" s="26">
        <v>8</v>
      </c>
      <c r="D555" s="59" t="s">
        <v>267</v>
      </c>
      <c r="E555" s="7" t="s">
        <v>36</v>
      </c>
      <c r="F555" s="37" t="s">
        <v>190</v>
      </c>
      <c r="G555" s="32">
        <v>95.9</v>
      </c>
      <c r="H555" s="32">
        <v>83</v>
      </c>
      <c r="I555">
        <f>表1_4[[#This Row],[主队2]]-表1_4[[#This Row],[客队2]]</f>
        <v>12.9</v>
      </c>
      <c r="J55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555" s="35" t="s">
        <v>125</v>
      </c>
      <c r="L55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55" s="63" t="s">
        <v>1153</v>
      </c>
      <c r="N555" s="10" t="s">
        <v>119</v>
      </c>
      <c r="O555" s="57" t="s">
        <v>65</v>
      </c>
      <c r="P555" s="9">
        <v>2</v>
      </c>
      <c r="Q555" s="11"/>
      <c r="R555" t="s">
        <v>855</v>
      </c>
      <c r="S555"/>
      <c r="T555" s="3"/>
      <c r="U555" s="25"/>
      <c r="V555" s="75" t="s">
        <v>1154</v>
      </c>
      <c r="W555" s="71"/>
      <c r="X555" s="41"/>
      <c r="Y555" s="113"/>
    </row>
    <row r="556" spans="1:25" s="2" customFormat="1">
      <c r="A556" s="58" t="s">
        <v>908</v>
      </c>
      <c r="B556" s="4">
        <v>43753.114583333299</v>
      </c>
      <c r="C556" s="26">
        <v>8</v>
      </c>
      <c r="D556" s="59" t="s">
        <v>217</v>
      </c>
      <c r="E556" s="7" t="s">
        <v>22</v>
      </c>
      <c r="F556" s="37" t="s">
        <v>301</v>
      </c>
      <c r="G556" s="32">
        <v>68.3</v>
      </c>
      <c r="H556" s="32">
        <v>73.599999999999994</v>
      </c>
      <c r="I556">
        <f>表1_4[[#This Row],[主队2]]-表1_4[[#This Row],[客队2]]</f>
        <v>-5.3</v>
      </c>
      <c r="J55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556" s="35" t="s">
        <v>118</v>
      </c>
      <c r="L55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556" s="11"/>
      <c r="N556" s="10" t="s">
        <v>112</v>
      </c>
      <c r="O556" s="10" t="s">
        <v>143</v>
      </c>
      <c r="P556" s="9" t="s">
        <v>161</v>
      </c>
      <c r="Q556" s="11"/>
      <c r="R556" t="s">
        <v>852</v>
      </c>
      <c r="S556"/>
      <c r="T556" s="3"/>
      <c r="U556" s="25"/>
      <c r="V556" s="24" t="s">
        <v>1155</v>
      </c>
      <c r="W556" s="40"/>
      <c r="X556" s="41"/>
      <c r="Y556" s="113"/>
    </row>
    <row r="557" spans="1:25" s="2" customFormat="1">
      <c r="A557" s="58" t="s">
        <v>908</v>
      </c>
      <c r="B557" s="4">
        <v>43753.114583333299</v>
      </c>
      <c r="C557" s="26">
        <v>8</v>
      </c>
      <c r="D557" s="59" t="s">
        <v>261</v>
      </c>
      <c r="E557" s="49" t="s">
        <v>283</v>
      </c>
      <c r="F557" s="37" t="s">
        <v>117</v>
      </c>
      <c r="G557" s="32">
        <v>73.7</v>
      </c>
      <c r="H557" s="32">
        <v>93.4</v>
      </c>
      <c r="I557">
        <f>表1_4[[#This Row],[主队2]]-表1_4[[#This Row],[客队2]]</f>
        <v>-19.7</v>
      </c>
      <c r="J55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557" s="35" t="s">
        <v>666</v>
      </c>
      <c r="L55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557" s="11"/>
      <c r="N557" s="10" t="s">
        <v>119</v>
      </c>
      <c r="O557" s="10" t="s">
        <v>28</v>
      </c>
      <c r="P557" s="9">
        <v>1</v>
      </c>
      <c r="Q557" s="11"/>
      <c r="R557" t="s">
        <v>855</v>
      </c>
      <c r="S557"/>
      <c r="T557" s="3"/>
      <c r="U557" s="246"/>
      <c r="V557" s="247" t="s">
        <v>1156</v>
      </c>
      <c r="W557" s="86"/>
      <c r="X557" s="41"/>
      <c r="Y557" s="113"/>
    </row>
    <row r="558" spans="1:25" s="2" customFormat="1">
      <c r="A558" s="58" t="s">
        <v>908</v>
      </c>
      <c r="B558" s="4">
        <v>43754</v>
      </c>
      <c r="C558" s="26">
        <v>8</v>
      </c>
      <c r="D558" s="59" t="s">
        <v>191</v>
      </c>
      <c r="E558" s="7" t="s">
        <v>44</v>
      </c>
      <c r="F558" s="37" t="s">
        <v>287</v>
      </c>
      <c r="G558" s="32">
        <v>76.099999999999994</v>
      </c>
      <c r="H558" s="32">
        <v>70</v>
      </c>
      <c r="I558">
        <f>表1_4[[#This Row],[主队2]]-表1_4[[#This Row],[客队2]]</f>
        <v>6.0999999999999899</v>
      </c>
      <c r="J55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558" s="35" t="s">
        <v>118</v>
      </c>
      <c r="L55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558" s="11"/>
      <c r="N558" s="10" t="s">
        <v>112</v>
      </c>
      <c r="O558" s="10" t="s">
        <v>48</v>
      </c>
      <c r="P558" s="9">
        <v>9</v>
      </c>
      <c r="Q558" s="11"/>
      <c r="R558" t="s">
        <v>855</v>
      </c>
      <c r="S558"/>
      <c r="T558" s="3"/>
      <c r="U558" s="25"/>
      <c r="V558" s="24" t="s">
        <v>1157</v>
      </c>
      <c r="W558" s="38"/>
      <c r="X558" s="41"/>
      <c r="Y558" s="113"/>
    </row>
    <row r="559" spans="1:25" s="2" customFormat="1" ht="28.9">
      <c r="A559" s="58" t="s">
        <v>908</v>
      </c>
      <c r="B559" s="4">
        <v>43754.114583333299</v>
      </c>
      <c r="C559" s="2">
        <v>8</v>
      </c>
      <c r="D559" s="59" t="s">
        <v>437</v>
      </c>
      <c r="E559" s="7" t="s">
        <v>978</v>
      </c>
      <c r="F559" s="37" t="s">
        <v>204</v>
      </c>
      <c r="G559" s="32">
        <v>49.1</v>
      </c>
      <c r="H559" s="32">
        <v>89.2</v>
      </c>
      <c r="I559">
        <f>表1_4[[#This Row],[主队2]]-表1_4[[#This Row],[客队2]]</f>
        <v>-40.1</v>
      </c>
      <c r="J559" s="35" t="s">
        <v>1158</v>
      </c>
      <c r="K559" s="35" t="s">
        <v>1021</v>
      </c>
      <c r="L55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59" s="11"/>
      <c r="N559" s="10" t="s">
        <v>112</v>
      </c>
      <c r="O559" s="10" t="s">
        <v>35</v>
      </c>
      <c r="P559" s="9" t="s">
        <v>161</v>
      </c>
      <c r="Q559" s="11"/>
      <c r="R559" t="s">
        <v>855</v>
      </c>
      <c r="S559"/>
      <c r="T559" s="3"/>
      <c r="U559" s="83" t="s">
        <v>1122</v>
      </c>
      <c r="V559" s="131" t="s">
        <v>1159</v>
      </c>
      <c r="W559" s="40" t="s">
        <v>541</v>
      </c>
      <c r="X559" s="41"/>
      <c r="Y559" s="113"/>
    </row>
    <row r="560" spans="1:25" s="2" customFormat="1">
      <c r="A560" s="58" t="s">
        <v>908</v>
      </c>
      <c r="B560" s="4">
        <v>43754.114583333299</v>
      </c>
      <c r="C560" s="2">
        <v>8</v>
      </c>
      <c r="D560" s="59" t="s">
        <v>275</v>
      </c>
      <c r="E560" s="7" t="s">
        <v>33</v>
      </c>
      <c r="F560" s="37" t="s">
        <v>255</v>
      </c>
      <c r="G560" s="32">
        <v>76.599999999999994</v>
      </c>
      <c r="H560" s="32">
        <v>83.9</v>
      </c>
      <c r="I560">
        <f>表1_4[[#This Row],[主队2]]-表1_4[[#This Row],[客队2]]</f>
        <v>-7.3000000000000096</v>
      </c>
      <c r="J56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560" s="35" t="s">
        <v>152</v>
      </c>
      <c r="L56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60" s="11"/>
      <c r="N560" s="10" t="s">
        <v>119</v>
      </c>
      <c r="O560" s="57" t="s">
        <v>51</v>
      </c>
      <c r="P560" s="9">
        <v>3</v>
      </c>
      <c r="Q560" s="11"/>
      <c r="R560" t="s">
        <v>852</v>
      </c>
      <c r="S560"/>
      <c r="T560" s="3"/>
      <c r="U560" s="246"/>
      <c r="V560" s="247" t="s">
        <v>1160</v>
      </c>
      <c r="W560" s="244"/>
      <c r="X560" s="41"/>
      <c r="Y560" s="113"/>
    </row>
    <row r="561" spans="1:25" s="2" customFormat="1">
      <c r="A561" s="58" t="s">
        <v>908</v>
      </c>
      <c r="B561" s="4">
        <v>43754.114583333299</v>
      </c>
      <c r="C561" s="2">
        <v>8</v>
      </c>
      <c r="D561" s="59" t="s">
        <v>239</v>
      </c>
      <c r="E561" s="7" t="s">
        <v>36</v>
      </c>
      <c r="F561" s="37" t="s">
        <v>209</v>
      </c>
      <c r="G561" s="32">
        <v>86.9</v>
      </c>
      <c r="H561" s="32">
        <v>97</v>
      </c>
      <c r="I561">
        <f>表1_4[[#This Row],[主队2]]-表1_4[[#This Row],[客队2]]</f>
        <v>-10.1</v>
      </c>
      <c r="J56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561" s="35" t="s">
        <v>132</v>
      </c>
      <c r="L56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61" s="11"/>
      <c r="N561" s="10" t="s">
        <v>119</v>
      </c>
      <c r="O561" s="10" t="s">
        <v>40</v>
      </c>
      <c r="P561" s="9">
        <v>-7</v>
      </c>
      <c r="Q561" s="11"/>
      <c r="R561" t="s">
        <v>852</v>
      </c>
      <c r="S561"/>
      <c r="T561" s="3"/>
      <c r="U561" s="25" t="s">
        <v>405</v>
      </c>
      <c r="V561" s="24" t="s">
        <v>1161</v>
      </c>
      <c r="W561" s="38"/>
      <c r="X561" s="41"/>
      <c r="Y561" s="113"/>
    </row>
    <row r="562" spans="1:25" s="2" customFormat="1">
      <c r="A562" s="58" t="s">
        <v>908</v>
      </c>
      <c r="B562" s="4">
        <v>43754.114583333299</v>
      </c>
      <c r="C562" s="26">
        <v>8</v>
      </c>
      <c r="D562" s="59" t="s">
        <v>244</v>
      </c>
      <c r="E562" s="7" t="s">
        <v>31</v>
      </c>
      <c r="F562" s="37" t="s">
        <v>929</v>
      </c>
      <c r="G562" s="32">
        <v>55.7</v>
      </c>
      <c r="H562" s="32">
        <v>56.1</v>
      </c>
      <c r="I562">
        <f>表1_4[[#This Row],[主队2]]-表1_4[[#This Row],[客队2]]</f>
        <v>-0.39999999999999902</v>
      </c>
      <c r="J56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562" s="35" t="s">
        <v>118</v>
      </c>
      <c r="L56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562" s="11"/>
      <c r="N562" s="10" t="s">
        <v>119</v>
      </c>
      <c r="O562" s="10" t="s">
        <v>51</v>
      </c>
      <c r="P562" s="9" t="s">
        <v>161</v>
      </c>
      <c r="Q562" s="11"/>
      <c r="R562" t="s">
        <v>852</v>
      </c>
      <c r="S562"/>
      <c r="T562" s="3"/>
      <c r="U562" s="83"/>
      <c r="V562" s="85" t="s">
        <v>1162</v>
      </c>
      <c r="W562" s="87" t="s">
        <v>207</v>
      </c>
      <c r="X562" s="41"/>
      <c r="Y562" s="113"/>
    </row>
    <row r="563" spans="1:25" s="2" customFormat="1">
      <c r="A563" s="58" t="s">
        <v>908</v>
      </c>
      <c r="B563" s="97">
        <v>43754.114583333299</v>
      </c>
      <c r="C563" s="2">
        <v>8</v>
      </c>
      <c r="D563" s="59" t="s">
        <v>305</v>
      </c>
      <c r="E563" s="7" t="s">
        <v>36</v>
      </c>
      <c r="F563" s="37" t="s">
        <v>297</v>
      </c>
      <c r="G563" s="32">
        <v>82.4</v>
      </c>
      <c r="H563" s="32">
        <v>80.099999999999994</v>
      </c>
      <c r="I563">
        <f>表1_4[[#This Row],[主队2]]-表1_4[[#This Row],[客队2]]</f>
        <v>2.30000000000001</v>
      </c>
      <c r="J56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563" s="35" t="s">
        <v>166</v>
      </c>
      <c r="L56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63" s="11"/>
      <c r="N563" s="10" t="s">
        <v>133</v>
      </c>
      <c r="O563" s="10" t="s">
        <v>35</v>
      </c>
      <c r="P563" s="9">
        <v>7</v>
      </c>
      <c r="Q563" s="11"/>
      <c r="R563" t="s">
        <v>852</v>
      </c>
      <c r="S563"/>
      <c r="T563" s="3"/>
      <c r="U563" s="25" t="s">
        <v>693</v>
      </c>
      <c r="V563" s="24" t="s">
        <v>1163</v>
      </c>
      <c r="W563" s="87"/>
      <c r="X563" s="41"/>
      <c r="Y563" s="113"/>
    </row>
    <row r="564" spans="1:25" s="2" customFormat="1">
      <c r="A564" s="58" t="s">
        <v>908</v>
      </c>
      <c r="B564" s="125">
        <v>43754.114583333299</v>
      </c>
      <c r="C564" s="26">
        <v>8</v>
      </c>
      <c r="D564" s="59" t="s">
        <v>210</v>
      </c>
      <c r="E564" s="7" t="s">
        <v>41</v>
      </c>
      <c r="F564" s="37" t="s">
        <v>251</v>
      </c>
      <c r="G564" s="32">
        <v>74.7</v>
      </c>
      <c r="H564" s="32">
        <v>61.1</v>
      </c>
      <c r="I564">
        <f>表1_4[[#This Row],[主队2]]-表1_4[[#This Row],[客队2]]</f>
        <v>13.6</v>
      </c>
      <c r="J56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564" s="35" t="s">
        <v>26</v>
      </c>
      <c r="L56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564" s="11"/>
      <c r="N564" s="10" t="s">
        <v>119</v>
      </c>
      <c r="O564" s="10" t="s">
        <v>35</v>
      </c>
      <c r="P564" s="9" t="s">
        <v>161</v>
      </c>
      <c r="Q564" s="11"/>
      <c r="R564" t="s">
        <v>852</v>
      </c>
      <c r="S564"/>
      <c r="T564" s="3"/>
      <c r="U564" s="83" t="s">
        <v>791</v>
      </c>
      <c r="V564" s="85" t="s">
        <v>731</v>
      </c>
      <c r="W564" s="71"/>
      <c r="X564" s="41"/>
      <c r="Y564" s="113"/>
    </row>
    <row r="565" spans="1:25" s="2" customFormat="1">
      <c r="A565" s="58" t="s">
        <v>908</v>
      </c>
      <c r="B565" s="4">
        <v>43754.114583333299</v>
      </c>
      <c r="C565" s="2">
        <v>8</v>
      </c>
      <c r="D565" s="59" t="s">
        <v>250</v>
      </c>
      <c r="E565" s="7" t="s">
        <v>22</v>
      </c>
      <c r="F565" s="37" t="s">
        <v>199</v>
      </c>
      <c r="G565" s="32">
        <v>87.6</v>
      </c>
      <c r="H565" s="32">
        <v>81.2</v>
      </c>
      <c r="I565">
        <f>表1_4[[#This Row],[主队2]]-表1_4[[#This Row],[客队2]]</f>
        <v>6.3999999999999897</v>
      </c>
      <c r="J56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565" s="35" t="s">
        <v>176</v>
      </c>
      <c r="L56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565" s="11"/>
      <c r="N565" s="57" t="s">
        <v>119</v>
      </c>
      <c r="O565" s="57" t="s">
        <v>24</v>
      </c>
      <c r="P565" s="9">
        <v>-5</v>
      </c>
      <c r="Q565" s="11"/>
      <c r="R565" t="s">
        <v>855</v>
      </c>
      <c r="S565"/>
      <c r="T565" s="3"/>
      <c r="U565" s="83"/>
      <c r="V565" s="85" t="s">
        <v>1164</v>
      </c>
      <c r="W565" s="244"/>
      <c r="X565" s="41"/>
      <c r="Y565" s="113"/>
    </row>
    <row r="566" spans="1:25" s="2" customFormat="1">
      <c r="A566" s="58" t="s">
        <v>908</v>
      </c>
      <c r="B566" s="4">
        <v>43754.114583333299</v>
      </c>
      <c r="C566" s="2">
        <v>8</v>
      </c>
      <c r="D566" s="59" t="s">
        <v>256</v>
      </c>
      <c r="E566" s="7" t="s">
        <v>62</v>
      </c>
      <c r="F566" s="37" t="s">
        <v>430</v>
      </c>
      <c r="G566" s="32">
        <v>39.9</v>
      </c>
      <c r="H566" s="32">
        <v>72.3</v>
      </c>
      <c r="I566">
        <f>表1_4[[#This Row],[主队2]]-表1_4[[#This Row],[客队2]]</f>
        <v>-32.4</v>
      </c>
      <c r="J566" s="35" t="s">
        <v>670</v>
      </c>
      <c r="K566" s="35" t="s">
        <v>686</v>
      </c>
      <c r="L56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66" s="11"/>
      <c r="N566" s="10" t="s">
        <v>119</v>
      </c>
      <c r="O566" s="57" t="s">
        <v>35</v>
      </c>
      <c r="P566" s="9" t="s">
        <v>161</v>
      </c>
      <c r="Q566" s="11"/>
      <c r="R566" t="s">
        <v>855</v>
      </c>
      <c r="S566"/>
      <c r="T566" s="3"/>
      <c r="U566" s="83" t="s">
        <v>177</v>
      </c>
      <c r="V566" s="89" t="s">
        <v>1165</v>
      </c>
      <c r="W566" s="86"/>
      <c r="X566" s="41"/>
      <c r="Y566" s="113"/>
    </row>
    <row r="567" spans="1:25" s="2" customFormat="1">
      <c r="A567" s="58" t="s">
        <v>128</v>
      </c>
      <c r="B567" s="4">
        <v>43753.666666666701</v>
      </c>
      <c r="C567" s="26">
        <v>4</v>
      </c>
      <c r="D567" s="59" t="s">
        <v>1166</v>
      </c>
      <c r="E567" s="7" t="s">
        <v>60</v>
      </c>
      <c r="F567" s="37" t="s">
        <v>1001</v>
      </c>
      <c r="G567" s="32">
        <v>13.7</v>
      </c>
      <c r="H567" s="32">
        <v>53.9</v>
      </c>
      <c r="I567">
        <f>表1_4[[#This Row],[主队2]]-表1_4[[#This Row],[客队2]]</f>
        <v>-40.200000000000003</v>
      </c>
      <c r="J567" s="35" t="s">
        <v>1158</v>
      </c>
      <c r="K567" s="35" t="s">
        <v>666</v>
      </c>
      <c r="L56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67" s="63" t="s">
        <v>1167</v>
      </c>
      <c r="N567" s="10" t="s">
        <v>119</v>
      </c>
      <c r="O567" s="10" t="s">
        <v>143</v>
      </c>
      <c r="P567" s="9" t="s">
        <v>161</v>
      </c>
      <c r="Q567" s="11"/>
      <c r="R567"/>
      <c r="S567"/>
      <c r="T567" s="3"/>
      <c r="U567" s="246"/>
      <c r="V567" s="247" t="s">
        <v>1168</v>
      </c>
      <c r="W567" s="38"/>
      <c r="X567" s="41"/>
      <c r="Y567" s="113"/>
    </row>
    <row r="568" spans="1:25" s="2" customFormat="1">
      <c r="A568" s="58" t="s">
        <v>128</v>
      </c>
      <c r="B568" s="68">
        <v>43753.6875</v>
      </c>
      <c r="C568" s="26">
        <v>4</v>
      </c>
      <c r="D568" s="59" t="s">
        <v>1004</v>
      </c>
      <c r="E568" s="7" t="s">
        <v>42</v>
      </c>
      <c r="F568" s="37" t="s">
        <v>185</v>
      </c>
      <c r="G568" s="32">
        <v>62.2</v>
      </c>
      <c r="H568" s="32">
        <v>79.400000000000006</v>
      </c>
      <c r="I568">
        <f>表1_4[[#This Row],[主队2]]-表1_4[[#This Row],[客队2]]</f>
        <v>-17.2</v>
      </c>
      <c r="J56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568" s="35" t="s">
        <v>219</v>
      </c>
      <c r="L56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68" s="63" t="s">
        <v>1169</v>
      </c>
      <c r="N568" s="10" t="s">
        <v>133</v>
      </c>
      <c r="O568" s="10" t="s">
        <v>48</v>
      </c>
      <c r="P568" s="9" t="s">
        <v>161</v>
      </c>
      <c r="Q568" s="11"/>
      <c r="R568" t="s">
        <v>855</v>
      </c>
      <c r="S568"/>
      <c r="T568" s="3"/>
      <c r="U568" s="246"/>
      <c r="V568" s="247" t="s">
        <v>1170</v>
      </c>
      <c r="W568" s="87"/>
      <c r="X568" s="41"/>
      <c r="Y568" s="113"/>
    </row>
    <row r="569" spans="1:25" s="2" customFormat="1">
      <c r="A569" s="58" t="s">
        <v>128</v>
      </c>
      <c r="B569" s="4">
        <v>43753.8125</v>
      </c>
      <c r="C569" s="26">
        <v>4</v>
      </c>
      <c r="D569" s="59" t="s">
        <v>1100</v>
      </c>
      <c r="E569" s="7" t="s">
        <v>74</v>
      </c>
      <c r="F569" s="37" t="s">
        <v>1002</v>
      </c>
      <c r="G569" s="32">
        <v>50.2</v>
      </c>
      <c r="H569" s="32">
        <v>57.7</v>
      </c>
      <c r="I569">
        <f>表1_4[[#This Row],[主队2]]-表1_4[[#This Row],[客队2]]</f>
        <v>-7.5</v>
      </c>
      <c r="J56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569" s="35" t="s">
        <v>111</v>
      </c>
      <c r="L56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69" s="11"/>
      <c r="N569" s="10" t="s">
        <v>119</v>
      </c>
      <c r="O569" s="10" t="s">
        <v>143</v>
      </c>
      <c r="P569" s="9" t="s">
        <v>161</v>
      </c>
      <c r="Q569" s="11"/>
      <c r="R569"/>
      <c r="S569"/>
      <c r="T569" s="3"/>
      <c r="U569" s="246"/>
      <c r="V569" s="247" t="s">
        <v>1171</v>
      </c>
      <c r="W569" s="86"/>
      <c r="X569" s="41"/>
      <c r="Y569" s="113"/>
    </row>
    <row r="570" spans="1:25" s="2" customFormat="1" ht="28.9">
      <c r="A570" s="58" t="s">
        <v>128</v>
      </c>
      <c r="B570" s="4">
        <v>43753.8125</v>
      </c>
      <c r="C570" s="7">
        <v>4</v>
      </c>
      <c r="D570" s="59" t="s">
        <v>1172</v>
      </c>
      <c r="E570" s="7" t="s">
        <v>61</v>
      </c>
      <c r="F570" s="37" t="s">
        <v>141</v>
      </c>
      <c r="G570" s="32">
        <v>24.8</v>
      </c>
      <c r="H570" s="32">
        <v>69.7</v>
      </c>
      <c r="I570">
        <f>表1_4[[#This Row],[主队2]]-表1_4[[#This Row],[客队2]]</f>
        <v>-44.9</v>
      </c>
      <c r="J570" s="35" t="s">
        <v>1173</v>
      </c>
      <c r="K570" s="35" t="s">
        <v>1016</v>
      </c>
      <c r="L57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70" s="11"/>
      <c r="N570" s="10" t="s">
        <v>160</v>
      </c>
      <c r="O570" s="114" t="s">
        <v>35</v>
      </c>
      <c r="P570" s="9" t="s">
        <v>161</v>
      </c>
      <c r="Q570" s="11"/>
      <c r="R570"/>
      <c r="S570"/>
      <c r="T570" s="3"/>
      <c r="U570" s="25" t="s">
        <v>1174</v>
      </c>
      <c r="V570" s="24" t="s">
        <v>1175</v>
      </c>
      <c r="W570" s="40" t="s">
        <v>280</v>
      </c>
      <c r="X570" s="41"/>
      <c r="Y570" s="113"/>
    </row>
    <row r="571" spans="1:25" s="2" customFormat="1">
      <c r="A571" s="58" t="s">
        <v>128</v>
      </c>
      <c r="B571" s="4">
        <v>43753.819444444402</v>
      </c>
      <c r="C571" s="7">
        <v>4</v>
      </c>
      <c r="D571" s="59" t="s">
        <v>1176</v>
      </c>
      <c r="E571" s="49" t="s">
        <v>1177</v>
      </c>
      <c r="F571" s="37" t="s">
        <v>142</v>
      </c>
      <c r="G571" s="32">
        <v>30.3</v>
      </c>
      <c r="H571" s="32">
        <v>80.099999999999994</v>
      </c>
      <c r="I571">
        <f>表1_4[[#This Row],[主队2]]-表1_4[[#This Row],[客队2]]</f>
        <v>-49.8</v>
      </c>
      <c r="J571" s="35" t="s">
        <v>1178</v>
      </c>
      <c r="K571" s="35" t="s">
        <v>1179</v>
      </c>
      <c r="L57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71" s="11"/>
      <c r="N571" s="10" t="s">
        <v>112</v>
      </c>
      <c r="O571" s="108" t="s">
        <v>40</v>
      </c>
      <c r="P571" s="9" t="s">
        <v>161</v>
      </c>
      <c r="Q571" s="11"/>
      <c r="R571"/>
      <c r="S571"/>
      <c r="T571" s="3"/>
      <c r="U571" s="25" t="s">
        <v>753</v>
      </c>
      <c r="V571" s="24" t="s">
        <v>1180</v>
      </c>
      <c r="W571" s="86"/>
      <c r="X571" s="41"/>
      <c r="Y571" s="113"/>
    </row>
    <row r="572" spans="1:25" s="2" customFormat="1">
      <c r="A572" s="58" t="s">
        <v>128</v>
      </c>
      <c r="B572" s="4">
        <v>43753.822916666701</v>
      </c>
      <c r="C572" s="26">
        <v>4</v>
      </c>
      <c r="D572" s="59" t="s">
        <v>453</v>
      </c>
      <c r="E572" s="7" t="s">
        <v>74</v>
      </c>
      <c r="F572" s="37" t="s">
        <v>131</v>
      </c>
      <c r="G572" s="32">
        <v>47.5</v>
      </c>
      <c r="H572" s="32">
        <v>75</v>
      </c>
      <c r="I572">
        <f>表1_4[[#This Row],[主队2]]-表1_4[[#This Row],[客队2]]</f>
        <v>-27.5</v>
      </c>
      <c r="J572" s="35" t="s">
        <v>1062</v>
      </c>
      <c r="K572" s="35" t="s">
        <v>706</v>
      </c>
      <c r="L57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72" s="11"/>
      <c r="N572" s="10" t="s">
        <v>112</v>
      </c>
      <c r="O572" s="10" t="s">
        <v>143</v>
      </c>
      <c r="P572" s="9" t="s">
        <v>161</v>
      </c>
      <c r="Q572" s="11"/>
      <c r="R572" t="s">
        <v>852</v>
      </c>
      <c r="S572"/>
      <c r="T572" s="3"/>
      <c r="U572" s="25"/>
      <c r="V572" s="24" t="s">
        <v>640</v>
      </c>
      <c r="W572" s="86"/>
      <c r="X572" s="41"/>
      <c r="Y572" s="113"/>
    </row>
    <row r="573" spans="1:25" s="2" customFormat="1">
      <c r="A573" s="58" t="s">
        <v>128</v>
      </c>
      <c r="B573" s="4">
        <v>43753.833333333299</v>
      </c>
      <c r="C573" s="26">
        <v>4</v>
      </c>
      <c r="D573" s="59" t="s">
        <v>995</v>
      </c>
      <c r="E573" s="7" t="s">
        <v>42</v>
      </c>
      <c r="F573" s="37" t="s">
        <v>109</v>
      </c>
      <c r="G573" s="32">
        <v>43.2</v>
      </c>
      <c r="H573" s="32">
        <v>69.400000000000006</v>
      </c>
      <c r="I573">
        <f>表1_4[[#This Row],[主队2]]-表1_4[[#This Row],[客队2]]</f>
        <v>-26.2</v>
      </c>
      <c r="J573" s="35" t="s">
        <v>692</v>
      </c>
      <c r="K573" s="35" t="s">
        <v>666</v>
      </c>
      <c r="L57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73" s="63" t="s">
        <v>1181</v>
      </c>
      <c r="N573" s="46" t="s">
        <v>112</v>
      </c>
      <c r="O573" s="10" t="s">
        <v>143</v>
      </c>
      <c r="P573" s="9">
        <v>-8</v>
      </c>
      <c r="Q573" s="11"/>
      <c r="R573" t="s">
        <v>855</v>
      </c>
      <c r="S573"/>
      <c r="T573" s="3"/>
      <c r="U573" s="25"/>
      <c r="V573" s="75" t="s">
        <v>1182</v>
      </c>
      <c r="W573" s="40" t="s">
        <v>280</v>
      </c>
      <c r="X573" s="41"/>
      <c r="Y573" s="113"/>
    </row>
    <row r="574" spans="1:25" s="2" customFormat="1">
      <c r="A574" s="58" t="s">
        <v>128</v>
      </c>
      <c r="B574" s="4">
        <v>43753.84375</v>
      </c>
      <c r="C574" s="7">
        <v>4</v>
      </c>
      <c r="D574" s="59" t="s">
        <v>1000</v>
      </c>
      <c r="E574" s="7" t="s">
        <v>64</v>
      </c>
      <c r="F574" s="37" t="s">
        <v>147</v>
      </c>
      <c r="G574" s="32">
        <v>53.2</v>
      </c>
      <c r="H574" s="32">
        <v>82.4</v>
      </c>
      <c r="I574">
        <f>表1_4[[#This Row],[主队2]]-表1_4[[#This Row],[客队2]]</f>
        <v>-29.2</v>
      </c>
      <c r="J574" s="35" t="s">
        <v>1016</v>
      </c>
      <c r="K574" s="35" t="s">
        <v>686</v>
      </c>
      <c r="L57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74" s="11"/>
      <c r="N574" s="10" t="s">
        <v>112</v>
      </c>
      <c r="O574" s="10" t="s">
        <v>40</v>
      </c>
      <c r="P574" s="9" t="s">
        <v>161</v>
      </c>
      <c r="Q574" s="11"/>
      <c r="R574" t="s">
        <v>852</v>
      </c>
      <c r="S574"/>
      <c r="T574" s="3"/>
      <c r="U574" s="246" t="s">
        <v>1027</v>
      </c>
      <c r="V574" s="247" t="s">
        <v>1183</v>
      </c>
      <c r="W574" s="40"/>
      <c r="X574" s="41"/>
      <c r="Y574" s="113"/>
    </row>
    <row r="575" spans="1:25" s="2" customFormat="1">
      <c r="A575" s="58" t="s">
        <v>128</v>
      </c>
      <c r="B575" s="4">
        <v>43753.833333333299</v>
      </c>
      <c r="C575" s="7">
        <v>4</v>
      </c>
      <c r="D575" s="59" t="s">
        <v>137</v>
      </c>
      <c r="E575" s="7" t="s">
        <v>33</v>
      </c>
      <c r="F575" s="37" t="s">
        <v>146</v>
      </c>
      <c r="G575" s="32">
        <v>62.6</v>
      </c>
      <c r="H575" s="32">
        <v>69.400000000000006</v>
      </c>
      <c r="I575">
        <f>表1_4[[#This Row],[主队2]]-表1_4[[#This Row],[客队2]]</f>
        <v>-6.8</v>
      </c>
      <c r="J57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575" s="35" t="s">
        <v>152</v>
      </c>
      <c r="L57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75" s="11"/>
      <c r="N575" s="10" t="s">
        <v>119</v>
      </c>
      <c r="O575" s="10" t="s">
        <v>28</v>
      </c>
      <c r="P575" s="9">
        <v>8</v>
      </c>
      <c r="Q575" s="11"/>
      <c r="R575" t="s">
        <v>855</v>
      </c>
      <c r="S575"/>
      <c r="T575" s="3"/>
      <c r="U575" s="25"/>
      <c r="V575" s="24" t="s">
        <v>1184</v>
      </c>
      <c r="W575" s="40"/>
      <c r="X575" s="41"/>
      <c r="Y575" s="113"/>
    </row>
    <row r="576" spans="1:25" s="2" customFormat="1">
      <c r="A576" s="58" t="s">
        <v>128</v>
      </c>
      <c r="B576" s="4">
        <v>43753.875</v>
      </c>
      <c r="C576" s="7">
        <v>4</v>
      </c>
      <c r="D576" s="59" t="s">
        <v>1185</v>
      </c>
      <c r="E576" s="7" t="s">
        <v>42</v>
      </c>
      <c r="F576" s="37" t="s">
        <v>138</v>
      </c>
      <c r="G576" s="32">
        <v>60.7</v>
      </c>
      <c r="H576" s="32">
        <v>71.5</v>
      </c>
      <c r="I576">
        <f>表1_4[[#This Row],[主队2]]-表1_4[[#This Row],[客队2]]</f>
        <v>-10.8</v>
      </c>
      <c r="J57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576" s="35" t="s">
        <v>132</v>
      </c>
      <c r="L57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76" s="11"/>
      <c r="N576" s="10" t="s">
        <v>119</v>
      </c>
      <c r="O576" s="10" t="s">
        <v>143</v>
      </c>
      <c r="P576" s="9">
        <v>24</v>
      </c>
      <c r="Q576" s="11"/>
      <c r="R576"/>
      <c r="S576"/>
      <c r="T576" s="3"/>
      <c r="U576" s="25"/>
      <c r="V576" s="24" t="s">
        <v>1186</v>
      </c>
      <c r="W576" s="38"/>
      <c r="X576" s="41"/>
      <c r="Y576" s="113"/>
    </row>
    <row r="577" spans="1:25" s="2" customFormat="1">
      <c r="A577" s="58" t="s">
        <v>128</v>
      </c>
      <c r="B577" s="4">
        <v>43753.916666666701</v>
      </c>
      <c r="C577" s="7">
        <v>4</v>
      </c>
      <c r="D577" s="59" t="s">
        <v>1187</v>
      </c>
      <c r="E577" s="7" t="s">
        <v>36</v>
      </c>
      <c r="F577" s="37" t="s">
        <v>1188</v>
      </c>
      <c r="G577" s="32">
        <v>46.2</v>
      </c>
      <c r="H577" s="32">
        <v>25.5</v>
      </c>
      <c r="I577">
        <f>表1_4[[#This Row],[主队2]]-表1_4[[#This Row],[客队2]]</f>
        <v>20.7</v>
      </c>
      <c r="J57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577" s="35" t="s">
        <v>81</v>
      </c>
      <c r="L57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77" s="63" t="s">
        <v>1189</v>
      </c>
      <c r="N577" s="10" t="s">
        <v>112</v>
      </c>
      <c r="O577" s="10" t="s">
        <v>28</v>
      </c>
      <c r="P577" s="9" t="s">
        <v>161</v>
      </c>
      <c r="Q577" s="11"/>
      <c r="R577"/>
      <c r="S577"/>
      <c r="T577" s="3"/>
      <c r="U577" s="25"/>
      <c r="V577" s="24" t="s">
        <v>392</v>
      </c>
      <c r="W577" s="86"/>
      <c r="X577" s="41"/>
      <c r="Y577" s="113"/>
    </row>
    <row r="578" spans="1:25" s="2" customFormat="1">
      <c r="A578" s="58" t="s">
        <v>128</v>
      </c>
      <c r="B578" s="4">
        <v>43753.916666666701</v>
      </c>
      <c r="C578" s="7">
        <v>4</v>
      </c>
      <c r="D578" s="59" t="s">
        <v>130</v>
      </c>
      <c r="E578" s="7" t="s">
        <v>44</v>
      </c>
      <c r="F578" s="37" t="s">
        <v>1082</v>
      </c>
      <c r="G578" s="32">
        <v>69.599999999999994</v>
      </c>
      <c r="H578" s="32">
        <v>0</v>
      </c>
      <c r="I578">
        <f>表1_4[[#This Row],[主队2]]-表1_4[[#This Row],[客队2]]</f>
        <v>69.599999999999994</v>
      </c>
      <c r="J578" s="35" t="s">
        <v>1083</v>
      </c>
      <c r="K578" s="35" t="s">
        <v>58</v>
      </c>
      <c r="L57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78" s="11"/>
      <c r="N578" s="10" t="s">
        <v>119</v>
      </c>
      <c r="O578" s="10" t="s">
        <v>143</v>
      </c>
      <c r="P578" s="9" t="s">
        <v>161</v>
      </c>
      <c r="Q578" s="11"/>
      <c r="R578"/>
      <c r="S578"/>
      <c r="T578" s="3"/>
      <c r="U578" s="83" t="s">
        <v>776</v>
      </c>
      <c r="V578" s="85" t="s">
        <v>699</v>
      </c>
      <c r="W578" s="86"/>
      <c r="X578" s="41"/>
      <c r="Y578" s="113"/>
    </row>
    <row r="579" spans="1:25" s="2" customFormat="1" ht="28.9">
      <c r="A579" s="58" t="s">
        <v>128</v>
      </c>
      <c r="B579" s="4">
        <v>43753.916666666701</v>
      </c>
      <c r="C579" s="7">
        <v>4</v>
      </c>
      <c r="D579" s="59" t="s">
        <v>1190</v>
      </c>
      <c r="E579" s="7" t="s">
        <v>64</v>
      </c>
      <c r="F579" s="37" t="s">
        <v>1005</v>
      </c>
      <c r="G579" s="32">
        <v>23</v>
      </c>
      <c r="H579" s="32">
        <v>60.4</v>
      </c>
      <c r="I579">
        <f>表1_4[[#This Row],[主队2]]-表1_4[[#This Row],[客队2]]</f>
        <v>-37.4</v>
      </c>
      <c r="J579" s="35" t="s">
        <v>1021</v>
      </c>
      <c r="K579" s="35" t="s">
        <v>686</v>
      </c>
      <c r="L57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79" s="11"/>
      <c r="N579" s="10" t="s">
        <v>112</v>
      </c>
      <c r="O579" s="114" t="s">
        <v>24</v>
      </c>
      <c r="P579" s="9" t="s">
        <v>161</v>
      </c>
      <c r="Q579" s="11"/>
      <c r="R579"/>
      <c r="S579"/>
      <c r="T579" s="3"/>
      <c r="U579" s="246"/>
      <c r="V579" s="247" t="s">
        <v>1191</v>
      </c>
      <c r="W579" s="40"/>
      <c r="X579" s="41"/>
      <c r="Y579" s="113"/>
    </row>
    <row r="580" spans="1:25" s="2" customFormat="1">
      <c r="A580" s="58" t="s">
        <v>128</v>
      </c>
      <c r="B580" s="4">
        <v>43754</v>
      </c>
      <c r="C580" s="7">
        <v>4</v>
      </c>
      <c r="D580" s="59" t="s">
        <v>1098</v>
      </c>
      <c r="E580" s="7" t="s">
        <v>44</v>
      </c>
      <c r="F580" s="37" t="s">
        <v>1192</v>
      </c>
      <c r="G580" s="32">
        <v>65.900000000000006</v>
      </c>
      <c r="H580" s="32">
        <v>27.7</v>
      </c>
      <c r="I580">
        <f>表1_4[[#This Row],[主队2]]-表1_4[[#This Row],[客队2]]</f>
        <v>38.200000000000003</v>
      </c>
      <c r="J580" s="35" t="s">
        <v>59</v>
      </c>
      <c r="K580" s="35" t="s">
        <v>38</v>
      </c>
      <c r="L58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80" s="63" t="s">
        <v>1193</v>
      </c>
      <c r="N580" s="10" t="s">
        <v>112</v>
      </c>
      <c r="O580" s="10" t="s">
        <v>40</v>
      </c>
      <c r="P580" s="9" t="s">
        <v>161</v>
      </c>
      <c r="Q580" s="11"/>
      <c r="R580"/>
      <c r="S580"/>
      <c r="T580" s="3"/>
      <c r="U580" s="246" t="s">
        <v>1194</v>
      </c>
      <c r="V580" s="247" t="s">
        <v>1195</v>
      </c>
      <c r="W580" s="38"/>
      <c r="X580" s="41"/>
      <c r="Y580" s="113"/>
    </row>
    <row r="581" spans="1:25" s="2" customFormat="1">
      <c r="A581" s="58" t="s">
        <v>128</v>
      </c>
      <c r="B581" s="4">
        <v>43754.020833333299</v>
      </c>
      <c r="C581" s="26">
        <v>4</v>
      </c>
      <c r="D581" s="59" t="s">
        <v>150</v>
      </c>
      <c r="E581" s="7" t="s">
        <v>33</v>
      </c>
      <c r="F581" s="37" t="s">
        <v>1093</v>
      </c>
      <c r="G581" s="32">
        <v>73.3</v>
      </c>
      <c r="H581" s="32">
        <v>64.099999999999994</v>
      </c>
      <c r="I581">
        <f>表1_4[[#This Row],[主队2]]-表1_4[[#This Row],[客队2]]</f>
        <v>9.1999999999999993</v>
      </c>
      <c r="J58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581" s="35" t="s">
        <v>118</v>
      </c>
      <c r="L58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81" s="11"/>
      <c r="N581" s="10" t="s">
        <v>112</v>
      </c>
      <c r="O581" s="10" t="s">
        <v>28</v>
      </c>
      <c r="P581" s="9">
        <v>7</v>
      </c>
      <c r="Q581" s="11"/>
      <c r="R581" t="s">
        <v>852</v>
      </c>
      <c r="S581"/>
      <c r="T581" s="3"/>
      <c r="U581" s="25"/>
      <c r="V581" s="24" t="s">
        <v>1196</v>
      </c>
      <c r="W581" s="40"/>
      <c r="X581" s="41"/>
      <c r="Y581" s="113"/>
    </row>
    <row r="582" spans="1:25" s="2" customFormat="1">
      <c r="A582" s="58" t="s">
        <v>128</v>
      </c>
      <c r="B582" s="4">
        <v>43754.020833333299</v>
      </c>
      <c r="C582" s="2">
        <v>4</v>
      </c>
      <c r="D582" s="59" t="s">
        <v>998</v>
      </c>
      <c r="E582" s="7" t="s">
        <v>31</v>
      </c>
      <c r="F582" s="37" t="s">
        <v>151</v>
      </c>
      <c r="G582" s="32">
        <v>66.400000000000006</v>
      </c>
      <c r="H582" s="32">
        <v>84.5</v>
      </c>
      <c r="I582">
        <f>表1_4[[#This Row],[主队2]]-表1_4[[#This Row],[客队2]]</f>
        <v>-18.100000000000001</v>
      </c>
      <c r="J58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582" s="35" t="s">
        <v>111</v>
      </c>
      <c r="L58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82" s="63" t="s">
        <v>1197</v>
      </c>
      <c r="N582" s="10" t="s">
        <v>112</v>
      </c>
      <c r="O582" s="10" t="s">
        <v>46</v>
      </c>
      <c r="P582" s="9">
        <v>12</v>
      </c>
      <c r="Q582" s="11"/>
      <c r="R582" t="s">
        <v>855</v>
      </c>
      <c r="S582"/>
      <c r="T582" s="3"/>
      <c r="U582" s="25"/>
      <c r="V582" s="95" t="s">
        <v>1198</v>
      </c>
      <c r="W582" s="40" t="s">
        <v>280</v>
      </c>
      <c r="X582" s="41"/>
      <c r="Y582" s="113"/>
    </row>
    <row r="583" spans="1:25" s="2" customFormat="1">
      <c r="A583" s="58" t="s">
        <v>128</v>
      </c>
      <c r="B583" s="4">
        <v>43783.770833333299</v>
      </c>
      <c r="C583" s="2">
        <v>5</v>
      </c>
      <c r="D583" s="132" t="s">
        <v>1091</v>
      </c>
      <c r="E583" s="7" t="s">
        <v>79</v>
      </c>
      <c r="F583" t="s">
        <v>1000</v>
      </c>
      <c r="G583" s="32">
        <v>37.9</v>
      </c>
      <c r="H583" s="32">
        <v>52.6</v>
      </c>
      <c r="I583">
        <f>表1_4[[#This Row],[主队2]]-表1_4[[#This Row],[客队2]]</f>
        <v>-14.7</v>
      </c>
      <c r="J58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583" s="35" t="s">
        <v>111</v>
      </c>
      <c r="L58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83" s="63" t="s">
        <v>1197</v>
      </c>
      <c r="N583" s="10" t="s">
        <v>112</v>
      </c>
      <c r="O583" s="10" t="s">
        <v>46</v>
      </c>
      <c r="P583" s="9" t="s">
        <v>161</v>
      </c>
      <c r="Q583" s="11"/>
      <c r="R583"/>
      <c r="S583"/>
      <c r="T583" s="3"/>
      <c r="U583" s="25"/>
      <c r="V583" s="95" t="s">
        <v>1199</v>
      </c>
      <c r="W583" s="87"/>
      <c r="X583" s="41"/>
      <c r="Y583" s="113"/>
    </row>
    <row r="584" spans="1:25" s="2" customFormat="1">
      <c r="A584" s="58" t="s">
        <v>128</v>
      </c>
      <c r="B584" s="4">
        <v>43783.804166666698</v>
      </c>
      <c r="C584" s="7">
        <v>5</v>
      </c>
      <c r="D584" s="132" t="s">
        <v>1001</v>
      </c>
      <c r="E584" s="7" t="s">
        <v>47</v>
      </c>
      <c r="F584" t="s">
        <v>147</v>
      </c>
      <c r="G584" s="32">
        <v>53.6</v>
      </c>
      <c r="H584" s="32">
        <v>82.9</v>
      </c>
      <c r="I584">
        <f>表1_4[[#This Row],[主队2]]-表1_4[[#This Row],[客队2]]</f>
        <v>-29.3</v>
      </c>
      <c r="J584" s="35" t="s">
        <v>1016</v>
      </c>
      <c r="K584" s="35" t="s">
        <v>1062</v>
      </c>
      <c r="L58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84" s="11"/>
      <c r="N584" s="10" t="s">
        <v>404</v>
      </c>
      <c r="O584" s="10" t="s">
        <v>35</v>
      </c>
      <c r="P584" s="9" t="s">
        <v>161</v>
      </c>
      <c r="Q584" s="11"/>
      <c r="R584"/>
      <c r="S584"/>
      <c r="T584" s="3"/>
      <c r="U584" s="83" t="s">
        <v>226</v>
      </c>
      <c r="V584" s="85" t="s">
        <v>1200</v>
      </c>
      <c r="W584" s="87"/>
      <c r="X584" s="41"/>
      <c r="Y584" s="113"/>
    </row>
    <row r="585" spans="1:25" s="2" customFormat="1">
      <c r="A585" s="58" t="s">
        <v>128</v>
      </c>
      <c r="B585" s="4">
        <v>43783.791666666701</v>
      </c>
      <c r="C585" s="7">
        <v>5</v>
      </c>
      <c r="D585" s="132" t="s">
        <v>1095</v>
      </c>
      <c r="E585" s="7" t="s">
        <v>41</v>
      </c>
      <c r="F585" t="s">
        <v>1004</v>
      </c>
      <c r="G585" s="32">
        <v>53.8</v>
      </c>
      <c r="H585" s="32">
        <v>62.7</v>
      </c>
      <c r="I585">
        <f>表1_4[[#This Row],[主队2]]-表1_4[[#This Row],[客队2]]</f>
        <v>-8.9000000000000092</v>
      </c>
      <c r="J58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585" s="35" t="s">
        <v>152</v>
      </c>
      <c r="L58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85" s="11"/>
      <c r="N585" s="57" t="s">
        <v>133</v>
      </c>
      <c r="O585" s="10" t="s">
        <v>46</v>
      </c>
      <c r="P585" s="9" t="s">
        <v>161</v>
      </c>
      <c r="Q585" s="11"/>
      <c r="R585"/>
      <c r="S585"/>
      <c r="T585" s="3"/>
      <c r="U585" s="83"/>
      <c r="V585" s="89" t="s">
        <v>1201</v>
      </c>
      <c r="W585" s="87"/>
      <c r="X585" s="41"/>
      <c r="Y585" s="113"/>
    </row>
    <row r="586" spans="1:25" s="2" customFormat="1">
      <c r="A586" s="58" t="s">
        <v>128</v>
      </c>
      <c r="B586" s="4">
        <v>43783.791666666701</v>
      </c>
      <c r="C586" s="26">
        <v>5</v>
      </c>
      <c r="D586" s="132" t="s">
        <v>1080</v>
      </c>
      <c r="E586" s="7" t="s">
        <v>60</v>
      </c>
      <c r="F586" t="s">
        <v>995</v>
      </c>
      <c r="G586" s="32">
        <v>34.9</v>
      </c>
      <c r="H586" s="32">
        <v>44</v>
      </c>
      <c r="I586">
        <f>表1_4[[#This Row],[主队2]]-表1_4[[#This Row],[客队2]]</f>
        <v>-9.1</v>
      </c>
      <c r="J58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586" s="35" t="s">
        <v>245</v>
      </c>
      <c r="L58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86" s="11"/>
      <c r="N586" s="10" t="s">
        <v>119</v>
      </c>
      <c r="O586" s="10" t="s">
        <v>40</v>
      </c>
      <c r="P586" s="9" t="s">
        <v>161</v>
      </c>
      <c r="Q586" s="11"/>
      <c r="R586"/>
      <c r="S586"/>
      <c r="T586" s="3"/>
      <c r="U586" s="83" t="s">
        <v>1202</v>
      </c>
      <c r="V586" s="85" t="s">
        <v>1203</v>
      </c>
      <c r="W586" s="86"/>
      <c r="X586" s="41"/>
      <c r="Y586" s="113"/>
    </row>
    <row r="587" spans="1:25" s="2" customFormat="1">
      <c r="A587" s="58" t="s">
        <v>128</v>
      </c>
      <c r="B587" s="4">
        <v>43783.833333333299</v>
      </c>
      <c r="C587" s="115">
        <v>5</v>
      </c>
      <c r="D587" s="132" t="s">
        <v>131</v>
      </c>
      <c r="E587" s="7" t="s">
        <v>62</v>
      </c>
      <c r="F587" t="s">
        <v>138</v>
      </c>
      <c r="G587" s="32">
        <v>74.900000000000006</v>
      </c>
      <c r="H587" s="32">
        <v>71.3</v>
      </c>
      <c r="I587">
        <f>表1_4[[#This Row],[主队2]]-表1_4[[#This Row],[客队2]]</f>
        <v>3.6000000000000099</v>
      </c>
      <c r="J58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587" s="35" t="s">
        <v>289</v>
      </c>
      <c r="L58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587" s="11"/>
      <c r="N587" s="10" t="s">
        <v>119</v>
      </c>
      <c r="O587" s="10" t="s">
        <v>143</v>
      </c>
      <c r="P587" s="9">
        <v>4</v>
      </c>
      <c r="Q587" s="11"/>
      <c r="R587"/>
      <c r="S587"/>
      <c r="T587" s="3"/>
      <c r="U587" s="83"/>
      <c r="V587" s="85" t="s">
        <v>1204</v>
      </c>
      <c r="W587" s="38"/>
      <c r="X587" s="41"/>
      <c r="Y587" s="113"/>
    </row>
    <row r="588" spans="1:25" s="2" customFormat="1">
      <c r="A588" s="58" t="s">
        <v>128</v>
      </c>
      <c r="B588" s="68">
        <v>43783.833333333299</v>
      </c>
      <c r="C588" s="26">
        <v>5</v>
      </c>
      <c r="D588" s="132" t="s">
        <v>1103</v>
      </c>
      <c r="E588" s="7" t="s">
        <v>42</v>
      </c>
      <c r="F588" t="s">
        <v>998</v>
      </c>
      <c r="G588" s="32">
        <v>49.6</v>
      </c>
      <c r="H588" s="32">
        <v>67.400000000000006</v>
      </c>
      <c r="I588">
        <f>表1_4[[#This Row],[主队2]]-表1_4[[#This Row],[客队2]]</f>
        <v>-17.8</v>
      </c>
      <c r="J58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588" s="35" t="s">
        <v>219</v>
      </c>
      <c r="L58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88" s="63" t="s">
        <v>1189</v>
      </c>
      <c r="N588" s="10" t="s">
        <v>112</v>
      </c>
      <c r="O588" s="10" t="s">
        <v>143</v>
      </c>
      <c r="P588" s="9" t="s">
        <v>161</v>
      </c>
      <c r="Q588" s="11"/>
      <c r="R588"/>
      <c r="S588"/>
      <c r="T588" s="3"/>
      <c r="U588" s="246"/>
      <c r="V588" s="247" t="s">
        <v>1205</v>
      </c>
      <c r="W588" s="40"/>
      <c r="X588" s="41"/>
      <c r="Y588" s="113"/>
    </row>
    <row r="589" spans="1:25" s="2" customFormat="1">
      <c r="A589" s="58" t="s">
        <v>128</v>
      </c>
      <c r="B589" s="4">
        <v>43783.864583333299</v>
      </c>
      <c r="C589" s="115">
        <v>5</v>
      </c>
      <c r="D589" s="132" t="s">
        <v>1087</v>
      </c>
      <c r="E589" s="7" t="s">
        <v>33</v>
      </c>
      <c r="F589" t="s">
        <v>137</v>
      </c>
      <c r="G589" s="32">
        <v>49.4</v>
      </c>
      <c r="H589" s="32">
        <v>63.6</v>
      </c>
      <c r="I589">
        <f>表1_4[[#This Row],[主队2]]-表1_4[[#This Row],[客队2]]</f>
        <v>-14.2</v>
      </c>
      <c r="J58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589" s="35" t="s">
        <v>132</v>
      </c>
      <c r="L58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89" s="11"/>
      <c r="N589" s="10" t="s">
        <v>119</v>
      </c>
      <c r="O589" s="57" t="s">
        <v>35</v>
      </c>
      <c r="P589" s="9">
        <v>21</v>
      </c>
      <c r="Q589" s="11"/>
      <c r="R589"/>
      <c r="S589"/>
      <c r="T589" s="3"/>
      <c r="U589" s="246" t="s">
        <v>1206</v>
      </c>
      <c r="V589" s="85" t="s">
        <v>1207</v>
      </c>
      <c r="W589" s="244"/>
      <c r="X589" s="41"/>
      <c r="Y589" s="113"/>
    </row>
    <row r="590" spans="1:25" s="2" customFormat="1">
      <c r="A590" s="58" t="s">
        <v>128</v>
      </c>
      <c r="B590" s="4">
        <v>43783.875</v>
      </c>
      <c r="C590" s="115">
        <v>5</v>
      </c>
      <c r="D590" s="132" t="s">
        <v>1002</v>
      </c>
      <c r="E590" s="7" t="s">
        <v>31</v>
      </c>
      <c r="F590" t="s">
        <v>146</v>
      </c>
      <c r="G590" s="32">
        <v>58.3</v>
      </c>
      <c r="H590" s="32">
        <v>68.5</v>
      </c>
      <c r="I590">
        <f>表1_4[[#This Row],[主队2]]-表1_4[[#This Row],[客队2]]</f>
        <v>-10.199999999999999</v>
      </c>
      <c r="J59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590" s="35" t="s">
        <v>166</v>
      </c>
      <c r="L59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90" s="11"/>
      <c r="N590" s="10" t="s">
        <v>119</v>
      </c>
      <c r="O590" s="10" t="s">
        <v>39</v>
      </c>
      <c r="P590" s="9">
        <v>-14</v>
      </c>
      <c r="Q590" s="11"/>
      <c r="R590"/>
      <c r="S590"/>
      <c r="T590" s="3"/>
      <c r="U590" s="83"/>
      <c r="V590" s="247" t="s">
        <v>1208</v>
      </c>
      <c r="W590" s="86"/>
      <c r="X590" s="41"/>
      <c r="Y590" s="113"/>
    </row>
    <row r="591" spans="1:25" s="2" customFormat="1">
      <c r="A591" s="58" t="s">
        <v>128</v>
      </c>
      <c r="B591" s="68">
        <v>43783.875</v>
      </c>
      <c r="C591" s="26">
        <v>5</v>
      </c>
      <c r="D591" s="132" t="s">
        <v>1005</v>
      </c>
      <c r="E591" s="7" t="s">
        <v>42</v>
      </c>
      <c r="F591" t="s">
        <v>185</v>
      </c>
      <c r="G591" s="32">
        <v>60.7</v>
      </c>
      <c r="H591" s="32">
        <v>78.900000000000006</v>
      </c>
      <c r="I591">
        <f>表1_4[[#This Row],[主队2]]-表1_4[[#This Row],[客队2]]</f>
        <v>-18.2</v>
      </c>
      <c r="J59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591" s="35" t="s">
        <v>219</v>
      </c>
      <c r="L59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591" s="63" t="s">
        <v>1169</v>
      </c>
      <c r="N591" s="10" t="s">
        <v>119</v>
      </c>
      <c r="O591" s="10" t="s">
        <v>35</v>
      </c>
      <c r="P591" s="9" t="s">
        <v>161</v>
      </c>
      <c r="Q591" s="11"/>
      <c r="R591"/>
      <c r="S591"/>
      <c r="T591" s="3"/>
      <c r="U591" s="246" t="s">
        <v>1209</v>
      </c>
      <c r="V591" s="247" t="s">
        <v>1210</v>
      </c>
      <c r="W591" s="86"/>
      <c r="X591" s="41"/>
      <c r="Y591" s="113"/>
    </row>
    <row r="592" spans="1:25" s="2" customFormat="1" ht="28.9">
      <c r="A592" s="58" t="s">
        <v>128</v>
      </c>
      <c r="B592" s="4">
        <v>43783.916666666701</v>
      </c>
      <c r="C592" s="115">
        <v>5</v>
      </c>
      <c r="D592" s="132" t="s">
        <v>141</v>
      </c>
      <c r="E592" s="7" t="s">
        <v>33</v>
      </c>
      <c r="F592" t="s">
        <v>151</v>
      </c>
      <c r="G592" s="32">
        <v>70.3</v>
      </c>
      <c r="H592" s="32">
        <v>83.5</v>
      </c>
      <c r="I592">
        <f>表1_4[[#This Row],[主队2]]-表1_4[[#This Row],[客队2]]</f>
        <v>-13.2</v>
      </c>
      <c r="J59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592" s="35" t="s">
        <v>132</v>
      </c>
      <c r="L59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92" s="11"/>
      <c r="N592" s="10" t="s">
        <v>119</v>
      </c>
      <c r="O592" s="10" t="s">
        <v>40</v>
      </c>
      <c r="P592" s="9">
        <v>12</v>
      </c>
      <c r="Q592" s="11"/>
      <c r="R592"/>
      <c r="S592"/>
      <c r="T592" s="3"/>
      <c r="U592" s="246" t="s">
        <v>1211</v>
      </c>
      <c r="V592" s="24" t="s">
        <v>1212</v>
      </c>
      <c r="W592" s="38"/>
      <c r="X592" s="41"/>
      <c r="Y592" s="113"/>
    </row>
    <row r="593" spans="1:25" s="2" customFormat="1">
      <c r="A593" s="58" t="s">
        <v>128</v>
      </c>
      <c r="B593" s="4">
        <v>43783.916666666701</v>
      </c>
      <c r="C593" s="7">
        <v>5</v>
      </c>
      <c r="D593" s="132" t="s">
        <v>1094</v>
      </c>
      <c r="E593" s="7" t="s">
        <v>36</v>
      </c>
      <c r="F593" t="s">
        <v>1187</v>
      </c>
      <c r="G593" s="32">
        <v>37.4</v>
      </c>
      <c r="H593" s="32">
        <v>45.4</v>
      </c>
      <c r="I593">
        <f>表1_4[[#This Row],[主队2]]-表1_4[[#This Row],[客队2]]</f>
        <v>-8</v>
      </c>
      <c r="J59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593" s="35" t="s">
        <v>166</v>
      </c>
      <c r="L59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93" s="11"/>
      <c r="N593" s="10" t="s">
        <v>119</v>
      </c>
      <c r="O593" s="10" t="s">
        <v>143</v>
      </c>
      <c r="P593" s="9" t="s">
        <v>161</v>
      </c>
      <c r="Q593" s="11"/>
      <c r="R593"/>
      <c r="S593"/>
      <c r="T593" s="3"/>
      <c r="U593" s="246" t="s">
        <v>776</v>
      </c>
      <c r="V593" s="251" t="s">
        <v>1213</v>
      </c>
      <c r="W593" s="86"/>
      <c r="X593" s="41"/>
      <c r="Y593" s="113"/>
    </row>
    <row r="594" spans="1:25" s="2" customFormat="1">
      <c r="A594" s="58" t="s">
        <v>128</v>
      </c>
      <c r="B594" s="4">
        <v>43783.916666666701</v>
      </c>
      <c r="C594" s="115">
        <v>5</v>
      </c>
      <c r="D594" s="132" t="s">
        <v>130</v>
      </c>
      <c r="E594" s="7" t="s">
        <v>33</v>
      </c>
      <c r="F594" t="s">
        <v>109</v>
      </c>
      <c r="G594" s="32">
        <v>69.3</v>
      </c>
      <c r="H594" s="32">
        <v>68.599999999999994</v>
      </c>
      <c r="I594">
        <f>表1_4[[#This Row],[主队2]]-表1_4[[#This Row],[客队2]]</f>
        <v>0.70000000000000295</v>
      </c>
      <c r="J594" s="34">
        <v>0</v>
      </c>
      <c r="K594" s="35" t="s">
        <v>152</v>
      </c>
      <c r="L59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594" s="11"/>
      <c r="N594" s="10" t="s">
        <v>119</v>
      </c>
      <c r="O594" s="10" t="s">
        <v>143</v>
      </c>
      <c r="P594" s="9">
        <v>4</v>
      </c>
      <c r="Q594" s="11"/>
      <c r="R594"/>
      <c r="S594"/>
      <c r="T594" s="3"/>
      <c r="U594" s="246" t="s">
        <v>776</v>
      </c>
      <c r="V594" s="247" t="s">
        <v>1214</v>
      </c>
      <c r="W594" s="86"/>
      <c r="X594" s="41"/>
      <c r="Y594" s="113"/>
    </row>
    <row r="595" spans="1:25" s="2" customFormat="1">
      <c r="A595" s="58" t="s">
        <v>128</v>
      </c>
      <c r="B595" s="4">
        <v>43783.958333333299</v>
      </c>
      <c r="C595" s="26">
        <v>5</v>
      </c>
      <c r="D595" s="132" t="s">
        <v>1093</v>
      </c>
      <c r="E595" s="7" t="s">
        <v>43</v>
      </c>
      <c r="F595" t="s">
        <v>1188</v>
      </c>
      <c r="G595" s="32">
        <v>64.2</v>
      </c>
      <c r="H595" s="32">
        <v>26.3</v>
      </c>
      <c r="I595">
        <f>表1_4[[#This Row],[主队2]]-表1_4[[#This Row],[客队2]]</f>
        <v>37.9</v>
      </c>
      <c r="J595" s="35" t="s">
        <v>59</v>
      </c>
      <c r="K595" s="35" t="s">
        <v>34</v>
      </c>
      <c r="L59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95" s="11"/>
      <c r="N595" s="46" t="s">
        <v>133</v>
      </c>
      <c r="O595" s="10" t="s">
        <v>40</v>
      </c>
      <c r="P595" s="9" t="s">
        <v>161</v>
      </c>
      <c r="Q595" s="11"/>
      <c r="R595"/>
      <c r="S595"/>
      <c r="T595" s="3"/>
      <c r="U595" s="25" t="s">
        <v>1215</v>
      </c>
      <c r="V595" s="24" t="s">
        <v>997</v>
      </c>
      <c r="W595" s="86"/>
      <c r="X595" s="41"/>
      <c r="Y595" s="113"/>
    </row>
    <row r="596" spans="1:25" s="2" customFormat="1">
      <c r="A596" s="58" t="s">
        <v>128</v>
      </c>
      <c r="B596" s="4">
        <v>43783.958333333299</v>
      </c>
      <c r="C596" s="26">
        <v>5</v>
      </c>
      <c r="D596" s="132" t="s">
        <v>1086</v>
      </c>
      <c r="E596" s="7" t="s">
        <v>31</v>
      </c>
      <c r="F596" t="s">
        <v>1185</v>
      </c>
      <c r="G596" s="32">
        <v>50.3</v>
      </c>
      <c r="H596" s="32">
        <v>60.9</v>
      </c>
      <c r="I596">
        <f>表1_4[[#This Row],[主队2]]-表1_4[[#This Row],[客队2]]</f>
        <v>-10.6</v>
      </c>
      <c r="J59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596" s="35" t="s">
        <v>111</v>
      </c>
      <c r="L59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596" s="11"/>
      <c r="N596" s="10" t="s">
        <v>119</v>
      </c>
      <c r="O596" s="57" t="s">
        <v>35</v>
      </c>
      <c r="P596" s="9" t="s">
        <v>161</v>
      </c>
      <c r="Q596" s="11"/>
      <c r="R596"/>
      <c r="S596"/>
      <c r="T596" s="3"/>
      <c r="U596" s="246" t="s">
        <v>1216</v>
      </c>
      <c r="V596" s="247" t="s">
        <v>1031</v>
      </c>
      <c r="W596" s="86"/>
      <c r="X596" s="41"/>
      <c r="Y596" s="113"/>
    </row>
    <row r="597" spans="1:25" s="2" customFormat="1">
      <c r="A597" s="58" t="s">
        <v>128</v>
      </c>
      <c r="B597" s="4">
        <v>43784</v>
      </c>
      <c r="C597" s="26">
        <v>5</v>
      </c>
      <c r="D597" s="132" t="s">
        <v>1099</v>
      </c>
      <c r="E597" s="42" t="s">
        <v>490</v>
      </c>
      <c r="F597" t="s">
        <v>1176</v>
      </c>
      <c r="G597" s="32">
        <v>64.5</v>
      </c>
      <c r="H597" s="32">
        <v>29.4</v>
      </c>
      <c r="I597">
        <f>表1_4[[#This Row],[主队2]]-表1_4[[#This Row],[客队2]]</f>
        <v>35.1</v>
      </c>
      <c r="J597" s="35" t="s">
        <v>50</v>
      </c>
      <c r="K597" s="35" t="s">
        <v>23</v>
      </c>
      <c r="L59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597" s="11"/>
      <c r="N597" s="46" t="s">
        <v>160</v>
      </c>
      <c r="O597" s="10" t="s">
        <v>40</v>
      </c>
      <c r="P597" s="9" t="s">
        <v>161</v>
      </c>
      <c r="Q597" s="11"/>
      <c r="R597"/>
      <c r="S597"/>
      <c r="T597" s="3"/>
      <c r="U597" s="25" t="s">
        <v>1217</v>
      </c>
      <c r="V597" s="24" t="s">
        <v>1218</v>
      </c>
      <c r="W597" s="40" t="s">
        <v>280</v>
      </c>
      <c r="X597" s="41"/>
      <c r="Y597" s="113"/>
    </row>
    <row r="598" spans="1:25" s="2" customFormat="1">
      <c r="A598" s="58" t="s">
        <v>128</v>
      </c>
      <c r="B598" s="4">
        <v>43784</v>
      </c>
      <c r="C598" s="26">
        <v>5</v>
      </c>
      <c r="D598" s="132" t="s">
        <v>1098</v>
      </c>
      <c r="E598" s="7" t="s">
        <v>53</v>
      </c>
      <c r="F598" t="s">
        <v>142</v>
      </c>
      <c r="G598" s="32">
        <v>65.7</v>
      </c>
      <c r="H598" s="32">
        <v>80.900000000000006</v>
      </c>
      <c r="I598">
        <f>表1_4[[#This Row],[主队2]]-表1_4[[#This Row],[客队2]]</f>
        <v>-15.2</v>
      </c>
      <c r="J59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598" s="35" t="s">
        <v>111</v>
      </c>
      <c r="L59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598" s="11"/>
      <c r="N598" s="10" t="s">
        <v>133</v>
      </c>
      <c r="O598" s="10" t="s">
        <v>40</v>
      </c>
      <c r="P598" s="9">
        <v>18</v>
      </c>
      <c r="Q598" s="11"/>
      <c r="R598"/>
      <c r="S598"/>
      <c r="T598" s="3"/>
      <c r="U598" s="246" t="s">
        <v>1219</v>
      </c>
      <c r="V598" s="94" t="s">
        <v>1220</v>
      </c>
      <c r="W598" s="86"/>
      <c r="X598" s="41"/>
      <c r="Y598" s="113"/>
    </row>
    <row r="599" spans="1:25" s="2" customFormat="1">
      <c r="A599" s="58" t="s">
        <v>908</v>
      </c>
      <c r="B599" s="125">
        <v>43784.15625</v>
      </c>
      <c r="C599" s="26">
        <v>9</v>
      </c>
      <c r="D599" s="59" t="s">
        <v>117</v>
      </c>
      <c r="E599" s="42" t="s">
        <v>49</v>
      </c>
      <c r="F599" s="37" t="s">
        <v>301</v>
      </c>
      <c r="G599" s="32">
        <v>94.1</v>
      </c>
      <c r="H599" s="32">
        <v>73.099999999999994</v>
      </c>
      <c r="I599">
        <f>表1_4[[#This Row],[主队2]]-表1_4[[#This Row],[客队2]]</f>
        <v>21</v>
      </c>
      <c r="J59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599" s="35" t="s">
        <v>34</v>
      </c>
      <c r="L59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599" s="11"/>
      <c r="N599" s="10" t="s">
        <v>119</v>
      </c>
      <c r="O599" s="10" t="s">
        <v>65</v>
      </c>
      <c r="P599" s="9" t="s">
        <v>161</v>
      </c>
      <c r="Q599" s="11"/>
      <c r="R599" t="s">
        <v>855</v>
      </c>
      <c r="S599"/>
      <c r="T599" s="3"/>
      <c r="U599" s="83"/>
      <c r="V599" s="85" t="s">
        <v>1221</v>
      </c>
      <c r="W599" s="71"/>
      <c r="X599" s="41"/>
      <c r="Y599" s="113"/>
    </row>
    <row r="600" spans="1:25" s="2" customFormat="1">
      <c r="A600" s="58" t="s">
        <v>908</v>
      </c>
      <c r="B600" s="4">
        <v>43784.15625</v>
      </c>
      <c r="C600" s="26">
        <v>9</v>
      </c>
      <c r="D600" s="59" t="s">
        <v>284</v>
      </c>
      <c r="E600" s="7" t="s">
        <v>33</v>
      </c>
      <c r="F600" s="37" t="s">
        <v>217</v>
      </c>
      <c r="G600" s="32">
        <v>83.3</v>
      </c>
      <c r="H600" s="32">
        <v>68.8</v>
      </c>
      <c r="I600">
        <f>表1_4[[#This Row],[主队2]]-表1_4[[#This Row],[客队2]]</f>
        <v>14.5</v>
      </c>
      <c r="J60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600" s="35" t="s">
        <v>118</v>
      </c>
      <c r="L60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600" s="11"/>
      <c r="N600" s="10" t="s">
        <v>112</v>
      </c>
      <c r="O600" s="10" t="s">
        <v>65</v>
      </c>
      <c r="P600" s="9">
        <v>24</v>
      </c>
      <c r="Q600" s="11"/>
      <c r="R600" t="s">
        <v>852</v>
      </c>
      <c r="S600"/>
      <c r="T600" s="3"/>
      <c r="U600" s="246"/>
      <c r="V600" s="24" t="s">
        <v>1222</v>
      </c>
      <c r="W600" s="38"/>
      <c r="X600" s="41"/>
      <c r="Y600" s="113"/>
    </row>
    <row r="601" spans="1:25" s="2" customFormat="1">
      <c r="A601" s="58" t="s">
        <v>908</v>
      </c>
      <c r="B601" s="4">
        <v>43784.15625</v>
      </c>
      <c r="C601" s="7">
        <v>9</v>
      </c>
      <c r="D601" s="59" t="s">
        <v>434</v>
      </c>
      <c r="E601" s="7" t="s">
        <v>29</v>
      </c>
      <c r="F601" s="37" t="s">
        <v>266</v>
      </c>
      <c r="G601" s="32">
        <v>84.2</v>
      </c>
      <c r="H601" s="32">
        <v>60.7</v>
      </c>
      <c r="I601">
        <f>表1_4[[#This Row],[主队2]]-表1_4[[#This Row],[客队2]]</f>
        <v>23.5</v>
      </c>
      <c r="J601" s="34">
        <v>2.5</v>
      </c>
      <c r="K601" s="35" t="s">
        <v>45</v>
      </c>
      <c r="L60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01" s="11"/>
      <c r="N601" s="10" t="s">
        <v>112</v>
      </c>
      <c r="O601" s="10" t="s">
        <v>143</v>
      </c>
      <c r="P601" s="9" t="s">
        <v>161</v>
      </c>
      <c r="Q601" s="11"/>
      <c r="R601"/>
      <c r="S601"/>
      <c r="T601" s="3"/>
      <c r="U601" s="83"/>
      <c r="V601" s="75" t="s">
        <v>1223</v>
      </c>
      <c r="W601" s="40"/>
      <c r="X601" s="41"/>
      <c r="Y601" s="113"/>
    </row>
    <row r="602" spans="1:25" s="2" customFormat="1">
      <c r="A602" s="58" t="s">
        <v>908</v>
      </c>
      <c r="B602" s="4">
        <v>43784.15625</v>
      </c>
      <c r="C602" s="7">
        <v>9</v>
      </c>
      <c r="D602" s="59" t="s">
        <v>270</v>
      </c>
      <c r="E602" s="7" t="s">
        <v>55</v>
      </c>
      <c r="F602" s="37" t="s">
        <v>292</v>
      </c>
      <c r="G602" s="32">
        <v>92</v>
      </c>
      <c r="H602" s="32">
        <v>62.8</v>
      </c>
      <c r="I602">
        <f>表1_4[[#This Row],[主队2]]-表1_4[[#This Row],[客队2]]</f>
        <v>29.2</v>
      </c>
      <c r="J602" s="35" t="s">
        <v>38</v>
      </c>
      <c r="K602" s="35" t="s">
        <v>56</v>
      </c>
      <c r="L60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02" s="11"/>
      <c r="N602" s="10" t="s">
        <v>112</v>
      </c>
      <c r="O602" s="10" t="s">
        <v>24</v>
      </c>
      <c r="P602" s="9" t="s">
        <v>161</v>
      </c>
      <c r="Q602" s="11"/>
      <c r="R602"/>
      <c r="S602"/>
      <c r="T602" s="3"/>
      <c r="U602" s="83"/>
      <c r="V602" s="247" t="s">
        <v>1224</v>
      </c>
      <c r="W602" s="40"/>
      <c r="X602" s="41"/>
      <c r="Y602" s="113"/>
    </row>
    <row r="603" spans="1:25" s="2" customFormat="1">
      <c r="A603" s="58" t="s">
        <v>908</v>
      </c>
      <c r="B603" s="4">
        <v>43784.041666666701</v>
      </c>
      <c r="C603" s="2">
        <v>9</v>
      </c>
      <c r="D603" s="59" t="s">
        <v>190</v>
      </c>
      <c r="E603" s="7" t="s">
        <v>42</v>
      </c>
      <c r="F603" s="37" t="s">
        <v>218</v>
      </c>
      <c r="G603" s="32">
        <v>83.6</v>
      </c>
      <c r="H603" s="32">
        <v>78.3</v>
      </c>
      <c r="I603">
        <f>表1_4[[#This Row],[主队2]]-表1_4[[#This Row],[客队2]]</f>
        <v>5.3</v>
      </c>
      <c r="J60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603" s="35" t="s">
        <v>118</v>
      </c>
      <c r="L60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03" s="11"/>
      <c r="N603" s="10" t="s">
        <v>119</v>
      </c>
      <c r="O603" s="10" t="s">
        <v>143</v>
      </c>
      <c r="P603" s="9">
        <v>8</v>
      </c>
      <c r="Q603" s="11"/>
      <c r="R603" t="s">
        <v>855</v>
      </c>
      <c r="S603"/>
      <c r="T603" s="3"/>
      <c r="U603" s="83"/>
      <c r="V603" s="247" t="s">
        <v>1225</v>
      </c>
      <c r="W603" s="38"/>
      <c r="X603" s="41"/>
      <c r="Y603" s="113"/>
    </row>
    <row r="604" spans="1:25" s="2" customFormat="1">
      <c r="A604" s="58" t="s">
        <v>908</v>
      </c>
      <c r="B604" s="4">
        <v>43784.15625</v>
      </c>
      <c r="C604" s="2">
        <v>9</v>
      </c>
      <c r="D604" s="59" t="s">
        <v>267</v>
      </c>
      <c r="E604" s="7" t="s">
        <v>33</v>
      </c>
      <c r="F604" s="37" t="s">
        <v>195</v>
      </c>
      <c r="G604" s="32">
        <v>95.3</v>
      </c>
      <c r="H604" s="32">
        <v>59.9</v>
      </c>
      <c r="I604">
        <f>表1_4[[#This Row],[主队2]]-表1_4[[#This Row],[客队2]]</f>
        <v>35.4</v>
      </c>
      <c r="J604" s="35" t="s">
        <v>50</v>
      </c>
      <c r="K604" s="35" t="s">
        <v>59</v>
      </c>
      <c r="L60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04" s="11"/>
      <c r="N604" s="10" t="s">
        <v>112</v>
      </c>
      <c r="O604" s="10" t="s">
        <v>48</v>
      </c>
      <c r="P604" s="9" t="s">
        <v>161</v>
      </c>
      <c r="Q604" s="11"/>
      <c r="R604" t="s">
        <v>855</v>
      </c>
      <c r="S604"/>
      <c r="T604" s="3"/>
      <c r="U604" s="246"/>
      <c r="V604" s="247" t="s">
        <v>1226</v>
      </c>
      <c r="W604" s="86"/>
      <c r="X604" s="41"/>
      <c r="Y604" s="113"/>
    </row>
    <row r="605" spans="1:25" s="2" customFormat="1">
      <c r="A605" s="58" t="s">
        <v>908</v>
      </c>
      <c r="B605" s="4">
        <v>43784.15625</v>
      </c>
      <c r="C605" s="2">
        <v>9</v>
      </c>
      <c r="D605" s="59" t="s">
        <v>205</v>
      </c>
      <c r="E605" s="7" t="s">
        <v>25</v>
      </c>
      <c r="F605" s="37" t="s">
        <v>243</v>
      </c>
      <c r="G605" s="32">
        <v>73.5</v>
      </c>
      <c r="H605" s="32">
        <v>48.1</v>
      </c>
      <c r="I605">
        <f>表1_4[[#This Row],[主队2]]-表1_4[[#This Row],[客队2]]</f>
        <v>25.4</v>
      </c>
      <c r="J605" s="35" t="s">
        <v>30</v>
      </c>
      <c r="K605" s="35" t="s">
        <v>26</v>
      </c>
      <c r="L60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05" s="11"/>
      <c r="N605" s="46" t="s">
        <v>404</v>
      </c>
      <c r="O605" s="10" t="s">
        <v>46</v>
      </c>
      <c r="P605" s="9" t="s">
        <v>161</v>
      </c>
      <c r="Q605" s="11"/>
      <c r="R605" t="s">
        <v>855</v>
      </c>
      <c r="S605"/>
      <c r="T605" s="3"/>
      <c r="U605" s="254"/>
      <c r="V605" s="271" t="s">
        <v>1227</v>
      </c>
      <c r="W605" s="87"/>
      <c r="X605" s="41"/>
      <c r="Y605" s="113"/>
    </row>
    <row r="606" spans="1:25" s="2" customFormat="1">
      <c r="A606" s="58" t="s">
        <v>908</v>
      </c>
      <c r="B606" s="4">
        <v>43785.041666666701</v>
      </c>
      <c r="C606" s="26">
        <v>9</v>
      </c>
      <c r="D606" s="59" t="s">
        <v>191</v>
      </c>
      <c r="E606" s="7" t="s">
        <v>44</v>
      </c>
      <c r="F606" s="37" t="s">
        <v>437</v>
      </c>
      <c r="G606" s="32">
        <v>76.8</v>
      </c>
      <c r="H606" s="32">
        <v>48.6</v>
      </c>
      <c r="I606">
        <f>表1_4[[#This Row],[主队2]]-表1_4[[#This Row],[客队2]]</f>
        <v>28.2</v>
      </c>
      <c r="J606" s="35" t="s">
        <v>34</v>
      </c>
      <c r="K606" s="35" t="s">
        <v>34</v>
      </c>
      <c r="L60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06" s="11"/>
      <c r="N606" s="10" t="s">
        <v>119</v>
      </c>
      <c r="O606" s="10" t="s">
        <v>143</v>
      </c>
      <c r="P606" s="9" t="s">
        <v>161</v>
      </c>
      <c r="Q606" s="11"/>
      <c r="R606" t="s">
        <v>852</v>
      </c>
      <c r="S606"/>
      <c r="T606" s="3"/>
      <c r="U606" s="246"/>
      <c r="V606" s="251" t="s">
        <v>1228</v>
      </c>
      <c r="W606" s="87"/>
      <c r="X606" s="41"/>
      <c r="Y606" s="113"/>
    </row>
    <row r="607" spans="1:25" s="2" customFormat="1">
      <c r="A607" s="58" t="s">
        <v>908</v>
      </c>
      <c r="B607" s="4">
        <v>43785.041666666701</v>
      </c>
      <c r="C607" s="2">
        <v>9</v>
      </c>
      <c r="D607" s="59" t="s">
        <v>287</v>
      </c>
      <c r="E607" s="7" t="s">
        <v>53</v>
      </c>
      <c r="F607" s="37" t="s">
        <v>275</v>
      </c>
      <c r="G607" s="32">
        <v>69.2</v>
      </c>
      <c r="H607" s="32">
        <v>77.5</v>
      </c>
      <c r="I607">
        <f>表1_4[[#This Row],[主队2]]-表1_4[[#This Row],[客队2]]</f>
        <v>-8.3000000000000007</v>
      </c>
      <c r="J60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607" s="35" t="s">
        <v>166</v>
      </c>
      <c r="L60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07" s="11"/>
      <c r="N607" s="10" t="s">
        <v>112</v>
      </c>
      <c r="O607" s="46" t="s">
        <v>40</v>
      </c>
      <c r="P607" s="9">
        <v>1</v>
      </c>
      <c r="Q607" s="11"/>
      <c r="R607" t="s">
        <v>855</v>
      </c>
      <c r="S607"/>
      <c r="T607" s="3"/>
      <c r="U607" s="25" t="s">
        <v>405</v>
      </c>
      <c r="V607" s="245" t="s">
        <v>1229</v>
      </c>
      <c r="W607" s="87" t="s">
        <v>280</v>
      </c>
      <c r="X607" s="41"/>
      <c r="Y607" s="113"/>
    </row>
    <row r="608" spans="1:25" s="2" customFormat="1" ht="28.9">
      <c r="A608" s="58" t="s">
        <v>908</v>
      </c>
      <c r="B608" s="4">
        <v>43785.041666666701</v>
      </c>
      <c r="C608" s="26">
        <v>9</v>
      </c>
      <c r="D608" s="59" t="s">
        <v>297</v>
      </c>
      <c r="E608" s="7" t="s">
        <v>37</v>
      </c>
      <c r="F608" s="37" t="s">
        <v>244</v>
      </c>
      <c r="G608" s="32">
        <v>80.3</v>
      </c>
      <c r="H608" s="32">
        <v>56.1</v>
      </c>
      <c r="I608">
        <f>表1_4[[#This Row],[主队2]]-表1_4[[#This Row],[客队2]]</f>
        <v>24.2</v>
      </c>
      <c r="J608" s="35" t="s">
        <v>30</v>
      </c>
      <c r="K608" s="35" t="s">
        <v>23</v>
      </c>
      <c r="L60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08" s="11"/>
      <c r="N608" s="10" t="s">
        <v>119</v>
      </c>
      <c r="O608" s="114" t="s">
        <v>35</v>
      </c>
      <c r="P608" s="9" t="s">
        <v>161</v>
      </c>
      <c r="Q608" s="11"/>
      <c r="R608" t="s">
        <v>855</v>
      </c>
      <c r="S608"/>
      <c r="T608" s="3"/>
      <c r="U608" s="25" t="s">
        <v>938</v>
      </c>
      <c r="V608" s="24" t="s">
        <v>1230</v>
      </c>
      <c r="W608" s="87"/>
      <c r="X608" s="41"/>
      <c r="Y608" s="113"/>
    </row>
    <row r="609" spans="1:25" s="2" customFormat="1">
      <c r="A609" s="58" t="s">
        <v>908</v>
      </c>
      <c r="B609" s="4">
        <v>43785.15625</v>
      </c>
      <c r="C609" s="2">
        <v>9</v>
      </c>
      <c r="D609" s="59" t="s">
        <v>209</v>
      </c>
      <c r="E609" s="42" t="s">
        <v>49</v>
      </c>
      <c r="F609" s="37" t="s">
        <v>929</v>
      </c>
      <c r="G609" s="32">
        <v>96.5</v>
      </c>
      <c r="H609" s="32">
        <v>55.8</v>
      </c>
      <c r="I609">
        <f>表1_4[[#This Row],[主队2]]-表1_4[[#This Row],[客队2]]</f>
        <v>40.700000000000003</v>
      </c>
      <c r="J609" s="35" t="s">
        <v>72</v>
      </c>
      <c r="K609" s="35" t="s">
        <v>257</v>
      </c>
      <c r="L60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09" s="11"/>
      <c r="N609" s="57" t="s">
        <v>404</v>
      </c>
      <c r="O609" s="10" t="s">
        <v>40</v>
      </c>
      <c r="P609" s="9" t="s">
        <v>161</v>
      </c>
      <c r="Q609" s="11"/>
      <c r="R609" t="s">
        <v>855</v>
      </c>
      <c r="S609"/>
      <c r="T609" s="3"/>
      <c r="U609" s="25" t="s">
        <v>1231</v>
      </c>
      <c r="V609" s="75" t="s">
        <v>1232</v>
      </c>
      <c r="W609" s="87"/>
      <c r="X609" s="41"/>
      <c r="Y609" s="113"/>
    </row>
    <row r="610" spans="1:25" s="2" customFormat="1">
      <c r="A610" s="58" t="s">
        <v>908</v>
      </c>
      <c r="B610" s="4">
        <v>43785.15625</v>
      </c>
      <c r="C610" s="2">
        <v>9</v>
      </c>
      <c r="D610" s="59" t="s">
        <v>305</v>
      </c>
      <c r="E610" s="7" t="s">
        <v>53</v>
      </c>
      <c r="F610" s="37" t="s">
        <v>239</v>
      </c>
      <c r="G610" s="32">
        <v>82.2</v>
      </c>
      <c r="H610" s="32">
        <v>87.4</v>
      </c>
      <c r="I610">
        <f>表1_4[[#This Row],[主队2]]-表1_4[[#This Row],[客队2]]</f>
        <v>-5.2</v>
      </c>
      <c r="J61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610" s="35" t="s">
        <v>166</v>
      </c>
      <c r="L61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10" s="98"/>
      <c r="N610" s="10" t="s">
        <v>119</v>
      </c>
      <c r="O610" s="10" t="s">
        <v>28</v>
      </c>
      <c r="P610" s="9">
        <v>0.1</v>
      </c>
      <c r="Q610" s="11"/>
      <c r="R610" t="s">
        <v>855</v>
      </c>
      <c r="S610"/>
      <c r="T610" s="3"/>
      <c r="U610" s="25"/>
      <c r="V610" s="24" t="s">
        <v>1233</v>
      </c>
      <c r="W610" s="40"/>
      <c r="X610" s="41"/>
      <c r="Y610" s="113"/>
    </row>
    <row r="611" spans="1:25" s="2" customFormat="1">
      <c r="A611" s="58" t="s">
        <v>908</v>
      </c>
      <c r="B611" s="4">
        <v>43785.15625</v>
      </c>
      <c r="C611" s="2">
        <v>9</v>
      </c>
      <c r="D611" s="59" t="s">
        <v>250</v>
      </c>
      <c r="E611" s="7" t="s">
        <v>31</v>
      </c>
      <c r="F611" s="37" t="s">
        <v>430</v>
      </c>
      <c r="G611" s="32">
        <v>88</v>
      </c>
      <c r="H611" s="32">
        <v>72</v>
      </c>
      <c r="I611">
        <f>表1_4[[#This Row],[主队2]]-表1_4[[#This Row],[客队2]]</f>
        <v>16</v>
      </c>
      <c r="J61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611" s="35" t="s">
        <v>45</v>
      </c>
      <c r="L61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11" s="11"/>
      <c r="N611" s="10" t="s">
        <v>133</v>
      </c>
      <c r="O611" s="10" t="s">
        <v>28</v>
      </c>
      <c r="P611" s="9">
        <v>-11</v>
      </c>
      <c r="Q611" s="11"/>
      <c r="R611" t="s">
        <v>852</v>
      </c>
      <c r="S611"/>
      <c r="T611" s="3"/>
      <c r="U611" s="25"/>
      <c r="V611" s="247" t="s">
        <v>1234</v>
      </c>
      <c r="W611" s="86"/>
      <c r="X611" s="41"/>
      <c r="Y611" s="113"/>
    </row>
    <row r="612" spans="1:25" s="2" customFormat="1" ht="28.9">
      <c r="A612" s="58" t="s">
        <v>908</v>
      </c>
      <c r="B612" s="4">
        <v>43785.15625</v>
      </c>
      <c r="C612" s="2">
        <v>9</v>
      </c>
      <c r="D612" s="59" t="s">
        <v>306</v>
      </c>
      <c r="E612" s="7" t="s">
        <v>55</v>
      </c>
      <c r="F612" s="37" t="s">
        <v>256</v>
      </c>
      <c r="G612" s="32">
        <v>87.4</v>
      </c>
      <c r="H612" s="32">
        <v>40.200000000000003</v>
      </c>
      <c r="I612">
        <f>表1_4[[#This Row],[主队2]]-表1_4[[#This Row],[客队2]]</f>
        <v>47.2</v>
      </c>
      <c r="J612" s="35" t="s">
        <v>58</v>
      </c>
      <c r="K612" s="35" t="s">
        <v>58</v>
      </c>
      <c r="L61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12" s="11"/>
      <c r="N612" s="10" t="s">
        <v>112</v>
      </c>
      <c r="O612" s="114" t="s">
        <v>24</v>
      </c>
      <c r="P612" s="9" t="s">
        <v>161</v>
      </c>
      <c r="Q612" s="11"/>
      <c r="R612" t="s">
        <v>855</v>
      </c>
      <c r="S612"/>
      <c r="T612" s="3"/>
      <c r="U612" s="83"/>
      <c r="V612" s="247" t="s">
        <v>1235</v>
      </c>
      <c r="W612" s="86"/>
      <c r="X612" s="41"/>
      <c r="Y612" s="113"/>
    </row>
    <row r="613" spans="1:25" s="2" customFormat="1">
      <c r="A613" s="58" t="s">
        <v>908</v>
      </c>
      <c r="B613" s="4">
        <v>43785.15625</v>
      </c>
      <c r="C613" s="2">
        <v>9</v>
      </c>
      <c r="D613" s="59" t="s">
        <v>255</v>
      </c>
      <c r="E613" s="7" t="s">
        <v>64</v>
      </c>
      <c r="F613" s="37" t="s">
        <v>204</v>
      </c>
      <c r="G613" s="32">
        <v>83</v>
      </c>
      <c r="H613" s="32">
        <v>89.7</v>
      </c>
      <c r="I613">
        <f>表1_4[[#This Row],[主队2]]-表1_4[[#This Row],[客队2]]</f>
        <v>-6.7</v>
      </c>
      <c r="J61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613" s="35" t="s">
        <v>152</v>
      </c>
      <c r="L61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13" s="11"/>
      <c r="N613" s="10" t="s">
        <v>112</v>
      </c>
      <c r="O613" s="10" t="s">
        <v>143</v>
      </c>
      <c r="P613" s="9">
        <v>5</v>
      </c>
      <c r="Q613" s="11"/>
      <c r="R613" t="s">
        <v>855</v>
      </c>
      <c r="S613"/>
      <c r="T613" s="3"/>
      <c r="U613" s="246"/>
      <c r="V613" s="251" t="s">
        <v>1236</v>
      </c>
      <c r="W613" s="38"/>
      <c r="X613" s="41"/>
      <c r="Y613" s="113"/>
    </row>
    <row r="614" spans="1:25" s="2" customFormat="1">
      <c r="A614" s="58" t="s">
        <v>908</v>
      </c>
      <c r="B614" s="4">
        <v>43785.916666666701</v>
      </c>
      <c r="C614" s="2">
        <v>9</v>
      </c>
      <c r="D614" s="59" t="s">
        <v>407</v>
      </c>
      <c r="E614" s="7" t="s">
        <v>60</v>
      </c>
      <c r="F614" s="37" t="s">
        <v>123</v>
      </c>
      <c r="G614" s="32">
        <v>66.3</v>
      </c>
      <c r="H614" s="32">
        <v>77.599999999999994</v>
      </c>
      <c r="I614">
        <f>表1_4[[#This Row],[主队2]]-表1_4[[#This Row],[客队2]]</f>
        <v>-11.3</v>
      </c>
      <c r="J61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614" s="35" t="s">
        <v>152</v>
      </c>
      <c r="L61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614" s="11"/>
      <c r="N614" s="10" t="s">
        <v>119</v>
      </c>
      <c r="O614" s="10" t="s">
        <v>48</v>
      </c>
      <c r="P614" s="9">
        <v>18</v>
      </c>
      <c r="Q614" s="11"/>
      <c r="R614" t="s">
        <v>855</v>
      </c>
      <c r="S614"/>
      <c r="T614" s="3"/>
      <c r="U614" s="25"/>
      <c r="V614" s="254" t="s">
        <v>1237</v>
      </c>
      <c r="W614" s="71"/>
      <c r="X614" s="93" t="s">
        <v>774</v>
      </c>
      <c r="Y614" s="123" t="s">
        <v>783</v>
      </c>
    </row>
    <row r="615" spans="1:25" s="2" customFormat="1">
      <c r="A615" s="58" t="s">
        <v>908</v>
      </c>
      <c r="B615" s="125">
        <v>43786.041666666701</v>
      </c>
      <c r="C615" s="272">
        <v>9</v>
      </c>
      <c r="D615" s="59" t="s">
        <v>278</v>
      </c>
      <c r="E615" s="7" t="s">
        <v>47</v>
      </c>
      <c r="F615" s="37" t="s">
        <v>200</v>
      </c>
      <c r="G615" s="32">
        <v>65.400000000000006</v>
      </c>
      <c r="H615" s="32">
        <v>80.400000000000006</v>
      </c>
      <c r="I615">
        <f>表1_4[[#This Row],[主队2]]-表1_4[[#This Row],[客队2]]</f>
        <v>-15</v>
      </c>
      <c r="J61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615" s="35" t="s">
        <v>245</v>
      </c>
      <c r="L61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15" s="11"/>
      <c r="N615" s="10" t="s">
        <v>119</v>
      </c>
      <c r="O615" s="10" t="s">
        <v>28</v>
      </c>
      <c r="P615" s="9" t="s">
        <v>161</v>
      </c>
      <c r="Q615" s="11"/>
      <c r="R615" t="s">
        <v>852</v>
      </c>
      <c r="S615"/>
      <c r="T615" s="3"/>
      <c r="U615" s="83"/>
      <c r="V615" s="24" t="s">
        <v>1238</v>
      </c>
      <c r="W615" s="86"/>
      <c r="X615" s="41"/>
      <c r="Y615" s="113"/>
    </row>
    <row r="616" spans="1:25" s="2" customFormat="1">
      <c r="A616" s="58" t="s">
        <v>908</v>
      </c>
      <c r="B616" s="4">
        <v>43786.041666666701</v>
      </c>
      <c r="C616" s="2">
        <v>9</v>
      </c>
      <c r="D616" s="59" t="s">
        <v>282</v>
      </c>
      <c r="E616" s="7" t="s">
        <v>74</v>
      </c>
      <c r="F616" s="37" t="s">
        <v>288</v>
      </c>
      <c r="G616" s="32">
        <v>29.4</v>
      </c>
      <c r="H616" s="32">
        <v>65.900000000000006</v>
      </c>
      <c r="I616">
        <f>表1_4[[#This Row],[主队2]]-表1_4[[#This Row],[客队2]]</f>
        <v>-36.5</v>
      </c>
      <c r="J616" s="35" t="s">
        <v>1021</v>
      </c>
      <c r="K616" s="35" t="s">
        <v>1016</v>
      </c>
      <c r="L61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616" s="11"/>
      <c r="N616" s="10" t="s">
        <v>119</v>
      </c>
      <c r="O616" s="10" t="s">
        <v>35</v>
      </c>
      <c r="P616" s="9" t="s">
        <v>161</v>
      </c>
      <c r="Q616" s="11"/>
      <c r="R616" t="s">
        <v>855</v>
      </c>
      <c r="S616"/>
      <c r="T616" s="3"/>
      <c r="U616" s="247" t="s">
        <v>120</v>
      </c>
      <c r="V616" s="247" t="s">
        <v>1239</v>
      </c>
      <c r="W616" s="71"/>
      <c r="X616" s="41"/>
      <c r="Y616" s="113"/>
    </row>
    <row r="617" spans="1:25" s="2" customFormat="1">
      <c r="A617" s="58" t="s">
        <v>908</v>
      </c>
      <c r="B617" s="4">
        <v>43786.041666666701</v>
      </c>
      <c r="C617" s="7">
        <v>9</v>
      </c>
      <c r="D617" s="59" t="s">
        <v>353</v>
      </c>
      <c r="E617" s="7" t="s">
        <v>75</v>
      </c>
      <c r="F617" s="37" t="s">
        <v>274</v>
      </c>
      <c r="G617" s="32">
        <v>86.3</v>
      </c>
      <c r="H617" s="32">
        <v>94.7</v>
      </c>
      <c r="I617">
        <f>表1_4[[#This Row],[主队2]]-表1_4[[#This Row],[客队2]]</f>
        <v>-8.4000000000000092</v>
      </c>
      <c r="J61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617" s="35" t="s">
        <v>132</v>
      </c>
      <c r="L61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17" s="11"/>
      <c r="N617" s="10" t="s">
        <v>133</v>
      </c>
      <c r="O617" s="10" t="s">
        <v>24</v>
      </c>
      <c r="P617" s="9">
        <v>23</v>
      </c>
      <c r="Q617" s="11"/>
      <c r="R617"/>
      <c r="S617"/>
      <c r="T617" s="3"/>
      <c r="U617" s="83"/>
      <c r="V617" s="247" t="s">
        <v>1240</v>
      </c>
      <c r="W617" s="86"/>
      <c r="X617" s="41"/>
      <c r="Y617" s="113"/>
    </row>
    <row r="618" spans="1:25" s="2" customFormat="1">
      <c r="A618" s="58" t="s">
        <v>908</v>
      </c>
      <c r="B618" s="4">
        <v>43786.041666666701</v>
      </c>
      <c r="C618" s="7">
        <v>9</v>
      </c>
      <c r="D618" s="59" t="s">
        <v>309</v>
      </c>
      <c r="E618" s="7" t="s">
        <v>31</v>
      </c>
      <c r="F618" s="37" t="s">
        <v>251</v>
      </c>
      <c r="G618" s="32">
        <v>77.3</v>
      </c>
      <c r="H618" s="32">
        <v>60.8</v>
      </c>
      <c r="I618">
        <f>表1_4[[#This Row],[主队2]]-表1_4[[#This Row],[客队2]]</f>
        <v>16.5</v>
      </c>
      <c r="J61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618" s="35" t="s">
        <v>26</v>
      </c>
      <c r="L61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18" s="11"/>
      <c r="N618" s="10" t="s">
        <v>112</v>
      </c>
      <c r="O618" s="10" t="s">
        <v>28</v>
      </c>
      <c r="P618" s="9" t="s">
        <v>161</v>
      </c>
      <c r="Q618" s="11"/>
      <c r="R618"/>
      <c r="S618"/>
      <c r="T618" s="3"/>
      <c r="U618" s="247"/>
      <c r="V618" s="25" t="s">
        <v>1241</v>
      </c>
      <c r="W618" s="40" t="s">
        <v>280</v>
      </c>
      <c r="X618" s="41"/>
      <c r="Y618" s="113"/>
    </row>
    <row r="619" spans="1:25" s="2" customFormat="1">
      <c r="A619" s="58" t="s">
        <v>908</v>
      </c>
      <c r="B619" s="4">
        <v>43786.15625</v>
      </c>
      <c r="C619" s="2">
        <v>9</v>
      </c>
      <c r="D619" s="59" t="s">
        <v>210</v>
      </c>
      <c r="E619" s="7" t="s">
        <v>60</v>
      </c>
      <c r="F619" s="37" t="s">
        <v>302</v>
      </c>
      <c r="G619" s="32">
        <v>75</v>
      </c>
      <c r="H619" s="32">
        <v>84.6</v>
      </c>
      <c r="I619">
        <f>表1_4[[#This Row],[主队2]]-表1_4[[#This Row],[客队2]]</f>
        <v>-9.5999999999999908</v>
      </c>
      <c r="J61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619" s="35" t="s">
        <v>152</v>
      </c>
      <c r="L61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19" s="11"/>
      <c r="N619" s="10" t="s">
        <v>133</v>
      </c>
      <c r="O619" s="10" t="s">
        <v>46</v>
      </c>
      <c r="P619" s="9">
        <v>29</v>
      </c>
      <c r="Q619" s="11"/>
      <c r="R619" t="s">
        <v>852</v>
      </c>
      <c r="S619"/>
      <c r="T619" s="3"/>
      <c r="U619" s="83"/>
      <c r="V619" s="94" t="s">
        <v>1242</v>
      </c>
      <c r="W619" s="40" t="s">
        <v>207</v>
      </c>
      <c r="X619" s="41"/>
      <c r="Y619" s="113"/>
    </row>
    <row r="620" spans="1:25" s="2" customFormat="1">
      <c r="A620" s="58" t="s">
        <v>908</v>
      </c>
      <c r="B620" s="4">
        <v>43786.15625</v>
      </c>
      <c r="C620" s="2">
        <v>9</v>
      </c>
      <c r="D620" s="59" t="s">
        <v>194</v>
      </c>
      <c r="E620" s="7" t="s">
        <v>33</v>
      </c>
      <c r="F620" s="37" t="s">
        <v>572</v>
      </c>
      <c r="G620" s="32">
        <v>82.4</v>
      </c>
      <c r="H620" s="32">
        <v>73</v>
      </c>
      <c r="I620">
        <f>表1_4[[#This Row],[主队2]]-表1_4[[#This Row],[客队2]]</f>
        <v>9.4000000000000092</v>
      </c>
      <c r="J62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620" s="35" t="s">
        <v>125</v>
      </c>
      <c r="L62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20" s="11"/>
      <c r="N620" s="46" t="s">
        <v>160</v>
      </c>
      <c r="O620" s="10" t="s">
        <v>143</v>
      </c>
      <c r="P620" s="9" t="s">
        <v>161</v>
      </c>
      <c r="Q620" s="11"/>
      <c r="R620" t="s">
        <v>852</v>
      </c>
      <c r="S620"/>
      <c r="T620" s="3"/>
      <c r="U620" s="247" t="s">
        <v>448</v>
      </c>
      <c r="V620" s="84" t="s">
        <v>1243</v>
      </c>
      <c r="W620" s="40"/>
      <c r="X620" s="41"/>
      <c r="Y620" s="113"/>
    </row>
    <row r="621" spans="1:25" s="2" customFormat="1">
      <c r="A621" s="58" t="s">
        <v>908</v>
      </c>
      <c r="B621" s="4">
        <v>43786.15625</v>
      </c>
      <c r="C621" s="26">
        <v>9</v>
      </c>
      <c r="D621" s="59" t="s">
        <v>296</v>
      </c>
      <c r="E621" s="7" t="s">
        <v>42</v>
      </c>
      <c r="F621" s="37" t="s">
        <v>262</v>
      </c>
      <c r="G621" s="32">
        <v>77.7</v>
      </c>
      <c r="H621" s="32">
        <v>92.6</v>
      </c>
      <c r="I621">
        <f>表1_4[[#This Row],[主队2]]-表1_4[[#This Row],[客队2]]</f>
        <v>-14.9</v>
      </c>
      <c r="J62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621" s="35" t="s">
        <v>219</v>
      </c>
      <c r="L62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21" s="63" t="s">
        <v>1244</v>
      </c>
      <c r="N621" s="57" t="s">
        <v>133</v>
      </c>
      <c r="O621" s="10" t="s">
        <v>24</v>
      </c>
      <c r="P621" s="9">
        <v>17</v>
      </c>
      <c r="Q621" s="11"/>
      <c r="R621"/>
      <c r="S621"/>
      <c r="T621" s="3"/>
      <c r="U621" s="83"/>
      <c r="V621" s="89" t="s">
        <v>1245</v>
      </c>
      <c r="W621" s="87"/>
      <c r="X621" s="41"/>
      <c r="Y621" s="113"/>
    </row>
    <row r="622" spans="1:25" s="2" customFormat="1">
      <c r="A622" s="58" t="s">
        <v>908</v>
      </c>
      <c r="B622" s="4">
        <v>43786.15625</v>
      </c>
      <c r="C622" s="26">
        <v>9</v>
      </c>
      <c r="D622" s="59" t="s">
        <v>116</v>
      </c>
      <c r="E622" s="7" t="s">
        <v>37</v>
      </c>
      <c r="F622" s="37" t="s">
        <v>240</v>
      </c>
      <c r="G622" s="32">
        <v>96.9</v>
      </c>
      <c r="H622" s="32">
        <v>72.3</v>
      </c>
      <c r="I622">
        <f>表1_4[[#This Row],[主队2]]-表1_4[[#This Row],[客队2]]</f>
        <v>24.6</v>
      </c>
      <c r="J622" s="35" t="s">
        <v>30</v>
      </c>
      <c r="K622" s="35" t="s">
        <v>30</v>
      </c>
      <c r="L62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22" s="11"/>
      <c r="N622" s="10" t="s">
        <v>112</v>
      </c>
      <c r="O622" s="10" t="s">
        <v>143</v>
      </c>
      <c r="P622" s="9" t="s">
        <v>161</v>
      </c>
      <c r="Q622" s="11"/>
      <c r="R622" t="s">
        <v>852</v>
      </c>
      <c r="S622"/>
      <c r="T622" s="3"/>
      <c r="U622" s="25"/>
      <c r="V622" s="84" t="s">
        <v>1246</v>
      </c>
      <c r="W622" s="86"/>
      <c r="X622" s="41"/>
      <c r="Y622" s="113"/>
    </row>
    <row r="623" spans="1:25" s="2" customFormat="1">
      <c r="A623" s="58" t="s">
        <v>908</v>
      </c>
      <c r="B623" s="4">
        <v>43786.15625</v>
      </c>
      <c r="C623" s="26">
        <v>9</v>
      </c>
      <c r="D623" s="59" t="s">
        <v>110</v>
      </c>
      <c r="E623" s="7" t="s">
        <v>41</v>
      </c>
      <c r="F623" s="37" t="s">
        <v>425</v>
      </c>
      <c r="G623" s="32">
        <v>88.8</v>
      </c>
      <c r="H623" s="32">
        <v>82.3</v>
      </c>
      <c r="I623">
        <f>表1_4[[#This Row],[主队2]]-表1_4[[#This Row],[客队2]]</f>
        <v>6.5</v>
      </c>
      <c r="J62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623" s="35" t="s">
        <v>176</v>
      </c>
      <c r="L62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23" s="11"/>
      <c r="N623" s="10" t="s">
        <v>112</v>
      </c>
      <c r="O623" s="10" t="s">
        <v>65</v>
      </c>
      <c r="P623" s="9">
        <v>18</v>
      </c>
      <c r="Q623" s="11"/>
      <c r="R623" t="s">
        <v>852</v>
      </c>
      <c r="S623"/>
      <c r="T623" s="3"/>
      <c r="U623" s="247"/>
      <c r="V623" s="84" t="s">
        <v>1247</v>
      </c>
      <c r="W623" s="86"/>
      <c r="X623" s="41"/>
      <c r="Y623" s="113"/>
    </row>
    <row r="624" spans="1:25" s="2" customFormat="1">
      <c r="A624" s="58" t="s">
        <v>908</v>
      </c>
      <c r="B624" s="4">
        <v>43786.916666666701</v>
      </c>
      <c r="C624" s="2">
        <v>10</v>
      </c>
      <c r="D624" s="59" t="s">
        <v>434</v>
      </c>
      <c r="E624" s="7" t="s">
        <v>25</v>
      </c>
      <c r="F624" s="37" t="s">
        <v>214</v>
      </c>
      <c r="G624" s="32">
        <v>83.9</v>
      </c>
      <c r="H624" s="32">
        <v>84.1</v>
      </c>
      <c r="I624">
        <f>表1_4[[#This Row],[主队2]]-表1_4[[#This Row],[客队2]]</f>
        <v>-0.19999999999998899</v>
      </c>
      <c r="J62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624" s="35" t="s">
        <v>289</v>
      </c>
      <c r="L62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24" s="11"/>
      <c r="N624" s="57" t="s">
        <v>119</v>
      </c>
      <c r="O624" s="57" t="s">
        <v>35</v>
      </c>
      <c r="P624" s="9">
        <v>-9</v>
      </c>
      <c r="Q624" s="11"/>
      <c r="R624" t="s">
        <v>852</v>
      </c>
      <c r="S624"/>
      <c r="T624" s="3"/>
      <c r="U624" s="246" t="s">
        <v>931</v>
      </c>
      <c r="V624" s="251" t="s">
        <v>1248</v>
      </c>
      <c r="W624" s="71"/>
      <c r="X624" s="41"/>
      <c r="Y624" s="113"/>
    </row>
    <row r="625" spans="1:25" s="2" customFormat="1">
      <c r="A625" s="58" t="s">
        <v>908</v>
      </c>
      <c r="B625" s="4">
        <v>43786.916666666701</v>
      </c>
      <c r="C625" s="2">
        <v>10</v>
      </c>
      <c r="D625" s="59" t="s">
        <v>266</v>
      </c>
      <c r="E625" s="7" t="s">
        <v>47</v>
      </c>
      <c r="F625" s="37" t="s">
        <v>270</v>
      </c>
      <c r="G625" s="32">
        <v>61</v>
      </c>
      <c r="H625" s="32">
        <v>92.5</v>
      </c>
      <c r="I625">
        <f>表1_4[[#This Row],[主队2]]-表1_4[[#This Row],[客队2]]</f>
        <v>-31.5</v>
      </c>
      <c r="J625" s="35" t="s">
        <v>670</v>
      </c>
      <c r="K625" s="35" t="s">
        <v>1062</v>
      </c>
      <c r="L62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25" s="11"/>
      <c r="N625" s="10" t="s">
        <v>119</v>
      </c>
      <c r="O625" s="10" t="s">
        <v>46</v>
      </c>
      <c r="P625" s="9" t="s">
        <v>161</v>
      </c>
      <c r="Q625" s="11"/>
      <c r="R625" t="s">
        <v>855</v>
      </c>
      <c r="S625"/>
      <c r="T625" s="3"/>
      <c r="U625" s="83"/>
      <c r="V625" s="85" t="s">
        <v>1249</v>
      </c>
      <c r="W625" s="38"/>
      <c r="X625" s="41"/>
      <c r="Y625" s="113"/>
    </row>
    <row r="626" spans="1:25" s="2" customFormat="1">
      <c r="A626" s="58" t="s">
        <v>908</v>
      </c>
      <c r="B626" s="4">
        <v>43787.041666666701</v>
      </c>
      <c r="C626" s="26">
        <v>10</v>
      </c>
      <c r="D626" s="59" t="s">
        <v>217</v>
      </c>
      <c r="E626" s="7" t="s">
        <v>61</v>
      </c>
      <c r="F626" s="37" t="s">
        <v>117</v>
      </c>
      <c r="G626" s="32">
        <v>69.2</v>
      </c>
      <c r="H626" s="32">
        <v>94.8</v>
      </c>
      <c r="I626">
        <f>表1_4[[#This Row],[主队2]]-表1_4[[#This Row],[客队2]]</f>
        <v>-25.6</v>
      </c>
      <c r="J626" s="35" t="s">
        <v>692</v>
      </c>
      <c r="K626" s="35" t="s">
        <v>219</v>
      </c>
      <c r="L62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626" s="11"/>
      <c r="N626" s="10" t="s">
        <v>119</v>
      </c>
      <c r="O626" s="10" t="s">
        <v>46</v>
      </c>
      <c r="P626" s="9">
        <v>10</v>
      </c>
      <c r="Q626" s="11"/>
      <c r="R626" t="s">
        <v>855</v>
      </c>
      <c r="S626"/>
      <c r="T626" s="3"/>
      <c r="U626" s="83"/>
      <c r="V626" s="85" t="s">
        <v>1250</v>
      </c>
      <c r="W626" s="244"/>
      <c r="X626" s="41"/>
      <c r="Y626" s="113"/>
    </row>
    <row r="627" spans="1:25" s="2" customFormat="1">
      <c r="A627" s="58" t="s">
        <v>908</v>
      </c>
      <c r="B627" s="4">
        <v>43787.041666666701</v>
      </c>
      <c r="C627" s="115">
        <v>10</v>
      </c>
      <c r="D627" s="59" t="s">
        <v>261</v>
      </c>
      <c r="E627" s="7" t="s">
        <v>31</v>
      </c>
      <c r="F627" s="37" t="s">
        <v>284</v>
      </c>
      <c r="G627" s="32">
        <v>72.7</v>
      </c>
      <c r="H627" s="32">
        <v>83</v>
      </c>
      <c r="I627">
        <f>表1_4[[#This Row],[主队2]]-表1_4[[#This Row],[客队2]]</f>
        <v>-10.3</v>
      </c>
      <c r="J62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627" s="35" t="s">
        <v>111</v>
      </c>
      <c r="L62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27" s="11"/>
      <c r="N627" s="10" t="s">
        <v>119</v>
      </c>
      <c r="O627" s="114" t="s">
        <v>143</v>
      </c>
      <c r="P627" s="9">
        <v>10</v>
      </c>
      <c r="Q627" s="11"/>
      <c r="R627" t="s">
        <v>852</v>
      </c>
      <c r="S627"/>
      <c r="T627" s="3"/>
      <c r="U627" s="83"/>
      <c r="V627" s="85" t="s">
        <v>1251</v>
      </c>
      <c r="W627" s="244"/>
      <c r="X627" s="41"/>
      <c r="Y627" s="113"/>
    </row>
    <row r="628" spans="1:25" s="2" customFormat="1">
      <c r="A628" s="58" t="s">
        <v>908</v>
      </c>
      <c r="B628" s="4">
        <v>43787.15625</v>
      </c>
      <c r="C628" s="26">
        <v>10</v>
      </c>
      <c r="D628" s="59" t="s">
        <v>195</v>
      </c>
      <c r="E628" s="7" t="s">
        <v>60</v>
      </c>
      <c r="F628" s="37" t="s">
        <v>218</v>
      </c>
      <c r="G628" s="32">
        <v>60.6</v>
      </c>
      <c r="H628" s="32">
        <v>78.8</v>
      </c>
      <c r="I628">
        <f>表1_4[[#This Row],[主队2]]-表1_4[[#This Row],[客队2]]</f>
        <v>-18.2</v>
      </c>
      <c r="J62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628" s="35" t="s">
        <v>245</v>
      </c>
      <c r="L62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28" s="11"/>
      <c r="N628" s="10" t="s">
        <v>112</v>
      </c>
      <c r="O628" s="10" t="s">
        <v>35</v>
      </c>
      <c r="P628" s="9">
        <v>17</v>
      </c>
      <c r="Q628" s="11"/>
      <c r="R628" t="s">
        <v>852</v>
      </c>
      <c r="S628"/>
      <c r="T628" s="3"/>
      <c r="U628" s="246" t="s">
        <v>791</v>
      </c>
      <c r="V628" s="247" t="s">
        <v>1252</v>
      </c>
      <c r="W628" s="38"/>
      <c r="X628" s="41"/>
      <c r="Y628" s="113"/>
    </row>
    <row r="629" spans="1:25" s="2" customFormat="1">
      <c r="A629" s="58" t="s">
        <v>908</v>
      </c>
      <c r="B629" s="4">
        <v>43787.15625</v>
      </c>
      <c r="C629" s="26">
        <v>10</v>
      </c>
      <c r="D629" s="59" t="s">
        <v>243</v>
      </c>
      <c r="E629" s="7" t="s">
        <v>47</v>
      </c>
      <c r="F629" s="37" t="s">
        <v>190</v>
      </c>
      <c r="G629" s="32">
        <v>48.7</v>
      </c>
      <c r="H629" s="32">
        <v>83.1</v>
      </c>
      <c r="I629">
        <f>表1_4[[#This Row],[主队2]]-表1_4[[#This Row],[客队2]]</f>
        <v>-34.4</v>
      </c>
      <c r="J629" s="35" t="s">
        <v>1059</v>
      </c>
      <c r="K629" s="35" t="s">
        <v>666</v>
      </c>
      <c r="L62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629" s="11"/>
      <c r="N629" s="10" t="s">
        <v>119</v>
      </c>
      <c r="O629" s="10" t="s">
        <v>143</v>
      </c>
      <c r="P629" s="9" t="s">
        <v>161</v>
      </c>
      <c r="Q629" s="11"/>
      <c r="R629" t="s">
        <v>852</v>
      </c>
      <c r="S629"/>
      <c r="T629" s="3"/>
      <c r="U629" s="25"/>
      <c r="V629" s="24" t="s">
        <v>1253</v>
      </c>
      <c r="W629" s="244"/>
      <c r="X629" s="41"/>
      <c r="Y629" s="113"/>
    </row>
    <row r="630" spans="1:25" s="2" customFormat="1">
      <c r="A630" s="58" t="s">
        <v>908</v>
      </c>
      <c r="B630" s="4">
        <v>43787.15625</v>
      </c>
      <c r="C630" s="26">
        <v>10</v>
      </c>
      <c r="D630" s="59" t="s">
        <v>205</v>
      </c>
      <c r="E630" s="7" t="s">
        <v>47</v>
      </c>
      <c r="F630" s="37" t="s">
        <v>267</v>
      </c>
      <c r="G630" s="32">
        <v>72.900000000000006</v>
      </c>
      <c r="H630" s="32">
        <v>94.6</v>
      </c>
      <c r="I630">
        <f>表1_4[[#This Row],[主队2]]-表1_4[[#This Row],[客队2]]</f>
        <v>-21.7</v>
      </c>
      <c r="J630" s="34">
        <v>-2</v>
      </c>
      <c r="K630" s="35" t="s">
        <v>706</v>
      </c>
      <c r="L63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30" s="11"/>
      <c r="N630" s="10" t="s">
        <v>133</v>
      </c>
      <c r="O630" s="10" t="s">
        <v>28</v>
      </c>
      <c r="P630" s="9">
        <v>1</v>
      </c>
      <c r="Q630" s="11"/>
      <c r="R630"/>
      <c r="S630"/>
      <c r="T630" s="3"/>
      <c r="U630" s="83"/>
      <c r="V630" s="85" t="s">
        <v>1254</v>
      </c>
      <c r="W630" s="87" t="s">
        <v>207</v>
      </c>
      <c r="X630" s="41"/>
      <c r="Y630" s="113"/>
    </row>
    <row r="631" spans="1:25" s="2" customFormat="1">
      <c r="A631" s="58" t="s">
        <v>908</v>
      </c>
      <c r="B631" s="4">
        <v>43788.15625</v>
      </c>
      <c r="C631" s="2">
        <v>10</v>
      </c>
      <c r="D631" s="59" t="s">
        <v>437</v>
      </c>
      <c r="E631" s="7" t="s">
        <v>64</v>
      </c>
      <c r="F631" s="37" t="s">
        <v>255</v>
      </c>
      <c r="G631" s="32">
        <v>48.7</v>
      </c>
      <c r="H631" s="32">
        <v>82.2</v>
      </c>
      <c r="I631">
        <f>表1_4[[#This Row],[主队2]]-表1_4[[#This Row],[客队2]]</f>
        <v>-33.5</v>
      </c>
      <c r="J631" s="35" t="s">
        <v>670</v>
      </c>
      <c r="K631" s="35" t="s">
        <v>1062</v>
      </c>
      <c r="L63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31" s="11"/>
      <c r="N631" s="10" t="s">
        <v>133</v>
      </c>
      <c r="O631" s="10" t="s">
        <v>143</v>
      </c>
      <c r="P631" s="9" t="s">
        <v>161</v>
      </c>
      <c r="Q631" s="11"/>
      <c r="R631" t="s">
        <v>855</v>
      </c>
      <c r="S631"/>
      <c r="T631" s="3"/>
      <c r="U631" s="246"/>
      <c r="V631" s="251" t="s">
        <v>1255</v>
      </c>
      <c r="W631" s="71"/>
      <c r="X631" s="41"/>
      <c r="Y631" s="113"/>
    </row>
    <row r="632" spans="1:25" s="2" customFormat="1">
      <c r="A632" s="58" t="s">
        <v>908</v>
      </c>
      <c r="B632" s="4">
        <v>43788.15625</v>
      </c>
      <c r="C632" s="2">
        <v>10</v>
      </c>
      <c r="D632" s="267" t="s">
        <v>204</v>
      </c>
      <c r="E632" s="42" t="s">
        <v>1256</v>
      </c>
      <c r="F632" s="37" t="s">
        <v>287</v>
      </c>
      <c r="G632" s="32">
        <v>90.5</v>
      </c>
      <c r="H632" s="32">
        <v>68.599999999999994</v>
      </c>
      <c r="I632">
        <f>表1_4[[#This Row],[主队2]]-表1_4[[#This Row],[客队2]]</f>
        <v>21.9</v>
      </c>
      <c r="J632" s="35" t="s">
        <v>23</v>
      </c>
      <c r="K632" s="35" t="s">
        <v>26</v>
      </c>
      <c r="L63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32" s="11"/>
      <c r="N632" s="10" t="s">
        <v>112</v>
      </c>
      <c r="O632" s="10" t="s">
        <v>40</v>
      </c>
      <c r="P632" s="9" t="s">
        <v>161</v>
      </c>
      <c r="Q632" s="11"/>
      <c r="R632" t="s">
        <v>855</v>
      </c>
      <c r="S632"/>
      <c r="T632" s="3"/>
      <c r="U632" s="246" t="s">
        <v>126</v>
      </c>
      <c r="V632" s="247" t="s">
        <v>1257</v>
      </c>
      <c r="W632" s="38"/>
      <c r="X632" s="41"/>
      <c r="Y632" s="113"/>
    </row>
    <row r="633" spans="1:25" s="2" customFormat="1">
      <c r="A633" s="58" t="s">
        <v>908</v>
      </c>
      <c r="B633" s="4">
        <v>43788.15625</v>
      </c>
      <c r="C633" s="2">
        <v>10</v>
      </c>
      <c r="D633" s="59" t="s">
        <v>275</v>
      </c>
      <c r="E633" s="7" t="s">
        <v>33</v>
      </c>
      <c r="F633" s="37" t="s">
        <v>191</v>
      </c>
      <c r="G633" s="32">
        <v>78.099999999999994</v>
      </c>
      <c r="H633" s="32">
        <v>76.7</v>
      </c>
      <c r="I633">
        <f>表1_4[[#This Row],[主队2]]-表1_4[[#This Row],[客队2]]</f>
        <v>1.3999999999999899</v>
      </c>
      <c r="J633" s="34">
        <v>0.5</v>
      </c>
      <c r="K633" s="35" t="s">
        <v>289</v>
      </c>
      <c r="L63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33" s="11"/>
      <c r="N633" s="10" t="s">
        <v>119</v>
      </c>
      <c r="O633" s="10" t="s">
        <v>24</v>
      </c>
      <c r="P633" s="9">
        <v>-6</v>
      </c>
      <c r="Q633" s="11"/>
      <c r="R633" t="s">
        <v>855</v>
      </c>
      <c r="S633"/>
      <c r="T633" s="3" t="s">
        <v>1066</v>
      </c>
      <c r="U633" s="83"/>
      <c r="V633" s="85" t="s">
        <v>446</v>
      </c>
      <c r="W633" s="71"/>
      <c r="X633" s="41"/>
      <c r="Y633" s="113"/>
    </row>
    <row r="634" spans="1:25" s="2" customFormat="1" ht="12" customHeight="1">
      <c r="A634" s="58" t="s">
        <v>908</v>
      </c>
      <c r="B634" s="4">
        <v>43788.15625</v>
      </c>
      <c r="C634" s="26">
        <v>10</v>
      </c>
      <c r="D634" s="59" t="s">
        <v>239</v>
      </c>
      <c r="E634" s="7" t="s">
        <v>44</v>
      </c>
      <c r="F634" s="37" t="s">
        <v>244</v>
      </c>
      <c r="G634" s="32">
        <v>88</v>
      </c>
      <c r="H634" s="32">
        <v>55.6</v>
      </c>
      <c r="I634">
        <f>表1_4[[#This Row],[主队2]]-表1_4[[#This Row],[客队2]]</f>
        <v>32.4</v>
      </c>
      <c r="J634" s="35" t="s">
        <v>56</v>
      </c>
      <c r="K634" s="35" t="s">
        <v>34</v>
      </c>
      <c r="L63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34" s="11"/>
      <c r="N634" s="10" t="s">
        <v>1139</v>
      </c>
      <c r="O634" s="10" t="s">
        <v>35</v>
      </c>
      <c r="P634" s="9" t="s">
        <v>161</v>
      </c>
      <c r="Q634" s="11"/>
      <c r="R634" t="s">
        <v>852</v>
      </c>
      <c r="S634"/>
      <c r="T634" s="3"/>
      <c r="U634" s="83" t="s">
        <v>931</v>
      </c>
      <c r="V634" s="133" t="s">
        <v>1258</v>
      </c>
      <c r="W634" s="87"/>
      <c r="X634" s="41"/>
      <c r="Y634" s="113"/>
    </row>
    <row r="635" spans="1:25" s="2" customFormat="1">
      <c r="A635" s="58" t="s">
        <v>908</v>
      </c>
      <c r="B635" s="4">
        <v>43788.15625</v>
      </c>
      <c r="C635" s="2">
        <v>10</v>
      </c>
      <c r="D635" s="59" t="s">
        <v>209</v>
      </c>
      <c r="E635" s="7" t="s">
        <v>57</v>
      </c>
      <c r="F635" s="37" t="s">
        <v>305</v>
      </c>
      <c r="G635" s="32">
        <v>97.1</v>
      </c>
      <c r="H635" s="32">
        <v>81.599999999999994</v>
      </c>
      <c r="I635">
        <f>表1_4[[#This Row],[主队2]]-表1_4[[#This Row],[客队2]]</f>
        <v>15.5</v>
      </c>
      <c r="J63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635" s="35" t="s">
        <v>45</v>
      </c>
      <c r="L63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35" s="11"/>
      <c r="N635" s="10" t="s">
        <v>119</v>
      </c>
      <c r="O635" s="10" t="s">
        <v>24</v>
      </c>
      <c r="P635" s="9">
        <v>-24</v>
      </c>
      <c r="Q635" s="11"/>
      <c r="R635" t="s">
        <v>855</v>
      </c>
      <c r="S635"/>
      <c r="T635" s="3"/>
      <c r="U635" s="246"/>
      <c r="V635" s="247" t="s">
        <v>1259</v>
      </c>
      <c r="W635" s="87"/>
      <c r="X635" s="41"/>
      <c r="Y635" s="113"/>
    </row>
    <row r="636" spans="1:25" s="2" customFormat="1">
      <c r="A636" s="58" t="s">
        <v>908</v>
      </c>
      <c r="B636" s="4">
        <v>43788.15625</v>
      </c>
      <c r="C636" s="2">
        <v>10</v>
      </c>
      <c r="D636" s="59" t="s">
        <v>929</v>
      </c>
      <c r="E636" s="7" t="s">
        <v>60</v>
      </c>
      <c r="F636" s="37" t="s">
        <v>297</v>
      </c>
      <c r="G636" s="32">
        <v>55.2</v>
      </c>
      <c r="H636" s="32">
        <v>80.8</v>
      </c>
      <c r="I636">
        <f>表1_4[[#This Row],[主队2]]-表1_4[[#This Row],[客队2]]</f>
        <v>-25.6</v>
      </c>
      <c r="J636" s="35" t="s">
        <v>692</v>
      </c>
      <c r="K636" s="35" t="s">
        <v>1016</v>
      </c>
      <c r="L63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636" s="11"/>
      <c r="N636" s="10" t="s">
        <v>133</v>
      </c>
      <c r="O636" s="10" t="s">
        <v>143</v>
      </c>
      <c r="P636" s="9" t="s">
        <v>161</v>
      </c>
      <c r="Q636" s="11"/>
      <c r="R636" t="s">
        <v>855</v>
      </c>
      <c r="S636"/>
      <c r="T636" s="3"/>
      <c r="U636" s="83"/>
      <c r="V636" s="85" t="s">
        <v>1260</v>
      </c>
      <c r="W636" s="87"/>
      <c r="X636" s="41"/>
      <c r="Y636" s="113"/>
    </row>
    <row r="637" spans="1:25" s="2" customFormat="1">
      <c r="A637" s="58" t="s">
        <v>908</v>
      </c>
      <c r="B637" s="4">
        <v>43788.15625</v>
      </c>
      <c r="C637" s="2">
        <v>10</v>
      </c>
      <c r="D637" s="59" t="s">
        <v>199</v>
      </c>
      <c r="E637" s="7" t="s">
        <v>36</v>
      </c>
      <c r="F637" s="37" t="s">
        <v>306</v>
      </c>
      <c r="G637" s="32">
        <v>80.8</v>
      </c>
      <c r="H637" s="32">
        <v>87.7</v>
      </c>
      <c r="I637">
        <f>表1_4[[#This Row],[主队2]]-表1_4[[#This Row],[客队2]]</f>
        <v>-6.9000000000000101</v>
      </c>
      <c r="J63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637" s="35" t="s">
        <v>152</v>
      </c>
      <c r="L63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37" s="11"/>
      <c r="N637" s="10" t="s">
        <v>119</v>
      </c>
      <c r="O637" s="57" t="s">
        <v>35</v>
      </c>
      <c r="P637" s="9">
        <v>5</v>
      </c>
      <c r="Q637" s="11"/>
      <c r="R637" t="s">
        <v>852</v>
      </c>
      <c r="S637"/>
      <c r="T637" s="3"/>
      <c r="U637" s="246" t="s">
        <v>1261</v>
      </c>
      <c r="V637" s="247" t="s">
        <v>1262</v>
      </c>
      <c r="W637" s="71"/>
      <c r="X637" s="41"/>
      <c r="Y637" s="113"/>
    </row>
    <row r="638" spans="1:25" s="2" customFormat="1">
      <c r="A638" s="58" t="s">
        <v>908</v>
      </c>
      <c r="B638" s="4">
        <v>43788.15625</v>
      </c>
      <c r="C638" s="2">
        <v>10</v>
      </c>
      <c r="D638" s="59" t="s">
        <v>256</v>
      </c>
      <c r="E638" s="49" t="s">
        <v>665</v>
      </c>
      <c r="F638" s="37" t="s">
        <v>250</v>
      </c>
      <c r="G638" s="32">
        <v>39.9</v>
      </c>
      <c r="H638" s="32">
        <v>87.6</v>
      </c>
      <c r="I638">
        <f>表1_4[[#This Row],[主队2]]-表1_4[[#This Row],[客队2]]</f>
        <v>-47.7</v>
      </c>
      <c r="J638" s="35" t="s">
        <v>1020</v>
      </c>
      <c r="K638" s="35" t="s">
        <v>1158</v>
      </c>
      <c r="L63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638" s="11"/>
      <c r="N638" s="10" t="s">
        <v>119</v>
      </c>
      <c r="O638" s="10" t="s">
        <v>40</v>
      </c>
      <c r="P638" s="9" t="s">
        <v>161</v>
      </c>
      <c r="Q638" s="11"/>
      <c r="R638" t="s">
        <v>852</v>
      </c>
      <c r="S638"/>
      <c r="T638" s="3"/>
      <c r="U638" s="25" t="s">
        <v>1263</v>
      </c>
      <c r="V638" s="24" t="s">
        <v>1264</v>
      </c>
      <c r="W638" s="86"/>
      <c r="X638" s="41"/>
      <c r="Y638" s="113"/>
    </row>
    <row r="639" spans="1:25" s="2" customFormat="1">
      <c r="A639" s="58" t="s">
        <v>908</v>
      </c>
      <c r="B639" s="4">
        <v>43789.15625</v>
      </c>
      <c r="C639" s="2">
        <v>10</v>
      </c>
      <c r="D639" s="59" t="s">
        <v>262</v>
      </c>
      <c r="E639" s="7" t="s">
        <v>57</v>
      </c>
      <c r="F639" s="37" t="s">
        <v>403</v>
      </c>
      <c r="G639" s="32">
        <v>92.1</v>
      </c>
      <c r="H639" s="32">
        <v>67</v>
      </c>
      <c r="I639">
        <f>表1_4[[#This Row],[主队2]]-表1_4[[#This Row],[客队2]]</f>
        <v>25.1</v>
      </c>
      <c r="J639" s="35" t="s">
        <v>30</v>
      </c>
      <c r="K639" s="35" t="s">
        <v>56</v>
      </c>
      <c r="L63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639" s="11"/>
      <c r="N639" s="10" t="s">
        <v>112</v>
      </c>
      <c r="O639" s="10" t="s">
        <v>143</v>
      </c>
      <c r="P639" s="9" t="s">
        <v>161</v>
      </c>
      <c r="Q639" s="11"/>
      <c r="R639" t="s">
        <v>852</v>
      </c>
      <c r="S639"/>
      <c r="T639" s="3"/>
      <c r="U639" s="83"/>
      <c r="V639" s="85" t="s">
        <v>1265</v>
      </c>
      <c r="W639" s="244"/>
      <c r="X639" s="41"/>
      <c r="Y639" s="113"/>
    </row>
    <row r="640" spans="1:25" s="2" customFormat="1">
      <c r="A640" s="58" t="s">
        <v>908</v>
      </c>
      <c r="B640" s="4">
        <v>43789.15625</v>
      </c>
      <c r="C640" s="2">
        <v>10</v>
      </c>
      <c r="D640" s="59" t="s">
        <v>116</v>
      </c>
      <c r="E640" s="42" t="s">
        <v>68</v>
      </c>
      <c r="F640" s="37" t="s">
        <v>296</v>
      </c>
      <c r="G640" s="32">
        <v>97.3</v>
      </c>
      <c r="H640" s="32">
        <v>78.2</v>
      </c>
      <c r="I640">
        <f>表1_4[[#This Row],[主队2]]-表1_4[[#This Row],[客队2]]</f>
        <v>19.100000000000001</v>
      </c>
      <c r="J64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640" s="35" t="s">
        <v>45</v>
      </c>
      <c r="L64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40" s="11"/>
      <c r="N640" s="10" t="s">
        <v>112</v>
      </c>
      <c r="O640" s="10" t="s">
        <v>40</v>
      </c>
      <c r="P640" s="9" t="s">
        <v>161</v>
      </c>
      <c r="Q640" s="11"/>
      <c r="R640" t="s">
        <v>852</v>
      </c>
      <c r="S640"/>
      <c r="T640" s="3"/>
      <c r="U640" s="25" t="s">
        <v>1266</v>
      </c>
      <c r="V640" s="24" t="s">
        <v>1267</v>
      </c>
      <c r="W640" s="38"/>
      <c r="X640" s="41"/>
      <c r="Y640" s="113"/>
    </row>
    <row r="641" spans="1:25" s="2" customFormat="1">
      <c r="A641" s="58" t="s">
        <v>908</v>
      </c>
      <c r="B641" s="4">
        <v>43789.15625</v>
      </c>
      <c r="C641" s="26">
        <v>10</v>
      </c>
      <c r="D641" s="59" t="s">
        <v>200</v>
      </c>
      <c r="E641" s="7" t="s">
        <v>22</v>
      </c>
      <c r="F641" s="37" t="s">
        <v>271</v>
      </c>
      <c r="G641" s="32">
        <v>81.099999999999994</v>
      </c>
      <c r="H641" s="32">
        <v>75.400000000000006</v>
      </c>
      <c r="I641">
        <f>表1_4[[#This Row],[主队2]]-表1_4[[#This Row],[客队2]]</f>
        <v>5.6999999999999904</v>
      </c>
      <c r="J64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641" s="35" t="s">
        <v>118</v>
      </c>
      <c r="L64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41" s="11"/>
      <c r="N641" s="10" t="s">
        <v>112</v>
      </c>
      <c r="O641" s="10" t="s">
        <v>28</v>
      </c>
      <c r="P641" s="9">
        <v>-7</v>
      </c>
      <c r="Q641" s="11"/>
      <c r="R641" t="s">
        <v>855</v>
      </c>
      <c r="S641"/>
      <c r="T641" s="3"/>
      <c r="U641" s="246"/>
      <c r="V641" s="247" t="s">
        <v>1268</v>
      </c>
      <c r="W641" s="38"/>
      <c r="X641" s="41"/>
      <c r="Y641" s="113"/>
    </row>
    <row r="642" spans="1:25" s="2" customFormat="1">
      <c r="A642" s="58" t="s">
        <v>908</v>
      </c>
      <c r="B642" s="4">
        <v>43789.15625</v>
      </c>
      <c r="C642" s="26">
        <v>10</v>
      </c>
      <c r="D642" s="59" t="s">
        <v>425</v>
      </c>
      <c r="E642" s="7" t="s">
        <v>22</v>
      </c>
      <c r="F642" s="37" t="s">
        <v>278</v>
      </c>
      <c r="G642" s="32">
        <v>82.2</v>
      </c>
      <c r="H642" s="32">
        <v>64.7</v>
      </c>
      <c r="I642">
        <f>表1_4[[#This Row],[主队2]]-表1_4[[#This Row],[客队2]]</f>
        <v>17.5</v>
      </c>
      <c r="J64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642" s="35" t="s">
        <v>81</v>
      </c>
      <c r="L64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42" s="11"/>
      <c r="N642" s="46" t="s">
        <v>160</v>
      </c>
      <c r="O642" s="10" t="s">
        <v>28</v>
      </c>
      <c r="P642" s="9">
        <v>-10</v>
      </c>
      <c r="Q642" s="11"/>
      <c r="R642" t="s">
        <v>852</v>
      </c>
      <c r="S642"/>
      <c r="T642" s="3"/>
      <c r="U642" s="25"/>
      <c r="V642" s="24" t="s">
        <v>1269</v>
      </c>
      <c r="W642" s="38"/>
      <c r="X642" s="41"/>
      <c r="Y642" s="113"/>
    </row>
    <row r="643" spans="1:25" s="2" customFormat="1">
      <c r="A643" s="58" t="s">
        <v>908</v>
      </c>
      <c r="B643" s="4">
        <v>43789.15625</v>
      </c>
      <c r="C643" s="26">
        <v>10</v>
      </c>
      <c r="D643" s="59" t="s">
        <v>302</v>
      </c>
      <c r="E643" s="7" t="s">
        <v>29</v>
      </c>
      <c r="F643" s="37" t="s">
        <v>309</v>
      </c>
      <c r="G643" s="32">
        <v>85.2</v>
      </c>
      <c r="H643" s="32">
        <v>76.900000000000006</v>
      </c>
      <c r="I643">
        <f>表1_4[[#This Row],[主队2]]-表1_4[[#This Row],[客队2]]</f>
        <v>8.3000000000000007</v>
      </c>
      <c r="J64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643" s="35" t="s">
        <v>118</v>
      </c>
      <c r="L64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43" s="11"/>
      <c r="N643" s="10" t="s">
        <v>119</v>
      </c>
      <c r="O643" s="10" t="s">
        <v>48</v>
      </c>
      <c r="P643" s="9">
        <v>0.1</v>
      </c>
      <c r="Q643" s="11"/>
      <c r="R643" t="s">
        <v>852</v>
      </c>
      <c r="S643"/>
      <c r="T643" s="3"/>
      <c r="U643" s="246"/>
      <c r="V643" s="247" t="s">
        <v>1270</v>
      </c>
      <c r="W643" s="244"/>
      <c r="X643" s="41"/>
      <c r="Y643" s="113"/>
    </row>
    <row r="644" spans="1:25" s="2" customFormat="1">
      <c r="A644" s="58" t="s">
        <v>908</v>
      </c>
      <c r="B644" s="4">
        <v>43789.15625</v>
      </c>
      <c r="C644" s="26">
        <v>10</v>
      </c>
      <c r="D644" s="59" t="s">
        <v>251</v>
      </c>
      <c r="E644" s="7" t="s">
        <v>31</v>
      </c>
      <c r="F644" s="37" t="s">
        <v>194</v>
      </c>
      <c r="G644" s="32">
        <v>61.2</v>
      </c>
      <c r="H644" s="32">
        <v>82.6</v>
      </c>
      <c r="I644">
        <f>表1_4[[#This Row],[主队2]]-表1_4[[#This Row],[客队2]]</f>
        <v>-21.4</v>
      </c>
      <c r="J644" s="35" t="s">
        <v>686</v>
      </c>
      <c r="K644" s="35" t="s">
        <v>666</v>
      </c>
      <c r="L64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44" s="11"/>
      <c r="N644" s="46" t="s">
        <v>112</v>
      </c>
      <c r="O644" s="10" t="s">
        <v>24</v>
      </c>
      <c r="P644" s="9">
        <v>-20</v>
      </c>
      <c r="Q644" s="11"/>
      <c r="R644" t="s">
        <v>855</v>
      </c>
      <c r="S644"/>
      <c r="T644" s="3"/>
      <c r="U644" s="25"/>
      <c r="V644" s="24" t="s">
        <v>1271</v>
      </c>
      <c r="W644" s="38"/>
      <c r="X644" s="41"/>
      <c r="Y644" s="113"/>
    </row>
    <row r="645" spans="1:25" s="2" customFormat="1">
      <c r="A645" s="58" t="s">
        <v>908</v>
      </c>
      <c r="B645" s="4">
        <v>43789.15625</v>
      </c>
      <c r="C645" s="7">
        <v>10</v>
      </c>
      <c r="D645" s="59" t="s">
        <v>440</v>
      </c>
      <c r="E645" s="7" t="s">
        <v>31</v>
      </c>
      <c r="F645" s="37" t="s">
        <v>210</v>
      </c>
      <c r="G645" s="32">
        <v>72.900000000000006</v>
      </c>
      <c r="H645" s="32">
        <v>74.5</v>
      </c>
      <c r="I645">
        <f>表1_4[[#This Row],[主队2]]-表1_4[[#This Row],[客队2]]</f>
        <v>-1.5999999999999901</v>
      </c>
      <c r="J64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645" s="35" t="s">
        <v>182</v>
      </c>
      <c r="L64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45" s="11"/>
      <c r="N645" s="10" t="s">
        <v>119</v>
      </c>
      <c r="O645" s="46" t="s">
        <v>35</v>
      </c>
      <c r="P645" s="9" t="s">
        <v>161</v>
      </c>
      <c r="Q645" s="11"/>
      <c r="R645"/>
      <c r="S645"/>
      <c r="T645" s="3"/>
      <c r="U645" s="83" t="s">
        <v>310</v>
      </c>
      <c r="V645" s="85" t="s">
        <v>1272</v>
      </c>
      <c r="W645" s="71"/>
      <c r="X645" s="41"/>
      <c r="Y645" s="113"/>
    </row>
    <row r="646" spans="1:25" s="2" customFormat="1">
      <c r="A646" s="58" t="s">
        <v>908</v>
      </c>
      <c r="B646" s="4">
        <v>43789.15625</v>
      </c>
      <c r="C646" s="26">
        <v>10</v>
      </c>
      <c r="D646" s="59" t="s">
        <v>274</v>
      </c>
      <c r="E646" s="42" t="s">
        <v>68</v>
      </c>
      <c r="F646" s="37" t="s">
        <v>407</v>
      </c>
      <c r="G646" s="32">
        <v>95.8</v>
      </c>
      <c r="H646" s="32">
        <v>65.7</v>
      </c>
      <c r="I646">
        <f>表1_4[[#This Row],[主队2]]-表1_4[[#This Row],[客队2]]</f>
        <v>30.1</v>
      </c>
      <c r="J646" s="35" t="s">
        <v>38</v>
      </c>
      <c r="K646" s="35" t="s">
        <v>34</v>
      </c>
      <c r="L64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46" s="11"/>
      <c r="N646" s="46" t="s">
        <v>895</v>
      </c>
      <c r="O646" s="10" t="s">
        <v>40</v>
      </c>
      <c r="P646" s="9" t="s">
        <v>161</v>
      </c>
      <c r="Q646" s="11"/>
      <c r="R646" t="s">
        <v>852</v>
      </c>
      <c r="S646"/>
      <c r="T646" s="3"/>
      <c r="U646" s="25" t="s">
        <v>388</v>
      </c>
      <c r="V646" s="24" t="s">
        <v>1273</v>
      </c>
      <c r="W646" s="40" t="s">
        <v>280</v>
      </c>
      <c r="X646" s="41"/>
      <c r="Y646" s="113"/>
    </row>
    <row r="647" spans="1:25" s="2" customFormat="1">
      <c r="A647" s="58" t="s">
        <v>908</v>
      </c>
      <c r="B647" s="4">
        <v>43789.15625</v>
      </c>
      <c r="C647" s="2">
        <v>10</v>
      </c>
      <c r="D647" s="59" t="s">
        <v>282</v>
      </c>
      <c r="E647" s="7" t="s">
        <v>978</v>
      </c>
      <c r="F647" s="37" t="s">
        <v>353</v>
      </c>
      <c r="G647" s="32">
        <v>29.5</v>
      </c>
      <c r="H647" s="32">
        <v>85.3</v>
      </c>
      <c r="I647">
        <f>表1_4[[#This Row],[主队2]]-表1_4[[#This Row],[客队2]]</f>
        <v>-55.8</v>
      </c>
      <c r="J647" s="35" t="s">
        <v>1274</v>
      </c>
      <c r="K647" s="35" t="s">
        <v>1274</v>
      </c>
      <c r="L64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47" s="11"/>
      <c r="N647" s="10" t="s">
        <v>119</v>
      </c>
      <c r="O647" s="10" t="s">
        <v>143</v>
      </c>
      <c r="P647" s="9" t="s">
        <v>161</v>
      </c>
      <c r="Q647" s="11"/>
      <c r="R647" t="s">
        <v>852</v>
      </c>
      <c r="S647"/>
      <c r="T647" s="3"/>
      <c r="U647" s="83"/>
      <c r="V647" s="85" t="s">
        <v>1275</v>
      </c>
      <c r="W647" s="71"/>
      <c r="X647" s="41"/>
      <c r="Y647" s="113"/>
    </row>
    <row r="648" spans="1:25" s="2" customFormat="1">
      <c r="A648" s="58" t="s">
        <v>908</v>
      </c>
      <c r="B648" s="125">
        <v>43789.15625</v>
      </c>
      <c r="C648" s="26">
        <v>10</v>
      </c>
      <c r="D648" s="59" t="s">
        <v>123</v>
      </c>
      <c r="E648" s="7" t="s">
        <v>41</v>
      </c>
      <c r="F648" s="37" t="s">
        <v>288</v>
      </c>
      <c r="G648" s="32">
        <v>78.2</v>
      </c>
      <c r="H648" s="32">
        <v>65.8</v>
      </c>
      <c r="I648">
        <f>表1_4[[#This Row],[主队2]]-表1_4[[#This Row],[客队2]]</f>
        <v>12.4</v>
      </c>
      <c r="J64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648" s="35" t="s">
        <v>176</v>
      </c>
      <c r="L64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48" s="11"/>
      <c r="N648" s="10" t="s">
        <v>119</v>
      </c>
      <c r="O648" s="10" t="s">
        <v>48</v>
      </c>
      <c r="P648" s="9" t="s">
        <v>161</v>
      </c>
      <c r="Q648" s="11"/>
      <c r="R648"/>
      <c r="S648"/>
      <c r="T648" s="3"/>
      <c r="U648" s="246"/>
      <c r="V648" s="247" t="s">
        <v>1276</v>
      </c>
      <c r="W648" s="71"/>
      <c r="X648" s="41"/>
      <c r="Y648" s="113"/>
    </row>
    <row r="649" spans="1:25" s="2" customFormat="1">
      <c r="A649" s="58" t="s">
        <v>128</v>
      </c>
      <c r="B649" s="4">
        <v>43788.708333333299</v>
      </c>
      <c r="C649" s="7">
        <v>6</v>
      </c>
      <c r="D649" s="59" t="s">
        <v>1192</v>
      </c>
      <c r="E649" s="7" t="s">
        <v>53</v>
      </c>
      <c r="F649" s="37" t="s">
        <v>1099</v>
      </c>
      <c r="G649" s="32">
        <v>27.4</v>
      </c>
      <c r="H649" s="32">
        <v>65.400000000000006</v>
      </c>
      <c r="I649">
        <f>表1_4[[#This Row],[主队2]]-表1_4[[#This Row],[客队2]]</f>
        <v>-38</v>
      </c>
      <c r="J649" s="35" t="s">
        <v>1021</v>
      </c>
      <c r="K649" s="35" t="s">
        <v>1062</v>
      </c>
      <c r="L64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649" s="11"/>
      <c r="N649" s="46" t="s">
        <v>133</v>
      </c>
      <c r="O649" s="10" t="s">
        <v>143</v>
      </c>
      <c r="P649" s="9" t="s">
        <v>161</v>
      </c>
      <c r="Q649" s="11"/>
      <c r="R649"/>
      <c r="S649"/>
      <c r="T649" s="3"/>
      <c r="U649" s="25"/>
      <c r="V649" s="24" t="s">
        <v>1277</v>
      </c>
      <c r="W649" s="87"/>
      <c r="X649" s="41"/>
      <c r="Y649" s="113"/>
    </row>
    <row r="650" spans="1:25" s="2" customFormat="1">
      <c r="A650" s="58" t="s">
        <v>128</v>
      </c>
      <c r="B650" s="4">
        <v>43788.770833333299</v>
      </c>
      <c r="C650" s="7">
        <v>6</v>
      </c>
      <c r="D650" s="59" t="s">
        <v>1091</v>
      </c>
      <c r="E650" s="7" t="s">
        <v>31</v>
      </c>
      <c r="F650" s="37" t="s">
        <v>1166</v>
      </c>
      <c r="G650" s="32">
        <v>39</v>
      </c>
      <c r="H650" s="32">
        <v>14.6</v>
      </c>
      <c r="I650">
        <f>表1_4[[#This Row],[主队2]]-表1_4[[#This Row],[客队2]]</f>
        <v>24.4</v>
      </c>
      <c r="J650" s="35" t="s">
        <v>30</v>
      </c>
      <c r="K650" s="35" t="s">
        <v>45</v>
      </c>
      <c r="L65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650" s="11"/>
      <c r="N650" s="10" t="s">
        <v>1139</v>
      </c>
      <c r="O650" s="10" t="s">
        <v>143</v>
      </c>
      <c r="P650" s="9" t="s">
        <v>161</v>
      </c>
      <c r="Q650" s="11"/>
      <c r="R650"/>
      <c r="S650"/>
      <c r="T650" s="3"/>
      <c r="U650" s="83" t="s">
        <v>448</v>
      </c>
      <c r="V650" s="85" t="s">
        <v>1278</v>
      </c>
      <c r="W650" s="87"/>
      <c r="X650" s="41"/>
      <c r="Y650" s="113"/>
    </row>
    <row r="651" spans="1:25" s="2" customFormat="1">
      <c r="A651" s="58" t="s">
        <v>128</v>
      </c>
      <c r="B651" s="68">
        <v>43788.791666666701</v>
      </c>
      <c r="C651" s="26">
        <v>6</v>
      </c>
      <c r="D651" s="59" t="s">
        <v>1095</v>
      </c>
      <c r="E651" s="7" t="s">
        <v>22</v>
      </c>
      <c r="F651" s="37" t="s">
        <v>1190</v>
      </c>
      <c r="G651" s="32">
        <v>55.1</v>
      </c>
      <c r="H651" s="32">
        <v>22.8</v>
      </c>
      <c r="I651">
        <f>表1_4[[#This Row],[主队2]]-表1_4[[#This Row],[客队2]]</f>
        <v>32.299999999999997</v>
      </c>
      <c r="J651" s="35" t="s">
        <v>56</v>
      </c>
      <c r="K651" s="35" t="s">
        <v>34</v>
      </c>
      <c r="L65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51" s="63" t="s">
        <v>1279</v>
      </c>
      <c r="N651" s="10" t="s">
        <v>112</v>
      </c>
      <c r="O651" s="10" t="s">
        <v>40</v>
      </c>
      <c r="P651" s="9" t="s">
        <v>161</v>
      </c>
      <c r="Q651" s="11"/>
      <c r="R651"/>
      <c r="S651"/>
      <c r="T651" s="3"/>
      <c r="U651" s="25" t="s">
        <v>1280</v>
      </c>
      <c r="V651" s="24" t="s">
        <v>1281</v>
      </c>
      <c r="W651" s="40"/>
      <c r="X651" s="41"/>
      <c r="Y651" s="113"/>
    </row>
    <row r="652" spans="1:25" s="2" customFormat="1">
      <c r="A652" s="58" t="s">
        <v>128</v>
      </c>
      <c r="B652" s="4">
        <v>43788.833333333299</v>
      </c>
      <c r="C652" s="26">
        <v>6</v>
      </c>
      <c r="D652" s="59" t="s">
        <v>131</v>
      </c>
      <c r="E652" s="7" t="s">
        <v>22</v>
      </c>
      <c r="F652" s="37" t="s">
        <v>1185</v>
      </c>
      <c r="G652" s="32">
        <v>73.7</v>
      </c>
      <c r="H652" s="32">
        <v>60.3</v>
      </c>
      <c r="I652">
        <f>表1_4[[#This Row],[主队2]]-表1_4[[#This Row],[客队2]]</f>
        <v>13.4</v>
      </c>
      <c r="J65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652" s="35" t="s">
        <v>81</v>
      </c>
      <c r="L65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52" s="11"/>
      <c r="N652" s="57" t="s">
        <v>133</v>
      </c>
      <c r="O652" s="10" t="s">
        <v>46</v>
      </c>
      <c r="P652" s="9">
        <v>-21</v>
      </c>
      <c r="Q652" s="11"/>
      <c r="R652"/>
      <c r="S652"/>
      <c r="T652" s="3"/>
      <c r="U652" s="25"/>
      <c r="V652" s="24" t="s">
        <v>1282</v>
      </c>
      <c r="W652" s="87"/>
      <c r="X652" s="41"/>
      <c r="Y652" s="113"/>
    </row>
    <row r="653" spans="1:25" s="2" customFormat="1">
      <c r="A653" s="58" t="s">
        <v>128</v>
      </c>
      <c r="B653" s="4">
        <v>43788.833333333299</v>
      </c>
      <c r="C653" s="26">
        <v>6</v>
      </c>
      <c r="D653" s="59" t="s">
        <v>1103</v>
      </c>
      <c r="E653" s="7" t="s">
        <v>22</v>
      </c>
      <c r="F653" s="37" t="s">
        <v>1172</v>
      </c>
      <c r="G653" s="32">
        <v>50.3</v>
      </c>
      <c r="H653" s="32">
        <v>23.9</v>
      </c>
      <c r="I653">
        <f>表1_4[[#This Row],[主队2]]-表1_4[[#This Row],[客队2]]</f>
        <v>26.4</v>
      </c>
      <c r="J653" s="35" t="s">
        <v>30</v>
      </c>
      <c r="K653" s="35" t="s">
        <v>81</v>
      </c>
      <c r="L65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653" s="11"/>
      <c r="N653" s="10" t="s">
        <v>133</v>
      </c>
      <c r="O653" s="10" t="s">
        <v>143</v>
      </c>
      <c r="P653" s="9" t="s">
        <v>161</v>
      </c>
      <c r="Q653" s="11"/>
      <c r="R653"/>
      <c r="S653"/>
      <c r="T653" s="3"/>
      <c r="U653" s="25"/>
      <c r="V653" s="24" t="s">
        <v>1283</v>
      </c>
      <c r="W653" s="71"/>
      <c r="X653" s="41"/>
      <c r="Y653" s="113"/>
    </row>
    <row r="654" spans="1:25" s="2" customFormat="1" ht="28.9">
      <c r="A654" s="58" t="s">
        <v>128</v>
      </c>
      <c r="B654" s="4">
        <v>43788.916666666701</v>
      </c>
      <c r="C654" s="7">
        <v>6</v>
      </c>
      <c r="D654" s="59" t="s">
        <v>141</v>
      </c>
      <c r="E654" s="7" t="s">
        <v>42</v>
      </c>
      <c r="F654" s="37" t="s">
        <v>998</v>
      </c>
      <c r="G654" s="32">
        <v>71</v>
      </c>
      <c r="H654" s="32">
        <v>66.7</v>
      </c>
      <c r="I654">
        <f>表1_4[[#This Row],[主队2]]-表1_4[[#This Row],[客队2]]</f>
        <v>4.3</v>
      </c>
      <c r="J65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654" s="35" t="s">
        <v>289</v>
      </c>
      <c r="L65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54" s="11"/>
      <c r="N654" s="57" t="s">
        <v>133</v>
      </c>
      <c r="O654" s="10" t="s">
        <v>40</v>
      </c>
      <c r="P654" s="9">
        <v>-1</v>
      </c>
      <c r="Q654" s="11"/>
      <c r="R654"/>
      <c r="S654"/>
      <c r="T654" s="3"/>
      <c r="U654" s="25" t="s">
        <v>1284</v>
      </c>
      <c r="V654" s="24" t="s">
        <v>522</v>
      </c>
      <c r="W654" s="38"/>
      <c r="X654" s="41"/>
      <c r="Y654" s="113"/>
    </row>
    <row r="655" spans="1:25" s="2" customFormat="1">
      <c r="A655" s="58" t="s">
        <v>128</v>
      </c>
      <c r="B655" s="4">
        <v>43788.875</v>
      </c>
      <c r="C655" s="7">
        <v>6</v>
      </c>
      <c r="D655" s="59" t="s">
        <v>1002</v>
      </c>
      <c r="E655" s="7" t="s">
        <v>42</v>
      </c>
      <c r="F655" s="37" t="s">
        <v>137</v>
      </c>
      <c r="G655" s="32">
        <v>58.7</v>
      </c>
      <c r="H655" s="32">
        <v>63</v>
      </c>
      <c r="I655">
        <f>表1_4[[#This Row],[主队2]]-表1_4[[#This Row],[客队2]]</f>
        <v>-4.3</v>
      </c>
      <c r="J65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655" s="35" t="s">
        <v>182</v>
      </c>
      <c r="L65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55" s="11"/>
      <c r="N655" s="10" t="s">
        <v>119</v>
      </c>
      <c r="O655" s="10" t="s">
        <v>143</v>
      </c>
      <c r="P655" s="9">
        <v>-5</v>
      </c>
      <c r="Q655" s="11"/>
      <c r="R655"/>
      <c r="S655"/>
      <c r="T655" s="3"/>
      <c r="U655" s="246"/>
      <c r="V655" s="247" t="s">
        <v>1285</v>
      </c>
      <c r="W655" s="244"/>
      <c r="X655" s="41"/>
      <c r="Y655" s="113"/>
    </row>
    <row r="656" spans="1:25" s="2" customFormat="1" ht="28.9">
      <c r="A656" s="58" t="s">
        <v>128</v>
      </c>
      <c r="B656" s="4">
        <v>43788.958333333299</v>
      </c>
      <c r="C656" s="115">
        <v>6</v>
      </c>
      <c r="D656" s="59" t="s">
        <v>1086</v>
      </c>
      <c r="E656" s="7" t="s">
        <v>60</v>
      </c>
      <c r="F656" s="37" t="s">
        <v>453</v>
      </c>
      <c r="G656" s="32">
        <v>51</v>
      </c>
      <c r="H656" s="32">
        <v>47.6</v>
      </c>
      <c r="I656">
        <f>表1_4[[#This Row],[主队2]]-表1_4[[#This Row],[客队2]]</f>
        <v>3.4</v>
      </c>
      <c r="J65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656" s="35" t="s">
        <v>289</v>
      </c>
      <c r="L65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56" s="11"/>
      <c r="N656" s="10" t="s">
        <v>119</v>
      </c>
      <c r="O656" s="10" t="s">
        <v>35</v>
      </c>
      <c r="P656" s="9" t="s">
        <v>161</v>
      </c>
      <c r="Q656" s="11"/>
      <c r="R656"/>
      <c r="S656"/>
      <c r="T656" s="3"/>
      <c r="U656" s="83" t="s">
        <v>1286</v>
      </c>
      <c r="V656" s="85" t="s">
        <v>1287</v>
      </c>
      <c r="W656" s="86"/>
      <c r="X656" s="41"/>
      <c r="Y656" s="113"/>
    </row>
    <row r="657" spans="1:25" s="2" customFormat="1">
      <c r="A657" s="58" t="s">
        <v>128</v>
      </c>
      <c r="B657" s="4">
        <v>43788.916666666701</v>
      </c>
      <c r="C657" s="7">
        <v>6</v>
      </c>
      <c r="D657" s="59" t="s">
        <v>1094</v>
      </c>
      <c r="E657" s="7" t="s">
        <v>53</v>
      </c>
      <c r="F657" s="37" t="s">
        <v>150</v>
      </c>
      <c r="G657" s="32">
        <v>38.1</v>
      </c>
      <c r="H657" s="32">
        <v>73.099999999999994</v>
      </c>
      <c r="I657">
        <f>表1_4[[#This Row],[主队2]]-表1_4[[#This Row],[客队2]]</f>
        <v>-35</v>
      </c>
      <c r="J657" s="35" t="s">
        <v>1059</v>
      </c>
      <c r="K657" s="35" t="s">
        <v>1062</v>
      </c>
      <c r="L65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657" s="11"/>
      <c r="N657" s="46" t="s">
        <v>404</v>
      </c>
      <c r="O657" s="10" t="s">
        <v>46</v>
      </c>
      <c r="P657" s="9" t="s">
        <v>161</v>
      </c>
      <c r="Q657" s="11"/>
      <c r="R657"/>
      <c r="S657"/>
      <c r="T657" s="3"/>
      <c r="U657" s="25" t="s">
        <v>776</v>
      </c>
      <c r="V657" s="24" t="s">
        <v>1288</v>
      </c>
      <c r="W657" s="87"/>
      <c r="X657" s="41"/>
      <c r="Y657" s="113"/>
    </row>
    <row r="658" spans="1:25" s="2" customFormat="1">
      <c r="A658" s="58" t="s">
        <v>128</v>
      </c>
      <c r="B658" s="4">
        <v>43788.958333333299</v>
      </c>
      <c r="C658" s="7">
        <v>6</v>
      </c>
      <c r="D658" s="59" t="s">
        <v>1093</v>
      </c>
      <c r="E658" s="7" t="s">
        <v>31</v>
      </c>
      <c r="F658" s="37" t="s">
        <v>1187</v>
      </c>
      <c r="G658" s="32">
        <v>64</v>
      </c>
      <c r="H658" s="32">
        <v>44.7</v>
      </c>
      <c r="I658">
        <f>表1_4[[#This Row],[主队2]]-表1_4[[#This Row],[客队2]]</f>
        <v>19.3</v>
      </c>
      <c r="J658" s="35" t="s">
        <v>26</v>
      </c>
      <c r="K658" s="35" t="s">
        <v>63</v>
      </c>
      <c r="L65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58" s="11"/>
      <c r="N658" s="10" t="s">
        <v>112</v>
      </c>
      <c r="O658" s="10" t="s">
        <v>35</v>
      </c>
      <c r="P658" s="9">
        <v>-31</v>
      </c>
      <c r="Q658" s="11"/>
      <c r="R658"/>
      <c r="S658"/>
      <c r="T658" s="3"/>
      <c r="U658" s="246" t="s">
        <v>1174</v>
      </c>
      <c r="V658" s="247" t="s">
        <v>1289</v>
      </c>
      <c r="W658" s="40"/>
      <c r="X658" s="41"/>
      <c r="Y658" s="113"/>
    </row>
    <row r="659" spans="1:25" s="2" customFormat="1" ht="28.9">
      <c r="A659" s="58" t="s">
        <v>128</v>
      </c>
      <c r="B659" s="4">
        <v>43788.916666666701</v>
      </c>
      <c r="C659" s="7">
        <v>6</v>
      </c>
      <c r="D659" s="59" t="s">
        <v>130</v>
      </c>
      <c r="E659" s="7" t="s">
        <v>31</v>
      </c>
      <c r="F659" s="37" t="s">
        <v>995</v>
      </c>
      <c r="G659" s="32">
        <v>69.900000000000006</v>
      </c>
      <c r="H659" s="32">
        <v>44.8</v>
      </c>
      <c r="I659">
        <f>表1_4[[#This Row],[主队2]]-表1_4[[#This Row],[客队2]]</f>
        <v>25.1</v>
      </c>
      <c r="J659" s="35" t="s">
        <v>30</v>
      </c>
      <c r="K659" s="35" t="s">
        <v>63</v>
      </c>
      <c r="L65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659" s="11"/>
      <c r="N659" s="10" t="s">
        <v>133</v>
      </c>
      <c r="O659" s="114" t="s">
        <v>24</v>
      </c>
      <c r="P659" s="9">
        <v>-28</v>
      </c>
      <c r="Q659" s="11"/>
      <c r="R659"/>
      <c r="S659"/>
      <c r="T659" s="3"/>
      <c r="U659" s="246"/>
      <c r="V659" s="247" t="s">
        <v>1290</v>
      </c>
      <c r="W659" s="38"/>
      <c r="X659" s="41"/>
      <c r="Y659" s="113"/>
    </row>
    <row r="660" spans="1:25" s="2" customFormat="1">
      <c r="A660" s="58" t="s">
        <v>128</v>
      </c>
      <c r="B660" s="4">
        <v>43788.916666666701</v>
      </c>
      <c r="C660" s="7">
        <v>6</v>
      </c>
      <c r="D660" s="59" t="s">
        <v>1001</v>
      </c>
      <c r="E660" s="7" t="s">
        <v>36</v>
      </c>
      <c r="F660" s="37" t="s">
        <v>1000</v>
      </c>
      <c r="G660" s="32">
        <v>53.6</v>
      </c>
      <c r="H660" s="32">
        <v>51.5</v>
      </c>
      <c r="I660">
        <f>表1_4[[#This Row],[主队2]]-表1_4[[#This Row],[客队2]]</f>
        <v>2.1</v>
      </c>
      <c r="J66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660" s="35" t="s">
        <v>289</v>
      </c>
      <c r="L66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60" s="11"/>
      <c r="N660" s="10" t="s">
        <v>119</v>
      </c>
      <c r="O660" s="10" t="s">
        <v>40</v>
      </c>
      <c r="P660" s="9" t="s">
        <v>161</v>
      </c>
      <c r="Q660" s="11"/>
      <c r="R660"/>
      <c r="S660"/>
      <c r="T660" s="3"/>
      <c r="U660" s="246" t="s">
        <v>1291</v>
      </c>
      <c r="V660" s="247" t="s">
        <v>1292</v>
      </c>
      <c r="W660" s="244"/>
      <c r="X660" s="41"/>
      <c r="Y660" s="113"/>
    </row>
    <row r="661" spans="1:25" s="2" customFormat="1">
      <c r="A661" s="58" t="s">
        <v>128</v>
      </c>
      <c r="B661" s="4">
        <v>43788.864583333299</v>
      </c>
      <c r="C661" s="26">
        <v>6</v>
      </c>
      <c r="D661" s="59" t="s">
        <v>1087</v>
      </c>
      <c r="E661" s="7" t="s">
        <v>22</v>
      </c>
      <c r="F661" s="37" t="s">
        <v>1100</v>
      </c>
      <c r="G661" s="32">
        <v>50</v>
      </c>
      <c r="H661" s="32">
        <v>49.6</v>
      </c>
      <c r="I661">
        <f>表1_4[[#This Row],[主队2]]-表1_4[[#This Row],[客队2]]</f>
        <v>0.39999999999999902</v>
      </c>
      <c r="J66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661" s="35" t="s">
        <v>81</v>
      </c>
      <c r="L66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661" s="11"/>
      <c r="N661" s="10" t="s">
        <v>119</v>
      </c>
      <c r="O661" s="10" t="s">
        <v>143</v>
      </c>
      <c r="P661" s="9" t="s">
        <v>161</v>
      </c>
      <c r="Q661" s="11"/>
      <c r="R661"/>
      <c r="S661"/>
      <c r="T661" s="3"/>
      <c r="U661" s="25"/>
      <c r="V661" s="24" t="s">
        <v>1293</v>
      </c>
      <c r="W661" s="38"/>
      <c r="X661" s="41"/>
      <c r="Y661" s="113"/>
    </row>
    <row r="662" spans="1:25" s="2" customFormat="1">
      <c r="A662" s="58" t="s">
        <v>128</v>
      </c>
      <c r="B662" s="4">
        <v>43789</v>
      </c>
      <c r="C662" s="7">
        <v>6</v>
      </c>
      <c r="D662" s="59" t="s">
        <v>1098</v>
      </c>
      <c r="E662" s="7" t="s">
        <v>57</v>
      </c>
      <c r="F662" s="37" t="s">
        <v>1176</v>
      </c>
      <c r="G662" s="32">
        <v>65.400000000000006</v>
      </c>
      <c r="H662" s="32">
        <v>28.5</v>
      </c>
      <c r="I662">
        <f>表1_4[[#This Row],[主队2]]-表1_4[[#This Row],[客队2]]</f>
        <v>36.9</v>
      </c>
      <c r="J662" s="35" t="s">
        <v>59</v>
      </c>
      <c r="K662" s="35" t="s">
        <v>72</v>
      </c>
      <c r="L66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62" s="11"/>
      <c r="N662" s="10" t="s">
        <v>112</v>
      </c>
      <c r="O662" s="10" t="s">
        <v>143</v>
      </c>
      <c r="P662" s="9" t="s">
        <v>161</v>
      </c>
      <c r="Q662" s="11"/>
      <c r="R662"/>
      <c r="S662"/>
      <c r="T662" s="3"/>
      <c r="U662" s="246"/>
      <c r="V662" s="247" t="s">
        <v>1294</v>
      </c>
      <c r="W662" s="40"/>
      <c r="X662" s="41"/>
      <c r="Y662" s="113"/>
    </row>
    <row r="663" spans="1:25" s="2" customFormat="1">
      <c r="A663" s="58" t="s">
        <v>128</v>
      </c>
      <c r="B663" s="4">
        <v>43789.041666666701</v>
      </c>
      <c r="C663" s="7">
        <v>6</v>
      </c>
      <c r="D663" s="59" t="s">
        <v>1005</v>
      </c>
      <c r="E663" s="7" t="s">
        <v>42</v>
      </c>
      <c r="F663" s="37" t="s">
        <v>1004</v>
      </c>
      <c r="G663" s="32">
        <v>61.4</v>
      </c>
      <c r="H663" s="32">
        <v>61.3</v>
      </c>
      <c r="I663">
        <f>表1_4[[#This Row],[主队2]]-表1_4[[#This Row],[客队2]]</f>
        <v>0.100000000000001</v>
      </c>
      <c r="J66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663" s="35" t="s">
        <v>289</v>
      </c>
      <c r="L66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63" s="11"/>
      <c r="N663" s="10" t="s">
        <v>112</v>
      </c>
      <c r="O663" s="57" t="s">
        <v>46</v>
      </c>
      <c r="P663" s="9" t="s">
        <v>161</v>
      </c>
      <c r="Q663" s="11"/>
      <c r="R663"/>
      <c r="S663"/>
      <c r="T663" s="3"/>
      <c r="U663" s="25"/>
      <c r="V663" s="24" t="s">
        <v>1295</v>
      </c>
      <c r="W663" s="38"/>
      <c r="X663" s="41"/>
      <c r="Y663" s="113"/>
    </row>
    <row r="664" spans="1:25" s="2" customFormat="1">
      <c r="A664" s="58" t="s">
        <v>908</v>
      </c>
      <c r="B664" s="4">
        <v>44113</v>
      </c>
      <c r="C664" s="1" t="s">
        <v>1296</v>
      </c>
      <c r="D664" s="59" t="s">
        <v>430</v>
      </c>
      <c r="E664" s="7" t="s">
        <v>31</v>
      </c>
      <c r="F664" s="37" t="s">
        <v>240</v>
      </c>
      <c r="G664" s="32">
        <v>72.7</v>
      </c>
      <c r="H664" s="32">
        <v>72.3</v>
      </c>
      <c r="I664">
        <f>表1_4[[#This Row],[主队2]]-表1_4[[#This Row],[客队2]]</f>
        <v>0.40000000000000602</v>
      </c>
      <c r="J66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664" s="35" t="s">
        <v>182</v>
      </c>
      <c r="L66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64" s="11"/>
      <c r="N664" s="10" t="s">
        <v>112</v>
      </c>
      <c r="O664" s="10" t="s">
        <v>28</v>
      </c>
      <c r="P664" s="9">
        <v>5</v>
      </c>
      <c r="Q664" s="11"/>
      <c r="R664" t="s">
        <v>852</v>
      </c>
      <c r="S664"/>
      <c r="T664" s="3"/>
      <c r="U664" s="246"/>
      <c r="V664" s="247" t="s">
        <v>1297</v>
      </c>
      <c r="W664" s="86"/>
      <c r="X664" s="41"/>
      <c r="Y664" s="113"/>
    </row>
    <row r="665" spans="1:25" s="2" customFormat="1">
      <c r="A665" s="58" t="s">
        <v>908</v>
      </c>
      <c r="B665" s="97">
        <v>44113.114583333299</v>
      </c>
      <c r="C665" s="1" t="s">
        <v>1296</v>
      </c>
      <c r="D665" s="134" t="s">
        <v>440</v>
      </c>
      <c r="E665" s="7" t="s">
        <v>33</v>
      </c>
      <c r="F665" s="37" t="s">
        <v>217</v>
      </c>
      <c r="G665" s="32">
        <v>73.8</v>
      </c>
      <c r="H665" s="32">
        <v>67.900000000000006</v>
      </c>
      <c r="I665">
        <f>表1_4[[#This Row],[主队2]]-表1_4[[#This Row],[客队2]]</f>
        <v>5.8999999999999897</v>
      </c>
      <c r="J66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665" s="35" t="s">
        <v>166</v>
      </c>
      <c r="L66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665" s="11"/>
      <c r="N665" s="10" t="s">
        <v>112</v>
      </c>
      <c r="O665" s="10" t="s">
        <v>24</v>
      </c>
      <c r="P665" s="9">
        <v>26</v>
      </c>
      <c r="Q665" s="11"/>
      <c r="R665" t="s">
        <v>855</v>
      </c>
      <c r="S665"/>
      <c r="T665" s="3"/>
      <c r="U665" s="25"/>
      <c r="V665" s="84" t="s">
        <v>1298</v>
      </c>
      <c r="W665" s="86"/>
      <c r="X665" s="41"/>
      <c r="Y665" s="113"/>
    </row>
    <row r="666" spans="1:25" s="2" customFormat="1">
      <c r="A666" s="58" t="s">
        <v>908</v>
      </c>
      <c r="B666" s="4">
        <v>44113.114583333299</v>
      </c>
      <c r="C666" s="1" t="s">
        <v>1296</v>
      </c>
      <c r="D666" s="59" t="s">
        <v>297</v>
      </c>
      <c r="E666" s="7" t="s">
        <v>36</v>
      </c>
      <c r="F666" s="37" t="s">
        <v>434</v>
      </c>
      <c r="G666" s="32">
        <v>80.900000000000006</v>
      </c>
      <c r="H666" s="32">
        <v>83.4</v>
      </c>
      <c r="I666">
        <f>表1_4[[#This Row],[主队2]]-表1_4[[#This Row],[客队2]]</f>
        <v>-2.5</v>
      </c>
      <c r="J66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666" s="35" t="s">
        <v>166</v>
      </c>
      <c r="L66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66" s="11"/>
      <c r="N666" s="10" t="s">
        <v>112</v>
      </c>
      <c r="O666" s="10" t="s">
        <v>24</v>
      </c>
      <c r="P666" s="9">
        <v>3</v>
      </c>
      <c r="Q666" s="11"/>
      <c r="R666" t="s">
        <v>852</v>
      </c>
      <c r="S666"/>
      <c r="T666" s="3"/>
      <c r="U666" s="25"/>
      <c r="V666" s="84" t="s">
        <v>1299</v>
      </c>
      <c r="W666" s="86"/>
      <c r="X666" s="41"/>
      <c r="Y666" s="113"/>
    </row>
    <row r="667" spans="1:25" s="2" customFormat="1">
      <c r="A667" s="58" t="s">
        <v>908</v>
      </c>
      <c r="B667" s="4">
        <v>44113.114583333299</v>
      </c>
      <c r="C667" s="1" t="s">
        <v>1296</v>
      </c>
      <c r="D667" s="59" t="s">
        <v>123</v>
      </c>
      <c r="E667" s="7" t="s">
        <v>42</v>
      </c>
      <c r="F667" s="37" t="s">
        <v>210</v>
      </c>
      <c r="G667" s="32">
        <v>78.400000000000006</v>
      </c>
      <c r="H667" s="32">
        <v>74.8</v>
      </c>
      <c r="I667">
        <f>表1_4[[#This Row],[主队2]]-表1_4[[#This Row],[客队2]]</f>
        <v>3.6000000000000099</v>
      </c>
      <c r="J66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667" s="35" t="s">
        <v>289</v>
      </c>
      <c r="L66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67" s="11"/>
      <c r="N667" s="10" t="s">
        <v>133</v>
      </c>
      <c r="O667" s="10" t="s">
        <v>28</v>
      </c>
      <c r="P667" s="9">
        <v>24</v>
      </c>
      <c r="Q667" s="11"/>
      <c r="R667"/>
      <c r="S667"/>
      <c r="T667" s="3"/>
      <c r="U667" s="246"/>
      <c r="V667" s="94" t="s">
        <v>1300</v>
      </c>
      <c r="W667" s="71"/>
      <c r="X667" s="41"/>
      <c r="Y667" s="113"/>
    </row>
    <row r="668" spans="1:25" s="2" customFormat="1">
      <c r="A668" s="58" t="s">
        <v>908</v>
      </c>
      <c r="B668" s="4">
        <v>44113.114583333299</v>
      </c>
      <c r="C668" s="1" t="s">
        <v>1296</v>
      </c>
      <c r="D668" s="59" t="s">
        <v>255</v>
      </c>
      <c r="E668" s="7" t="s">
        <v>36</v>
      </c>
      <c r="F668" s="37" t="s">
        <v>296</v>
      </c>
      <c r="G668" s="32">
        <v>82.5</v>
      </c>
      <c r="H668" s="32">
        <v>76.599999999999994</v>
      </c>
      <c r="I668">
        <f>表1_4[[#This Row],[主队2]]-表1_4[[#This Row],[客队2]]</f>
        <v>5.9000000000000101</v>
      </c>
      <c r="J66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668" s="35" t="s">
        <v>289</v>
      </c>
      <c r="L66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68" s="11"/>
      <c r="N668" s="10" t="s">
        <v>112</v>
      </c>
      <c r="O668" s="10" t="s">
        <v>24</v>
      </c>
      <c r="P668" s="9">
        <v>18</v>
      </c>
      <c r="Q668" s="11"/>
      <c r="R668" t="s">
        <v>852</v>
      </c>
      <c r="S668"/>
      <c r="T668" s="3"/>
      <c r="U668" s="246"/>
      <c r="V668" s="247" t="s">
        <v>1301</v>
      </c>
      <c r="W668" s="40"/>
      <c r="X668" s="41"/>
      <c r="Y668" s="113"/>
    </row>
    <row r="669" spans="1:25" s="2" customFormat="1">
      <c r="A669" s="58" t="s">
        <v>908</v>
      </c>
      <c r="B669" s="68">
        <v>44113.114583333299</v>
      </c>
      <c r="C669" s="30" t="s">
        <v>1296</v>
      </c>
      <c r="D669" s="59" t="s">
        <v>425</v>
      </c>
      <c r="E669" s="7" t="s">
        <v>42</v>
      </c>
      <c r="F669" s="37" t="s">
        <v>199</v>
      </c>
      <c r="G669" s="32">
        <v>81.099999999999994</v>
      </c>
      <c r="H669" s="32">
        <v>80</v>
      </c>
      <c r="I669">
        <f>表1_4[[#This Row],[主队2]]-表1_4[[#This Row],[客队2]]</f>
        <v>1.0999999999999901</v>
      </c>
      <c r="J66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669" s="35" t="s">
        <v>182</v>
      </c>
      <c r="L66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69" s="63" t="s">
        <v>597</v>
      </c>
      <c r="N669" s="57" t="s">
        <v>404</v>
      </c>
      <c r="O669" s="10" t="s">
        <v>46</v>
      </c>
      <c r="P669" s="9">
        <v>-1</v>
      </c>
      <c r="Q669" s="11"/>
      <c r="R669" t="s">
        <v>852</v>
      </c>
      <c r="S669"/>
      <c r="T669" s="3"/>
      <c r="U669" s="83"/>
      <c r="V669" s="94" t="s">
        <v>1302</v>
      </c>
      <c r="W669" s="71"/>
      <c r="X669" s="41"/>
      <c r="Y669" s="113"/>
    </row>
    <row r="670" spans="1:25" s="2" customFormat="1">
      <c r="A670" s="58" t="s">
        <v>908</v>
      </c>
      <c r="B670" s="4">
        <v>44113.114583333299</v>
      </c>
      <c r="C670" s="1" t="s">
        <v>1296</v>
      </c>
      <c r="D670" s="59" t="s">
        <v>261</v>
      </c>
      <c r="E670" s="7" t="s">
        <v>74</v>
      </c>
      <c r="F670" s="273" t="s">
        <v>271</v>
      </c>
      <c r="G670" s="32">
        <v>73.2</v>
      </c>
      <c r="H670" s="32">
        <v>75.599999999999994</v>
      </c>
      <c r="I670">
        <f>表1_4[[#This Row],[主队2]]-表1_4[[#This Row],[客队2]]</f>
        <v>-2.3999999999999901</v>
      </c>
      <c r="J67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670" s="35" t="s">
        <v>132</v>
      </c>
      <c r="L67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670" s="11"/>
      <c r="N670" s="10" t="s">
        <v>133</v>
      </c>
      <c r="O670" s="10" t="s">
        <v>65</v>
      </c>
      <c r="P670" s="9">
        <v>10</v>
      </c>
      <c r="Q670" s="11"/>
      <c r="R670"/>
      <c r="S670"/>
      <c r="T670" s="3"/>
      <c r="U670" s="83"/>
      <c r="V670" s="83" t="s">
        <v>1303</v>
      </c>
      <c r="W670" s="87"/>
      <c r="X670" s="41"/>
      <c r="Y670" s="113"/>
    </row>
    <row r="671" spans="1:25" s="2" customFormat="1">
      <c r="A671" s="58" t="s">
        <v>908</v>
      </c>
      <c r="B671" s="4">
        <v>44113.114583333299</v>
      </c>
      <c r="C671" s="14" t="s">
        <v>1296</v>
      </c>
      <c r="D671" s="59" t="s">
        <v>218</v>
      </c>
      <c r="E671" s="7" t="s">
        <v>33</v>
      </c>
      <c r="F671" s="37" t="s">
        <v>305</v>
      </c>
      <c r="G671" s="32">
        <v>78.599999999999994</v>
      </c>
      <c r="H671" s="32">
        <v>81.400000000000006</v>
      </c>
      <c r="I671">
        <f>表1_4[[#This Row],[主队2]]-表1_4[[#This Row],[客队2]]</f>
        <v>-2.80000000000001</v>
      </c>
      <c r="J67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671" s="35" t="s">
        <v>182</v>
      </c>
      <c r="L67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71" s="11"/>
      <c r="N671" s="10" t="s">
        <v>119</v>
      </c>
      <c r="O671" s="10" t="s">
        <v>27</v>
      </c>
      <c r="P671" s="9">
        <v>1</v>
      </c>
      <c r="Q671" s="11"/>
      <c r="R671"/>
      <c r="S671"/>
      <c r="T671" s="3"/>
      <c r="U671" s="83"/>
      <c r="V671" s="94" t="s">
        <v>1304</v>
      </c>
      <c r="W671" s="40"/>
      <c r="X671" s="249" t="s">
        <v>830</v>
      </c>
      <c r="Y671" s="274" t="s">
        <v>830</v>
      </c>
    </row>
    <row r="672" spans="1:25" s="2" customFormat="1">
      <c r="A672" s="58" t="s">
        <v>156</v>
      </c>
      <c r="B672" s="4">
        <v>44114.3125</v>
      </c>
      <c r="C672" s="14">
        <v>1</v>
      </c>
      <c r="D672" s="59" t="s">
        <v>158</v>
      </c>
      <c r="E672" s="7" t="s">
        <v>44</v>
      </c>
      <c r="F672" s="71" t="s">
        <v>180</v>
      </c>
      <c r="G672" s="32">
        <v>92.7</v>
      </c>
      <c r="H672" s="32">
        <v>85.2</v>
      </c>
      <c r="I672">
        <f>表1_4[[#This Row],[主队2]]-表1_4[[#This Row],[客队2]]</f>
        <v>7.5</v>
      </c>
      <c r="J67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672" s="35" t="s">
        <v>176</v>
      </c>
      <c r="L67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72" s="11"/>
      <c r="N672" s="10" t="s">
        <v>112</v>
      </c>
      <c r="O672" s="10" t="s">
        <v>143</v>
      </c>
      <c r="P672" s="9">
        <v>1</v>
      </c>
      <c r="Q672" s="11"/>
      <c r="R672"/>
      <c r="S672"/>
      <c r="T672" s="3"/>
      <c r="U672" s="25"/>
      <c r="V672" s="84" t="s">
        <v>1305</v>
      </c>
      <c r="W672" s="86"/>
      <c r="X672" s="41"/>
      <c r="Y672" s="113"/>
    </row>
    <row r="673" spans="1:25" s="2" customFormat="1">
      <c r="A673" s="58" t="s">
        <v>1306</v>
      </c>
      <c r="B673" s="4">
        <v>44114.354166666701</v>
      </c>
      <c r="C673" s="14">
        <v>1</v>
      </c>
      <c r="D673" s="59" t="s">
        <v>171</v>
      </c>
      <c r="E673" s="7" t="s">
        <v>57</v>
      </c>
      <c r="F673" s="37" t="s">
        <v>159</v>
      </c>
      <c r="G673" s="32">
        <v>99.6</v>
      </c>
      <c r="H673" s="32">
        <v>73.400000000000006</v>
      </c>
      <c r="I673">
        <f>表1_4[[#This Row],[主队2]]-表1_4[[#This Row],[客队2]]</f>
        <v>26.2</v>
      </c>
      <c r="J673" s="34">
        <v>2.75</v>
      </c>
      <c r="K673" s="35" t="s">
        <v>30</v>
      </c>
      <c r="L67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73" s="11"/>
      <c r="N673" s="46" t="s">
        <v>895</v>
      </c>
      <c r="O673" s="10" t="s">
        <v>40</v>
      </c>
      <c r="P673" s="9"/>
      <c r="Q673" s="11"/>
      <c r="R673"/>
      <c r="S673"/>
      <c r="T673" s="3"/>
      <c r="U673" s="25" t="s">
        <v>1307</v>
      </c>
      <c r="V673" s="84" t="s">
        <v>1308</v>
      </c>
      <c r="W673" s="86"/>
      <c r="X673" s="41"/>
      <c r="Y673" s="113"/>
    </row>
    <row r="674" spans="1:25" s="2" customFormat="1">
      <c r="A674" s="58" t="s">
        <v>1306</v>
      </c>
      <c r="B674" s="4">
        <v>44113.270833333299</v>
      </c>
      <c r="C674" s="264">
        <v>1</v>
      </c>
      <c r="D674" s="59" t="s">
        <v>164</v>
      </c>
      <c r="E674" s="7" t="s">
        <v>25</v>
      </c>
      <c r="F674" s="37" t="s">
        <v>181</v>
      </c>
      <c r="G674" s="32">
        <v>83.9</v>
      </c>
      <c r="H674" s="32">
        <v>85.8</v>
      </c>
      <c r="I674">
        <f>表1_4[[#This Row],[主队2]]-表1_4[[#This Row],[客队2]]</f>
        <v>-1.8999999999999899</v>
      </c>
      <c r="J67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674" s="35" t="s">
        <v>182</v>
      </c>
      <c r="L67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74" s="11"/>
      <c r="N674" s="10" t="s">
        <v>119</v>
      </c>
      <c r="O674" s="57" t="s">
        <v>28</v>
      </c>
      <c r="P674" s="9">
        <v>-3</v>
      </c>
      <c r="Q674" s="11"/>
      <c r="R674"/>
      <c r="S674"/>
      <c r="T674" s="3"/>
      <c r="U674" s="25"/>
      <c r="V674" s="24" t="s">
        <v>1309</v>
      </c>
      <c r="W674" s="244"/>
      <c r="X674" s="41"/>
      <c r="Y674" s="113"/>
    </row>
    <row r="675" spans="1:25" s="2" customFormat="1">
      <c r="A675" s="58" t="s">
        <v>1306</v>
      </c>
      <c r="B675" s="4">
        <v>44113.28125</v>
      </c>
      <c r="C675" s="5">
        <v>1</v>
      </c>
      <c r="D675" s="59" t="s">
        <v>170</v>
      </c>
      <c r="E675" s="7" t="s">
        <v>33</v>
      </c>
      <c r="F675" s="37" t="s">
        <v>175</v>
      </c>
      <c r="G675" s="32">
        <v>92.2</v>
      </c>
      <c r="H675" s="32">
        <v>86.5</v>
      </c>
      <c r="I675">
        <f>表1_4[[#This Row],[主队2]]-表1_4[[#This Row],[客队2]]</f>
        <v>5.7</v>
      </c>
      <c r="J67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675" s="35" t="s">
        <v>118</v>
      </c>
      <c r="L67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75" s="11"/>
      <c r="N675" s="10" t="s">
        <v>119</v>
      </c>
      <c r="O675" s="10" t="s">
        <v>35</v>
      </c>
      <c r="P675" s="9">
        <v>20</v>
      </c>
      <c r="Q675" s="11"/>
      <c r="R675" t="s">
        <v>852</v>
      </c>
      <c r="S675"/>
      <c r="T675" s="3"/>
      <c r="U675" s="83" t="s">
        <v>791</v>
      </c>
      <c r="V675" s="94" t="s">
        <v>1310</v>
      </c>
      <c r="W675" s="40"/>
      <c r="X675" s="41"/>
      <c r="Y675" s="113"/>
    </row>
    <row r="676" spans="1:25" s="2" customFormat="1">
      <c r="A676" s="58" t="s">
        <v>1306</v>
      </c>
      <c r="B676" s="4">
        <v>44113.354166666701</v>
      </c>
      <c r="C676" s="14">
        <v>1</v>
      </c>
      <c r="D676" s="59" t="s">
        <v>174</v>
      </c>
      <c r="E676" s="7" t="s">
        <v>31</v>
      </c>
      <c r="F676" s="37" t="s">
        <v>165</v>
      </c>
      <c r="G676" s="32">
        <v>94.5</v>
      </c>
      <c r="H676" s="32">
        <v>82.6</v>
      </c>
      <c r="I676">
        <f>表1_4[[#This Row],[主队2]]-表1_4[[#This Row],[客队2]]</f>
        <v>11.9</v>
      </c>
      <c r="J67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676" s="35" t="s">
        <v>81</v>
      </c>
      <c r="L67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76" s="11"/>
      <c r="N676" s="10" t="s">
        <v>119</v>
      </c>
      <c r="O676" s="46" t="s">
        <v>40</v>
      </c>
      <c r="P676" s="9">
        <v>-1</v>
      </c>
      <c r="Q676" s="11"/>
      <c r="R676" t="s">
        <v>855</v>
      </c>
      <c r="S676"/>
      <c r="T676" s="3"/>
      <c r="U676" s="246" t="s">
        <v>1311</v>
      </c>
      <c r="V676" s="246" t="s">
        <v>1312</v>
      </c>
      <c r="W676" s="24"/>
      <c r="X676" s="13"/>
      <c r="Y676" s="113"/>
    </row>
    <row r="677" spans="1:25" s="3" customFormat="1">
      <c r="A677" s="58" t="s">
        <v>948</v>
      </c>
      <c r="B677" s="4">
        <v>44114.875</v>
      </c>
      <c r="C677" s="26">
        <v>3</v>
      </c>
      <c r="D677" s="59" t="s">
        <v>266</v>
      </c>
      <c r="E677" s="7" t="s">
        <v>22</v>
      </c>
      <c r="F677" s="37" t="s">
        <v>407</v>
      </c>
      <c r="G677" s="32">
        <v>61.5</v>
      </c>
      <c r="H677" s="32">
        <v>64.099999999999994</v>
      </c>
      <c r="I677">
        <f>表1_4[[#This Row],[主队2]]-表1_4[[#This Row],[客队2]]</f>
        <v>-2.5999999999999899</v>
      </c>
      <c r="J67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677" s="35" t="s">
        <v>182</v>
      </c>
      <c r="L67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77" s="11"/>
      <c r="N677" s="10" t="s">
        <v>112</v>
      </c>
      <c r="O677" s="10" t="s">
        <v>48</v>
      </c>
      <c r="P677" s="9" t="s">
        <v>161</v>
      </c>
      <c r="Q677" s="11"/>
      <c r="R677"/>
      <c r="S677"/>
      <c r="U677" s="83"/>
      <c r="V677" s="85" t="s">
        <v>1313</v>
      </c>
      <c r="W677" s="40"/>
      <c r="X677" s="41"/>
      <c r="Y677" s="13"/>
    </row>
    <row r="678" spans="1:25" s="3" customFormat="1">
      <c r="A678" s="58" t="s">
        <v>948</v>
      </c>
      <c r="B678" s="4">
        <v>44114.875</v>
      </c>
      <c r="C678" s="2">
        <v>3</v>
      </c>
      <c r="D678" s="59" t="s">
        <v>301</v>
      </c>
      <c r="E678" s="7" t="s">
        <v>22</v>
      </c>
      <c r="F678" s="37" t="s">
        <v>278</v>
      </c>
      <c r="G678" s="32">
        <v>73.2</v>
      </c>
      <c r="H678" s="32">
        <v>64.7</v>
      </c>
      <c r="I678">
        <f>表1_4[[#This Row],[主队2]]-表1_4[[#This Row],[客队2]]</f>
        <v>8.5</v>
      </c>
      <c r="J67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678" s="35" t="s">
        <v>125</v>
      </c>
      <c r="L67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78" s="11"/>
      <c r="N678" s="10" t="s">
        <v>1139</v>
      </c>
      <c r="O678" s="10" t="s">
        <v>24</v>
      </c>
      <c r="P678" s="9" t="s">
        <v>161</v>
      </c>
      <c r="Q678" s="11"/>
      <c r="R678"/>
      <c r="S678"/>
      <c r="U678" s="83"/>
      <c r="V678" s="85" t="s">
        <v>1314</v>
      </c>
      <c r="W678" s="87"/>
      <c r="X678" s="41"/>
      <c r="Y678" s="13"/>
    </row>
    <row r="679" spans="1:25" s="3" customFormat="1">
      <c r="A679" s="58" t="s">
        <v>948</v>
      </c>
      <c r="B679" s="4">
        <v>44115</v>
      </c>
      <c r="C679" s="2">
        <v>3</v>
      </c>
      <c r="D679" s="59" t="s">
        <v>244</v>
      </c>
      <c r="E679" s="7" t="s">
        <v>36</v>
      </c>
      <c r="F679" s="37" t="s">
        <v>251</v>
      </c>
      <c r="G679" s="32">
        <v>56.6</v>
      </c>
      <c r="H679" s="32">
        <v>61.9</v>
      </c>
      <c r="I679">
        <f>表1_4[[#This Row],[主队2]]-表1_4[[#This Row],[客队2]]</f>
        <v>-5.3</v>
      </c>
      <c r="J67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679" s="35" t="s">
        <v>166</v>
      </c>
      <c r="L67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79" s="11"/>
      <c r="N679" s="10" t="s">
        <v>112</v>
      </c>
      <c r="O679" s="10" t="s">
        <v>65</v>
      </c>
      <c r="P679" s="9" t="s">
        <v>161</v>
      </c>
      <c r="Q679" s="11"/>
      <c r="R679" t="s">
        <v>852</v>
      </c>
      <c r="S679"/>
      <c r="U679" s="83"/>
      <c r="V679" s="85" t="s">
        <v>1315</v>
      </c>
      <c r="W679" s="87"/>
      <c r="X679" s="41"/>
      <c r="Y679" s="13"/>
    </row>
    <row r="680" spans="1:25" s="3" customFormat="1">
      <c r="A680" s="58" t="s">
        <v>948</v>
      </c>
      <c r="B680" s="4">
        <v>44115</v>
      </c>
      <c r="C680" s="7">
        <v>3</v>
      </c>
      <c r="D680" s="59" t="s">
        <v>437</v>
      </c>
      <c r="E680" s="7" t="s">
        <v>53</v>
      </c>
      <c r="F680" s="37" t="s">
        <v>256</v>
      </c>
      <c r="G680" s="32">
        <v>49.3</v>
      </c>
      <c r="H680" s="32">
        <v>39.200000000000003</v>
      </c>
      <c r="I680">
        <f>表1_4[[#This Row],[主队2]]-表1_4[[#This Row],[客队2]]</f>
        <v>10.1</v>
      </c>
      <c r="J68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680" s="35" t="s">
        <v>118</v>
      </c>
      <c r="L68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80" s="11"/>
      <c r="N680" s="10" t="s">
        <v>119</v>
      </c>
      <c r="O680" s="10" t="s">
        <v>24</v>
      </c>
      <c r="P680" s="9" t="s">
        <v>161</v>
      </c>
      <c r="Q680" s="11"/>
      <c r="R680" t="s">
        <v>855</v>
      </c>
      <c r="S680"/>
      <c r="U680" s="83"/>
      <c r="V680" s="251" t="s">
        <v>1316</v>
      </c>
      <c r="W680" s="244"/>
      <c r="X680" s="41"/>
      <c r="Y680" s="13"/>
    </row>
    <row r="681" spans="1:25" s="3" customFormat="1">
      <c r="A681" s="58" t="s">
        <v>948</v>
      </c>
      <c r="B681" s="4">
        <v>44115.114583333299</v>
      </c>
      <c r="C681" s="26">
        <v>3</v>
      </c>
      <c r="D681" s="59" t="s">
        <v>209</v>
      </c>
      <c r="E681" s="7" t="s">
        <v>31</v>
      </c>
      <c r="F681" s="37" t="s">
        <v>250</v>
      </c>
      <c r="G681" s="32">
        <v>99.5</v>
      </c>
      <c r="H681" s="32">
        <v>87.3</v>
      </c>
      <c r="I681">
        <f>表1_4[[#This Row],[主队2]]-表1_4[[#This Row],[客队2]]</f>
        <v>12.2</v>
      </c>
      <c r="J68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681" s="35" t="s">
        <v>125</v>
      </c>
      <c r="L68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81" s="11"/>
      <c r="N681" s="10" t="s">
        <v>119</v>
      </c>
      <c r="O681" s="10" t="s">
        <v>35</v>
      </c>
      <c r="P681" s="9">
        <v>1</v>
      </c>
      <c r="Q681" s="11"/>
      <c r="R681" t="s">
        <v>852</v>
      </c>
      <c r="S681"/>
      <c r="U681" s="246" t="s">
        <v>791</v>
      </c>
      <c r="V681" s="247" t="s">
        <v>1317</v>
      </c>
      <c r="W681" s="86"/>
      <c r="X681" s="41"/>
      <c r="Y681" s="13"/>
    </row>
    <row r="682" spans="1:25" s="3" customFormat="1">
      <c r="A682" s="58" t="s">
        <v>948</v>
      </c>
      <c r="B682" s="4">
        <v>44115.114583333299</v>
      </c>
      <c r="C682" s="26">
        <v>3</v>
      </c>
      <c r="D682" s="59" t="s">
        <v>214</v>
      </c>
      <c r="E682" s="7" t="s">
        <v>60</v>
      </c>
      <c r="F682" s="37" t="s">
        <v>116</v>
      </c>
      <c r="G682" s="32">
        <v>83.2</v>
      </c>
      <c r="H682" s="32">
        <v>96.9</v>
      </c>
      <c r="I682">
        <f>表1_4[[#This Row],[主队2]]-表1_4[[#This Row],[客队2]]</f>
        <v>-13.7</v>
      </c>
      <c r="J68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682" s="35" t="s">
        <v>219</v>
      </c>
      <c r="L68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82" s="11"/>
      <c r="N682" s="46" t="s">
        <v>160</v>
      </c>
      <c r="O682" s="10" t="s">
        <v>35</v>
      </c>
      <c r="P682" s="9">
        <v>-17</v>
      </c>
      <c r="Q682" s="11"/>
      <c r="R682"/>
      <c r="S682"/>
      <c r="U682" s="25" t="s">
        <v>396</v>
      </c>
      <c r="V682" s="84" t="s">
        <v>1318</v>
      </c>
      <c r="W682" s="87"/>
      <c r="X682" s="41"/>
      <c r="Y682" s="13"/>
    </row>
    <row r="683" spans="1:25" s="3" customFormat="1" ht="28.9">
      <c r="A683" s="58" t="s">
        <v>948</v>
      </c>
      <c r="B683" s="4">
        <v>44115.114583333299</v>
      </c>
      <c r="C683" s="7">
        <v>3</v>
      </c>
      <c r="D683" s="59" t="s">
        <v>243</v>
      </c>
      <c r="E683" s="7" t="s">
        <v>42</v>
      </c>
      <c r="F683" s="37" t="s">
        <v>929</v>
      </c>
      <c r="G683" s="32">
        <v>48.2</v>
      </c>
      <c r="H683" s="32">
        <v>55.1</v>
      </c>
      <c r="I683">
        <f>表1_4[[#This Row],[主队2]]-表1_4[[#This Row],[客队2]]</f>
        <v>-6.9</v>
      </c>
      <c r="J68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683" s="35" t="s">
        <v>166</v>
      </c>
      <c r="L68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83" s="11"/>
      <c r="N683" s="10" t="s">
        <v>112</v>
      </c>
      <c r="O683" s="114" t="s">
        <v>48</v>
      </c>
      <c r="P683" s="9"/>
      <c r="Q683" s="11"/>
      <c r="R683"/>
      <c r="S683"/>
      <c r="U683" s="25"/>
      <c r="V683" s="24" t="s">
        <v>1319</v>
      </c>
      <c r="W683" s="86"/>
      <c r="X683" s="41"/>
      <c r="Y683" s="13"/>
    </row>
    <row r="684" spans="1:25" s="3" customFormat="1">
      <c r="A684" s="58" t="s">
        <v>948</v>
      </c>
      <c r="B684" s="4">
        <v>44115.875</v>
      </c>
      <c r="C684" s="115">
        <v>3</v>
      </c>
      <c r="D684" s="59" t="s">
        <v>288</v>
      </c>
      <c r="E684" s="7" t="s">
        <v>42</v>
      </c>
      <c r="F684" s="37" t="s">
        <v>205</v>
      </c>
      <c r="G684" s="32">
        <v>65.900000000000006</v>
      </c>
      <c r="H684" s="32">
        <v>72.3</v>
      </c>
      <c r="I684">
        <f>表1_4[[#This Row],[主队2]]-表1_4[[#This Row],[客队2]]</f>
        <v>-6.3999999999999897</v>
      </c>
      <c r="J68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684" s="35" t="s">
        <v>152</v>
      </c>
      <c r="L68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84" s="11"/>
      <c r="N684" s="10" t="s">
        <v>119</v>
      </c>
      <c r="O684" s="10" t="s">
        <v>24</v>
      </c>
      <c r="P684" s="9" t="s">
        <v>161</v>
      </c>
      <c r="Q684" s="11"/>
      <c r="R684"/>
      <c r="S684"/>
      <c r="U684" s="83"/>
      <c r="V684" s="85" t="s">
        <v>1320</v>
      </c>
      <c r="W684" s="86"/>
      <c r="X684" s="41"/>
      <c r="Y684" s="13"/>
    </row>
    <row r="685" spans="1:25" s="3" customFormat="1">
      <c r="A685" s="58" t="s">
        <v>948</v>
      </c>
      <c r="B685" s="4">
        <v>44115.875</v>
      </c>
      <c r="C685" s="7">
        <v>3</v>
      </c>
      <c r="D685" s="59" t="s">
        <v>199</v>
      </c>
      <c r="E685" s="7" t="s">
        <v>42</v>
      </c>
      <c r="F685" s="37" t="s">
        <v>200</v>
      </c>
      <c r="G685" s="32">
        <v>80.3</v>
      </c>
      <c r="H685" s="32">
        <v>81.400000000000006</v>
      </c>
      <c r="I685">
        <f>表1_4[[#This Row],[主队2]]-表1_4[[#This Row],[客队2]]</f>
        <v>-1.1000000000000101</v>
      </c>
      <c r="J68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685" s="35" t="s">
        <v>166</v>
      </c>
      <c r="L68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85" s="11"/>
      <c r="N685" s="10" t="s">
        <v>119</v>
      </c>
      <c r="O685" s="10" t="s">
        <v>27</v>
      </c>
      <c r="P685" s="9">
        <v>-10</v>
      </c>
      <c r="Q685" s="11"/>
      <c r="R685" t="s">
        <v>852</v>
      </c>
      <c r="S685"/>
      <c r="U685" s="246"/>
      <c r="V685" s="247" t="s">
        <v>1321</v>
      </c>
      <c r="W685" s="86"/>
      <c r="X685" s="41"/>
      <c r="Y685" s="13"/>
    </row>
    <row r="686" spans="1:25" s="3" customFormat="1">
      <c r="A686" s="58" t="s">
        <v>948</v>
      </c>
      <c r="B686" s="4">
        <v>44116</v>
      </c>
      <c r="C686" s="7">
        <v>3</v>
      </c>
      <c r="D686" s="59" t="s">
        <v>191</v>
      </c>
      <c r="E686" s="7" t="s">
        <v>22</v>
      </c>
      <c r="F686" s="37" t="s">
        <v>261</v>
      </c>
      <c r="G686" s="32">
        <v>76.5</v>
      </c>
      <c r="H686" s="32">
        <v>72.5</v>
      </c>
      <c r="I686">
        <f>表1_4[[#This Row],[主队2]]-表1_4[[#This Row],[客队2]]</f>
        <v>4</v>
      </c>
      <c r="J68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686" s="35" t="s">
        <v>289</v>
      </c>
      <c r="L68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86" s="11"/>
      <c r="N686" s="10" t="s">
        <v>112</v>
      </c>
      <c r="O686" s="10" t="s">
        <v>24</v>
      </c>
      <c r="P686" s="9" t="s">
        <v>161</v>
      </c>
      <c r="Q686" s="11"/>
      <c r="R686" t="s">
        <v>852</v>
      </c>
      <c r="S686"/>
      <c r="U686" s="25"/>
      <c r="V686" s="24" t="s">
        <v>1322</v>
      </c>
      <c r="W686" s="40"/>
      <c r="X686" s="41"/>
      <c r="Y686" s="13"/>
    </row>
    <row r="687" spans="1:25" s="3" customFormat="1">
      <c r="A687" s="58" t="s">
        <v>948</v>
      </c>
      <c r="B687" s="4">
        <v>44116</v>
      </c>
      <c r="C687" s="7">
        <v>3</v>
      </c>
      <c r="D687" s="59" t="s">
        <v>117</v>
      </c>
      <c r="E687" s="7" t="s">
        <v>33</v>
      </c>
      <c r="F687" s="37" t="s">
        <v>274</v>
      </c>
      <c r="G687" s="32">
        <v>95.7</v>
      </c>
      <c r="H687" s="32">
        <v>97</v>
      </c>
      <c r="I687">
        <f>表1_4[[#This Row],[主队2]]-表1_4[[#This Row],[客队2]]</f>
        <v>-1.3</v>
      </c>
      <c r="J68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687" s="35" t="s">
        <v>166</v>
      </c>
      <c r="L68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87" s="11"/>
      <c r="N687" s="10" t="s">
        <v>112</v>
      </c>
      <c r="O687" s="10" t="s">
        <v>48</v>
      </c>
      <c r="P687" s="9">
        <v>-6</v>
      </c>
      <c r="Q687" s="11"/>
      <c r="R687" t="s">
        <v>852</v>
      </c>
      <c r="S687"/>
      <c r="U687" s="246"/>
      <c r="V687" s="247" t="s">
        <v>1323</v>
      </c>
      <c r="W687" s="86"/>
      <c r="X687" s="41"/>
      <c r="Y687" s="13"/>
    </row>
    <row r="688" spans="1:25" s="3" customFormat="1">
      <c r="A688" s="58" t="s">
        <v>948</v>
      </c>
      <c r="B688" s="4">
        <v>44116</v>
      </c>
      <c r="C688" s="7">
        <v>3</v>
      </c>
      <c r="D688" s="59" t="s">
        <v>297</v>
      </c>
      <c r="E688" s="7" t="s">
        <v>37</v>
      </c>
      <c r="F688" s="37" t="s">
        <v>305</v>
      </c>
      <c r="G688" s="32">
        <v>80.599999999999994</v>
      </c>
      <c r="H688" s="32">
        <v>81</v>
      </c>
      <c r="I688">
        <f>表1_4[[#This Row],[主队2]]-表1_4[[#This Row],[客队2]]</f>
        <v>-0.40000000000000602</v>
      </c>
      <c r="J68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688" s="35" t="s">
        <v>289</v>
      </c>
      <c r="L68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88" s="11"/>
      <c r="N688" s="10" t="s">
        <v>112</v>
      </c>
      <c r="O688" s="10" t="s">
        <v>46</v>
      </c>
      <c r="P688" s="9">
        <v>6</v>
      </c>
      <c r="Q688" s="11"/>
      <c r="R688"/>
      <c r="S688"/>
      <c r="U688" s="83"/>
      <c r="V688" s="247" t="s">
        <v>1324</v>
      </c>
      <c r="W688" s="25"/>
      <c r="X688" s="135"/>
      <c r="Y688" s="13"/>
    </row>
    <row r="689" spans="1:25" s="3" customFormat="1">
      <c r="A689" s="58" t="s">
        <v>948</v>
      </c>
      <c r="B689" s="4">
        <v>44116</v>
      </c>
      <c r="C689" s="26">
        <v>3</v>
      </c>
      <c r="D689" s="59" t="s">
        <v>255</v>
      </c>
      <c r="E689" s="7" t="s">
        <v>42</v>
      </c>
      <c r="F689" s="37" t="s">
        <v>262</v>
      </c>
      <c r="G689" s="32">
        <v>82</v>
      </c>
      <c r="H689" s="32">
        <v>91.3</v>
      </c>
      <c r="I689">
        <f>表1_4[[#This Row],[主队2]]-表1_4[[#This Row],[客队2]]</f>
        <v>-9.3000000000000007</v>
      </c>
      <c r="J68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689" s="35" t="s">
        <v>245</v>
      </c>
      <c r="L68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89" s="63" t="s">
        <v>455</v>
      </c>
      <c r="N689" s="10" t="s">
        <v>119</v>
      </c>
      <c r="O689" s="10" t="s">
        <v>51</v>
      </c>
      <c r="P689" s="9"/>
      <c r="Q689" s="11"/>
      <c r="R689" t="s">
        <v>855</v>
      </c>
      <c r="S689"/>
      <c r="U689" s="83"/>
      <c r="V689" s="247" t="s">
        <v>1325</v>
      </c>
      <c r="W689" s="84"/>
      <c r="X689" s="13"/>
      <c r="Y689" s="13"/>
    </row>
    <row r="690" spans="1:25" s="3" customFormat="1">
      <c r="A690" s="58" t="s">
        <v>948</v>
      </c>
      <c r="B690" s="4">
        <v>44116</v>
      </c>
      <c r="C690" s="7">
        <v>3</v>
      </c>
      <c r="D690" s="59" t="s">
        <v>110</v>
      </c>
      <c r="E690" s="7" t="s">
        <v>33</v>
      </c>
      <c r="F690" s="37" t="s">
        <v>239</v>
      </c>
      <c r="G690" s="32">
        <v>87.5</v>
      </c>
      <c r="H690" s="32">
        <v>86.9</v>
      </c>
      <c r="I690">
        <f>表1_4[[#This Row],[主队2]]-表1_4[[#This Row],[客队2]]</f>
        <v>0.59999999999999398</v>
      </c>
      <c r="J69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690" s="35" t="s">
        <v>289</v>
      </c>
      <c r="L69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690" s="11"/>
      <c r="N690" s="10" t="s">
        <v>119</v>
      </c>
      <c r="O690" s="10" t="s">
        <v>48</v>
      </c>
      <c r="P690" s="9">
        <v>14</v>
      </c>
      <c r="Q690" s="11"/>
      <c r="R690"/>
      <c r="S690"/>
      <c r="U690" s="246"/>
      <c r="V690" s="247" t="s">
        <v>1326</v>
      </c>
      <c r="W690" s="244"/>
      <c r="X690" s="41"/>
      <c r="Y690" s="13"/>
    </row>
    <row r="691" spans="1:25" s="3" customFormat="1">
      <c r="A691" s="58" t="s">
        <v>948</v>
      </c>
      <c r="B691" s="4">
        <v>44116</v>
      </c>
      <c r="C691" s="7">
        <v>3</v>
      </c>
      <c r="D691" s="59" t="s">
        <v>292</v>
      </c>
      <c r="E691" s="7" t="s">
        <v>25</v>
      </c>
      <c r="F691" s="37" t="s">
        <v>240</v>
      </c>
      <c r="G691" s="32">
        <v>63.1</v>
      </c>
      <c r="H691" s="32">
        <v>72</v>
      </c>
      <c r="I691">
        <f>表1_4[[#This Row],[主队2]]-表1_4[[#This Row],[客队2]]</f>
        <v>-8.9</v>
      </c>
      <c r="J69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691" s="35" t="s">
        <v>152</v>
      </c>
      <c r="L69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91" s="11"/>
      <c r="N691" s="10" t="s">
        <v>119</v>
      </c>
      <c r="O691" s="10" t="s">
        <v>35</v>
      </c>
      <c r="P691" s="9"/>
      <c r="Q691" s="11"/>
      <c r="R691" t="s">
        <v>852</v>
      </c>
      <c r="S691"/>
      <c r="U691" s="246" t="s">
        <v>1327</v>
      </c>
      <c r="V691" s="247" t="s">
        <v>1328</v>
      </c>
      <c r="W691" s="86"/>
      <c r="X691" s="41"/>
      <c r="Y691" s="13"/>
    </row>
    <row r="692" spans="1:25" s="3" customFormat="1">
      <c r="A692" s="58" t="s">
        <v>948</v>
      </c>
      <c r="B692" s="4">
        <v>44116</v>
      </c>
      <c r="C692" s="7">
        <v>3</v>
      </c>
      <c r="D692" s="59" t="s">
        <v>287</v>
      </c>
      <c r="E692" s="7" t="s">
        <v>25</v>
      </c>
      <c r="F692" s="37" t="s">
        <v>430</v>
      </c>
      <c r="G692" s="32">
        <v>68.3</v>
      </c>
      <c r="H692" s="32">
        <v>73.099999999999994</v>
      </c>
      <c r="I692">
        <f>表1_4[[#This Row],[主队2]]-表1_4[[#This Row],[客队2]]</f>
        <v>-4.8</v>
      </c>
      <c r="J69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692" s="35" t="s">
        <v>166</v>
      </c>
      <c r="L69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92" s="11"/>
      <c r="N692" s="10" t="s">
        <v>112</v>
      </c>
      <c r="O692" s="10" t="s">
        <v>65</v>
      </c>
      <c r="P692" s="9"/>
      <c r="Q692" s="11"/>
      <c r="R692"/>
      <c r="S692"/>
      <c r="U692" s="246"/>
      <c r="V692" s="25" t="s">
        <v>1329</v>
      </c>
      <c r="W692" s="86"/>
      <c r="X692" s="41"/>
      <c r="Y692" s="13"/>
    </row>
    <row r="693" spans="1:25">
      <c r="A693" s="58" t="s">
        <v>948</v>
      </c>
      <c r="B693" s="4">
        <v>44116</v>
      </c>
      <c r="C693" s="115">
        <v>3</v>
      </c>
      <c r="D693" s="70" t="s">
        <v>403</v>
      </c>
      <c r="E693" s="7" t="s">
        <v>66</v>
      </c>
      <c r="F693" s="37" t="s">
        <v>572</v>
      </c>
      <c r="G693" s="32">
        <v>64.8</v>
      </c>
      <c r="H693" s="32">
        <v>73.7</v>
      </c>
      <c r="I693">
        <f>表1_4[[#This Row],[主队2]]-表1_4[[#This Row],[客队2]]</f>
        <v>-8.9000000000000092</v>
      </c>
      <c r="J69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693" s="35" t="s">
        <v>111</v>
      </c>
      <c r="L69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93" s="11"/>
      <c r="N693" s="10" t="s">
        <v>119</v>
      </c>
      <c r="O693" s="10" t="s">
        <v>35</v>
      </c>
      <c r="T693" s="3"/>
      <c r="U693" s="83" t="s">
        <v>1330</v>
      </c>
      <c r="V693" s="247" t="s">
        <v>1331</v>
      </c>
      <c r="W693" s="86"/>
      <c r="X693" s="41"/>
    </row>
    <row r="694" spans="1:25">
      <c r="A694" s="58" t="s">
        <v>948</v>
      </c>
      <c r="B694" s="4">
        <v>44116.114583333299</v>
      </c>
      <c r="C694" s="26">
        <v>3</v>
      </c>
      <c r="D694" s="59" t="s">
        <v>275</v>
      </c>
      <c r="E694" s="7" t="s">
        <v>22</v>
      </c>
      <c r="F694" s="37" t="s">
        <v>195</v>
      </c>
      <c r="G694" s="32">
        <v>78.8</v>
      </c>
      <c r="H694" s="32">
        <v>61.3</v>
      </c>
      <c r="I694">
        <f>表1_4[[#This Row],[主队2]]-表1_4[[#This Row],[客队2]]</f>
        <v>17.5</v>
      </c>
      <c r="J69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694" s="35" t="s">
        <v>81</v>
      </c>
      <c r="L69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94" s="11"/>
      <c r="N694" s="10" t="s">
        <v>119</v>
      </c>
      <c r="O694" s="10" t="s">
        <v>40</v>
      </c>
      <c r="R694" t="s">
        <v>852</v>
      </c>
      <c r="T694" s="3"/>
      <c r="U694" s="246" t="s">
        <v>1332</v>
      </c>
      <c r="V694" s="247" t="s">
        <v>1333</v>
      </c>
      <c r="W694" s="86"/>
      <c r="X694" s="41"/>
    </row>
    <row r="695" spans="1:25">
      <c r="A695" s="58" t="s">
        <v>948</v>
      </c>
      <c r="B695" s="4">
        <v>44116.114583333299</v>
      </c>
      <c r="C695" s="7">
        <v>3</v>
      </c>
      <c r="D695" s="59" t="s">
        <v>217</v>
      </c>
      <c r="E695" s="7" t="s">
        <v>53</v>
      </c>
      <c r="F695" s="37" t="s">
        <v>309</v>
      </c>
      <c r="G695" s="32">
        <v>68</v>
      </c>
      <c r="H695" s="32">
        <v>76.7</v>
      </c>
      <c r="I695">
        <f>表1_4[[#This Row],[主队2]]-表1_4[[#This Row],[客队2]]</f>
        <v>-8.6999999999999993</v>
      </c>
      <c r="J69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695" s="35" t="s">
        <v>152</v>
      </c>
      <c r="L69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95" s="11"/>
      <c r="N695" s="10" t="s">
        <v>133</v>
      </c>
      <c r="O695" s="10" t="s">
        <v>24</v>
      </c>
      <c r="P695" s="9" t="s">
        <v>161</v>
      </c>
      <c r="R695" t="s">
        <v>855</v>
      </c>
      <c r="T695" s="3"/>
      <c r="U695" s="246"/>
      <c r="V695" s="254" t="s">
        <v>1334</v>
      </c>
      <c r="W695" s="86"/>
      <c r="X695" s="41"/>
    </row>
    <row r="696" spans="1:25">
      <c r="A696" s="58" t="s">
        <v>948</v>
      </c>
      <c r="B696" s="4">
        <v>44116.114583333299</v>
      </c>
      <c r="C696" s="115">
        <v>3</v>
      </c>
      <c r="D696" s="59" t="s">
        <v>353</v>
      </c>
      <c r="E696" s="7" t="s">
        <v>36</v>
      </c>
      <c r="F696" s="37" t="s">
        <v>190</v>
      </c>
      <c r="G696" s="32">
        <v>85.7</v>
      </c>
      <c r="H696" s="32">
        <v>82.7</v>
      </c>
      <c r="I696">
        <f>表1_4[[#This Row],[主队2]]-表1_4[[#This Row],[客队2]]</f>
        <v>3</v>
      </c>
      <c r="J69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696" s="35" t="s">
        <v>289</v>
      </c>
      <c r="L69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696" s="11"/>
      <c r="N696" s="10" t="s">
        <v>119</v>
      </c>
      <c r="O696" s="10" t="s">
        <v>28</v>
      </c>
      <c r="P696" s="9">
        <v>19</v>
      </c>
      <c r="T696" s="3"/>
      <c r="U696" s="83"/>
      <c r="V696" s="83" t="s">
        <v>1335</v>
      </c>
      <c r="W696" s="86"/>
      <c r="X696" s="41"/>
    </row>
    <row r="697" spans="1:25">
      <c r="A697" s="58" t="s">
        <v>948</v>
      </c>
      <c r="B697" s="4">
        <v>44116.114583333299</v>
      </c>
      <c r="C697" s="7">
        <v>3</v>
      </c>
      <c r="D697" s="59" t="s">
        <v>434</v>
      </c>
      <c r="E697" s="7" t="s">
        <v>53</v>
      </c>
      <c r="F697" s="273" t="s">
        <v>271</v>
      </c>
      <c r="G697" s="32">
        <v>83.6</v>
      </c>
      <c r="H697" s="32">
        <v>76.3</v>
      </c>
      <c r="I697">
        <f>表1_4[[#This Row],[主队2]]-表1_4[[#This Row],[客队2]]</f>
        <v>7.3</v>
      </c>
      <c r="J69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697" s="35" t="s">
        <v>289</v>
      </c>
      <c r="L69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697" s="63" t="s">
        <v>826</v>
      </c>
      <c r="N697" s="46" t="s">
        <v>160</v>
      </c>
      <c r="O697" s="10" t="s">
        <v>35</v>
      </c>
      <c r="P697" s="9">
        <v>13</v>
      </c>
      <c r="R697" t="s">
        <v>852</v>
      </c>
      <c r="T697" s="3"/>
      <c r="U697" s="25" t="s">
        <v>931</v>
      </c>
      <c r="V697" s="25" t="s">
        <v>1336</v>
      </c>
      <c r="W697" s="84"/>
    </row>
    <row r="698" spans="1:25">
      <c r="A698" s="58" t="s">
        <v>948</v>
      </c>
      <c r="B698" s="4">
        <v>44116.114583333299</v>
      </c>
      <c r="C698" s="115">
        <v>3</v>
      </c>
      <c r="D698" s="59" t="s">
        <v>210</v>
      </c>
      <c r="E698" s="7" t="s">
        <v>60</v>
      </c>
      <c r="F698" s="37" t="s">
        <v>284</v>
      </c>
      <c r="G698" s="32">
        <v>75.2</v>
      </c>
      <c r="H698" s="32">
        <v>82.2</v>
      </c>
      <c r="I698">
        <f>表1_4[[#This Row],[主队2]]-表1_4[[#This Row],[客队2]]</f>
        <v>-7</v>
      </c>
      <c r="J69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698" s="35" t="s">
        <v>152</v>
      </c>
      <c r="L69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698" s="11"/>
      <c r="N698" s="57" t="s">
        <v>119</v>
      </c>
      <c r="O698" s="10" t="s">
        <v>40</v>
      </c>
      <c r="T698" s="3"/>
      <c r="U698" s="83" t="s">
        <v>1011</v>
      </c>
      <c r="V698" s="254" t="s">
        <v>1337</v>
      </c>
      <c r="W698" s="86"/>
      <c r="X698" s="41"/>
    </row>
    <row r="699" spans="1:25">
      <c r="A699" s="58" t="s">
        <v>948</v>
      </c>
      <c r="B699" s="4">
        <v>44116.114583333299</v>
      </c>
      <c r="C699" s="115">
        <v>3</v>
      </c>
      <c r="D699" s="59" t="s">
        <v>123</v>
      </c>
      <c r="E699" s="7" t="s">
        <v>31</v>
      </c>
      <c r="F699" s="37" t="s">
        <v>425</v>
      </c>
      <c r="G699" s="32">
        <v>78</v>
      </c>
      <c r="H699" s="32">
        <v>80.8</v>
      </c>
      <c r="I699">
        <f>表1_4[[#This Row],[主队2]]-表1_4[[#This Row],[客队2]]</f>
        <v>-2.8</v>
      </c>
      <c r="J69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699" s="35" t="s">
        <v>289</v>
      </c>
      <c r="L69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699" s="63" t="s">
        <v>941</v>
      </c>
      <c r="N699" s="10" t="s">
        <v>119</v>
      </c>
      <c r="O699" s="10" t="s">
        <v>24</v>
      </c>
      <c r="P699" s="9">
        <v>4</v>
      </c>
      <c r="R699" t="s">
        <v>852</v>
      </c>
      <c r="T699" s="3"/>
      <c r="U699" s="83" t="s">
        <v>521</v>
      </c>
      <c r="V699" s="83" t="s">
        <v>932</v>
      </c>
      <c r="W699" s="86"/>
      <c r="X699" s="41"/>
    </row>
    <row r="700" spans="1:25">
      <c r="A700" s="58" t="s">
        <v>948</v>
      </c>
      <c r="B700" s="4">
        <v>44116.114583333299</v>
      </c>
      <c r="C700" s="7">
        <v>3</v>
      </c>
      <c r="D700" s="59" t="s">
        <v>296</v>
      </c>
      <c r="E700" s="7" t="s">
        <v>53</v>
      </c>
      <c r="F700" s="37" t="s">
        <v>194</v>
      </c>
      <c r="G700" s="32">
        <v>77.099999999999994</v>
      </c>
      <c r="H700" s="32">
        <v>81.599999999999994</v>
      </c>
      <c r="I700">
        <f>表1_4[[#This Row],[主队2]]-表1_4[[#This Row],[客队2]]</f>
        <v>-4.5</v>
      </c>
      <c r="J70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700" s="35" t="s">
        <v>132</v>
      </c>
      <c r="L70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700" s="11"/>
      <c r="N700" s="10" t="s">
        <v>112</v>
      </c>
      <c r="O700" s="10" t="s">
        <v>51</v>
      </c>
      <c r="T700" s="3"/>
      <c r="U700" s="246"/>
      <c r="V700" s="84" t="s">
        <v>1338</v>
      </c>
      <c r="W700" s="86"/>
      <c r="X700" s="41"/>
    </row>
    <row r="701" spans="1:25">
      <c r="A701" s="58" t="s">
        <v>948</v>
      </c>
      <c r="B701" s="4">
        <v>44116.114583333299</v>
      </c>
      <c r="C701" s="115">
        <v>3</v>
      </c>
      <c r="D701" s="59" t="s">
        <v>267</v>
      </c>
      <c r="E701" s="7" t="s">
        <v>42</v>
      </c>
      <c r="F701" s="37" t="s">
        <v>270</v>
      </c>
      <c r="G701" s="32">
        <v>96.7</v>
      </c>
      <c r="H701" s="32">
        <v>93.6</v>
      </c>
      <c r="I701">
        <f>表1_4[[#This Row],[主队2]]-表1_4[[#This Row],[客队2]]</f>
        <v>3.1000000000000099</v>
      </c>
      <c r="J70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701" s="35" t="s">
        <v>289</v>
      </c>
      <c r="L70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01" s="11"/>
      <c r="N701" s="10" t="s">
        <v>133</v>
      </c>
      <c r="O701" s="10" t="s">
        <v>24</v>
      </c>
      <c r="P701" s="9">
        <v>10</v>
      </c>
      <c r="R701" t="s">
        <v>852</v>
      </c>
      <c r="T701" s="3"/>
      <c r="U701" s="83"/>
      <c r="V701" s="83" t="s">
        <v>1339</v>
      </c>
      <c r="W701" s="87"/>
      <c r="X701" s="41"/>
    </row>
    <row r="702" spans="1:25">
      <c r="A702" s="58" t="s">
        <v>948</v>
      </c>
      <c r="B702" s="4">
        <v>44116.114583333299</v>
      </c>
      <c r="C702" s="7">
        <v>3</v>
      </c>
      <c r="D702" s="59" t="s">
        <v>218</v>
      </c>
      <c r="E702" s="7" t="s">
        <v>64</v>
      </c>
      <c r="F702" s="37" t="s">
        <v>306</v>
      </c>
      <c r="G702" s="32">
        <v>79.099999999999994</v>
      </c>
      <c r="H702" s="32">
        <v>87</v>
      </c>
      <c r="I702">
        <f>表1_4[[#This Row],[主队2]]-表1_4[[#This Row],[客队2]]</f>
        <v>-7.9000000000000101</v>
      </c>
      <c r="J70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702" s="35" t="s">
        <v>132</v>
      </c>
      <c r="L70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02" s="11"/>
      <c r="N702" s="10" t="s">
        <v>112</v>
      </c>
      <c r="O702" s="10" t="s">
        <v>24</v>
      </c>
      <c r="P702" s="9">
        <v>6</v>
      </c>
      <c r="R702" t="s">
        <v>852</v>
      </c>
      <c r="T702" s="3"/>
      <c r="U702" s="246"/>
      <c r="V702" s="84" t="s">
        <v>1340</v>
      </c>
      <c r="W702" s="86"/>
      <c r="X702" s="41"/>
    </row>
    <row r="703" spans="1:25">
      <c r="A703" s="58" t="s">
        <v>948</v>
      </c>
      <c r="B703" s="4">
        <v>44116.114583333299</v>
      </c>
      <c r="C703" s="7">
        <v>3</v>
      </c>
      <c r="D703" s="59" t="s">
        <v>302</v>
      </c>
      <c r="E703" s="7" t="s">
        <v>42</v>
      </c>
      <c r="F703" s="37" t="s">
        <v>204</v>
      </c>
      <c r="G703" s="32">
        <v>86</v>
      </c>
      <c r="H703" s="32">
        <v>91.9</v>
      </c>
      <c r="I703">
        <f>表1_4[[#This Row],[主队2]]-表1_4[[#This Row],[客队2]]</f>
        <v>-5.9000000000000101</v>
      </c>
      <c r="J70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703" s="35" t="s">
        <v>132</v>
      </c>
      <c r="L70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703" s="11"/>
      <c r="N703" s="10" t="s">
        <v>119</v>
      </c>
      <c r="O703" s="10" t="s">
        <v>46</v>
      </c>
      <c r="T703" s="3"/>
      <c r="U703" s="83"/>
      <c r="V703" s="247" t="s">
        <v>1341</v>
      </c>
      <c r="W703" s="25"/>
      <c r="X703" s="135"/>
    </row>
    <row r="704" spans="1:25">
      <c r="A704" s="58" t="s">
        <v>948</v>
      </c>
      <c r="B704" s="4">
        <v>44118</v>
      </c>
      <c r="C704" s="7">
        <v>4</v>
      </c>
      <c r="D704" s="59" t="s">
        <v>278</v>
      </c>
      <c r="E704" s="7" t="s">
        <v>42</v>
      </c>
      <c r="F704" s="37" t="s">
        <v>407</v>
      </c>
      <c r="G704" s="32">
        <v>64.099999999999994</v>
      </c>
      <c r="H704" s="32">
        <v>63.6</v>
      </c>
      <c r="I704">
        <f>表1_4[[#This Row],[主队2]]-表1_4[[#This Row],[客队2]]</f>
        <v>0.49999999999999301</v>
      </c>
      <c r="J70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704" s="35" t="s">
        <v>182</v>
      </c>
      <c r="L70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04" s="11"/>
      <c r="N704" s="10" t="s">
        <v>119</v>
      </c>
      <c r="O704" s="57" t="s">
        <v>35</v>
      </c>
      <c r="P704" s="9" t="s">
        <v>161</v>
      </c>
      <c r="T704" s="3"/>
      <c r="U704" s="246" t="s">
        <v>310</v>
      </c>
      <c r="V704" s="247" t="s">
        <v>645</v>
      </c>
      <c r="W704" s="86"/>
      <c r="X704" s="41"/>
    </row>
    <row r="705" spans="1:25">
      <c r="A705" s="58" t="s">
        <v>948</v>
      </c>
      <c r="B705" s="4">
        <v>44118.114583333299</v>
      </c>
      <c r="C705" s="2">
        <v>4</v>
      </c>
      <c r="D705" s="59" t="s">
        <v>244</v>
      </c>
      <c r="E705" s="7" t="s">
        <v>22</v>
      </c>
      <c r="F705" s="37" t="s">
        <v>243</v>
      </c>
      <c r="G705" s="32">
        <v>56.7</v>
      </c>
      <c r="H705" s="32">
        <v>48.3</v>
      </c>
      <c r="I705">
        <f>表1_4[[#This Row],[主队2]]-表1_4[[#This Row],[客队2]]</f>
        <v>8.4000000000000092</v>
      </c>
      <c r="J70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705" s="35" t="s">
        <v>125</v>
      </c>
      <c r="L70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705" s="11"/>
      <c r="N705" s="10" t="s">
        <v>119</v>
      </c>
      <c r="O705" s="10" t="s">
        <v>35</v>
      </c>
      <c r="P705" s="9" t="s">
        <v>161</v>
      </c>
      <c r="R705" t="s">
        <v>852</v>
      </c>
      <c r="T705" s="3"/>
      <c r="U705" s="83" t="s">
        <v>693</v>
      </c>
      <c r="V705" s="85" t="s">
        <v>1342</v>
      </c>
      <c r="W705" s="71"/>
      <c r="X705" s="41"/>
    </row>
    <row r="706" spans="1:25">
      <c r="A706" s="58" t="s">
        <v>948</v>
      </c>
      <c r="B706" s="4">
        <v>44118.114583333299</v>
      </c>
      <c r="C706" s="7">
        <v>4</v>
      </c>
      <c r="D706" s="59" t="s">
        <v>437</v>
      </c>
      <c r="E706" s="7" t="s">
        <v>42</v>
      </c>
      <c r="F706" s="86" t="s">
        <v>282</v>
      </c>
      <c r="G706" s="32">
        <v>48.5</v>
      </c>
      <c r="H706" s="32">
        <v>29.5</v>
      </c>
      <c r="I706">
        <f>表1_4[[#This Row],[主队2]]-表1_4[[#This Row],[客队2]]</f>
        <v>19</v>
      </c>
      <c r="J70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706" s="35" t="s">
        <v>63</v>
      </c>
      <c r="L70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706" s="11"/>
      <c r="N706" s="10" t="s">
        <v>133</v>
      </c>
      <c r="O706" s="10" t="s">
        <v>46</v>
      </c>
      <c r="P706" s="9" t="s">
        <v>161</v>
      </c>
      <c r="R706" t="s">
        <v>855</v>
      </c>
      <c r="T706" s="3"/>
      <c r="U706" s="25"/>
      <c r="V706" s="24" t="s">
        <v>1343</v>
      </c>
      <c r="W706" s="87"/>
      <c r="X706" s="41"/>
    </row>
    <row r="707" spans="1:25">
      <c r="A707" s="58" t="s">
        <v>948</v>
      </c>
      <c r="B707" s="4">
        <v>44118.114583333299</v>
      </c>
      <c r="C707" s="7">
        <v>4</v>
      </c>
      <c r="D707" s="59" t="s">
        <v>301</v>
      </c>
      <c r="E707" s="7" t="s">
        <v>60</v>
      </c>
      <c r="F707" s="37" t="s">
        <v>266</v>
      </c>
      <c r="G707" s="32">
        <v>73.8</v>
      </c>
      <c r="H707" s="32">
        <v>62</v>
      </c>
      <c r="I707">
        <f>表1_4[[#This Row],[主队2]]-表1_4[[#This Row],[客队2]]</f>
        <v>11.8</v>
      </c>
      <c r="J70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707" s="35" t="s">
        <v>289</v>
      </c>
      <c r="L70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707" s="11"/>
      <c r="N707" s="10" t="s">
        <v>119</v>
      </c>
      <c r="O707" s="10" t="s">
        <v>46</v>
      </c>
      <c r="P707" s="9">
        <v>18</v>
      </c>
      <c r="R707" t="s">
        <v>852</v>
      </c>
      <c r="T707" s="3"/>
      <c r="U707" s="25" t="s">
        <v>521</v>
      </c>
      <c r="V707" s="24" t="s">
        <v>1344</v>
      </c>
      <c r="W707" s="244"/>
      <c r="X707" s="41"/>
    </row>
    <row r="708" spans="1:25">
      <c r="A708" s="58" t="s">
        <v>948</v>
      </c>
      <c r="B708" s="4">
        <v>44118.114583333299</v>
      </c>
      <c r="C708" s="7">
        <v>4</v>
      </c>
      <c r="D708" s="59" t="s">
        <v>116</v>
      </c>
      <c r="E708" s="7" t="s">
        <v>66</v>
      </c>
      <c r="F708" s="37" t="s">
        <v>250</v>
      </c>
      <c r="G708" s="32">
        <v>96.9</v>
      </c>
      <c r="H708" s="32">
        <v>87.8</v>
      </c>
      <c r="I708">
        <f>表1_4[[#This Row],[主队2]]-表1_4[[#This Row],[客队2]]</f>
        <v>9.1000000000000103</v>
      </c>
      <c r="J70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708" s="35" t="s">
        <v>176</v>
      </c>
      <c r="L70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08" s="63" t="s">
        <v>1345</v>
      </c>
      <c r="N708" s="46" t="s">
        <v>112</v>
      </c>
      <c r="O708" s="57" t="s">
        <v>28</v>
      </c>
      <c r="P708" s="9">
        <v>2</v>
      </c>
      <c r="T708" s="3"/>
      <c r="U708" s="246"/>
      <c r="V708" s="84" t="s">
        <v>1346</v>
      </c>
      <c r="W708" s="87" t="s">
        <v>381</v>
      </c>
      <c r="X708" s="41"/>
    </row>
    <row r="709" spans="1:25">
      <c r="A709" s="58" t="s">
        <v>948</v>
      </c>
      <c r="B709" s="4">
        <v>44118.114583333299</v>
      </c>
      <c r="C709" s="2">
        <v>4</v>
      </c>
      <c r="D709" s="59" t="s">
        <v>214</v>
      </c>
      <c r="E709" s="7" t="s">
        <v>31</v>
      </c>
      <c r="F709" s="37" t="s">
        <v>209</v>
      </c>
      <c r="G709" s="32">
        <v>83.2</v>
      </c>
      <c r="H709" s="32">
        <v>99.1</v>
      </c>
      <c r="I709">
        <f>表1_4[[#This Row],[主队2]]-表1_4[[#This Row],[客队2]]</f>
        <v>-15.9</v>
      </c>
      <c r="J70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709" s="35" t="s">
        <v>245</v>
      </c>
      <c r="L70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09" s="11"/>
      <c r="N709" s="46" t="s">
        <v>160</v>
      </c>
      <c r="O709" s="10" t="s">
        <v>28</v>
      </c>
      <c r="P709" s="9">
        <v>1</v>
      </c>
      <c r="R709" t="s">
        <v>855</v>
      </c>
      <c r="T709" s="3"/>
      <c r="U709" s="25" t="s">
        <v>448</v>
      </c>
      <c r="V709" s="245" t="s">
        <v>1347</v>
      </c>
      <c r="W709" s="40" t="s">
        <v>280</v>
      </c>
      <c r="X709" s="41"/>
    </row>
    <row r="710" spans="1:25">
      <c r="A710" s="58" t="s">
        <v>1306</v>
      </c>
      <c r="B710" s="4">
        <v>44118.166666666701</v>
      </c>
      <c r="C710" s="26">
        <v>2</v>
      </c>
      <c r="D710" s="59" t="s">
        <v>159</v>
      </c>
      <c r="E710" s="7" t="s">
        <v>60</v>
      </c>
      <c r="F710" s="37" t="s">
        <v>174</v>
      </c>
      <c r="G710" s="32">
        <v>72.900000000000006</v>
      </c>
      <c r="H710" s="32">
        <v>93.9</v>
      </c>
      <c r="I710">
        <f>表1_4[[#This Row],[主队2]]-表1_4[[#This Row],[客队2]]</f>
        <v>-21</v>
      </c>
      <c r="J71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710" s="35" t="s">
        <v>245</v>
      </c>
      <c r="L71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710" s="63" t="s">
        <v>331</v>
      </c>
      <c r="N710" s="10" t="s">
        <v>119</v>
      </c>
      <c r="O710" s="10" t="s">
        <v>48</v>
      </c>
      <c r="P710" s="9">
        <v>17</v>
      </c>
      <c r="T710" s="3"/>
      <c r="U710" s="83"/>
      <c r="V710" s="85" t="s">
        <v>1348</v>
      </c>
      <c r="W710" s="86"/>
      <c r="X710" s="41"/>
    </row>
    <row r="711" spans="1:25">
      <c r="A711" s="58" t="s">
        <v>1306</v>
      </c>
      <c r="B711" s="4">
        <v>44118.208333333299</v>
      </c>
      <c r="C711" s="7">
        <v>2</v>
      </c>
      <c r="D711" s="59" t="s">
        <v>165</v>
      </c>
      <c r="E711" s="7" t="s">
        <v>54</v>
      </c>
      <c r="F711" s="37" t="s">
        <v>170</v>
      </c>
      <c r="G711" s="32">
        <v>83.2</v>
      </c>
      <c r="H711" s="32">
        <v>92</v>
      </c>
      <c r="I711">
        <f>表1_4[[#This Row],[主队2]]-表1_4[[#This Row],[客队2]]</f>
        <v>-8.8000000000000007</v>
      </c>
      <c r="J71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711" s="35" t="s">
        <v>166</v>
      </c>
      <c r="L71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711" s="11"/>
      <c r="N711" s="10" t="s">
        <v>119</v>
      </c>
      <c r="O711" s="10" t="s">
        <v>46</v>
      </c>
      <c r="P711" s="9" t="s">
        <v>161</v>
      </c>
      <c r="T711" s="3"/>
      <c r="U711" s="25" t="s">
        <v>521</v>
      </c>
      <c r="V711" s="24" t="s">
        <v>640</v>
      </c>
      <c r="W711" s="38"/>
      <c r="X711" s="41"/>
    </row>
    <row r="712" spans="1:25">
      <c r="A712" s="58" t="s">
        <v>1306</v>
      </c>
      <c r="B712" s="97">
        <v>44118.25</v>
      </c>
      <c r="C712" s="7">
        <v>2</v>
      </c>
      <c r="D712" s="59" t="s">
        <v>180</v>
      </c>
      <c r="E712" s="7" t="s">
        <v>53</v>
      </c>
      <c r="F712" s="37" t="s">
        <v>164</v>
      </c>
      <c r="G712" s="32">
        <v>83.9</v>
      </c>
      <c r="H712" s="32">
        <v>83.6</v>
      </c>
      <c r="I712">
        <f>表1_4[[#This Row],[主队2]]-表1_4[[#This Row],[客队2]]</f>
        <v>0.30000000000001098</v>
      </c>
      <c r="J71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712" s="35" t="s">
        <v>166</v>
      </c>
      <c r="L71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12" s="11"/>
      <c r="N712" s="57" t="s">
        <v>119</v>
      </c>
      <c r="O712" s="46" t="s">
        <v>40</v>
      </c>
      <c r="P712" s="9" t="s">
        <v>161</v>
      </c>
      <c r="R712" t="s">
        <v>855</v>
      </c>
      <c r="T712" s="3"/>
      <c r="U712" s="255" t="s">
        <v>690</v>
      </c>
      <c r="V712" s="75" t="s">
        <v>767</v>
      </c>
      <c r="W712" s="38"/>
      <c r="X712" s="41"/>
    </row>
    <row r="713" spans="1:25">
      <c r="A713" s="58" t="s">
        <v>1306</v>
      </c>
      <c r="B713" s="4">
        <v>44118.333333333299</v>
      </c>
      <c r="C713" s="26">
        <v>2</v>
      </c>
      <c r="D713" s="59" t="s">
        <v>181</v>
      </c>
      <c r="E713" s="7" t="s">
        <v>78</v>
      </c>
      <c r="F713" s="37" t="s">
        <v>171</v>
      </c>
      <c r="G713" s="32">
        <v>86.1</v>
      </c>
      <c r="H713" s="32">
        <v>100.2</v>
      </c>
      <c r="I713">
        <f>表1_4[[#This Row],[主队2]]-表1_4[[#This Row],[客队2]]</f>
        <v>-14.1</v>
      </c>
      <c r="J71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713" s="35" t="s">
        <v>219</v>
      </c>
      <c r="L71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13" s="11"/>
      <c r="N713" s="10" t="s">
        <v>119</v>
      </c>
      <c r="O713" s="10" t="s">
        <v>28</v>
      </c>
      <c r="P713" s="9">
        <v>15</v>
      </c>
      <c r="T713" s="3"/>
      <c r="U713" s="246"/>
      <c r="V713" s="247" t="s">
        <v>1349</v>
      </c>
      <c r="W713" s="86"/>
      <c r="X713" s="41"/>
    </row>
    <row r="714" spans="1:25">
      <c r="A714" s="58" t="s">
        <v>1306</v>
      </c>
      <c r="B714" s="4">
        <v>44118.354166666701</v>
      </c>
      <c r="C714" s="115">
        <v>2</v>
      </c>
      <c r="D714" s="59" t="s">
        <v>175</v>
      </c>
      <c r="E714" s="7" t="s">
        <v>25</v>
      </c>
      <c r="F714" s="37" t="s">
        <v>158</v>
      </c>
      <c r="G714" s="32">
        <v>86.8</v>
      </c>
      <c r="H714" s="32">
        <v>93.9</v>
      </c>
      <c r="I714">
        <f>表1_4[[#This Row],[主队2]]-表1_4[[#This Row],[客队2]]</f>
        <v>-7.1000000000000103</v>
      </c>
      <c r="J71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714" s="35" t="s">
        <v>152</v>
      </c>
      <c r="L71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14" s="11"/>
      <c r="N714" s="10" t="s">
        <v>119</v>
      </c>
      <c r="O714" s="57" t="s">
        <v>65</v>
      </c>
      <c r="P714" s="9">
        <v>8</v>
      </c>
      <c r="T714" s="3"/>
      <c r="U714" s="83"/>
      <c r="V714" s="89" t="s">
        <v>1350</v>
      </c>
      <c r="W714" s="86"/>
      <c r="X714" s="41"/>
    </row>
    <row r="715" spans="1:25">
      <c r="A715" s="58" t="s">
        <v>948</v>
      </c>
      <c r="B715" s="4">
        <v>44119</v>
      </c>
      <c r="C715" s="26">
        <v>4</v>
      </c>
      <c r="D715" s="59" t="s">
        <v>191</v>
      </c>
      <c r="E715" s="7" t="s">
        <v>31</v>
      </c>
      <c r="F715" s="37" t="s">
        <v>199</v>
      </c>
      <c r="G715" s="32">
        <v>77</v>
      </c>
      <c r="H715" s="32">
        <v>80.599999999999994</v>
      </c>
      <c r="I715">
        <f>表1_4[[#This Row],[主队2]]-表1_4[[#This Row],[客队2]]</f>
        <v>-3.5999999999999899</v>
      </c>
      <c r="J71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715" s="35" t="s">
        <v>182</v>
      </c>
      <c r="L71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715" s="11"/>
      <c r="N715" s="10" t="s">
        <v>119</v>
      </c>
      <c r="O715" s="46" t="s">
        <v>35</v>
      </c>
      <c r="P715" s="9">
        <v>2</v>
      </c>
      <c r="R715" t="s">
        <v>852</v>
      </c>
      <c r="T715" s="3"/>
      <c r="U715" s="83" t="s">
        <v>1351</v>
      </c>
      <c r="V715" s="85" t="s">
        <v>980</v>
      </c>
      <c r="W715" s="71"/>
      <c r="X715" s="41"/>
    </row>
    <row r="716" spans="1:25">
      <c r="A716" s="58" t="s">
        <v>948</v>
      </c>
      <c r="B716" s="4">
        <v>44119.114583333299</v>
      </c>
      <c r="C716" s="7">
        <v>4</v>
      </c>
      <c r="D716" s="59" t="s">
        <v>261</v>
      </c>
      <c r="E716" s="7" t="s">
        <v>53</v>
      </c>
      <c r="F716" s="37" t="s">
        <v>200</v>
      </c>
      <c r="G716" s="32">
        <v>71.900000000000006</v>
      </c>
      <c r="H716" s="32">
        <v>81.099999999999994</v>
      </c>
      <c r="I716">
        <f>表1_4[[#This Row],[主队2]]-表1_4[[#This Row],[客队2]]</f>
        <v>-9.1999999999999904</v>
      </c>
      <c r="J71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716" s="35" t="s">
        <v>152</v>
      </c>
      <c r="L71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716" s="11"/>
      <c r="N716" s="10" t="s">
        <v>119</v>
      </c>
      <c r="O716" s="10" t="s">
        <v>28</v>
      </c>
      <c r="P716" s="9">
        <v>18</v>
      </c>
      <c r="R716" t="s">
        <v>852</v>
      </c>
      <c r="T716" s="3"/>
      <c r="U716" s="25" t="s">
        <v>521</v>
      </c>
      <c r="V716" s="24" t="s">
        <v>1352</v>
      </c>
      <c r="W716" s="40"/>
      <c r="X716" s="249" t="s">
        <v>427</v>
      </c>
      <c r="Y716" s="250">
        <v>86</v>
      </c>
    </row>
    <row r="717" spans="1:25">
      <c r="A717" s="58" t="s">
        <v>948</v>
      </c>
      <c r="B717" s="97">
        <v>44119.114583333299</v>
      </c>
      <c r="C717" s="7">
        <v>4</v>
      </c>
      <c r="D717" s="59" t="s">
        <v>190</v>
      </c>
      <c r="E717" s="7" t="s">
        <v>25</v>
      </c>
      <c r="F717" s="37" t="s">
        <v>434</v>
      </c>
      <c r="G717" s="32">
        <v>83.2</v>
      </c>
      <c r="H717" s="32">
        <v>82.8</v>
      </c>
      <c r="I717">
        <f>表1_4[[#This Row],[主队2]]-表1_4[[#This Row],[客队2]]</f>
        <v>0.40000000000000602</v>
      </c>
      <c r="J71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717" s="35" t="s">
        <v>166</v>
      </c>
      <c r="L71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17" s="11"/>
      <c r="N717" s="10" t="s">
        <v>119</v>
      </c>
      <c r="O717" s="10" t="s">
        <v>28</v>
      </c>
      <c r="P717" s="9">
        <v>4</v>
      </c>
      <c r="R717" t="s">
        <v>852</v>
      </c>
      <c r="T717" s="3"/>
      <c r="U717" s="25"/>
      <c r="V717" s="75" t="s">
        <v>1353</v>
      </c>
      <c r="W717" s="40"/>
      <c r="X717" s="41"/>
    </row>
    <row r="718" spans="1:25">
      <c r="A718" s="58" t="s">
        <v>948</v>
      </c>
      <c r="B718" s="4">
        <v>44119.114583333299</v>
      </c>
      <c r="C718" s="2">
        <v>4</v>
      </c>
      <c r="D718" s="59" t="s">
        <v>353</v>
      </c>
      <c r="E718" s="7" t="s">
        <v>42</v>
      </c>
      <c r="F718" s="273" t="s">
        <v>271</v>
      </c>
      <c r="G718" s="32">
        <v>85.2</v>
      </c>
      <c r="H718" s="32">
        <v>77.099999999999994</v>
      </c>
      <c r="I718">
        <f>表1_4[[#This Row],[主队2]]-表1_4[[#This Row],[客队2]]</f>
        <v>8.1000000000000103</v>
      </c>
      <c r="J71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718" s="35" t="s">
        <v>118</v>
      </c>
      <c r="L71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18" s="63" t="s">
        <v>1354</v>
      </c>
      <c r="N718" s="46" t="s">
        <v>160</v>
      </c>
      <c r="O718" s="57" t="s">
        <v>48</v>
      </c>
      <c r="P718" s="9" t="s">
        <v>161</v>
      </c>
      <c r="R718" t="s">
        <v>855</v>
      </c>
      <c r="T718" s="3"/>
      <c r="U718" s="25" t="s">
        <v>521</v>
      </c>
      <c r="V718" s="262" t="s">
        <v>1355</v>
      </c>
      <c r="W718" s="38"/>
      <c r="X718" s="41"/>
    </row>
    <row r="719" spans="1:25">
      <c r="A719" s="58" t="s">
        <v>948</v>
      </c>
      <c r="B719" s="4">
        <v>44119.114583333299</v>
      </c>
      <c r="C719" s="115">
        <v>4</v>
      </c>
      <c r="D719" s="59" t="s">
        <v>123</v>
      </c>
      <c r="E719" s="7" t="s">
        <v>31</v>
      </c>
      <c r="F719" s="37" t="s">
        <v>284</v>
      </c>
      <c r="G719" s="32">
        <v>78.400000000000006</v>
      </c>
      <c r="H719" s="32">
        <v>82.8</v>
      </c>
      <c r="I719">
        <f>表1_4[[#This Row],[主队2]]-表1_4[[#This Row],[客队2]]</f>
        <v>-4.3999999999999897</v>
      </c>
      <c r="J71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719" s="35" t="s">
        <v>152</v>
      </c>
      <c r="L71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19" s="11"/>
      <c r="N719" s="10" t="s">
        <v>119</v>
      </c>
      <c r="O719" s="10" t="s">
        <v>24</v>
      </c>
      <c r="P719" s="9">
        <v>-8</v>
      </c>
      <c r="R719" t="s">
        <v>855</v>
      </c>
      <c r="T719" s="3"/>
      <c r="U719" s="246"/>
      <c r="V719" s="247" t="s">
        <v>1356</v>
      </c>
      <c r="W719" s="86"/>
      <c r="X719" s="41"/>
    </row>
    <row r="720" spans="1:25">
      <c r="A720" s="58" t="s">
        <v>948</v>
      </c>
      <c r="B720" s="4">
        <v>44119.114583333299</v>
      </c>
      <c r="C720" s="115">
        <v>4</v>
      </c>
      <c r="D720" s="59" t="s">
        <v>425</v>
      </c>
      <c r="E720" s="7" t="s">
        <v>62</v>
      </c>
      <c r="F720" s="37" t="s">
        <v>210</v>
      </c>
      <c r="G720" s="32">
        <v>80.400000000000006</v>
      </c>
      <c r="H720" s="32">
        <v>74.7</v>
      </c>
      <c r="I720">
        <f>表1_4[[#This Row],[主队2]]-表1_4[[#This Row],[客队2]]</f>
        <v>5.7</v>
      </c>
      <c r="J72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720" s="35" t="s">
        <v>182</v>
      </c>
      <c r="L72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720" s="11"/>
      <c r="N720" s="10" t="s">
        <v>133</v>
      </c>
      <c r="O720" s="10" t="s">
        <v>40</v>
      </c>
      <c r="P720" s="9">
        <v>14</v>
      </c>
      <c r="R720" t="s">
        <v>852</v>
      </c>
      <c r="T720" s="3"/>
      <c r="U720" s="83" t="s">
        <v>1357</v>
      </c>
      <c r="V720" s="94" t="s">
        <v>1358</v>
      </c>
      <c r="W720" s="71"/>
      <c r="X720" s="41"/>
    </row>
    <row r="721" spans="1:24">
      <c r="A721" s="58" t="s">
        <v>948</v>
      </c>
      <c r="B721" s="4">
        <v>44119.114583333299</v>
      </c>
      <c r="C721" s="7">
        <v>4</v>
      </c>
      <c r="D721" s="59" t="s">
        <v>297</v>
      </c>
      <c r="E721" s="7" t="s">
        <v>31</v>
      </c>
      <c r="F721" s="37" t="s">
        <v>296</v>
      </c>
      <c r="G721" s="32">
        <v>81.400000000000006</v>
      </c>
      <c r="H721" s="32">
        <v>76.400000000000006</v>
      </c>
      <c r="I721">
        <f>表1_4[[#This Row],[主队2]]-表1_4[[#This Row],[客队2]]</f>
        <v>5</v>
      </c>
      <c r="J72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721" s="35" t="s">
        <v>125</v>
      </c>
      <c r="L72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721" s="11"/>
      <c r="N721" s="10" t="s">
        <v>119</v>
      </c>
      <c r="O721" s="10" t="s">
        <v>46</v>
      </c>
      <c r="P721" s="9">
        <v>13</v>
      </c>
      <c r="R721" t="s">
        <v>852</v>
      </c>
      <c r="T721" s="3"/>
      <c r="U721" s="83"/>
      <c r="V721" s="247" t="s">
        <v>1359</v>
      </c>
      <c r="W721" s="86"/>
      <c r="X721" s="41"/>
    </row>
    <row r="722" spans="1:24">
      <c r="A722" s="58" t="s">
        <v>948</v>
      </c>
      <c r="B722" s="4">
        <v>44119.114583333299</v>
      </c>
      <c r="C722" s="7">
        <v>4</v>
      </c>
      <c r="D722" s="59" t="s">
        <v>305</v>
      </c>
      <c r="E722" s="7" t="s">
        <v>53</v>
      </c>
      <c r="F722" s="37" t="s">
        <v>194</v>
      </c>
      <c r="G722" s="32">
        <v>80.2</v>
      </c>
      <c r="H722" s="32">
        <v>82.3</v>
      </c>
      <c r="I722">
        <f>表1_4[[#This Row],[主队2]]-表1_4[[#This Row],[客队2]]</f>
        <v>-2.0999999999999899</v>
      </c>
      <c r="J72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722" s="35" t="s">
        <v>132</v>
      </c>
      <c r="L72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722" s="11"/>
      <c r="N722" s="10" t="s">
        <v>119</v>
      </c>
      <c r="O722" s="10" t="s">
        <v>24</v>
      </c>
      <c r="P722" s="9">
        <v>8</v>
      </c>
      <c r="R722" t="s">
        <v>852</v>
      </c>
      <c r="T722" s="3"/>
      <c r="U722" s="246"/>
      <c r="V722" s="247" t="s">
        <v>1360</v>
      </c>
      <c r="W722" s="86"/>
      <c r="X722" s="41"/>
    </row>
    <row r="723" spans="1:24">
      <c r="A723" s="58" t="s">
        <v>948</v>
      </c>
      <c r="B723" s="4">
        <v>44119.114583333299</v>
      </c>
      <c r="C723" s="7">
        <v>4</v>
      </c>
      <c r="D723" s="59" t="s">
        <v>110</v>
      </c>
      <c r="E723" s="7" t="s">
        <v>60</v>
      </c>
      <c r="F723" s="37" t="s">
        <v>267</v>
      </c>
      <c r="G723" s="32">
        <v>87.9</v>
      </c>
      <c r="H723" s="32">
        <v>96.2</v>
      </c>
      <c r="I723">
        <f>表1_4[[#This Row],[主队2]]-表1_4[[#This Row],[客队2]]</f>
        <v>-8.3000000000000007</v>
      </c>
      <c r="J72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723" s="35" t="s">
        <v>152</v>
      </c>
      <c r="L72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23" s="11"/>
      <c r="N723" s="10" t="s">
        <v>112</v>
      </c>
      <c r="O723" s="57" t="s">
        <v>28</v>
      </c>
      <c r="P723" s="9">
        <v>15</v>
      </c>
      <c r="R723" t="s">
        <v>855</v>
      </c>
      <c r="T723" s="3"/>
      <c r="U723" s="25"/>
      <c r="V723" s="24" t="s">
        <v>1361</v>
      </c>
      <c r="W723" s="40"/>
      <c r="X723" s="41"/>
    </row>
    <row r="724" spans="1:24">
      <c r="A724" s="58" t="s">
        <v>948</v>
      </c>
      <c r="B724" s="4">
        <v>44119.114583333299</v>
      </c>
      <c r="C724" s="26">
        <v>4</v>
      </c>
      <c r="D724" s="59" t="s">
        <v>270</v>
      </c>
      <c r="E724" s="7" t="s">
        <v>44</v>
      </c>
      <c r="F724" s="37" t="s">
        <v>239</v>
      </c>
      <c r="G724" s="32">
        <v>94.1</v>
      </c>
      <c r="H724" s="32">
        <v>86.5</v>
      </c>
      <c r="I724">
        <f>表1_4[[#This Row],[主队2]]-表1_4[[#This Row],[客队2]]</f>
        <v>7.5999999999999899</v>
      </c>
      <c r="J72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724" s="35" t="s">
        <v>176</v>
      </c>
      <c r="L72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24" s="11"/>
      <c r="N724" s="10" t="s">
        <v>119</v>
      </c>
      <c r="O724" s="10" t="s">
        <v>143</v>
      </c>
      <c r="P724" s="9">
        <v>11</v>
      </c>
      <c r="T724" s="3"/>
      <c r="U724" s="246"/>
      <c r="V724" s="94" t="s">
        <v>1362</v>
      </c>
      <c r="W724" s="38"/>
      <c r="X724" s="41"/>
    </row>
    <row r="725" spans="1:24" ht="28.9">
      <c r="A725" s="58" t="s">
        <v>948</v>
      </c>
      <c r="B725" s="4">
        <v>44119.114583333299</v>
      </c>
      <c r="C725" s="26">
        <v>4</v>
      </c>
      <c r="D725" s="59" t="s">
        <v>117</v>
      </c>
      <c r="E725" s="7" t="s">
        <v>53</v>
      </c>
      <c r="F725" s="37" t="s">
        <v>306</v>
      </c>
      <c r="G725" s="32">
        <v>96.3</v>
      </c>
      <c r="H725" s="32">
        <v>87.8</v>
      </c>
      <c r="I725">
        <f>表1_4[[#This Row],[主队2]]-表1_4[[#This Row],[客队2]]</f>
        <v>8.5</v>
      </c>
      <c r="J72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725" s="35" t="s">
        <v>118</v>
      </c>
      <c r="L72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25" s="11"/>
      <c r="N725" s="57" t="s">
        <v>133</v>
      </c>
      <c r="O725" s="114" t="s">
        <v>24</v>
      </c>
      <c r="P725" s="9">
        <v>20</v>
      </c>
      <c r="R725" t="s">
        <v>855</v>
      </c>
      <c r="T725" s="3"/>
      <c r="U725" s="246"/>
      <c r="V725" s="247" t="s">
        <v>1363</v>
      </c>
      <c r="W725" s="244"/>
      <c r="X725" s="41"/>
    </row>
    <row r="726" spans="1:24">
      <c r="A726" s="58" t="s">
        <v>948</v>
      </c>
      <c r="B726" s="4">
        <v>44119.114583333299</v>
      </c>
      <c r="C726" s="26">
        <v>4</v>
      </c>
      <c r="D726" s="59" t="s">
        <v>218</v>
      </c>
      <c r="E726" s="7" t="s">
        <v>60</v>
      </c>
      <c r="F726" s="37" t="s">
        <v>274</v>
      </c>
      <c r="G726" s="32">
        <v>78.3</v>
      </c>
      <c r="H726" s="32">
        <v>96.4</v>
      </c>
      <c r="I726">
        <f>表1_4[[#This Row],[主队2]]-表1_4[[#This Row],[客队2]]</f>
        <v>-18.100000000000001</v>
      </c>
      <c r="J72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726" s="35" t="s">
        <v>706</v>
      </c>
      <c r="L72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26" s="11"/>
      <c r="N726" s="10" t="s">
        <v>119</v>
      </c>
      <c r="O726" s="10" t="s">
        <v>24</v>
      </c>
      <c r="P726" s="9" t="s">
        <v>161</v>
      </c>
      <c r="R726" t="s">
        <v>855</v>
      </c>
      <c r="T726" s="3"/>
      <c r="U726" s="246"/>
      <c r="V726" s="247" t="s">
        <v>1364</v>
      </c>
      <c r="W726" s="38"/>
      <c r="X726" s="41"/>
    </row>
    <row r="727" spans="1:24">
      <c r="A727" s="58" t="s">
        <v>948</v>
      </c>
      <c r="B727" s="4">
        <v>44119.114583333299</v>
      </c>
      <c r="C727" s="7">
        <v>4</v>
      </c>
      <c r="D727" s="267" t="s">
        <v>204</v>
      </c>
      <c r="E727" s="7" t="s">
        <v>36</v>
      </c>
      <c r="F727" s="37" t="s">
        <v>262</v>
      </c>
      <c r="G727" s="32">
        <v>91.6</v>
      </c>
      <c r="H727" s="32">
        <v>90.9</v>
      </c>
      <c r="I727">
        <f>表1_4[[#This Row],[主队2]]-表1_4[[#This Row],[客队2]]</f>
        <v>0.69999999999998896</v>
      </c>
      <c r="J72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727" s="35" t="s">
        <v>289</v>
      </c>
      <c r="L72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727" s="11"/>
      <c r="N727" s="10" t="s">
        <v>119</v>
      </c>
      <c r="O727" s="10" t="s">
        <v>48</v>
      </c>
      <c r="P727" s="9">
        <v>7</v>
      </c>
      <c r="T727" s="3"/>
      <c r="U727" s="83"/>
      <c r="V727" s="85" t="s">
        <v>930</v>
      </c>
      <c r="W727" s="86"/>
      <c r="X727" s="41"/>
    </row>
    <row r="728" spans="1:24">
      <c r="A728" s="58" t="s">
        <v>948</v>
      </c>
      <c r="B728" s="4">
        <v>44119.114583333299</v>
      </c>
      <c r="C728" s="7">
        <v>4</v>
      </c>
      <c r="D728" s="59" t="s">
        <v>302</v>
      </c>
      <c r="E728" s="7" t="s">
        <v>44</v>
      </c>
      <c r="F728" s="37" t="s">
        <v>255</v>
      </c>
      <c r="G728" s="32">
        <v>86.2</v>
      </c>
      <c r="H728" s="32">
        <v>82.4</v>
      </c>
      <c r="I728">
        <f>表1_4[[#This Row],[主队2]]-表1_4[[#This Row],[客队2]]</f>
        <v>3.8</v>
      </c>
      <c r="J72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728" s="35" t="s">
        <v>118</v>
      </c>
      <c r="L72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28" s="11"/>
      <c r="N728" s="10" t="s">
        <v>133</v>
      </c>
      <c r="O728" s="10" t="s">
        <v>28</v>
      </c>
      <c r="P728" s="9">
        <v>24</v>
      </c>
      <c r="R728" t="s">
        <v>855</v>
      </c>
      <c r="T728" s="3"/>
      <c r="U728" s="83"/>
      <c r="V728" s="85" t="s">
        <v>1365</v>
      </c>
      <c r="W728" s="71"/>
      <c r="X728" s="41"/>
    </row>
    <row r="729" spans="1:24">
      <c r="A729" s="58" t="s">
        <v>1306</v>
      </c>
      <c r="B729" s="4">
        <v>44149.1875</v>
      </c>
      <c r="C729" s="115">
        <v>3</v>
      </c>
      <c r="D729" s="59" t="s">
        <v>158</v>
      </c>
      <c r="E729" s="7" t="s">
        <v>64</v>
      </c>
      <c r="F729" s="37" t="s">
        <v>170</v>
      </c>
      <c r="G729" s="32">
        <v>93.9</v>
      </c>
      <c r="H729" s="32">
        <v>90.9</v>
      </c>
      <c r="I729">
        <f>表1_4[[#This Row],[主队2]]-表1_4[[#This Row],[客队2]]</f>
        <v>3</v>
      </c>
      <c r="J729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729" s="35" t="s">
        <v>289</v>
      </c>
      <c r="L72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29" s="11"/>
      <c r="N729" s="10" t="s">
        <v>119</v>
      </c>
      <c r="O729" s="10" t="s">
        <v>48</v>
      </c>
      <c r="P729" s="9">
        <v>1</v>
      </c>
      <c r="R729" t="s">
        <v>852</v>
      </c>
      <c r="T729" s="3"/>
      <c r="U729" s="83"/>
      <c r="V729" s="85" t="s">
        <v>1366</v>
      </c>
      <c r="W729" s="71"/>
      <c r="X729" s="41"/>
    </row>
    <row r="730" spans="1:24">
      <c r="A730" s="58" t="s">
        <v>1306</v>
      </c>
      <c r="B730" s="4">
        <v>44149.291666666701</v>
      </c>
      <c r="C730" s="7">
        <v>3</v>
      </c>
      <c r="D730" s="59" t="s">
        <v>175</v>
      </c>
      <c r="E730" s="7" t="s">
        <v>22</v>
      </c>
      <c r="F730" s="37" t="s">
        <v>181</v>
      </c>
      <c r="G730" s="32">
        <v>86.8</v>
      </c>
      <c r="H730" s="32">
        <v>85.5</v>
      </c>
      <c r="I730">
        <f>表1_4[[#This Row],[主队2]]-表1_4[[#This Row],[客队2]]</f>
        <v>1.3</v>
      </c>
      <c r="J730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730" s="35" t="s">
        <v>289</v>
      </c>
      <c r="L73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730" s="11"/>
      <c r="N730" s="10" t="s">
        <v>119</v>
      </c>
      <c r="O730" s="10" t="s">
        <v>46</v>
      </c>
      <c r="P730" s="9">
        <v>14</v>
      </c>
      <c r="T730" s="3"/>
      <c r="U730" s="246"/>
      <c r="V730" s="247" t="s">
        <v>1367</v>
      </c>
      <c r="W730" s="244"/>
      <c r="X730" s="41"/>
    </row>
    <row r="731" spans="1:24">
      <c r="A731" s="58" t="s">
        <v>1306</v>
      </c>
      <c r="B731" s="4">
        <v>44149.354166666701</v>
      </c>
      <c r="C731" s="7">
        <v>3</v>
      </c>
      <c r="D731" s="59" t="s">
        <v>171</v>
      </c>
      <c r="E731" s="7" t="s">
        <v>31</v>
      </c>
      <c r="F731" s="71" t="s">
        <v>180</v>
      </c>
      <c r="G731" s="32">
        <v>100.8</v>
      </c>
      <c r="H731" s="32">
        <v>83.1</v>
      </c>
      <c r="I731">
        <f>表1_4[[#This Row],[主队2]]-表1_4[[#This Row],[客队2]]</f>
        <v>17.7</v>
      </c>
      <c r="J731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731" s="35" t="s">
        <v>63</v>
      </c>
      <c r="L73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31" s="11"/>
      <c r="N731" s="10" t="s">
        <v>119</v>
      </c>
      <c r="O731" s="10" t="s">
        <v>51</v>
      </c>
      <c r="P731" s="9" t="s">
        <v>161</v>
      </c>
      <c r="T731" s="3"/>
      <c r="U731" s="246"/>
      <c r="V731" s="84" t="s">
        <v>1368</v>
      </c>
      <c r="W731" s="87" t="s">
        <v>381</v>
      </c>
      <c r="X731" s="41"/>
    </row>
    <row r="732" spans="1:24">
      <c r="A732" s="58" t="s">
        <v>948</v>
      </c>
      <c r="B732" s="4">
        <v>44150.041666666701</v>
      </c>
      <c r="C732" s="7">
        <v>5</v>
      </c>
      <c r="D732" s="59" t="s">
        <v>278</v>
      </c>
      <c r="E732" s="7" t="s">
        <v>42</v>
      </c>
      <c r="F732" s="37" t="s">
        <v>301</v>
      </c>
      <c r="G732" s="32">
        <v>64.099999999999994</v>
      </c>
      <c r="H732" s="32">
        <v>72.8</v>
      </c>
      <c r="I732">
        <f>表1_4[[#This Row],[主队2]]-表1_4[[#This Row],[客队2]]</f>
        <v>-8.6999999999999993</v>
      </c>
      <c r="J732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732" s="35" t="s">
        <v>152</v>
      </c>
      <c r="L73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32" s="11"/>
      <c r="N732" s="10" t="s">
        <v>119</v>
      </c>
      <c r="O732" s="10" t="s">
        <v>143</v>
      </c>
      <c r="P732" s="9" t="s">
        <v>161</v>
      </c>
      <c r="T732" s="3"/>
      <c r="U732" s="83"/>
      <c r="V732" s="246" t="s">
        <v>1369</v>
      </c>
      <c r="W732" s="86"/>
      <c r="X732" s="41"/>
    </row>
    <row r="733" spans="1:24">
      <c r="A733" s="58" t="s">
        <v>948</v>
      </c>
      <c r="B733" s="4">
        <v>44150.041666666701</v>
      </c>
      <c r="C733" s="7">
        <v>5</v>
      </c>
      <c r="D733" s="59" t="s">
        <v>407</v>
      </c>
      <c r="E733" s="7" t="s">
        <v>33</v>
      </c>
      <c r="F733" s="37" t="s">
        <v>266</v>
      </c>
      <c r="G733" s="32">
        <v>64</v>
      </c>
      <c r="H733" s="32">
        <v>62</v>
      </c>
      <c r="I733">
        <f>表1_4[[#This Row],[主队2]]-表1_4[[#This Row],[客队2]]</f>
        <v>2</v>
      </c>
      <c r="J733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733" s="35" t="s">
        <v>152</v>
      </c>
      <c r="L73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33" s="11"/>
      <c r="N733" s="10" t="s">
        <v>119</v>
      </c>
      <c r="O733" s="10" t="s">
        <v>28</v>
      </c>
      <c r="P733" s="9">
        <v>20</v>
      </c>
      <c r="T733" s="3"/>
      <c r="U733" s="83" t="s">
        <v>521</v>
      </c>
      <c r="V733" s="83" t="s">
        <v>1370</v>
      </c>
      <c r="W733" s="86"/>
      <c r="X733" s="41"/>
    </row>
    <row r="734" spans="1:24">
      <c r="A734" s="58" t="s">
        <v>948</v>
      </c>
      <c r="B734" s="4">
        <v>44150.041666666701</v>
      </c>
      <c r="C734" s="115">
        <v>5</v>
      </c>
      <c r="D734" s="59" t="s">
        <v>251</v>
      </c>
      <c r="E734" s="7" t="s">
        <v>36</v>
      </c>
      <c r="F734" s="260" t="s">
        <v>244</v>
      </c>
      <c r="G734" s="32">
        <v>61.2</v>
      </c>
      <c r="H734" s="32">
        <v>57.3</v>
      </c>
      <c r="I734">
        <f>表1_4[[#This Row],[主队2]]-表1_4[[#This Row],[客队2]]</f>
        <v>3.9000000000000101</v>
      </c>
      <c r="J734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734" s="35" t="s">
        <v>182</v>
      </c>
      <c r="L73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734" s="11"/>
      <c r="N734" s="10" t="s">
        <v>119</v>
      </c>
      <c r="O734" s="10" t="s">
        <v>28</v>
      </c>
      <c r="P734" s="9" t="s">
        <v>161</v>
      </c>
      <c r="R734" t="s">
        <v>852</v>
      </c>
      <c r="T734" s="3"/>
      <c r="U734" s="246"/>
      <c r="V734" s="83" t="s">
        <v>1371</v>
      </c>
      <c r="W734" s="86"/>
      <c r="X734" s="41"/>
    </row>
    <row r="735" spans="1:24">
      <c r="A735" s="58" t="s">
        <v>948</v>
      </c>
      <c r="B735" s="4">
        <v>44150.15625</v>
      </c>
      <c r="C735" s="26">
        <v>5</v>
      </c>
      <c r="D735" s="59" t="s">
        <v>116</v>
      </c>
      <c r="E735" s="7" t="s">
        <v>41</v>
      </c>
      <c r="F735" s="37" t="s">
        <v>214</v>
      </c>
      <c r="G735" s="32">
        <v>95.8</v>
      </c>
      <c r="H735" s="32">
        <v>83.7</v>
      </c>
      <c r="I735">
        <f>表1_4[[#This Row],[主队2]]-表1_4[[#This Row],[客队2]]</f>
        <v>12.1</v>
      </c>
      <c r="J735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735" s="35" t="s">
        <v>81</v>
      </c>
      <c r="L73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35" s="11"/>
      <c r="N735" s="10" t="s">
        <v>112</v>
      </c>
      <c r="O735" s="10" t="s">
        <v>28</v>
      </c>
      <c r="P735" s="9">
        <v>3</v>
      </c>
      <c r="T735" s="3"/>
      <c r="U735" s="246" t="s">
        <v>448</v>
      </c>
      <c r="V735" s="24" t="s">
        <v>1372</v>
      </c>
      <c r="W735" s="40"/>
      <c r="X735" s="41"/>
    </row>
    <row r="736" spans="1:24">
      <c r="A736" s="58" t="s">
        <v>948</v>
      </c>
      <c r="B736" s="4">
        <v>44150.15625</v>
      </c>
      <c r="C736" s="2">
        <v>5</v>
      </c>
      <c r="D736" s="59" t="s">
        <v>250</v>
      </c>
      <c r="E736" s="7" t="s">
        <v>36</v>
      </c>
      <c r="F736" s="37" t="s">
        <v>209</v>
      </c>
      <c r="G736" s="32">
        <v>88.8</v>
      </c>
      <c r="H736" s="32">
        <v>98.2</v>
      </c>
      <c r="I736">
        <f>表1_4[[#This Row],[主队2]]-表1_4[[#This Row],[客队2]]</f>
        <v>-9.4000000000000092</v>
      </c>
      <c r="J736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736" s="35" t="s">
        <v>132</v>
      </c>
      <c r="L73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36" s="11"/>
      <c r="N736" s="10" t="s">
        <v>119</v>
      </c>
      <c r="O736" s="10" t="s">
        <v>143</v>
      </c>
      <c r="P736" s="9">
        <v>12</v>
      </c>
      <c r="T736" s="3"/>
      <c r="U736" s="246"/>
      <c r="V736" s="246" t="s">
        <v>1373</v>
      </c>
      <c r="W736" s="86"/>
      <c r="X736" s="41"/>
    </row>
    <row r="737" spans="1:24">
      <c r="A737" s="58" t="s">
        <v>948</v>
      </c>
      <c r="B737" s="4">
        <v>44150.15625</v>
      </c>
      <c r="C737" s="7">
        <v>5</v>
      </c>
      <c r="D737" s="59" t="s">
        <v>270</v>
      </c>
      <c r="E737" s="7" t="s">
        <v>53</v>
      </c>
      <c r="F737" s="37" t="s">
        <v>267</v>
      </c>
      <c r="G737" s="32">
        <v>94.9</v>
      </c>
      <c r="H737" s="32">
        <v>95.9</v>
      </c>
      <c r="I737">
        <f>表1_4[[#This Row],[主队2]]-表1_4[[#This Row],[客队2]]</f>
        <v>-1</v>
      </c>
      <c r="J737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737" s="35" t="s">
        <v>166</v>
      </c>
      <c r="L73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37" s="11"/>
      <c r="N737" s="10" t="s">
        <v>112</v>
      </c>
      <c r="O737" s="10" t="s">
        <v>24</v>
      </c>
      <c r="P737" s="9">
        <v>-4</v>
      </c>
      <c r="R737" t="s">
        <v>852</v>
      </c>
      <c r="T737" s="3"/>
      <c r="U737" s="246"/>
      <c r="V737" s="24" t="s">
        <v>1374</v>
      </c>
      <c r="W737" s="40"/>
      <c r="X737" s="41"/>
    </row>
    <row r="738" spans="1:24">
      <c r="A738" s="58" t="s">
        <v>948</v>
      </c>
      <c r="B738" s="4">
        <v>44150.15625</v>
      </c>
      <c r="C738" s="7">
        <v>5</v>
      </c>
      <c r="D738" s="59" t="s">
        <v>239</v>
      </c>
      <c r="E738" s="7" t="s">
        <v>22</v>
      </c>
      <c r="F738" s="37" t="s">
        <v>110</v>
      </c>
      <c r="G738" s="32">
        <v>85.7</v>
      </c>
      <c r="H738" s="32">
        <v>87.7</v>
      </c>
      <c r="I738">
        <f>表1_4[[#This Row],[主队2]]-表1_4[[#This Row],[客队2]]</f>
        <v>-2</v>
      </c>
      <c r="J738" s="34">
        <f>IF(AND(表1_4[[#This Row],[实力差]]&lt;1.4,表1_4[[#This Row],[实力差]]&gt;-1.3),0.25,IF(AND(表1_4[[#This Row],[实力差]]&lt;3.8,表1_4[[#This Row],[实力差]]&gt;1.3),0.5,IF(AND(表1_4[[#This Row],[实力差]]&lt;6.3,表1_4[[#This Row],[实力差]]&gt;3.7),0.75,IF(AND(表1_4[[#This Row],[实力差]]&lt;8.9,表1_4[[#This Row],[实力差]]&gt;6.2),1,IF(AND(表1_4[[#This Row],[实力差]]&lt;11.3,表1_4[[#This Row],[实力差]]&gt;8.8),1.25,IF(AND(表1_4[[#This Row],[实力差]]&lt;13.8,表1_4[[#This Row],[实力差]]&gt;11.2),1.5,IF(AND(表1_4[[#This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Row],[实力差]]&gt;-6.2),-0.25,IF(AND(表1_4[[#This Row],[实力差]]&lt;-6.1,表1_4[[#This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738" s="35" t="s">
        <v>166</v>
      </c>
      <c r="L73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38" s="11"/>
      <c r="N738" s="10" t="s">
        <v>119</v>
      </c>
      <c r="O738" s="10" t="s">
        <v>143</v>
      </c>
      <c r="P738" s="9">
        <v>-15</v>
      </c>
      <c r="R738" t="s">
        <v>852</v>
      </c>
      <c r="T738" s="3"/>
      <c r="U738" s="83"/>
      <c r="V738" s="246" t="s">
        <v>1375</v>
      </c>
      <c r="W738" s="86"/>
      <c r="X738" s="41"/>
    </row>
    <row r="739" spans="1:24">
      <c r="A739" s="58" t="s">
        <v>948</v>
      </c>
      <c r="B739" s="4">
        <v>44150.916666666701</v>
      </c>
      <c r="C739" s="7">
        <v>5</v>
      </c>
      <c r="D739" s="59" t="s">
        <v>425</v>
      </c>
      <c r="E739" s="7" t="s">
        <v>31</v>
      </c>
      <c r="F739" s="37" t="s">
        <v>123</v>
      </c>
      <c r="G739" s="32">
        <v>79.900000000000006</v>
      </c>
      <c r="H739" s="32">
        <v>79.400000000000006</v>
      </c>
      <c r="I739">
        <f>表1_4[[#This Row],[主队2]]-表1_4[[#This Row],[客队2]]</f>
        <v>0.5</v>
      </c>
      <c r="J73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739" s="35" t="s">
        <v>166</v>
      </c>
      <c r="L73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39" s="11"/>
      <c r="N739" s="10" t="s">
        <v>119</v>
      </c>
      <c r="O739" s="57" t="s">
        <v>48</v>
      </c>
      <c r="P739" s="9">
        <v>-3</v>
      </c>
      <c r="R739" t="s">
        <v>855</v>
      </c>
      <c r="T739" s="3"/>
      <c r="U739" s="257" t="s">
        <v>1376</v>
      </c>
      <c r="V739" s="247" t="s">
        <v>454</v>
      </c>
      <c r="W739" s="86"/>
      <c r="X739" s="41"/>
    </row>
    <row r="740" spans="1:24">
      <c r="A740" s="58" t="s">
        <v>948</v>
      </c>
      <c r="B740" s="4">
        <v>44150.916666666701</v>
      </c>
      <c r="C740" s="26">
        <v>5</v>
      </c>
      <c r="D740" s="59" t="s">
        <v>440</v>
      </c>
      <c r="E740" s="7" t="s">
        <v>33</v>
      </c>
      <c r="F740" s="37" t="s">
        <v>403</v>
      </c>
      <c r="G740" s="32">
        <v>74</v>
      </c>
      <c r="H740" s="32">
        <v>64.900000000000006</v>
      </c>
      <c r="I740">
        <f>表1_4[[#This Row],[主队2]]-表1_4[[#This Row],[客队2]]</f>
        <v>9.0999999999999908</v>
      </c>
      <c r="J74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740" s="35" t="s">
        <v>176</v>
      </c>
      <c r="L74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40" s="11"/>
      <c r="N740" s="57" t="s">
        <v>133</v>
      </c>
      <c r="O740" s="10" t="s">
        <v>28</v>
      </c>
      <c r="P740" s="9">
        <v>15</v>
      </c>
      <c r="T740" s="3"/>
      <c r="U740" s="246"/>
      <c r="V740" s="85" t="s">
        <v>1377</v>
      </c>
      <c r="W740" s="87"/>
      <c r="X740" s="41"/>
    </row>
    <row r="741" spans="1:24">
      <c r="A741" s="58" t="s">
        <v>948</v>
      </c>
      <c r="B741" s="4">
        <v>44151.041666666701</v>
      </c>
      <c r="C741" s="7">
        <v>5</v>
      </c>
      <c r="D741" s="59" t="s">
        <v>430</v>
      </c>
      <c r="E741" s="7" t="s">
        <v>60</v>
      </c>
      <c r="F741" s="37" t="s">
        <v>287</v>
      </c>
      <c r="G741" s="32">
        <v>72.2</v>
      </c>
      <c r="H741" s="32">
        <v>68.599999999999994</v>
      </c>
      <c r="I741">
        <f>表1_4[[#This Row],[主队2]]-表1_4[[#This Row],[客队2]]</f>
        <v>3.6000000000000099</v>
      </c>
      <c r="J74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741" s="35" t="s">
        <v>289</v>
      </c>
      <c r="L74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41" s="11"/>
      <c r="N741" s="10" t="s">
        <v>119</v>
      </c>
      <c r="O741" s="10" t="s">
        <v>24</v>
      </c>
      <c r="P741" s="9" t="s">
        <v>161</v>
      </c>
      <c r="T741" s="3"/>
      <c r="U741" s="246"/>
      <c r="V741" s="85" t="s">
        <v>1378</v>
      </c>
      <c r="W741" s="86"/>
      <c r="X741" s="41"/>
    </row>
    <row r="742" spans="1:24" ht="28.9">
      <c r="A742" s="58" t="s">
        <v>948</v>
      </c>
      <c r="B742" s="4">
        <v>44151.041666666701</v>
      </c>
      <c r="C742" s="7">
        <v>5</v>
      </c>
      <c r="D742" s="59" t="s">
        <v>261</v>
      </c>
      <c r="E742" s="7" t="s">
        <v>60</v>
      </c>
      <c r="F742" s="37" t="s">
        <v>191</v>
      </c>
      <c r="G742" s="32">
        <v>71.5</v>
      </c>
      <c r="H742" s="32">
        <v>78.2</v>
      </c>
      <c r="I742">
        <f>表1_4[[#This Row],[主队2]]-表1_4[[#This Row],[客队2]]</f>
        <v>-6.7</v>
      </c>
      <c r="J74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742" s="35" t="s">
        <v>152</v>
      </c>
      <c r="L74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42" s="11"/>
      <c r="N742" s="10" t="s">
        <v>112</v>
      </c>
      <c r="O742" s="117" t="s">
        <v>35</v>
      </c>
      <c r="P742" s="9">
        <v>18</v>
      </c>
      <c r="T742" s="3"/>
      <c r="U742" s="246" t="s">
        <v>1174</v>
      </c>
      <c r="V742" s="54" t="s">
        <v>1379</v>
      </c>
      <c r="W742" s="86"/>
      <c r="X742" s="41"/>
    </row>
    <row r="743" spans="1:24" ht="28.9">
      <c r="A743" s="58" t="s">
        <v>948</v>
      </c>
      <c r="B743" s="68">
        <v>44151.041666666701</v>
      </c>
      <c r="C743" s="115">
        <v>5</v>
      </c>
      <c r="D743" s="59" t="s">
        <v>200</v>
      </c>
      <c r="E743" s="7" t="s">
        <v>31</v>
      </c>
      <c r="F743" s="37" t="s">
        <v>199</v>
      </c>
      <c r="G743" s="32">
        <v>81.2</v>
      </c>
      <c r="H743" s="32">
        <v>79.7</v>
      </c>
      <c r="I743">
        <f>表1_4[[#This Row],[主队2]]-表1_4[[#This Row],[客队2]]</f>
        <v>1.5</v>
      </c>
      <c r="J74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743" s="35" t="s">
        <v>182</v>
      </c>
      <c r="L74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43" s="63" t="s">
        <v>298</v>
      </c>
      <c r="N743" s="10" t="s">
        <v>119</v>
      </c>
      <c r="O743" s="136" t="s">
        <v>24</v>
      </c>
      <c r="P743" s="9">
        <v>13</v>
      </c>
      <c r="R743" t="s">
        <v>852</v>
      </c>
      <c r="T743" s="3"/>
      <c r="U743" s="25" t="s">
        <v>521</v>
      </c>
      <c r="V743" s="75" t="s">
        <v>1380</v>
      </c>
      <c r="W743" s="80"/>
      <c r="X743" s="137"/>
    </row>
    <row r="744" spans="1:24" ht="28.9">
      <c r="A744" s="58" t="s">
        <v>948</v>
      </c>
      <c r="B744" s="97">
        <v>44151.041666666701</v>
      </c>
      <c r="C744" s="7">
        <v>5</v>
      </c>
      <c r="D744" s="59" t="s">
        <v>190</v>
      </c>
      <c r="E744" s="7" t="s">
        <v>29</v>
      </c>
      <c r="F744" s="37" t="s">
        <v>353</v>
      </c>
      <c r="G744" s="32">
        <v>83.2</v>
      </c>
      <c r="H744" s="32">
        <v>84.3</v>
      </c>
      <c r="I744">
        <f>表1_4[[#This Row],[主队2]]-表1_4[[#This Row],[客队2]]</f>
        <v>-1.0999999999999901</v>
      </c>
      <c r="J74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744" s="35" t="s">
        <v>166</v>
      </c>
      <c r="L74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44" s="11"/>
      <c r="N744" s="10" t="s">
        <v>112</v>
      </c>
      <c r="O744" s="117" t="s">
        <v>48</v>
      </c>
      <c r="P744" s="9">
        <v>-5</v>
      </c>
      <c r="R744" t="s">
        <v>852</v>
      </c>
      <c r="T744" s="3"/>
      <c r="U744" s="25"/>
      <c r="V744" s="24" t="s">
        <v>1381</v>
      </c>
      <c r="W744" s="38"/>
      <c r="X744" s="41"/>
    </row>
    <row r="745" spans="1:24" ht="28.9">
      <c r="A745" s="58" t="s">
        <v>948</v>
      </c>
      <c r="B745" s="4">
        <v>44151.041666666701</v>
      </c>
      <c r="C745" s="7">
        <v>5</v>
      </c>
      <c r="D745" s="59" t="s">
        <v>240</v>
      </c>
      <c r="E745" s="7" t="s">
        <v>22</v>
      </c>
      <c r="F745" s="37" t="s">
        <v>292</v>
      </c>
      <c r="G745" s="32">
        <v>72</v>
      </c>
      <c r="H745" s="32">
        <v>63.5</v>
      </c>
      <c r="I745">
        <f>表1_4[[#This Row],[主队2]]-表1_4[[#This Row],[客队2]]</f>
        <v>8.5</v>
      </c>
      <c r="J74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745" s="35" t="s">
        <v>289</v>
      </c>
      <c r="L74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745" s="11"/>
      <c r="N745" s="10" t="s">
        <v>119</v>
      </c>
      <c r="O745" s="117" t="s">
        <v>40</v>
      </c>
      <c r="P745" s="9">
        <v>11</v>
      </c>
      <c r="R745" t="s">
        <v>855</v>
      </c>
      <c r="T745" s="3"/>
      <c r="U745" s="25" t="s">
        <v>1382</v>
      </c>
      <c r="V745" s="24" t="s">
        <v>997</v>
      </c>
      <c r="W745" s="38"/>
      <c r="X745" s="41"/>
    </row>
    <row r="746" spans="1:24" ht="28.9">
      <c r="A746" s="58" t="s">
        <v>948</v>
      </c>
      <c r="B746" s="4">
        <v>44151.041666666701</v>
      </c>
      <c r="C746" s="138">
        <v>5</v>
      </c>
      <c r="D746" s="134" t="s">
        <v>205</v>
      </c>
      <c r="E746" s="7" t="s">
        <v>41</v>
      </c>
      <c r="F746" s="139" t="s">
        <v>288</v>
      </c>
      <c r="G746" s="43">
        <v>71.8</v>
      </c>
      <c r="H746" s="43">
        <v>65.900000000000006</v>
      </c>
      <c r="I746">
        <f>表1_4[[#This Row],[主队2]]-表1_4[[#This Row],[客队2]]</f>
        <v>5.8999999999999897</v>
      </c>
      <c r="J74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746" s="35" t="s">
        <v>118</v>
      </c>
      <c r="L74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46" s="11"/>
      <c r="N746" s="10" t="s">
        <v>119</v>
      </c>
      <c r="O746" s="117" t="s">
        <v>24</v>
      </c>
      <c r="P746" s="9">
        <v>18</v>
      </c>
      <c r="R746" t="s">
        <v>855</v>
      </c>
      <c r="T746" s="3"/>
      <c r="U746" s="246"/>
      <c r="V746" s="246" t="s">
        <v>1383</v>
      </c>
      <c r="W746" s="44"/>
      <c r="X746" s="45"/>
    </row>
    <row r="747" spans="1:24" ht="28.9">
      <c r="A747" s="58" t="s">
        <v>948</v>
      </c>
      <c r="B747" s="4">
        <v>44151.041666666701</v>
      </c>
      <c r="C747" s="140">
        <v>5</v>
      </c>
      <c r="D747" s="134" t="s">
        <v>262</v>
      </c>
      <c r="E747" s="7" t="s">
        <v>41</v>
      </c>
      <c r="F747" s="139" t="s">
        <v>255</v>
      </c>
      <c r="G747" s="43">
        <v>91.1</v>
      </c>
      <c r="H747" s="43">
        <v>81.2</v>
      </c>
      <c r="I747">
        <f>表1_4[[#This Row],[主队2]]-表1_4[[#This Row],[客队2]]</f>
        <v>9.8999999999999897</v>
      </c>
      <c r="J74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747" s="35" t="s">
        <v>81</v>
      </c>
      <c r="L74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747" s="11"/>
      <c r="N747" s="10" t="s">
        <v>119</v>
      </c>
      <c r="O747" s="117" t="s">
        <v>28</v>
      </c>
      <c r="P747" s="9">
        <v>2</v>
      </c>
      <c r="R747" t="s">
        <v>855</v>
      </c>
      <c r="T747" s="3"/>
      <c r="U747" s="83"/>
      <c r="V747" s="55" t="s">
        <v>1384</v>
      </c>
      <c r="W747" s="44"/>
      <c r="X747" s="45"/>
    </row>
    <row r="748" spans="1:24" ht="28.9">
      <c r="A748" s="58" t="s">
        <v>948</v>
      </c>
      <c r="B748" s="4">
        <v>44151.15625</v>
      </c>
      <c r="C748" s="138">
        <v>5</v>
      </c>
      <c r="D748" s="275" t="s">
        <v>204</v>
      </c>
      <c r="E748" s="7" t="s">
        <v>22</v>
      </c>
      <c r="F748" s="139" t="s">
        <v>302</v>
      </c>
      <c r="G748" s="43">
        <v>91.5</v>
      </c>
      <c r="H748" s="43">
        <v>87.3</v>
      </c>
      <c r="I748">
        <f>表1_4[[#This Row],[主队2]]-表1_4[[#This Row],[客队2]]</f>
        <v>4.2</v>
      </c>
      <c r="J74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748" s="35" t="s">
        <v>118</v>
      </c>
      <c r="L74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48" s="11"/>
      <c r="N748" s="10" t="s">
        <v>119</v>
      </c>
      <c r="O748" s="117" t="s">
        <v>51</v>
      </c>
      <c r="P748" s="9">
        <v>6</v>
      </c>
      <c r="R748" t="s">
        <v>855</v>
      </c>
      <c r="T748" s="3"/>
      <c r="U748" s="246"/>
      <c r="V748" s="54" t="s">
        <v>1385</v>
      </c>
      <c r="W748" s="241"/>
      <c r="X748" s="45"/>
    </row>
    <row r="749" spans="1:24" ht="28.9">
      <c r="A749" s="58" t="s">
        <v>948</v>
      </c>
      <c r="B749" s="4">
        <v>44151.15625</v>
      </c>
      <c r="C749" s="140">
        <v>5</v>
      </c>
      <c r="D749" s="134" t="s">
        <v>274</v>
      </c>
      <c r="E749" s="7" t="s">
        <v>22</v>
      </c>
      <c r="F749" s="139" t="s">
        <v>117</v>
      </c>
      <c r="G749" s="43">
        <v>96</v>
      </c>
      <c r="H749" s="43">
        <v>95.9</v>
      </c>
      <c r="I749">
        <f>表1_4[[#This Row],[主队2]]-表1_4[[#This Row],[客队2]]</f>
        <v>9.9999999999994302E-2</v>
      </c>
      <c r="J74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749" s="35" t="s">
        <v>182</v>
      </c>
      <c r="L74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49" s="11"/>
      <c r="N749" s="10" t="s">
        <v>119</v>
      </c>
      <c r="O749" s="117" t="s">
        <v>24</v>
      </c>
      <c r="P749" s="9">
        <v>7</v>
      </c>
      <c r="R749" t="s">
        <v>855</v>
      </c>
      <c r="T749" s="3"/>
      <c r="U749" s="83"/>
      <c r="V749" s="55" t="s">
        <v>1386</v>
      </c>
      <c r="W749" s="44"/>
      <c r="X749" s="45"/>
    </row>
    <row r="750" spans="1:24" ht="28.9">
      <c r="A750" s="58" t="s">
        <v>948</v>
      </c>
      <c r="B750" s="4">
        <v>44151.15625</v>
      </c>
      <c r="C750" s="140">
        <v>5</v>
      </c>
      <c r="D750" s="134" t="s">
        <v>306</v>
      </c>
      <c r="E750" s="7" t="s">
        <v>33</v>
      </c>
      <c r="F750" s="139" t="s">
        <v>218</v>
      </c>
      <c r="G750" s="43">
        <v>88.7</v>
      </c>
      <c r="H750" s="43">
        <v>78.3</v>
      </c>
      <c r="I750">
        <f>表1_4[[#This Row],[主队2]]-表1_4[[#This Row],[客队2]]</f>
        <v>10.4</v>
      </c>
      <c r="J75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750" s="35" t="s">
        <v>125</v>
      </c>
      <c r="L75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50" s="11"/>
      <c r="N750" s="46" t="s">
        <v>112</v>
      </c>
      <c r="O750" s="117" t="s">
        <v>28</v>
      </c>
      <c r="P750" s="9">
        <v>-2</v>
      </c>
      <c r="T750" s="3"/>
      <c r="U750" s="83"/>
      <c r="V750" s="54" t="s">
        <v>1387</v>
      </c>
      <c r="W750" s="80"/>
      <c r="X750" s="137"/>
    </row>
    <row r="751" spans="1:24" ht="28.9">
      <c r="A751" s="58" t="s">
        <v>948</v>
      </c>
      <c r="B751" s="4">
        <v>44151.15625</v>
      </c>
      <c r="C751" s="140">
        <v>5</v>
      </c>
      <c r="D751" s="134" t="s">
        <v>194</v>
      </c>
      <c r="E751" s="7" t="s">
        <v>33</v>
      </c>
      <c r="F751" s="139" t="s">
        <v>296</v>
      </c>
      <c r="G751" s="43">
        <v>83.3</v>
      </c>
      <c r="H751" s="43">
        <v>76.3</v>
      </c>
      <c r="I751">
        <f>表1_4[[#This Row],[主队2]]-表1_4[[#This Row],[客队2]]</f>
        <v>7</v>
      </c>
      <c r="J75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751" s="35" t="s">
        <v>176</v>
      </c>
      <c r="L75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51" s="11"/>
      <c r="N751" s="46" t="s">
        <v>895</v>
      </c>
      <c r="O751" s="117" t="s">
        <v>28</v>
      </c>
      <c r="P751" s="9">
        <v>-9</v>
      </c>
      <c r="R751" t="s">
        <v>855</v>
      </c>
      <c r="T751" s="3"/>
      <c r="U751" s="25"/>
      <c r="V751" s="80" t="s">
        <v>1388</v>
      </c>
      <c r="W751" s="80" t="s">
        <v>280</v>
      </c>
      <c r="X751" s="137"/>
    </row>
    <row r="752" spans="1:24">
      <c r="A752" s="58" t="s">
        <v>948</v>
      </c>
      <c r="B752" s="4">
        <v>44151.15625</v>
      </c>
      <c r="C752" s="138">
        <v>5</v>
      </c>
      <c r="D752" s="134" t="s">
        <v>195</v>
      </c>
      <c r="E752" s="7" t="s">
        <v>47</v>
      </c>
      <c r="F752" s="139" t="s">
        <v>275</v>
      </c>
      <c r="G752" s="43">
        <v>60.8</v>
      </c>
      <c r="H752" s="43">
        <v>77.5</v>
      </c>
      <c r="I752">
        <f>表1_4[[#This Row],[主队2]]-表1_4[[#This Row],[客队2]]</f>
        <v>-16.7</v>
      </c>
      <c r="J75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752" s="35" t="s">
        <v>219</v>
      </c>
      <c r="L75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52" s="11"/>
      <c r="N752" s="10" t="s">
        <v>119</v>
      </c>
      <c r="O752" s="117" t="s">
        <v>143</v>
      </c>
      <c r="P752" s="9">
        <v>5</v>
      </c>
      <c r="R752" t="s">
        <v>855</v>
      </c>
      <c r="T752" s="3"/>
      <c r="U752" s="83"/>
      <c r="V752" s="55" t="s">
        <v>1389</v>
      </c>
      <c r="W752" s="241"/>
      <c r="X752" s="45"/>
    </row>
    <row r="753" spans="1:24" ht="28.9">
      <c r="A753" s="58" t="s">
        <v>948</v>
      </c>
      <c r="B753" s="4">
        <v>44151.15625</v>
      </c>
      <c r="C753" s="140">
        <v>5</v>
      </c>
      <c r="D753" s="134" t="s">
        <v>309</v>
      </c>
      <c r="E753" s="7" t="s">
        <v>33</v>
      </c>
      <c r="F753" s="139" t="s">
        <v>217</v>
      </c>
      <c r="G753" s="43">
        <v>77.5</v>
      </c>
      <c r="H753" s="43">
        <v>68.5</v>
      </c>
      <c r="I753">
        <f>表1_4[[#This Row],[主队2]]-表1_4[[#This Row],[客队2]]</f>
        <v>9</v>
      </c>
      <c r="J75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753" s="35" t="s">
        <v>289</v>
      </c>
      <c r="L75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753" s="11"/>
      <c r="N753" s="10" t="s">
        <v>112</v>
      </c>
      <c r="O753" s="117" t="s">
        <v>48</v>
      </c>
      <c r="P753" s="9">
        <v>27</v>
      </c>
      <c r="R753" t="s">
        <v>855</v>
      </c>
      <c r="T753" s="3"/>
      <c r="U753" s="246"/>
      <c r="V753" s="246" t="s">
        <v>1031</v>
      </c>
      <c r="W753" s="44"/>
      <c r="X753" s="45"/>
    </row>
    <row r="754" spans="1:24" ht="28.9">
      <c r="A754" s="58" t="s">
        <v>948</v>
      </c>
      <c r="B754" s="4">
        <v>44151.15625</v>
      </c>
      <c r="C754" s="138">
        <v>5</v>
      </c>
      <c r="D754" s="134" t="s">
        <v>284</v>
      </c>
      <c r="E754" s="7" t="s">
        <v>31</v>
      </c>
      <c r="F754" s="139" t="s">
        <v>210</v>
      </c>
      <c r="G754" s="43">
        <v>82.5</v>
      </c>
      <c r="H754" s="43">
        <v>75.2</v>
      </c>
      <c r="I754">
        <f>表1_4[[#This Row],[主队2]]-表1_4[[#This Row],[客队2]]</f>
        <v>7.3</v>
      </c>
      <c r="J75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754" s="35" t="s">
        <v>118</v>
      </c>
      <c r="L75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54" s="11"/>
      <c r="N754" s="10" t="s">
        <v>119</v>
      </c>
      <c r="O754" s="117" t="s">
        <v>28</v>
      </c>
      <c r="P754" s="9">
        <v>14</v>
      </c>
      <c r="R754" t="s">
        <v>852</v>
      </c>
      <c r="T754" s="3"/>
      <c r="U754" s="246" t="s">
        <v>521</v>
      </c>
      <c r="V754" s="80" t="s">
        <v>1390</v>
      </c>
      <c r="W754" s="44"/>
      <c r="X754" s="45"/>
    </row>
    <row r="755" spans="1:24" ht="28.9">
      <c r="A755" s="58" t="s">
        <v>948</v>
      </c>
      <c r="B755" s="4">
        <v>44151.15625</v>
      </c>
      <c r="C755" s="140">
        <v>5</v>
      </c>
      <c r="D755" s="134" t="s">
        <v>271</v>
      </c>
      <c r="E755" s="7" t="s">
        <v>36</v>
      </c>
      <c r="F755" s="139" t="s">
        <v>434</v>
      </c>
      <c r="G755" s="43">
        <v>78</v>
      </c>
      <c r="H755" s="43">
        <v>82.3</v>
      </c>
      <c r="I755">
        <f>表1_4[[#This Row],[主队2]]-表1_4[[#This Row],[客队2]]</f>
        <v>-4.3</v>
      </c>
      <c r="J75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755" s="35" t="s">
        <v>166</v>
      </c>
      <c r="L75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55" s="11"/>
      <c r="N755" s="10" t="s">
        <v>112</v>
      </c>
      <c r="O755" s="117" t="s">
        <v>51</v>
      </c>
      <c r="P755" s="9">
        <v>2</v>
      </c>
      <c r="T755" s="3"/>
      <c r="U755" s="246"/>
      <c r="V755" s="246" t="s">
        <v>1391</v>
      </c>
      <c r="W755" s="80"/>
      <c r="X755" s="137"/>
    </row>
    <row r="756" spans="1:24">
      <c r="A756" s="58" t="s">
        <v>948</v>
      </c>
      <c r="B756" s="4">
        <v>44153.15625</v>
      </c>
      <c r="C756" s="141">
        <v>6</v>
      </c>
      <c r="D756" s="134" t="s">
        <v>256</v>
      </c>
      <c r="E756" s="7" t="s">
        <v>36</v>
      </c>
      <c r="F756" s="139" t="s">
        <v>437</v>
      </c>
      <c r="G756" s="43">
        <v>39.5</v>
      </c>
      <c r="H756" s="43">
        <v>47.3</v>
      </c>
      <c r="I756">
        <f>表1_4[[#This Row],[主队2]]-表1_4[[#This Row],[客队2]]</f>
        <v>-7.8</v>
      </c>
      <c r="J75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756" s="35" t="s">
        <v>166</v>
      </c>
      <c r="L75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756" s="11"/>
      <c r="N756" s="10" t="s">
        <v>119</v>
      </c>
      <c r="O756" s="117" t="s">
        <v>39</v>
      </c>
      <c r="P756" s="9" t="s">
        <v>161</v>
      </c>
      <c r="T756" s="3"/>
      <c r="U756" s="83"/>
      <c r="V756" s="55" t="s">
        <v>1392</v>
      </c>
      <c r="W756" s="51"/>
      <c r="X756" s="45"/>
    </row>
    <row r="757" spans="1:24" ht="28.9">
      <c r="A757" s="58" t="s">
        <v>948</v>
      </c>
      <c r="B757" s="4">
        <v>44153.15625</v>
      </c>
      <c r="C757" s="141">
        <v>6</v>
      </c>
      <c r="D757" s="134" t="s">
        <v>243</v>
      </c>
      <c r="E757" s="7" t="s">
        <v>978</v>
      </c>
      <c r="F757" s="139" t="s">
        <v>251</v>
      </c>
      <c r="G757" s="43">
        <v>47.1</v>
      </c>
      <c r="H757" s="43">
        <v>60.9</v>
      </c>
      <c r="I757">
        <f>表1_4[[#This Row],[主队2]]-表1_4[[#This Row],[客队2]]</f>
        <v>-13.8</v>
      </c>
      <c r="J75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757" s="35" t="s">
        <v>132</v>
      </c>
      <c r="L75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757" s="11"/>
      <c r="N757" s="10" t="s">
        <v>119</v>
      </c>
      <c r="O757" s="117" t="s">
        <v>40</v>
      </c>
      <c r="P757" s="9" t="s">
        <v>161</v>
      </c>
      <c r="R757" t="s">
        <v>855</v>
      </c>
      <c r="T757" s="3"/>
      <c r="U757" s="246" t="s">
        <v>688</v>
      </c>
      <c r="V757" s="234" t="s">
        <v>1393</v>
      </c>
      <c r="W757" s="142"/>
      <c r="X757" s="45"/>
    </row>
    <row r="758" spans="1:24" ht="28.9">
      <c r="A758" s="58" t="s">
        <v>948</v>
      </c>
      <c r="B758" s="4">
        <v>44153.15625</v>
      </c>
      <c r="C758" s="140">
        <v>6</v>
      </c>
      <c r="D758" s="134" t="s">
        <v>929</v>
      </c>
      <c r="E758" s="7" t="s">
        <v>36</v>
      </c>
      <c r="F758" s="260" t="s">
        <v>244</v>
      </c>
      <c r="G758" s="43">
        <v>56.7</v>
      </c>
      <c r="H758" s="43">
        <v>57.6</v>
      </c>
      <c r="I758">
        <f>表1_4[[#This Row],[主队2]]-表1_4[[#This Row],[客队2]]</f>
        <v>-0.89999999999999902</v>
      </c>
      <c r="J75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758" s="35" t="s">
        <v>166</v>
      </c>
      <c r="L75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58" s="11"/>
      <c r="N758" s="10" t="s">
        <v>119</v>
      </c>
      <c r="O758" s="136" t="s">
        <v>24</v>
      </c>
      <c r="P758" s="9" t="s">
        <v>161</v>
      </c>
      <c r="T758" s="3"/>
      <c r="U758" s="83"/>
      <c r="V758" s="64" t="s">
        <v>1394</v>
      </c>
      <c r="W758" s="48"/>
      <c r="X758" s="45"/>
    </row>
    <row r="759" spans="1:24" ht="28.9">
      <c r="A759" s="58" t="s">
        <v>948</v>
      </c>
      <c r="B759" s="4">
        <v>44153.15625</v>
      </c>
      <c r="C759" s="140">
        <v>6</v>
      </c>
      <c r="D759" s="134" t="s">
        <v>110</v>
      </c>
      <c r="E759" s="7" t="s">
        <v>62</v>
      </c>
      <c r="F759" s="139" t="s">
        <v>270</v>
      </c>
      <c r="G759" s="43">
        <v>87.1</v>
      </c>
      <c r="H759" s="43">
        <v>93.9</v>
      </c>
      <c r="I759">
        <f>表1_4[[#This Row],[主队2]]-表1_4[[#This Row],[客队2]]</f>
        <v>-6.8000000000000096</v>
      </c>
      <c r="J75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759" s="35" t="s">
        <v>152</v>
      </c>
      <c r="L75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59" s="11"/>
      <c r="N759" s="10" t="s">
        <v>112</v>
      </c>
      <c r="O759" s="117" t="s">
        <v>24</v>
      </c>
      <c r="P759" s="9">
        <v>22</v>
      </c>
      <c r="R759" t="s">
        <v>852</v>
      </c>
      <c r="T759" s="3"/>
      <c r="U759" s="246"/>
      <c r="V759" s="54" t="s">
        <v>1395</v>
      </c>
      <c r="W759" s="51"/>
      <c r="X759" s="45"/>
    </row>
    <row r="760" spans="1:24">
      <c r="A760" s="58" t="s">
        <v>948</v>
      </c>
      <c r="B760" s="4">
        <v>44153.15625</v>
      </c>
      <c r="C760" s="138">
        <v>6</v>
      </c>
      <c r="D760" s="134" t="s">
        <v>267</v>
      </c>
      <c r="E760" s="7" t="s">
        <v>54</v>
      </c>
      <c r="F760" s="139" t="s">
        <v>239</v>
      </c>
      <c r="G760" s="43">
        <v>97</v>
      </c>
      <c r="H760" s="43">
        <v>86.3</v>
      </c>
      <c r="I760">
        <f>表1_4[[#This Row],[主队2]]-表1_4[[#This Row],[客队2]]</f>
        <v>10.7</v>
      </c>
      <c r="J76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760" s="35" t="s">
        <v>118</v>
      </c>
      <c r="L76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760" s="11"/>
      <c r="N760" s="10" t="s">
        <v>112</v>
      </c>
      <c r="O760" s="10" t="s">
        <v>28</v>
      </c>
      <c r="P760" s="9">
        <v>17</v>
      </c>
      <c r="R760" t="s">
        <v>855</v>
      </c>
      <c r="T760" s="3"/>
      <c r="U760" s="25"/>
      <c r="V760" s="54" t="s">
        <v>1396</v>
      </c>
      <c r="W760" s="52"/>
      <c r="X760" s="45"/>
    </row>
    <row r="761" spans="1:24">
      <c r="A761" s="58" t="s">
        <v>948</v>
      </c>
      <c r="B761" s="97">
        <v>44153.15625</v>
      </c>
      <c r="C761" s="140">
        <v>6</v>
      </c>
      <c r="D761" s="134" t="s">
        <v>209</v>
      </c>
      <c r="E761" s="7" t="s">
        <v>55</v>
      </c>
      <c r="F761" s="139" t="s">
        <v>116</v>
      </c>
      <c r="G761" s="43">
        <v>97.7</v>
      </c>
      <c r="H761" s="43">
        <v>96.3</v>
      </c>
      <c r="I761">
        <f>表1_4[[#This Row],[主队2]]-表1_4[[#This Row],[客队2]]</f>
        <v>1.4000000000000099</v>
      </c>
      <c r="J76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761" s="35" t="s">
        <v>166</v>
      </c>
      <c r="L76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761" s="11"/>
      <c r="N761" s="10" t="s">
        <v>112</v>
      </c>
      <c r="O761" s="10" t="s">
        <v>65</v>
      </c>
      <c r="P761" s="9">
        <v>-8</v>
      </c>
      <c r="R761" t="s">
        <v>855</v>
      </c>
      <c r="T761" s="3"/>
      <c r="U761" s="25"/>
      <c r="V761" s="242" t="s">
        <v>1397</v>
      </c>
      <c r="W761" s="52"/>
      <c r="X761" s="45"/>
    </row>
    <row r="762" spans="1:24">
      <c r="A762" s="58" t="s">
        <v>948</v>
      </c>
      <c r="B762" s="4">
        <v>44153.15625</v>
      </c>
      <c r="C762" s="141">
        <v>6</v>
      </c>
      <c r="D762" s="134" t="s">
        <v>266</v>
      </c>
      <c r="E762" s="7" t="s">
        <v>42</v>
      </c>
      <c r="F762" s="139" t="s">
        <v>278</v>
      </c>
      <c r="G762" s="43">
        <v>62</v>
      </c>
      <c r="H762" s="43">
        <v>64.7</v>
      </c>
      <c r="I762">
        <f>表1_4[[#This Row],[主队2]]-表1_4[[#This Row],[客队2]]</f>
        <v>-2.7</v>
      </c>
      <c r="J76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762" s="35" t="s">
        <v>289</v>
      </c>
      <c r="L76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762" s="11"/>
      <c r="N762" s="10" t="s">
        <v>119</v>
      </c>
      <c r="O762" s="10" t="s">
        <v>35</v>
      </c>
      <c r="P762" s="9" t="s">
        <v>161</v>
      </c>
      <c r="R762" t="s">
        <v>852</v>
      </c>
      <c r="T762" s="3"/>
      <c r="U762" s="246" t="s">
        <v>226</v>
      </c>
      <c r="V762" s="231" t="s">
        <v>1398</v>
      </c>
      <c r="W762" s="56"/>
      <c r="X762" s="45"/>
    </row>
    <row r="763" spans="1:24">
      <c r="A763" s="58" t="s">
        <v>948</v>
      </c>
      <c r="B763" s="4">
        <v>44153.15625</v>
      </c>
      <c r="C763" s="138">
        <v>6</v>
      </c>
      <c r="D763" s="134" t="s">
        <v>301</v>
      </c>
      <c r="E763" s="7" t="s">
        <v>37</v>
      </c>
      <c r="F763" s="139" t="s">
        <v>407</v>
      </c>
      <c r="G763" s="43">
        <v>72.599999999999994</v>
      </c>
      <c r="H763" s="43">
        <v>64</v>
      </c>
      <c r="I763">
        <f>表1_4[[#This Row],[主队2]]-表1_4[[#This Row],[客队2]]</f>
        <v>8.5999999999999908</v>
      </c>
      <c r="J76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763" s="35" t="s">
        <v>118</v>
      </c>
      <c r="L76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63" s="11"/>
      <c r="N763" s="10" t="s">
        <v>119</v>
      </c>
      <c r="O763" s="10" t="s">
        <v>28</v>
      </c>
      <c r="P763" s="9">
        <v>25</v>
      </c>
      <c r="R763" t="s">
        <v>855</v>
      </c>
      <c r="T763" s="3"/>
      <c r="U763" s="25"/>
      <c r="V763" s="242" t="s">
        <v>1399</v>
      </c>
      <c r="W763" s="52" t="s">
        <v>381</v>
      </c>
      <c r="X763" s="45"/>
    </row>
    <row r="764" spans="1:24">
      <c r="A764" s="58" t="s">
        <v>948</v>
      </c>
      <c r="B764" s="4">
        <v>44153.958333333299</v>
      </c>
      <c r="C764" s="140">
        <v>6</v>
      </c>
      <c r="D764" s="134" t="s">
        <v>205</v>
      </c>
      <c r="E764" s="7" t="s">
        <v>29</v>
      </c>
      <c r="F764" s="139" t="s">
        <v>240</v>
      </c>
      <c r="G764" s="43">
        <v>72.5</v>
      </c>
      <c r="H764" s="43">
        <v>72.599999999999994</v>
      </c>
      <c r="I764">
        <f>表1_4[[#This Row],[主队2]]-表1_4[[#This Row],[客队2]]</f>
        <v>-9.9999999999994302E-2</v>
      </c>
      <c r="J76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764" s="35" t="s">
        <v>289</v>
      </c>
      <c r="L76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764" s="11"/>
      <c r="N764" s="10" t="s">
        <v>119</v>
      </c>
      <c r="O764" s="10" t="s">
        <v>40</v>
      </c>
      <c r="P764" s="9">
        <v>22</v>
      </c>
      <c r="R764" t="s">
        <v>852</v>
      </c>
      <c r="T764" s="3"/>
      <c r="U764" s="25" t="s">
        <v>1400</v>
      </c>
      <c r="V764" s="54" t="s">
        <v>1401</v>
      </c>
      <c r="W764" s="52" t="s">
        <v>381</v>
      </c>
      <c r="X764" s="45"/>
    </row>
    <row r="765" spans="1:24">
      <c r="A765" s="58" t="s">
        <v>948</v>
      </c>
      <c r="B765" s="4">
        <v>44153.958333333299</v>
      </c>
      <c r="C765" s="140">
        <v>6</v>
      </c>
      <c r="D765" s="134" t="s">
        <v>288</v>
      </c>
      <c r="E765" s="7" t="s">
        <v>60</v>
      </c>
      <c r="F765" s="139" t="s">
        <v>292</v>
      </c>
      <c r="G765" s="43">
        <v>65.2</v>
      </c>
      <c r="H765" s="43">
        <v>62.9</v>
      </c>
      <c r="I765">
        <f>表1_4[[#This Row],[主队2]]-表1_4[[#This Row],[客队2]]</f>
        <v>2.2999999999999998</v>
      </c>
      <c r="J76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765" s="35" t="s">
        <v>289</v>
      </c>
      <c r="L76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65" s="11"/>
      <c r="N765" s="10" t="s">
        <v>133</v>
      </c>
      <c r="O765" s="10" t="s">
        <v>40</v>
      </c>
      <c r="P765" s="9">
        <v>17</v>
      </c>
      <c r="R765" t="s">
        <v>852</v>
      </c>
      <c r="T765" s="3"/>
      <c r="U765" s="246" t="s">
        <v>1382</v>
      </c>
      <c r="V765" s="231" t="s">
        <v>1402</v>
      </c>
      <c r="W765" s="48"/>
      <c r="X765" s="45"/>
    </row>
    <row r="766" spans="1:24" ht="28.9">
      <c r="A766" s="58" t="s">
        <v>948</v>
      </c>
      <c r="B766" s="4">
        <v>44154.041666666701</v>
      </c>
      <c r="C766" s="141">
        <v>6</v>
      </c>
      <c r="D766" s="134" t="s">
        <v>287</v>
      </c>
      <c r="E766" s="7" t="s">
        <v>31</v>
      </c>
      <c r="F766" s="139" t="s">
        <v>572</v>
      </c>
      <c r="G766" s="43">
        <v>69.3</v>
      </c>
      <c r="H766" s="43">
        <v>73.900000000000006</v>
      </c>
      <c r="I766">
        <f>表1_4[[#This Row],[主队2]]-表1_4[[#This Row],[客队2]]</f>
        <v>-4.6000000000000103</v>
      </c>
      <c r="J766" s="34">
        <v>-0.5</v>
      </c>
      <c r="K766" s="35" t="s">
        <v>166</v>
      </c>
      <c r="L76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766" s="11"/>
      <c r="N766" s="10" t="s">
        <v>133</v>
      </c>
      <c r="O766" s="114" t="s">
        <v>48</v>
      </c>
      <c r="P766" s="9" t="s">
        <v>161</v>
      </c>
      <c r="T766" s="3"/>
      <c r="U766" s="83" t="s">
        <v>776</v>
      </c>
      <c r="V766" s="55" t="s">
        <v>1403</v>
      </c>
      <c r="W766" s="52" t="s">
        <v>1404</v>
      </c>
      <c r="X766" s="45"/>
    </row>
    <row r="767" spans="1:24">
      <c r="A767" s="58" t="s">
        <v>948</v>
      </c>
      <c r="B767" s="4">
        <v>44154.041666666701</v>
      </c>
      <c r="C767" s="140">
        <v>6</v>
      </c>
      <c r="D767" s="134" t="s">
        <v>430</v>
      </c>
      <c r="E767" s="7" t="s">
        <v>42</v>
      </c>
      <c r="F767" s="139" t="s">
        <v>403</v>
      </c>
      <c r="G767" s="43">
        <v>71.599999999999994</v>
      </c>
      <c r="H767" s="43">
        <v>65</v>
      </c>
      <c r="I767">
        <f>表1_4[[#This Row],[主队2]]-表1_4[[#This Row],[客队2]]</f>
        <v>6.5999999999999899</v>
      </c>
      <c r="J76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767" s="35" t="s">
        <v>176</v>
      </c>
      <c r="L76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67" s="63" t="s">
        <v>326</v>
      </c>
      <c r="N767" s="57" t="s">
        <v>119</v>
      </c>
      <c r="O767" s="57" t="s">
        <v>48</v>
      </c>
      <c r="P767" s="9">
        <v>16</v>
      </c>
      <c r="T767" s="3"/>
      <c r="U767" s="246"/>
      <c r="V767" s="234" t="s">
        <v>1405</v>
      </c>
      <c r="W767" s="56"/>
      <c r="X767" s="45"/>
    </row>
    <row r="768" spans="1:24">
      <c r="A768" s="58" t="s">
        <v>948</v>
      </c>
      <c r="B768" s="4">
        <v>44154.15625</v>
      </c>
      <c r="C768" s="138">
        <v>6</v>
      </c>
      <c r="D768" s="134" t="s">
        <v>255</v>
      </c>
      <c r="E768" s="7" t="s">
        <v>47</v>
      </c>
      <c r="F768" s="260" t="s">
        <v>204</v>
      </c>
      <c r="G768" s="43">
        <v>80.599999999999994</v>
      </c>
      <c r="H768" s="43">
        <v>92.2</v>
      </c>
      <c r="I768">
        <f>表1_4[[#This Row],[主队2]]-表1_4[[#This Row],[客队2]]</f>
        <v>-11.6</v>
      </c>
      <c r="J76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768" s="35" t="s">
        <v>219</v>
      </c>
      <c r="L76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768" s="11"/>
      <c r="N768" s="10" t="s">
        <v>112</v>
      </c>
      <c r="O768" s="10" t="s">
        <v>24</v>
      </c>
      <c r="P768" s="9">
        <v>13</v>
      </c>
      <c r="R768" t="s">
        <v>852</v>
      </c>
      <c r="T768" s="3"/>
      <c r="U768" s="246"/>
      <c r="V768" s="25" t="s">
        <v>1406</v>
      </c>
      <c r="W768" s="52"/>
      <c r="X768" s="45"/>
    </row>
    <row r="769" spans="1:24">
      <c r="A769" s="58" t="s">
        <v>948</v>
      </c>
      <c r="B769" s="4">
        <v>44154.15625</v>
      </c>
      <c r="C769" s="140">
        <v>6</v>
      </c>
      <c r="D769" s="134" t="s">
        <v>302</v>
      </c>
      <c r="E769" s="7" t="s">
        <v>60</v>
      </c>
      <c r="F769" s="139" t="s">
        <v>262</v>
      </c>
      <c r="G769" s="43">
        <v>86.6</v>
      </c>
      <c r="H769" s="43">
        <v>91.7</v>
      </c>
      <c r="I769">
        <f>表1_4[[#This Row],[主队2]]-表1_4[[#This Row],[客队2]]</f>
        <v>-5.1000000000000103</v>
      </c>
      <c r="J76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769" s="35" t="s">
        <v>152</v>
      </c>
      <c r="L76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69" s="11"/>
      <c r="N769" s="10" t="s">
        <v>112</v>
      </c>
      <c r="O769" s="10" t="s">
        <v>35</v>
      </c>
      <c r="P769" s="9">
        <v>19</v>
      </c>
      <c r="R769" t="s">
        <v>852</v>
      </c>
      <c r="T769" s="3"/>
      <c r="U769" s="25" t="s">
        <v>647</v>
      </c>
      <c r="V769" s="143" t="s">
        <v>1407</v>
      </c>
      <c r="W769" s="241"/>
      <c r="X769" s="45"/>
    </row>
    <row r="770" spans="1:24">
      <c r="A770" s="58" t="s">
        <v>948</v>
      </c>
      <c r="B770" s="4">
        <v>44154.15625</v>
      </c>
      <c r="C770" s="138">
        <v>6</v>
      </c>
      <c r="D770" s="134" t="s">
        <v>274</v>
      </c>
      <c r="E770" s="7" t="s">
        <v>54</v>
      </c>
      <c r="F770" s="139" t="s">
        <v>306</v>
      </c>
      <c r="G770" s="43">
        <v>96.9</v>
      </c>
      <c r="H770" s="43">
        <v>88.5</v>
      </c>
      <c r="I770">
        <f>表1_4[[#This Row],[主队2]]-表1_4[[#This Row],[客队2]]</f>
        <v>8.4000000000000092</v>
      </c>
      <c r="J77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770" s="35" t="s">
        <v>118</v>
      </c>
      <c r="L77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70" s="11"/>
      <c r="N770" s="10" t="s">
        <v>119</v>
      </c>
      <c r="O770" s="10" t="s">
        <v>143</v>
      </c>
      <c r="P770" s="9">
        <v>26</v>
      </c>
      <c r="R770" t="s">
        <v>852</v>
      </c>
      <c r="T770" s="3"/>
      <c r="U770" s="25"/>
      <c r="V770" s="25" t="s">
        <v>1408</v>
      </c>
      <c r="W770" s="241"/>
      <c r="X770" s="45"/>
    </row>
    <row r="771" spans="1:24">
      <c r="A771" s="58" t="s">
        <v>948</v>
      </c>
      <c r="B771" s="4">
        <v>44154.15625</v>
      </c>
      <c r="C771" s="138">
        <v>6</v>
      </c>
      <c r="D771" s="134" t="s">
        <v>117</v>
      </c>
      <c r="E771" s="7" t="s">
        <v>37</v>
      </c>
      <c r="F771" s="139" t="s">
        <v>218</v>
      </c>
      <c r="G771" s="43">
        <v>95</v>
      </c>
      <c r="H771" s="43">
        <v>78.5</v>
      </c>
      <c r="I771">
        <f>表1_4[[#This Row],[主队2]]-表1_4[[#This Row],[客队2]]</f>
        <v>16.5</v>
      </c>
      <c r="J77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771" s="35" t="s">
        <v>81</v>
      </c>
      <c r="L77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771" s="11"/>
      <c r="N771" s="46" t="s">
        <v>160</v>
      </c>
      <c r="O771" s="10" t="s">
        <v>24</v>
      </c>
      <c r="P771" s="9">
        <v>-7</v>
      </c>
      <c r="R771" t="s">
        <v>852</v>
      </c>
      <c r="T771" s="3"/>
      <c r="U771" s="25" t="s">
        <v>448</v>
      </c>
      <c r="V771" s="143" t="s">
        <v>1409</v>
      </c>
      <c r="W771" s="143" t="s">
        <v>280</v>
      </c>
      <c r="X771" s="144"/>
    </row>
    <row r="772" spans="1:24">
      <c r="A772" s="58" t="s">
        <v>948</v>
      </c>
      <c r="B772" s="4">
        <v>44154.15625</v>
      </c>
      <c r="C772" s="140">
        <v>6</v>
      </c>
      <c r="D772" s="134" t="s">
        <v>194</v>
      </c>
      <c r="E772" s="7" t="s">
        <v>36</v>
      </c>
      <c r="F772" s="139" t="s">
        <v>297</v>
      </c>
      <c r="G772" s="43">
        <v>83.4</v>
      </c>
      <c r="H772" s="43">
        <v>81.599999999999994</v>
      </c>
      <c r="I772">
        <f>表1_4[[#This Row],[主队2]]-表1_4[[#This Row],[客队2]]</f>
        <v>1.80000000000001</v>
      </c>
      <c r="J77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772" s="35" t="s">
        <v>63</v>
      </c>
      <c r="L77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772" s="11"/>
      <c r="N772" s="10" t="s">
        <v>133</v>
      </c>
      <c r="O772" s="10" t="s">
        <v>24</v>
      </c>
      <c r="P772" s="9" t="s">
        <v>161</v>
      </c>
      <c r="T772" s="3"/>
      <c r="U772" s="25" t="s">
        <v>521</v>
      </c>
      <c r="V772" s="54" t="s">
        <v>1410</v>
      </c>
      <c r="W772" s="48"/>
      <c r="X772" s="45"/>
    </row>
    <row r="773" spans="1:24">
      <c r="A773" s="58" t="s">
        <v>948</v>
      </c>
      <c r="B773" s="4">
        <v>44154.15625</v>
      </c>
      <c r="C773" s="141">
        <v>6</v>
      </c>
      <c r="D773" s="134" t="s">
        <v>296</v>
      </c>
      <c r="E773" s="7" t="s">
        <v>36</v>
      </c>
      <c r="F773" s="139" t="s">
        <v>305</v>
      </c>
      <c r="G773" s="43">
        <v>76.2</v>
      </c>
      <c r="H773" s="43">
        <v>80.099999999999994</v>
      </c>
      <c r="I773">
        <f>表1_4[[#This Row],[主队2]]-表1_4[[#This Row],[客队2]]</f>
        <v>-3.8999999999999901</v>
      </c>
      <c r="J77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773" s="35" t="s">
        <v>152</v>
      </c>
      <c r="L77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73" s="11"/>
      <c r="N773" s="10" t="s">
        <v>133</v>
      </c>
      <c r="O773" s="10" t="s">
        <v>65</v>
      </c>
      <c r="P773" s="9">
        <v>5</v>
      </c>
      <c r="T773" s="3"/>
      <c r="U773" s="83"/>
      <c r="V773" s="55" t="s">
        <v>1411</v>
      </c>
      <c r="W773" s="56"/>
      <c r="X773" s="45"/>
    </row>
    <row r="774" spans="1:24">
      <c r="A774" s="58" t="s">
        <v>948</v>
      </c>
      <c r="B774" s="4">
        <v>44154.15625</v>
      </c>
      <c r="C774" s="138">
        <v>6</v>
      </c>
      <c r="D774" s="134" t="s">
        <v>284</v>
      </c>
      <c r="E774" s="7" t="s">
        <v>22</v>
      </c>
      <c r="F774" s="139" t="s">
        <v>425</v>
      </c>
      <c r="G774" s="43">
        <v>82.4</v>
      </c>
      <c r="H774" s="43">
        <v>80.400000000000006</v>
      </c>
      <c r="I774">
        <f>表1_4[[#This Row],[主队2]]-表1_4[[#This Row],[客队2]]</f>
        <v>2</v>
      </c>
      <c r="J77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774" s="35" t="s">
        <v>176</v>
      </c>
      <c r="L77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774" s="11"/>
      <c r="N774" s="10" t="s">
        <v>112</v>
      </c>
      <c r="O774" s="10" t="s">
        <v>35</v>
      </c>
      <c r="P774" s="9">
        <v>12</v>
      </c>
      <c r="R774" t="s">
        <v>852</v>
      </c>
      <c r="T774" s="3"/>
      <c r="U774" s="25" t="s">
        <v>310</v>
      </c>
      <c r="V774" s="54" t="s">
        <v>1412</v>
      </c>
      <c r="W774" s="241"/>
      <c r="X774" s="45"/>
    </row>
    <row r="775" spans="1:24">
      <c r="A775" s="58" t="s">
        <v>948</v>
      </c>
      <c r="B775" s="4">
        <v>44154.15625</v>
      </c>
      <c r="C775" s="140">
        <v>6</v>
      </c>
      <c r="D775" s="134" t="s">
        <v>210</v>
      </c>
      <c r="E775" s="7" t="s">
        <v>31</v>
      </c>
      <c r="F775" s="139" t="s">
        <v>123</v>
      </c>
      <c r="G775" s="43">
        <v>75.400000000000006</v>
      </c>
      <c r="H775" s="43">
        <v>78.900000000000006</v>
      </c>
      <c r="I775">
        <f>表1_4[[#This Row],[主队2]]-表1_4[[#This Row],[客队2]]</f>
        <v>-3.5</v>
      </c>
      <c r="J77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775" s="35" t="s">
        <v>166</v>
      </c>
      <c r="L77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75" s="11"/>
      <c r="N775" s="10" t="s">
        <v>119</v>
      </c>
      <c r="O775" s="10" t="s">
        <v>40</v>
      </c>
      <c r="P775" s="9">
        <v>-15</v>
      </c>
      <c r="R775" t="s">
        <v>852</v>
      </c>
      <c r="T775" s="3"/>
      <c r="U775" s="231" t="s">
        <v>1413</v>
      </c>
      <c r="V775" s="231" t="s">
        <v>1414</v>
      </c>
      <c r="W775" s="231"/>
      <c r="X775" s="137"/>
    </row>
    <row r="776" spans="1:24">
      <c r="A776" s="58" t="s">
        <v>948</v>
      </c>
      <c r="B776" s="4">
        <v>44154.15625</v>
      </c>
      <c r="C776" s="140">
        <v>6</v>
      </c>
      <c r="D776" s="134" t="s">
        <v>271</v>
      </c>
      <c r="E776" s="7" t="s">
        <v>22</v>
      </c>
      <c r="F776" s="139" t="s">
        <v>190</v>
      </c>
      <c r="G776" s="43">
        <v>78.099999999999994</v>
      </c>
      <c r="H776" s="43">
        <v>83.6</v>
      </c>
      <c r="I776">
        <f>表1_4[[#This Row],[主队2]]-表1_4[[#This Row],[客队2]]</f>
        <v>-5.5</v>
      </c>
      <c r="J77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776" s="35" t="s">
        <v>166</v>
      </c>
      <c r="L77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76" s="11"/>
      <c r="N776" s="10" t="s">
        <v>112</v>
      </c>
      <c r="O776" s="10" t="s">
        <v>40</v>
      </c>
      <c r="P776" s="9">
        <v>16</v>
      </c>
      <c r="T776" s="3"/>
      <c r="U776" s="25" t="s">
        <v>1415</v>
      </c>
      <c r="V776" s="255" t="s">
        <v>1416</v>
      </c>
      <c r="W776" s="143"/>
      <c r="X776" s="144"/>
    </row>
    <row r="777" spans="1:24">
      <c r="A777" s="58" t="s">
        <v>948</v>
      </c>
      <c r="B777" s="4">
        <v>44154.15625</v>
      </c>
      <c r="C777" s="140">
        <v>6</v>
      </c>
      <c r="D777" s="134" t="s">
        <v>434</v>
      </c>
      <c r="E777" s="7" t="s">
        <v>57</v>
      </c>
      <c r="F777" s="139" t="s">
        <v>353</v>
      </c>
      <c r="G777" s="43">
        <v>82.3</v>
      </c>
      <c r="H777" s="43">
        <v>83.9</v>
      </c>
      <c r="I777">
        <f>表1_4[[#This Row],[主队2]]-表1_4[[#This Row],[客队2]]</f>
        <v>-1.6000000000000101</v>
      </c>
      <c r="J77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777" s="35" t="s">
        <v>166</v>
      </c>
      <c r="L77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77" s="11"/>
      <c r="N777" s="10" t="s">
        <v>133</v>
      </c>
      <c r="O777" s="10" t="s">
        <v>35</v>
      </c>
      <c r="P777" s="9">
        <v>-6</v>
      </c>
      <c r="T777" s="3"/>
      <c r="U777" s="231" t="s">
        <v>988</v>
      </c>
      <c r="V777" s="231" t="s">
        <v>1417</v>
      </c>
      <c r="W777" s="48"/>
      <c r="X777" s="45"/>
    </row>
    <row r="778" spans="1:24">
      <c r="A778" s="58" t="s">
        <v>948</v>
      </c>
      <c r="B778" s="4">
        <v>44154.15625</v>
      </c>
      <c r="C778" s="138">
        <v>6</v>
      </c>
      <c r="D778" s="134" t="s">
        <v>199</v>
      </c>
      <c r="E778" s="7" t="s">
        <v>42</v>
      </c>
      <c r="F778" s="139" t="s">
        <v>261</v>
      </c>
      <c r="G778" s="43">
        <v>79.400000000000006</v>
      </c>
      <c r="H778" s="43">
        <v>71.099999999999994</v>
      </c>
      <c r="I778">
        <f>表1_4[[#This Row],[主队2]]-表1_4[[#This Row],[客队2]]</f>
        <v>8.3000000000000096</v>
      </c>
      <c r="J77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778" s="35" t="s">
        <v>118</v>
      </c>
      <c r="L77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78" s="11"/>
      <c r="N778" s="57" t="s">
        <v>133</v>
      </c>
      <c r="O778" s="10" t="s">
        <v>40</v>
      </c>
      <c r="P778" s="9">
        <v>15</v>
      </c>
      <c r="T778" s="3"/>
      <c r="U778" s="231" t="s">
        <v>126</v>
      </c>
      <c r="V778" s="234" t="s">
        <v>1418</v>
      </c>
      <c r="W778" s="48"/>
      <c r="X778" s="45"/>
    </row>
    <row r="779" spans="1:24">
      <c r="A779" s="58" t="s">
        <v>948</v>
      </c>
      <c r="B779" s="4">
        <v>44154.15625</v>
      </c>
      <c r="C779" s="140">
        <v>6</v>
      </c>
      <c r="D779" s="134" t="s">
        <v>200</v>
      </c>
      <c r="E779" s="7" t="s">
        <v>41</v>
      </c>
      <c r="F779" s="139" t="s">
        <v>191</v>
      </c>
      <c r="G779" s="43">
        <v>81.5</v>
      </c>
      <c r="H779" s="43">
        <v>78.599999999999994</v>
      </c>
      <c r="I779">
        <f>表1_4[[#This Row],[主队2]]-表1_4[[#This Row],[客队2]]</f>
        <v>2.9000000000000101</v>
      </c>
      <c r="J77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779" s="35" t="s">
        <v>289</v>
      </c>
      <c r="L77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79" s="11"/>
      <c r="N779" s="10" t="s">
        <v>119</v>
      </c>
      <c r="O779" s="10" t="s">
        <v>48</v>
      </c>
      <c r="P779" s="9">
        <v>12</v>
      </c>
      <c r="T779" s="3" t="s">
        <v>1066</v>
      </c>
      <c r="U779" s="231"/>
      <c r="V779" s="231" t="s">
        <v>1419</v>
      </c>
      <c r="W779" s="56"/>
      <c r="X779" s="45"/>
    </row>
    <row r="780" spans="1:24">
      <c r="A780" s="58" t="s">
        <v>948</v>
      </c>
      <c r="B780" s="4">
        <v>44154.15625</v>
      </c>
      <c r="C780" s="140">
        <v>6</v>
      </c>
      <c r="D780" s="134" t="s">
        <v>275</v>
      </c>
      <c r="E780" s="7" t="s">
        <v>42</v>
      </c>
      <c r="F780" s="139" t="s">
        <v>309</v>
      </c>
      <c r="G780" s="43">
        <v>78</v>
      </c>
      <c r="H780" s="43">
        <v>77.5</v>
      </c>
      <c r="I780">
        <f>表1_4[[#This Row],[主队2]]-表1_4[[#This Row],[客队2]]</f>
        <v>0.5</v>
      </c>
      <c r="J78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780" s="35" t="s">
        <v>118</v>
      </c>
      <c r="L78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780" s="11"/>
      <c r="N780" s="57" t="s">
        <v>133</v>
      </c>
      <c r="O780" s="10" t="s">
        <v>65</v>
      </c>
      <c r="P780" s="9">
        <v>16</v>
      </c>
      <c r="T780" s="3"/>
      <c r="U780" s="83"/>
      <c r="V780" s="55" t="s">
        <v>1420</v>
      </c>
      <c r="W780" s="48"/>
      <c r="X780" s="45"/>
    </row>
    <row r="781" spans="1:24">
      <c r="A781" s="58" t="s">
        <v>948</v>
      </c>
      <c r="B781" s="4">
        <v>44154.15625</v>
      </c>
      <c r="C781" s="145">
        <v>6</v>
      </c>
      <c r="D781" s="134" t="s">
        <v>217</v>
      </c>
      <c r="E781" s="7" t="s">
        <v>31</v>
      </c>
      <c r="F781" s="139" t="s">
        <v>195</v>
      </c>
      <c r="G781" s="43">
        <v>68.5</v>
      </c>
      <c r="H781" s="43">
        <v>60.3</v>
      </c>
      <c r="I781">
        <f>表1_4[[#This Row],[主队2]]-表1_4[[#This Row],[客队2]]</f>
        <v>8.1999999999999993</v>
      </c>
      <c r="J78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781" s="35" t="s">
        <v>125</v>
      </c>
      <c r="L78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781" s="11"/>
      <c r="N781" s="10" t="s">
        <v>133</v>
      </c>
      <c r="O781" s="10" t="s">
        <v>24</v>
      </c>
      <c r="P781" s="9">
        <v>6</v>
      </c>
      <c r="T781" s="3"/>
      <c r="U781" s="231"/>
      <c r="V781" s="234" t="s">
        <v>1421</v>
      </c>
      <c r="W781" s="48"/>
      <c r="X781" s="45"/>
    </row>
    <row r="782" spans="1:24">
      <c r="A782" s="58" t="s">
        <v>1306</v>
      </c>
      <c r="B782" s="4">
        <v>44153.208333333299</v>
      </c>
      <c r="C782" s="141">
        <v>4</v>
      </c>
      <c r="D782" s="134" t="s">
        <v>180</v>
      </c>
      <c r="E782" s="7" t="s">
        <v>33</v>
      </c>
      <c r="F782" s="139" t="s">
        <v>175</v>
      </c>
      <c r="G782" s="43">
        <v>83.7</v>
      </c>
      <c r="H782" s="43">
        <v>87.8</v>
      </c>
      <c r="I782">
        <f>表1_4[[#This Row],[主队2]]-表1_4[[#This Row],[客队2]]</f>
        <v>-4.0999999999999899</v>
      </c>
      <c r="J78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782" s="35" t="s">
        <v>152</v>
      </c>
      <c r="L78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82" s="11"/>
      <c r="N782" s="10" t="s">
        <v>119</v>
      </c>
      <c r="O782" s="10" t="s">
        <v>46</v>
      </c>
      <c r="P782" s="9">
        <v>30</v>
      </c>
      <c r="R782" t="s">
        <v>852</v>
      </c>
      <c r="T782" s="3"/>
      <c r="U782" s="246"/>
      <c r="V782" s="231" t="s">
        <v>1422</v>
      </c>
      <c r="W782" s="51"/>
      <c r="X782" s="45"/>
    </row>
    <row r="783" spans="1:24">
      <c r="A783" s="58" t="s">
        <v>1306</v>
      </c>
      <c r="B783" s="4">
        <v>44153.208333333299</v>
      </c>
      <c r="C783" s="141">
        <v>4</v>
      </c>
      <c r="D783" s="134" t="s">
        <v>165</v>
      </c>
      <c r="E783" s="42" t="s">
        <v>68</v>
      </c>
      <c r="F783" s="139" t="s">
        <v>158</v>
      </c>
      <c r="G783" s="43">
        <v>84.8</v>
      </c>
      <c r="H783" s="43">
        <v>92.4</v>
      </c>
      <c r="I783">
        <f>表1_4[[#This Row],[主队2]]-表1_4[[#This Row],[客队2]]</f>
        <v>-7.6000000000000103</v>
      </c>
      <c r="J78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783" s="35" t="s">
        <v>166</v>
      </c>
      <c r="L78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783" s="11"/>
      <c r="N783" s="10" t="s">
        <v>119</v>
      </c>
      <c r="O783" s="10" t="s">
        <v>24</v>
      </c>
      <c r="P783" s="9">
        <v>-13</v>
      </c>
      <c r="T783" s="3"/>
      <c r="U783" s="83"/>
      <c r="V783" s="55" t="s">
        <v>1423</v>
      </c>
      <c r="W783" s="51"/>
      <c r="X783" s="45"/>
    </row>
    <row r="784" spans="1:24">
      <c r="A784" s="58" t="s">
        <v>1306</v>
      </c>
      <c r="B784" s="4">
        <v>44153.291666666701</v>
      </c>
      <c r="C784" s="140">
        <v>4</v>
      </c>
      <c r="D784" s="134" t="s">
        <v>170</v>
      </c>
      <c r="E784" s="7" t="s">
        <v>47</v>
      </c>
      <c r="F784" s="139" t="s">
        <v>171</v>
      </c>
      <c r="G784" s="43">
        <v>92.3</v>
      </c>
      <c r="H784" s="43">
        <v>100.1</v>
      </c>
      <c r="I784">
        <f>表1_4[[#This Row],[主队2]]-表1_4[[#This Row],[客队2]]</f>
        <v>-7.8</v>
      </c>
      <c r="J78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784" s="35" t="s">
        <v>166</v>
      </c>
      <c r="L78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784" s="11"/>
      <c r="N784" s="46" t="s">
        <v>160</v>
      </c>
      <c r="O784" s="46" t="s">
        <v>28</v>
      </c>
      <c r="P784" s="9">
        <v>19</v>
      </c>
      <c r="R784" t="s">
        <v>855</v>
      </c>
      <c r="T784" s="3"/>
      <c r="U784" s="25"/>
      <c r="V784" s="80" t="s">
        <v>1424</v>
      </c>
      <c r="W784" s="80"/>
      <c r="X784" s="137"/>
    </row>
    <row r="785" spans="1:24">
      <c r="A785" s="58" t="s">
        <v>1306</v>
      </c>
      <c r="B785" s="4">
        <v>44153.291666666701</v>
      </c>
      <c r="C785" s="140">
        <v>4</v>
      </c>
      <c r="D785" s="134" t="s">
        <v>164</v>
      </c>
      <c r="E785" s="7" t="s">
        <v>25</v>
      </c>
      <c r="F785" s="139" t="s">
        <v>159</v>
      </c>
      <c r="G785" s="43">
        <v>85.2</v>
      </c>
      <c r="H785" s="43">
        <v>72.599999999999994</v>
      </c>
      <c r="I785">
        <f>表1_4[[#This Row],[主队2]]-表1_4[[#This Row],[客队2]]</f>
        <v>12.6</v>
      </c>
      <c r="J78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785" s="35" t="s">
        <v>63</v>
      </c>
      <c r="L78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785" s="11"/>
      <c r="N785" s="57" t="s">
        <v>133</v>
      </c>
      <c r="O785" s="57" t="s">
        <v>35</v>
      </c>
      <c r="P785" s="9">
        <v>1</v>
      </c>
      <c r="T785" s="3"/>
      <c r="U785" s="246" t="s">
        <v>226</v>
      </c>
      <c r="V785" s="234" t="s">
        <v>1425</v>
      </c>
      <c r="W785" s="48"/>
      <c r="X785" s="45"/>
    </row>
    <row r="786" spans="1:24">
      <c r="A786" s="58" t="s">
        <v>1306</v>
      </c>
      <c r="B786" s="4">
        <v>44153.354166666701</v>
      </c>
      <c r="C786" s="140">
        <v>4</v>
      </c>
      <c r="D786" s="134" t="s">
        <v>181</v>
      </c>
      <c r="E786" s="7" t="s">
        <v>47</v>
      </c>
      <c r="F786" s="139" t="s">
        <v>174</v>
      </c>
      <c r="G786" s="43">
        <v>84.5</v>
      </c>
      <c r="H786" s="43">
        <v>92.9</v>
      </c>
      <c r="I786">
        <f>表1_4[[#This Row],[主队2]]-表1_4[[#This Row],[客队2]]</f>
        <v>-8.4000000000000092</v>
      </c>
      <c r="J78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786" s="35" t="s">
        <v>132</v>
      </c>
      <c r="L78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86" s="11"/>
      <c r="N786" s="10" t="s">
        <v>112</v>
      </c>
      <c r="O786" s="10" t="s">
        <v>40</v>
      </c>
      <c r="P786" s="9">
        <v>26</v>
      </c>
      <c r="R786" t="s">
        <v>852</v>
      </c>
      <c r="T786" s="3"/>
      <c r="U786" s="25" t="s">
        <v>718</v>
      </c>
      <c r="V786" s="54" t="s">
        <v>1426</v>
      </c>
      <c r="W786" s="80"/>
      <c r="X786" s="137"/>
    </row>
    <row r="787" spans="1:24">
      <c r="A787" s="58" t="s">
        <v>188</v>
      </c>
      <c r="B787" s="146">
        <v>44280.041666666701</v>
      </c>
      <c r="C787" s="141">
        <v>1</v>
      </c>
      <c r="D787" s="134" t="s">
        <v>190</v>
      </c>
      <c r="E787" s="7" t="s">
        <v>54</v>
      </c>
      <c r="F787" s="139" t="s">
        <v>262</v>
      </c>
      <c r="G787" s="43">
        <v>82.8</v>
      </c>
      <c r="H787" s="43">
        <v>92.3</v>
      </c>
      <c r="I787">
        <f>表1_4[[#This Row],[主队2]]-表1_4[[#This Row],[客队2]]</f>
        <v>-9.5</v>
      </c>
      <c r="J78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787" s="35" t="s">
        <v>111</v>
      </c>
      <c r="L78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87" s="11"/>
      <c r="N787" s="10" t="s">
        <v>119</v>
      </c>
      <c r="O787" s="10" t="s">
        <v>143</v>
      </c>
      <c r="P787" s="9">
        <v>8</v>
      </c>
      <c r="T787" s="3"/>
      <c r="U787" s="246"/>
      <c r="V787" s="62" t="s">
        <v>1427</v>
      </c>
      <c r="W787" s="44"/>
      <c r="X787" s="45"/>
    </row>
    <row r="788" spans="1:24">
      <c r="A788" s="58" t="s">
        <v>188</v>
      </c>
      <c r="B788" s="146">
        <v>44280.15625</v>
      </c>
      <c r="C788" s="145">
        <v>1</v>
      </c>
      <c r="D788" s="134" t="s">
        <v>251</v>
      </c>
      <c r="E788" s="7" t="s">
        <v>60</v>
      </c>
      <c r="F788" s="139" t="s">
        <v>301</v>
      </c>
      <c r="G788" s="43">
        <v>61.7</v>
      </c>
      <c r="H788" s="43">
        <v>73.599999999999994</v>
      </c>
      <c r="I788">
        <f>表1_4[[#This Row],[主队2]]-表1_4[[#This Row],[客队2]]</f>
        <v>-11.9</v>
      </c>
      <c r="J78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788" s="35" t="s">
        <v>132</v>
      </c>
      <c r="L78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788" s="11"/>
      <c r="N788" s="10" t="s">
        <v>112</v>
      </c>
      <c r="O788" s="10" t="s">
        <v>24</v>
      </c>
      <c r="P788" s="9" t="s">
        <v>161</v>
      </c>
      <c r="T788" s="3"/>
      <c r="U788" s="25"/>
      <c r="V788" s="54" t="s">
        <v>1428</v>
      </c>
      <c r="W788" s="44"/>
      <c r="X788" s="45"/>
    </row>
    <row r="789" spans="1:24">
      <c r="A789" s="58" t="s">
        <v>188</v>
      </c>
      <c r="B789" s="146">
        <v>44280.15625</v>
      </c>
      <c r="C789" s="140">
        <v>1</v>
      </c>
      <c r="D789" s="134" t="s">
        <v>256</v>
      </c>
      <c r="E789" s="7" t="s">
        <v>64</v>
      </c>
      <c r="F789" s="139" t="s">
        <v>297</v>
      </c>
      <c r="G789" s="43">
        <v>39.700000000000003</v>
      </c>
      <c r="H789" s="43">
        <v>81</v>
      </c>
      <c r="I789">
        <f>表1_4[[#This Row],[主队2]]-表1_4[[#This Row],[客队2]]</f>
        <v>-41.3</v>
      </c>
      <c r="J789" s="34">
        <v>-4</v>
      </c>
      <c r="K789" s="35" t="s">
        <v>1021</v>
      </c>
      <c r="L78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789" s="11"/>
      <c r="N789" s="10" t="s">
        <v>160</v>
      </c>
      <c r="O789" s="57" t="s">
        <v>24</v>
      </c>
      <c r="P789" s="9" t="s">
        <v>161</v>
      </c>
      <c r="R789" t="s">
        <v>855</v>
      </c>
      <c r="T789" s="3"/>
      <c r="U789" s="25"/>
      <c r="V789" s="78" t="s">
        <v>1429</v>
      </c>
      <c r="W789" s="44"/>
      <c r="X789" s="45"/>
    </row>
    <row r="790" spans="1:24">
      <c r="A790" s="58" t="s">
        <v>188</v>
      </c>
      <c r="B790" s="146">
        <v>44280.15625</v>
      </c>
      <c r="C790" s="140">
        <v>1</v>
      </c>
      <c r="D790" s="134" t="s">
        <v>267</v>
      </c>
      <c r="E790" s="7" t="s">
        <v>36</v>
      </c>
      <c r="F790" s="139" t="s">
        <v>214</v>
      </c>
      <c r="G790" s="43">
        <v>97.4</v>
      </c>
      <c r="H790" s="43">
        <v>82.6</v>
      </c>
      <c r="I790">
        <f>表1_4[[#This Row],[主队2]]-表1_4[[#This Row],[客队2]]</f>
        <v>14.8</v>
      </c>
      <c r="J79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790" s="35" t="s">
        <v>81</v>
      </c>
      <c r="L79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90" s="63" t="s">
        <v>784</v>
      </c>
      <c r="N790" s="10" t="s">
        <v>119</v>
      </c>
      <c r="O790" s="10" t="s">
        <v>46</v>
      </c>
      <c r="P790" s="9" t="s">
        <v>161</v>
      </c>
      <c r="R790" t="s">
        <v>855</v>
      </c>
      <c r="T790" s="3"/>
      <c r="U790" s="25"/>
      <c r="V790" s="276" t="s">
        <v>1430</v>
      </c>
      <c r="W790" s="78"/>
      <c r="X790" s="147"/>
    </row>
    <row r="791" spans="1:24">
      <c r="A791" s="58" t="s">
        <v>188</v>
      </c>
      <c r="B791" s="146">
        <v>44280.15625</v>
      </c>
      <c r="C791" s="140">
        <v>1</v>
      </c>
      <c r="D791" s="134" t="s">
        <v>191</v>
      </c>
      <c r="E791" s="7" t="s">
        <v>25</v>
      </c>
      <c r="F791" s="139" t="s">
        <v>255</v>
      </c>
      <c r="G791" s="43">
        <v>77.8</v>
      </c>
      <c r="H791" s="43">
        <v>80.2</v>
      </c>
      <c r="I791">
        <f>表1_4[[#This Row],[主队2]]-表1_4[[#This Row],[客队2]]</f>
        <v>-2.4000000000000101</v>
      </c>
      <c r="J79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791" s="35" t="s">
        <v>166</v>
      </c>
      <c r="L79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91" s="11"/>
      <c r="N791" s="10" t="s">
        <v>119</v>
      </c>
      <c r="O791" s="57" t="s">
        <v>28</v>
      </c>
      <c r="P791" s="9">
        <v>6</v>
      </c>
      <c r="R791" t="s">
        <v>852</v>
      </c>
      <c r="T791" s="3"/>
      <c r="U791" s="246"/>
      <c r="V791" s="246" t="s">
        <v>1431</v>
      </c>
      <c r="W791" s="44"/>
      <c r="X791" s="45"/>
    </row>
    <row r="792" spans="1:24">
      <c r="A792" s="58" t="s">
        <v>188</v>
      </c>
      <c r="B792" s="146">
        <v>44280.15625</v>
      </c>
      <c r="C792" s="138">
        <v>1</v>
      </c>
      <c r="D792" s="134" t="s">
        <v>434</v>
      </c>
      <c r="E792" s="7" t="s">
        <v>29</v>
      </c>
      <c r="F792" s="139" t="s">
        <v>199</v>
      </c>
      <c r="G792" s="43">
        <v>82.9</v>
      </c>
      <c r="H792" s="43">
        <v>78.900000000000006</v>
      </c>
      <c r="I792">
        <f>表1_4[[#This Row],[主队2]]-表1_4[[#This Row],[客队2]]</f>
        <v>4</v>
      </c>
      <c r="J79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792" s="35" t="s">
        <v>118</v>
      </c>
      <c r="L79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792" s="11"/>
      <c r="N792" s="46" t="s">
        <v>133</v>
      </c>
      <c r="O792" s="10" t="s">
        <v>46</v>
      </c>
      <c r="P792" s="9">
        <v>10</v>
      </c>
      <c r="T792" s="3"/>
      <c r="U792" s="25"/>
      <c r="V792" s="54" t="s">
        <v>1432</v>
      </c>
      <c r="W792" s="241"/>
      <c r="X792" s="45"/>
    </row>
    <row r="793" spans="1:24" ht="28.9">
      <c r="A793" s="58" t="s">
        <v>188</v>
      </c>
      <c r="B793" s="146">
        <v>44280.15625</v>
      </c>
      <c r="C793" s="140">
        <v>1</v>
      </c>
      <c r="D793" s="134" t="s">
        <v>270</v>
      </c>
      <c r="E793" s="7" t="s">
        <v>31</v>
      </c>
      <c r="F793" s="139" t="s">
        <v>278</v>
      </c>
      <c r="G793" s="43">
        <v>94.1</v>
      </c>
      <c r="H793" s="43">
        <v>64.8</v>
      </c>
      <c r="I793">
        <f>表1_4[[#This Row],[主队2]]-表1_4[[#This Row],[客队2]]</f>
        <v>29.3</v>
      </c>
      <c r="J793" s="34">
        <v>3</v>
      </c>
      <c r="K793" s="35" t="s">
        <v>56</v>
      </c>
      <c r="L79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793" s="11" t="s">
        <v>1433</v>
      </c>
      <c r="N793" s="10" t="s">
        <v>133</v>
      </c>
      <c r="O793" s="10" t="s">
        <v>35</v>
      </c>
      <c r="P793" s="9" t="s">
        <v>161</v>
      </c>
      <c r="R793" t="s">
        <v>855</v>
      </c>
      <c r="T793" s="3"/>
      <c r="U793" s="83" t="s">
        <v>1434</v>
      </c>
      <c r="V793" s="62" t="s">
        <v>1435</v>
      </c>
      <c r="W793" s="44"/>
      <c r="X793" s="45"/>
    </row>
    <row r="794" spans="1:24">
      <c r="A794" s="58" t="s">
        <v>188</v>
      </c>
      <c r="B794" s="146">
        <v>44280.15625</v>
      </c>
      <c r="C794" s="140">
        <v>1</v>
      </c>
      <c r="D794" s="134" t="s">
        <v>284</v>
      </c>
      <c r="E794" s="42" t="s">
        <v>80</v>
      </c>
      <c r="F794" s="139" t="s">
        <v>403</v>
      </c>
      <c r="G794" s="43">
        <v>83.2</v>
      </c>
      <c r="H794" s="43">
        <v>65.5</v>
      </c>
      <c r="I794">
        <f>表1_4[[#This Row],[主队2]]-表1_4[[#This Row],[客队2]]</f>
        <v>17.7</v>
      </c>
      <c r="J794" s="34">
        <v>1.75</v>
      </c>
      <c r="K794" s="35" t="s">
        <v>45</v>
      </c>
      <c r="L79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794" s="11"/>
      <c r="N794" s="46" t="s">
        <v>895</v>
      </c>
      <c r="O794" s="10" t="s">
        <v>143</v>
      </c>
      <c r="P794" s="9" t="s">
        <v>161</v>
      </c>
      <c r="R794" t="s">
        <v>852</v>
      </c>
      <c r="T794" s="3"/>
      <c r="U794" s="25" t="s">
        <v>776</v>
      </c>
      <c r="V794" s="78" t="s">
        <v>1436</v>
      </c>
      <c r="W794" s="44"/>
      <c r="X794" s="45"/>
    </row>
    <row r="795" spans="1:24">
      <c r="A795" s="58" t="s">
        <v>188</v>
      </c>
      <c r="B795" s="146">
        <v>44280.15625</v>
      </c>
      <c r="C795" s="138">
        <v>1</v>
      </c>
      <c r="D795" s="134" t="s">
        <v>274</v>
      </c>
      <c r="E795" s="7" t="s">
        <v>41</v>
      </c>
      <c r="F795" s="139" t="s">
        <v>200</v>
      </c>
      <c r="G795" s="43">
        <v>97.6</v>
      </c>
      <c r="H795" s="43">
        <v>82.3</v>
      </c>
      <c r="I795">
        <f>表1_4[[#This Row],[主队2]]-表1_4[[#This Row],[客队2]]</f>
        <v>15.3</v>
      </c>
      <c r="J79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795" s="35" t="s">
        <v>81</v>
      </c>
      <c r="L79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95" s="11"/>
      <c r="N795" s="10" t="s">
        <v>133</v>
      </c>
      <c r="O795" s="10" t="s">
        <v>28</v>
      </c>
      <c r="P795" s="9">
        <v>-3</v>
      </c>
      <c r="R795" t="s">
        <v>852</v>
      </c>
      <c r="T795" s="3"/>
      <c r="U795" s="246"/>
      <c r="V795" s="246" t="s">
        <v>645</v>
      </c>
      <c r="W795" s="44"/>
      <c r="X795" s="45"/>
    </row>
    <row r="796" spans="1:24">
      <c r="A796" s="58" t="s">
        <v>188</v>
      </c>
      <c r="B796" s="146">
        <v>44280.15625</v>
      </c>
      <c r="C796" s="140">
        <v>1</v>
      </c>
      <c r="D796" s="134" t="s">
        <v>929</v>
      </c>
      <c r="E796" s="7" t="s">
        <v>74</v>
      </c>
      <c r="F796" s="139" t="s">
        <v>353</v>
      </c>
      <c r="G796" s="43">
        <v>56.4</v>
      </c>
      <c r="H796" s="43">
        <v>83</v>
      </c>
      <c r="I796">
        <f>表1_4[[#This Row],[主队2]]-表1_4[[#This Row],[客队2]]</f>
        <v>-26.6</v>
      </c>
      <c r="J796" s="34">
        <v>-2.5</v>
      </c>
      <c r="K796" s="35" t="s">
        <v>692</v>
      </c>
      <c r="L79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96" s="11"/>
      <c r="N796" s="10" t="s">
        <v>112</v>
      </c>
      <c r="O796" s="10" t="s">
        <v>35</v>
      </c>
      <c r="P796" s="9" t="s">
        <v>161</v>
      </c>
      <c r="R796" t="s">
        <v>852</v>
      </c>
      <c r="T796" s="3"/>
      <c r="U796" s="25" t="s">
        <v>1437</v>
      </c>
      <c r="V796" s="54" t="s">
        <v>640</v>
      </c>
      <c r="W796" s="44"/>
      <c r="X796" s="45"/>
    </row>
    <row r="797" spans="1:24">
      <c r="A797" s="58" t="s">
        <v>188</v>
      </c>
      <c r="B797" s="146">
        <v>44280.15625</v>
      </c>
      <c r="C797" s="140">
        <v>1</v>
      </c>
      <c r="D797" s="134" t="s">
        <v>309</v>
      </c>
      <c r="E797" s="7" t="s">
        <v>31</v>
      </c>
      <c r="F797" s="139" t="s">
        <v>110</v>
      </c>
      <c r="G797" s="43">
        <v>77.3</v>
      </c>
      <c r="H797" s="43">
        <v>86.9</v>
      </c>
      <c r="I797">
        <f>表1_4[[#This Row],[主队2]]-表1_4[[#This Row],[客队2]]</f>
        <v>-9.6000000000000103</v>
      </c>
      <c r="J79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797" s="35" t="s">
        <v>132</v>
      </c>
      <c r="L79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797" s="11"/>
      <c r="N797" s="10" t="s">
        <v>119</v>
      </c>
      <c r="O797" s="10" t="s">
        <v>40</v>
      </c>
      <c r="P797" s="9" t="s">
        <v>161</v>
      </c>
      <c r="T797" s="3"/>
      <c r="U797" s="25" t="s">
        <v>1011</v>
      </c>
      <c r="V797" s="78" t="s">
        <v>1438</v>
      </c>
      <c r="W797" s="44"/>
      <c r="X797" s="45"/>
    </row>
    <row r="798" spans="1:24">
      <c r="A798" s="58" t="s">
        <v>188</v>
      </c>
      <c r="B798" s="146">
        <v>44280.15625</v>
      </c>
      <c r="C798" s="141">
        <v>1</v>
      </c>
      <c r="D798" s="134" t="s">
        <v>407</v>
      </c>
      <c r="E798" s="7" t="s">
        <v>42</v>
      </c>
      <c r="F798" s="139" t="s">
        <v>425</v>
      </c>
      <c r="G798" s="43">
        <v>63</v>
      </c>
      <c r="H798" s="43">
        <v>79.599999999999994</v>
      </c>
      <c r="I798">
        <f>表1_4[[#This Row],[主队2]]-表1_4[[#This Row],[客队2]]</f>
        <v>-16.600000000000001</v>
      </c>
      <c r="J79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798" s="35" t="s">
        <v>132</v>
      </c>
      <c r="L79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798" s="11"/>
      <c r="N798" s="10" t="s">
        <v>119</v>
      </c>
      <c r="O798" s="57" t="s">
        <v>46</v>
      </c>
      <c r="P798" s="9" t="s">
        <v>161</v>
      </c>
      <c r="R798" t="s">
        <v>855</v>
      </c>
      <c r="T798" s="3"/>
      <c r="U798" s="246"/>
      <c r="V798" s="242" t="s">
        <v>1439</v>
      </c>
      <c r="W798" s="44"/>
      <c r="X798" s="45"/>
    </row>
    <row r="799" spans="1:24">
      <c r="A799" s="58" t="s">
        <v>188</v>
      </c>
      <c r="B799" s="146">
        <v>44281.041666666701</v>
      </c>
      <c r="C799" s="140">
        <v>1</v>
      </c>
      <c r="D799" s="134" t="s">
        <v>210</v>
      </c>
      <c r="E799" s="7" t="s">
        <v>47</v>
      </c>
      <c r="F799" s="139" t="s">
        <v>306</v>
      </c>
      <c r="G799" s="43">
        <v>76</v>
      </c>
      <c r="H799" s="43">
        <v>87.8</v>
      </c>
      <c r="I799">
        <f>表1_4[[#This Row],[主队2]]-表1_4[[#This Row],[客队2]]</f>
        <v>-11.8</v>
      </c>
      <c r="J79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799" s="35" t="s">
        <v>132</v>
      </c>
      <c r="L79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799" s="11"/>
      <c r="N799" s="10" t="s">
        <v>112</v>
      </c>
      <c r="O799" s="10" t="s">
        <v>35</v>
      </c>
      <c r="P799" s="9">
        <v>23</v>
      </c>
      <c r="R799" t="s">
        <v>852</v>
      </c>
      <c r="T799" s="3"/>
      <c r="U799" s="25" t="s">
        <v>1437</v>
      </c>
      <c r="V799" s="78" t="s">
        <v>1440</v>
      </c>
      <c r="W799" s="44"/>
      <c r="X799" s="45"/>
    </row>
    <row r="800" spans="1:24">
      <c r="A800" s="58" t="s">
        <v>188</v>
      </c>
      <c r="B800" s="125">
        <v>44281.15625</v>
      </c>
      <c r="C800" s="140">
        <v>1</v>
      </c>
      <c r="D800" s="134" t="s">
        <v>195</v>
      </c>
      <c r="E800" s="7" t="s">
        <v>36</v>
      </c>
      <c r="F800" s="260" t="s">
        <v>244</v>
      </c>
      <c r="G800" s="43">
        <v>60.1</v>
      </c>
      <c r="H800" s="43">
        <v>57.9</v>
      </c>
      <c r="I800">
        <f>表1_4[[#This Row],[主队2]]-表1_4[[#This Row],[客队2]]</f>
        <v>2.2000000000000002</v>
      </c>
      <c r="J80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800" s="35" t="s">
        <v>166</v>
      </c>
      <c r="L80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800" s="11"/>
      <c r="N800" s="10" t="s">
        <v>112</v>
      </c>
      <c r="O800" s="10" t="s">
        <v>65</v>
      </c>
      <c r="P800" s="9" t="s">
        <v>161</v>
      </c>
      <c r="R800" t="s">
        <v>852</v>
      </c>
      <c r="T800" s="3"/>
      <c r="U800" s="25"/>
      <c r="V800" s="54" t="s">
        <v>1441</v>
      </c>
      <c r="W800" s="52"/>
      <c r="X800" s="45"/>
    </row>
    <row r="801" spans="1:25">
      <c r="A801" s="58" t="s">
        <v>188</v>
      </c>
      <c r="B801" s="146">
        <v>44281.15625</v>
      </c>
      <c r="C801" s="141">
        <v>1</v>
      </c>
      <c r="D801" s="134" t="s">
        <v>123</v>
      </c>
      <c r="E801" s="7" t="s">
        <v>25</v>
      </c>
      <c r="F801" s="139" t="s">
        <v>194</v>
      </c>
      <c r="G801" s="43">
        <v>78.2</v>
      </c>
      <c r="H801" s="43">
        <v>82.8</v>
      </c>
      <c r="I801">
        <f>表1_4[[#This Row],[主队2]]-表1_4[[#This Row],[客队2]]</f>
        <v>-4.5999999999999899</v>
      </c>
      <c r="J80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801" s="35" t="s">
        <v>152</v>
      </c>
      <c r="L80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01" s="11"/>
      <c r="N801" s="10" t="s">
        <v>119</v>
      </c>
      <c r="O801" s="10" t="s">
        <v>35</v>
      </c>
      <c r="P801" s="9">
        <v>5</v>
      </c>
      <c r="R801" t="s">
        <v>852</v>
      </c>
      <c r="T801" s="3"/>
      <c r="U801" s="246" t="s">
        <v>1442</v>
      </c>
      <c r="V801" s="246" t="s">
        <v>645</v>
      </c>
      <c r="W801" s="44"/>
      <c r="X801" s="45"/>
    </row>
    <row r="802" spans="1:25">
      <c r="A802" s="58" t="s">
        <v>188</v>
      </c>
      <c r="B802" s="146">
        <v>44281.041666666701</v>
      </c>
      <c r="C802" s="138">
        <v>1</v>
      </c>
      <c r="D802" s="134" t="s">
        <v>261</v>
      </c>
      <c r="E802" s="7" t="s">
        <v>74</v>
      </c>
      <c r="F802" s="139" t="s">
        <v>250</v>
      </c>
      <c r="G802" s="43">
        <v>71.7</v>
      </c>
      <c r="H802" s="43">
        <v>90</v>
      </c>
      <c r="I802">
        <f>表1_4[[#This Row],[主队2]]-表1_4[[#This Row],[客队2]]</f>
        <v>-18.3</v>
      </c>
      <c r="J80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802" s="35" t="s">
        <v>245</v>
      </c>
      <c r="L80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802" s="63" t="s">
        <v>1443</v>
      </c>
      <c r="N802" s="10" t="s">
        <v>112</v>
      </c>
      <c r="O802" s="10" t="s">
        <v>24</v>
      </c>
      <c r="P802" s="9">
        <v>8</v>
      </c>
      <c r="R802" t="s">
        <v>855</v>
      </c>
      <c r="T802" s="3"/>
      <c r="U802" s="25"/>
      <c r="V802" s="78" t="s">
        <v>1444</v>
      </c>
      <c r="W802" s="48"/>
      <c r="X802" s="69" t="s">
        <v>730</v>
      </c>
      <c r="Y802" s="250">
        <v>95</v>
      </c>
    </row>
    <row r="803" spans="1:25">
      <c r="A803" s="277" t="s">
        <v>188</v>
      </c>
      <c r="B803" s="146">
        <v>44281.15625</v>
      </c>
      <c r="C803" s="140">
        <v>1</v>
      </c>
      <c r="D803" s="275" t="s">
        <v>204</v>
      </c>
      <c r="E803" s="7" t="s">
        <v>22</v>
      </c>
      <c r="F803" s="139" t="s">
        <v>296</v>
      </c>
      <c r="G803" s="43">
        <v>92.7</v>
      </c>
      <c r="H803" s="43">
        <v>76.3</v>
      </c>
      <c r="I803">
        <f>表1_4[[#This Row],[主队2]]-表1_4[[#This Row],[客队2]]</f>
        <v>16.399999999999999</v>
      </c>
      <c r="J80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803" s="35" t="s">
        <v>45</v>
      </c>
      <c r="L80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03" s="11"/>
      <c r="N803" s="10" t="s">
        <v>133</v>
      </c>
      <c r="O803" s="57" t="s">
        <v>24</v>
      </c>
      <c r="P803" s="9" t="s">
        <v>161</v>
      </c>
      <c r="R803" t="s">
        <v>852</v>
      </c>
      <c r="T803" s="3"/>
      <c r="U803" s="83"/>
      <c r="V803" s="54" t="s">
        <v>1445</v>
      </c>
      <c r="W803" s="48"/>
      <c r="X803" s="45"/>
    </row>
    <row r="804" spans="1:25">
      <c r="A804" s="58" t="s">
        <v>188</v>
      </c>
      <c r="B804" s="146">
        <v>44281.15625</v>
      </c>
      <c r="C804" s="138">
        <v>1</v>
      </c>
      <c r="D804" s="134" t="s">
        <v>239</v>
      </c>
      <c r="E804" s="7" t="s">
        <v>31</v>
      </c>
      <c r="F804" s="139" t="s">
        <v>430</v>
      </c>
      <c r="G804" s="43">
        <v>85.9</v>
      </c>
      <c r="H804" s="43">
        <v>71</v>
      </c>
      <c r="I804">
        <f>表1_4[[#This Row],[主队2]]-表1_4[[#This Row],[客队2]]</f>
        <v>14.9</v>
      </c>
      <c r="J80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804" s="35" t="s">
        <v>81</v>
      </c>
      <c r="L80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04" s="63" t="s">
        <v>1446</v>
      </c>
      <c r="N804" s="10" t="s">
        <v>119</v>
      </c>
      <c r="O804" s="46" t="s">
        <v>35</v>
      </c>
      <c r="P804" s="9">
        <v>10</v>
      </c>
      <c r="R804" t="s">
        <v>852</v>
      </c>
      <c r="T804" s="3"/>
      <c r="U804" s="246" t="s">
        <v>693</v>
      </c>
      <c r="V804" s="242" t="s">
        <v>1447</v>
      </c>
      <c r="W804" s="56"/>
      <c r="X804" s="45"/>
    </row>
    <row r="805" spans="1:25">
      <c r="A805" s="58" t="s">
        <v>188</v>
      </c>
      <c r="B805" s="146">
        <v>44281.15625</v>
      </c>
      <c r="C805" s="140">
        <v>1</v>
      </c>
      <c r="D805" s="134" t="s">
        <v>209</v>
      </c>
      <c r="E805" s="7" t="s">
        <v>36</v>
      </c>
      <c r="F805" s="139" t="s">
        <v>275</v>
      </c>
      <c r="G805" s="43">
        <v>99</v>
      </c>
      <c r="H805" s="43">
        <v>78.2</v>
      </c>
      <c r="I805">
        <f>表1_4[[#This Row],[主队2]]-表1_4[[#This Row],[客队2]]</f>
        <v>20.8</v>
      </c>
      <c r="J80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80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L80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05" s="11"/>
      <c r="N805" s="46" t="s">
        <v>404</v>
      </c>
      <c r="O805" s="10" t="s">
        <v>28</v>
      </c>
      <c r="P805" s="9" t="s">
        <v>161</v>
      </c>
      <c r="R805" t="s">
        <v>852</v>
      </c>
      <c r="T805" s="3"/>
      <c r="U805" s="83"/>
      <c r="V805" s="278" t="s">
        <v>1448</v>
      </c>
      <c r="W805" s="48"/>
      <c r="X805" s="45"/>
    </row>
    <row r="806" spans="1:25">
      <c r="A806" s="58" t="s">
        <v>188</v>
      </c>
      <c r="B806" s="146">
        <v>44281.15625</v>
      </c>
      <c r="C806" s="140">
        <v>1</v>
      </c>
      <c r="D806" s="134" t="s">
        <v>117</v>
      </c>
      <c r="E806" s="7" t="s">
        <v>57</v>
      </c>
      <c r="F806" s="139" t="s">
        <v>282</v>
      </c>
      <c r="G806" s="43">
        <v>95.6</v>
      </c>
      <c r="H806" s="43">
        <v>30.6</v>
      </c>
      <c r="I806">
        <f>表1_4[[#This Row],[主队2]]-表1_4[[#This Row],[客队2]]</f>
        <v>65</v>
      </c>
      <c r="J806" s="34">
        <v>6.75</v>
      </c>
      <c r="K806" s="35" t="s">
        <v>1110</v>
      </c>
      <c r="L80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06" s="11"/>
      <c r="N806" s="10" t="s">
        <v>119</v>
      </c>
      <c r="O806" s="10" t="s">
        <v>35</v>
      </c>
      <c r="P806" s="9" t="s">
        <v>161</v>
      </c>
      <c r="T806" s="3"/>
      <c r="U806" s="25" t="s">
        <v>1449</v>
      </c>
      <c r="V806" s="54" t="s">
        <v>1450</v>
      </c>
      <c r="W806" s="56"/>
      <c r="X806" s="45"/>
    </row>
    <row r="807" spans="1:25">
      <c r="A807" s="58" t="s">
        <v>188</v>
      </c>
      <c r="B807" s="146">
        <v>44281.15625</v>
      </c>
      <c r="C807" s="140">
        <v>1</v>
      </c>
      <c r="D807" s="134" t="s">
        <v>271</v>
      </c>
      <c r="E807" s="7" t="s">
        <v>66</v>
      </c>
      <c r="F807" s="139" t="s">
        <v>302</v>
      </c>
      <c r="G807" s="43">
        <v>78.900000000000006</v>
      </c>
      <c r="H807" s="43">
        <v>85.9</v>
      </c>
      <c r="I807">
        <f>表1_4[[#This Row],[主队2]]-表1_4[[#This Row],[客队2]]</f>
        <v>-7</v>
      </c>
      <c r="J80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807" s="35" t="s">
        <v>152</v>
      </c>
      <c r="L80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07" s="11"/>
      <c r="N807" s="10" t="s">
        <v>112</v>
      </c>
      <c r="O807" s="10" t="s">
        <v>35</v>
      </c>
      <c r="P807" s="9">
        <v>18</v>
      </c>
      <c r="R807" t="s">
        <v>852</v>
      </c>
      <c r="T807" s="3"/>
      <c r="U807" s="25" t="s">
        <v>177</v>
      </c>
      <c r="V807" s="80" t="s">
        <v>1451</v>
      </c>
      <c r="W807" s="44"/>
      <c r="X807" s="45"/>
    </row>
    <row r="808" spans="1:25">
      <c r="A808" s="58" t="s">
        <v>188</v>
      </c>
      <c r="B808" s="146">
        <v>44281.15625</v>
      </c>
      <c r="C808" s="138">
        <v>1</v>
      </c>
      <c r="D808" s="134" t="s">
        <v>243</v>
      </c>
      <c r="E808" s="7" t="s">
        <v>53</v>
      </c>
      <c r="F808" s="139" t="s">
        <v>205</v>
      </c>
      <c r="G808" s="43">
        <v>46.3</v>
      </c>
      <c r="H808" s="43">
        <v>73.099999999999994</v>
      </c>
      <c r="I808">
        <f>表1_4[[#This Row],[主队2]]-表1_4[[#This Row],[客队2]]</f>
        <v>-26.8</v>
      </c>
      <c r="J808" s="34">
        <v>-2.5</v>
      </c>
      <c r="K808" s="35" t="s">
        <v>706</v>
      </c>
      <c r="L80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808" s="11"/>
      <c r="N808" s="10" t="s">
        <v>119</v>
      </c>
      <c r="O808" s="10" t="s">
        <v>143</v>
      </c>
      <c r="P808" s="9" t="s">
        <v>161</v>
      </c>
      <c r="T808" s="3"/>
      <c r="U808" s="246"/>
      <c r="V808" s="78" t="s">
        <v>1452</v>
      </c>
      <c r="W808" s="48"/>
      <c r="X808" s="45"/>
    </row>
    <row r="809" spans="1:25">
      <c r="A809" s="58" t="s">
        <v>188</v>
      </c>
      <c r="B809" s="146">
        <v>44281.15625</v>
      </c>
      <c r="C809" s="138">
        <v>1</v>
      </c>
      <c r="D809" s="134" t="s">
        <v>437</v>
      </c>
      <c r="E809" s="7" t="s">
        <v>53</v>
      </c>
      <c r="F809" s="139" t="s">
        <v>287</v>
      </c>
      <c r="G809" s="43">
        <v>47.1</v>
      </c>
      <c r="H809" s="43">
        <v>69.900000000000006</v>
      </c>
      <c r="I809">
        <f>表1_4[[#This Row],[主队2]]-表1_4[[#This Row],[客队2]]</f>
        <v>-22.8</v>
      </c>
      <c r="J809" s="34">
        <v>-2</v>
      </c>
      <c r="K809" s="35" t="s">
        <v>706</v>
      </c>
      <c r="L80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809" s="11"/>
      <c r="N809" s="10" t="s">
        <v>119</v>
      </c>
      <c r="O809" s="10" t="s">
        <v>24</v>
      </c>
      <c r="P809" s="9" t="s">
        <v>161</v>
      </c>
      <c r="T809" s="3"/>
      <c r="U809" s="246"/>
      <c r="V809" s="62" t="s">
        <v>1453</v>
      </c>
      <c r="W809" s="52"/>
      <c r="X809" s="45"/>
    </row>
    <row r="810" spans="1:25">
      <c r="A810" s="58" t="s">
        <v>188</v>
      </c>
      <c r="B810" s="146">
        <v>44281.15625</v>
      </c>
      <c r="C810" s="140">
        <v>1</v>
      </c>
      <c r="D810" s="134" t="s">
        <v>305</v>
      </c>
      <c r="E810" s="7" t="s">
        <v>29</v>
      </c>
      <c r="F810" s="139" t="s">
        <v>572</v>
      </c>
      <c r="G810" s="43">
        <v>81.099999999999994</v>
      </c>
      <c r="H810" s="43">
        <v>73.3</v>
      </c>
      <c r="I810">
        <f>表1_4[[#This Row],[主队2]]-表1_4[[#This Row],[客队2]]</f>
        <v>7.8</v>
      </c>
      <c r="J81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810" s="35" t="s">
        <v>289</v>
      </c>
      <c r="L81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810" s="11"/>
      <c r="N810" s="10" t="s">
        <v>119</v>
      </c>
      <c r="O810" s="10" t="s">
        <v>35</v>
      </c>
      <c r="P810" s="9" t="s">
        <v>161</v>
      </c>
      <c r="T810" s="3"/>
      <c r="U810" s="25" t="s">
        <v>791</v>
      </c>
      <c r="V810" s="54" t="s">
        <v>1454</v>
      </c>
      <c r="W810" s="56"/>
      <c r="X810" s="45"/>
    </row>
    <row r="811" spans="1:25" ht="28.9">
      <c r="A811" s="58" t="s">
        <v>188</v>
      </c>
      <c r="B811" s="146">
        <v>44281.15625</v>
      </c>
      <c r="C811" s="138">
        <v>1</v>
      </c>
      <c r="D811" s="134" t="s">
        <v>116</v>
      </c>
      <c r="E811" s="7" t="s">
        <v>44</v>
      </c>
      <c r="F811" s="139" t="s">
        <v>218</v>
      </c>
      <c r="G811" s="43">
        <v>95</v>
      </c>
      <c r="H811" s="43">
        <v>77.8</v>
      </c>
      <c r="I811">
        <f>表1_4[[#This Row],[主队2]]-表1_4[[#This Row],[客队2]]</f>
        <v>17.2</v>
      </c>
      <c r="J81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811" s="35" t="s">
        <v>26</v>
      </c>
      <c r="L81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811" s="11"/>
      <c r="N811" s="10" t="s">
        <v>119</v>
      </c>
      <c r="O811" s="10" t="s">
        <v>143</v>
      </c>
      <c r="P811" s="9" t="s">
        <v>161</v>
      </c>
      <c r="R811" t="s">
        <v>855</v>
      </c>
      <c r="T811" s="3"/>
      <c r="U811" s="246"/>
      <c r="V811" s="246" t="s">
        <v>1455</v>
      </c>
      <c r="W811" s="52"/>
      <c r="X811" s="45"/>
    </row>
    <row r="812" spans="1:25">
      <c r="A812" s="58" t="s">
        <v>188</v>
      </c>
      <c r="B812" s="146">
        <v>44282.916666666701</v>
      </c>
      <c r="C812" s="138">
        <v>2</v>
      </c>
      <c r="D812" s="134" t="s">
        <v>301</v>
      </c>
      <c r="E812" s="7" t="s">
        <v>43</v>
      </c>
      <c r="F812" s="139" t="s">
        <v>256</v>
      </c>
      <c r="G812" s="43">
        <v>73.8</v>
      </c>
      <c r="H812" s="43">
        <v>39.799999999999997</v>
      </c>
      <c r="I812">
        <f>表1_4[[#This Row],[主队2]]-表1_4[[#This Row],[客队2]]</f>
        <v>34</v>
      </c>
      <c r="J812" s="34">
        <v>3.75</v>
      </c>
      <c r="K812" s="35" t="s">
        <v>30</v>
      </c>
      <c r="L81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812" s="11"/>
      <c r="N812" s="10" t="s">
        <v>119</v>
      </c>
      <c r="O812" s="10" t="s">
        <v>24</v>
      </c>
      <c r="P812" s="9" t="s">
        <v>161</v>
      </c>
      <c r="T812" s="3"/>
      <c r="U812" s="83"/>
      <c r="V812" s="55" t="s">
        <v>902</v>
      </c>
      <c r="W812" s="44"/>
      <c r="X812" s="45"/>
    </row>
    <row r="813" spans="1:25" ht="28.9">
      <c r="A813" s="58" t="s">
        <v>188</v>
      </c>
      <c r="B813" s="146">
        <v>44282.916666666701</v>
      </c>
      <c r="C813" s="5">
        <v>2</v>
      </c>
      <c r="D813" s="134" t="s">
        <v>353</v>
      </c>
      <c r="E813" s="7" t="s">
        <v>33</v>
      </c>
      <c r="F813" s="139" t="s">
        <v>309</v>
      </c>
      <c r="G813" s="43">
        <v>83.1</v>
      </c>
      <c r="H813" s="43">
        <v>78</v>
      </c>
      <c r="I813">
        <f>表1_4[[#This Row],[主队2]]-表1_4[[#This Row],[客队2]]</f>
        <v>5.0999999999999899</v>
      </c>
      <c r="J81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813" s="35" t="s">
        <v>118</v>
      </c>
      <c r="L81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13" s="11"/>
      <c r="N813" s="10" t="s">
        <v>133</v>
      </c>
      <c r="O813" s="114" t="s">
        <v>24</v>
      </c>
      <c r="P813" s="9" t="s">
        <v>161</v>
      </c>
      <c r="T813" s="3"/>
      <c r="U813" s="83"/>
      <c r="V813" s="55" t="s">
        <v>902</v>
      </c>
      <c r="W813" s="44"/>
      <c r="X813" s="45"/>
    </row>
    <row r="814" spans="1:25">
      <c r="A814" s="58" t="s">
        <v>188</v>
      </c>
      <c r="B814" s="146">
        <v>44283.041666666701</v>
      </c>
      <c r="C814" s="140">
        <v>2</v>
      </c>
      <c r="D814" s="134" t="s">
        <v>110</v>
      </c>
      <c r="E814" s="7" t="s">
        <v>31</v>
      </c>
      <c r="F814" s="139" t="s">
        <v>407</v>
      </c>
      <c r="G814" s="43">
        <v>86.2</v>
      </c>
      <c r="H814" s="43">
        <v>63.6</v>
      </c>
      <c r="I814">
        <f>表1_4[[#This Row],[主队2]]-表1_4[[#This Row],[客队2]]</f>
        <v>22.6</v>
      </c>
      <c r="J814" s="34">
        <v>2.5</v>
      </c>
      <c r="K814" s="35" t="s">
        <v>45</v>
      </c>
      <c r="L81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814" s="11"/>
      <c r="N814" s="10" t="s">
        <v>112</v>
      </c>
      <c r="O814" s="10" t="s">
        <v>65</v>
      </c>
      <c r="P814" s="9" t="s">
        <v>161</v>
      </c>
      <c r="R814" t="s">
        <v>852</v>
      </c>
      <c r="T814" s="3"/>
      <c r="U814" s="246"/>
      <c r="V814" s="231" t="s">
        <v>1456</v>
      </c>
      <c r="W814" s="52"/>
      <c r="X814" s="45"/>
    </row>
    <row r="815" spans="1:25">
      <c r="A815" s="58" t="s">
        <v>188</v>
      </c>
      <c r="B815" s="146">
        <v>44283.041666666701</v>
      </c>
      <c r="C815" s="140">
        <v>2</v>
      </c>
      <c r="D815" s="134" t="s">
        <v>262</v>
      </c>
      <c r="E815" s="7" t="s">
        <v>22</v>
      </c>
      <c r="F815" s="139" t="s">
        <v>251</v>
      </c>
      <c r="G815" s="43">
        <v>91.3</v>
      </c>
      <c r="H815" s="43">
        <v>61.4</v>
      </c>
      <c r="I815">
        <f>表1_4[[#This Row],[主队2]]-表1_4[[#This Row],[客队2]]</f>
        <v>29.9</v>
      </c>
      <c r="J815" s="34">
        <v>3.25</v>
      </c>
      <c r="K815" s="35" t="s">
        <v>56</v>
      </c>
      <c r="L81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815" s="11"/>
      <c r="N815" s="10" t="s">
        <v>112</v>
      </c>
      <c r="O815" s="10" t="s">
        <v>24</v>
      </c>
      <c r="P815" s="9" t="s">
        <v>161</v>
      </c>
      <c r="R815" t="s">
        <v>855</v>
      </c>
      <c r="T815" s="3"/>
      <c r="U815" s="246"/>
      <c r="V815" s="231" t="s">
        <v>1457</v>
      </c>
      <c r="W815" s="241"/>
      <c r="X815" s="45"/>
    </row>
    <row r="816" spans="1:25" ht="28.9">
      <c r="A816" s="58" t="s">
        <v>188</v>
      </c>
      <c r="B816" s="146">
        <v>44283.041666666701</v>
      </c>
      <c r="C816" s="140">
        <v>2</v>
      </c>
      <c r="D816" s="134" t="s">
        <v>190</v>
      </c>
      <c r="E816" s="7" t="s">
        <v>44</v>
      </c>
      <c r="F816" s="139" t="s">
        <v>297</v>
      </c>
      <c r="G816" s="43">
        <v>83.8</v>
      </c>
      <c r="H816" s="43">
        <v>80.900000000000006</v>
      </c>
      <c r="I816">
        <f>表1_4[[#This Row],[主队2]]-表1_4[[#This Row],[客队2]]</f>
        <v>2.8999999999999901</v>
      </c>
      <c r="J816" s="34">
        <v>0.25</v>
      </c>
      <c r="K816" s="35" t="s">
        <v>166</v>
      </c>
      <c r="L81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16" s="11"/>
      <c r="N816" s="10" t="s">
        <v>112</v>
      </c>
      <c r="O816" s="10" t="s">
        <v>51</v>
      </c>
      <c r="P816" s="9">
        <v>1</v>
      </c>
      <c r="T816" s="3"/>
      <c r="U816" s="83" t="s">
        <v>1458</v>
      </c>
      <c r="V816" s="64" t="s">
        <v>1459</v>
      </c>
      <c r="W816" s="48"/>
      <c r="X816" s="45"/>
    </row>
    <row r="817" spans="1:24">
      <c r="A817" s="58" t="s">
        <v>188</v>
      </c>
      <c r="B817" s="146">
        <v>44283.041666666701</v>
      </c>
      <c r="C817" s="138">
        <v>2</v>
      </c>
      <c r="D817" s="134" t="s">
        <v>240</v>
      </c>
      <c r="E817" s="7" t="s">
        <v>54</v>
      </c>
      <c r="F817" s="139" t="s">
        <v>403</v>
      </c>
      <c r="G817" s="43">
        <v>71.900000000000006</v>
      </c>
      <c r="H817" s="43">
        <v>64.8</v>
      </c>
      <c r="I817">
        <f>表1_4[[#This Row],[主队2]]-表1_4[[#This Row],[客队2]]</f>
        <v>7.1000000000000103</v>
      </c>
      <c r="J81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817" s="35" t="s">
        <v>81</v>
      </c>
      <c r="L81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817" s="11"/>
      <c r="N817" s="10" t="s">
        <v>133</v>
      </c>
      <c r="O817" s="10" t="s">
        <v>35</v>
      </c>
      <c r="P817" s="9" t="s">
        <v>161</v>
      </c>
      <c r="R817" t="s">
        <v>852</v>
      </c>
      <c r="T817" s="3"/>
      <c r="U817" s="25" t="s">
        <v>177</v>
      </c>
      <c r="V817" s="54" t="s">
        <v>1460</v>
      </c>
      <c r="W817" s="56"/>
      <c r="X817" s="45"/>
    </row>
    <row r="818" spans="1:24">
      <c r="A818" s="58" t="s">
        <v>188</v>
      </c>
      <c r="B818" s="146">
        <v>44283.15625</v>
      </c>
      <c r="C818" s="141">
        <v>2</v>
      </c>
      <c r="D818" s="134" t="s">
        <v>284</v>
      </c>
      <c r="E818" s="7" t="s">
        <v>36</v>
      </c>
      <c r="F818" s="139" t="s">
        <v>274</v>
      </c>
      <c r="G818" s="43">
        <v>83.9</v>
      </c>
      <c r="H818" s="43">
        <v>97.6</v>
      </c>
      <c r="I818">
        <f>表1_4[[#This Row],[主队2]]-表1_4[[#This Row],[客队2]]</f>
        <v>-13.7</v>
      </c>
      <c r="J81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818" s="35" t="s">
        <v>111</v>
      </c>
      <c r="L81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18" s="11"/>
      <c r="N818" s="10" t="s">
        <v>112</v>
      </c>
      <c r="O818" s="10" t="s">
        <v>35</v>
      </c>
      <c r="P818" s="9">
        <v>25</v>
      </c>
      <c r="R818" t="s">
        <v>852</v>
      </c>
      <c r="T818" s="3"/>
      <c r="U818" s="25" t="s">
        <v>177</v>
      </c>
      <c r="V818" s="54" t="s">
        <v>1461</v>
      </c>
      <c r="W818" s="56"/>
      <c r="X818" s="45"/>
    </row>
    <row r="819" spans="1:24">
      <c r="A819" s="58" t="s">
        <v>188</v>
      </c>
      <c r="B819" s="146">
        <v>44283.15625</v>
      </c>
      <c r="C819" s="140">
        <v>2</v>
      </c>
      <c r="D819" s="134" t="s">
        <v>425</v>
      </c>
      <c r="E819" s="7" t="s">
        <v>25</v>
      </c>
      <c r="F819" s="139" t="s">
        <v>929</v>
      </c>
      <c r="G819" s="43">
        <v>79</v>
      </c>
      <c r="H819" s="43">
        <v>56.3</v>
      </c>
      <c r="I819">
        <f>表1_4[[#This Row],[主队2]]-表1_4[[#This Row],[客队2]]</f>
        <v>22.7</v>
      </c>
      <c r="J819" s="34">
        <v>2.5</v>
      </c>
      <c r="K819" s="35" t="s">
        <v>45</v>
      </c>
      <c r="L81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819" s="11"/>
      <c r="N819" s="10" t="s">
        <v>133</v>
      </c>
      <c r="O819" s="10" t="s">
        <v>35</v>
      </c>
      <c r="P819" s="9" t="s">
        <v>161</v>
      </c>
      <c r="R819" t="s">
        <v>852</v>
      </c>
      <c r="T819" s="3"/>
      <c r="U819" s="246" t="s">
        <v>1018</v>
      </c>
      <c r="V819" s="231" t="s">
        <v>1462</v>
      </c>
      <c r="W819" s="48"/>
      <c r="X819" s="45"/>
    </row>
    <row r="820" spans="1:24">
      <c r="A820" s="58" t="s">
        <v>188</v>
      </c>
      <c r="B820" s="146">
        <v>44283.15625</v>
      </c>
      <c r="C820" s="140">
        <v>2</v>
      </c>
      <c r="D820" s="134" t="s">
        <v>199</v>
      </c>
      <c r="E820" s="7" t="s">
        <v>53</v>
      </c>
      <c r="F820" s="139" t="s">
        <v>266</v>
      </c>
      <c r="G820" s="43">
        <v>78.599999999999994</v>
      </c>
      <c r="H820" s="43">
        <v>62</v>
      </c>
      <c r="I820">
        <f>表1_4[[#This Row],[主队2]]-表1_4[[#This Row],[客队2]]</f>
        <v>16.600000000000001</v>
      </c>
      <c r="J82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820" s="35" t="s">
        <v>176</v>
      </c>
      <c r="L82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820" s="11"/>
      <c r="N820" s="10" t="s">
        <v>119</v>
      </c>
      <c r="O820" s="10" t="s">
        <v>65</v>
      </c>
      <c r="P820" s="9" t="s">
        <v>161</v>
      </c>
      <c r="R820" t="s">
        <v>852</v>
      </c>
      <c r="T820" s="3"/>
      <c r="U820" s="25"/>
      <c r="V820" s="54" t="s">
        <v>1463</v>
      </c>
      <c r="W820" s="52" t="s">
        <v>381</v>
      </c>
      <c r="X820" s="45"/>
    </row>
    <row r="821" spans="1:24">
      <c r="A821" s="58" t="s">
        <v>188</v>
      </c>
      <c r="B821" s="146">
        <v>44283.15625</v>
      </c>
      <c r="C821" s="141">
        <v>2</v>
      </c>
      <c r="D821" s="134" t="s">
        <v>434</v>
      </c>
      <c r="E821" s="7" t="s">
        <v>25</v>
      </c>
      <c r="F821" s="139" t="s">
        <v>270</v>
      </c>
      <c r="G821" s="43">
        <v>83.2</v>
      </c>
      <c r="H821" s="43">
        <v>93.5</v>
      </c>
      <c r="I821">
        <f>表1_4[[#This Row],[主队2]]-表1_4[[#This Row],[客队2]]</f>
        <v>-10.3</v>
      </c>
      <c r="J82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821" s="35" t="s">
        <v>111</v>
      </c>
      <c r="L82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21" s="11"/>
      <c r="N821" s="10" t="s">
        <v>119</v>
      </c>
      <c r="O821" s="10" t="s">
        <v>46</v>
      </c>
      <c r="P821" s="9">
        <v>19</v>
      </c>
      <c r="T821" s="3"/>
      <c r="U821" s="246"/>
      <c r="V821" s="231" t="s">
        <v>1464</v>
      </c>
      <c r="W821" s="241"/>
      <c r="X821" s="45"/>
    </row>
    <row r="822" spans="1:24">
      <c r="A822" s="58" t="s">
        <v>188</v>
      </c>
      <c r="B822" s="146">
        <v>44283.875</v>
      </c>
      <c r="C822" s="140">
        <v>2</v>
      </c>
      <c r="D822" s="134" t="s">
        <v>288</v>
      </c>
      <c r="E822" s="7" t="s">
        <v>47</v>
      </c>
      <c r="F822" s="139" t="s">
        <v>267</v>
      </c>
      <c r="G822" s="43">
        <v>64.7</v>
      </c>
      <c r="H822" s="43">
        <v>96.2</v>
      </c>
      <c r="I822">
        <f>表1_4[[#This Row],[主队2]]-表1_4[[#This Row],[客队2]]</f>
        <v>-31.5</v>
      </c>
      <c r="J822" s="34">
        <v>-3</v>
      </c>
      <c r="K822" s="35" t="s">
        <v>692</v>
      </c>
      <c r="L82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822" s="11"/>
      <c r="N822" s="10" t="s">
        <v>112</v>
      </c>
      <c r="O822" s="10" t="s">
        <v>46</v>
      </c>
      <c r="P822" s="9" t="s">
        <v>161</v>
      </c>
      <c r="R822" t="s">
        <v>855</v>
      </c>
      <c r="T822" s="3"/>
      <c r="U822" s="25"/>
      <c r="V822" s="54" t="s">
        <v>522</v>
      </c>
      <c r="W822" s="44"/>
      <c r="X822" s="45"/>
    </row>
    <row r="823" spans="1:24">
      <c r="A823" s="58" t="s">
        <v>188</v>
      </c>
      <c r="B823" s="146">
        <v>44284</v>
      </c>
      <c r="C823" s="140">
        <v>2</v>
      </c>
      <c r="D823" s="134" t="s">
        <v>430</v>
      </c>
      <c r="E823" s="7" t="s">
        <v>60</v>
      </c>
      <c r="F823" s="139" t="s">
        <v>209</v>
      </c>
      <c r="G823" s="43">
        <v>71.5</v>
      </c>
      <c r="H823" s="43">
        <v>98</v>
      </c>
      <c r="I823">
        <f>表1_4[[#This Row],[主队2]]-表1_4[[#This Row],[客队2]]</f>
        <v>-26.5</v>
      </c>
      <c r="J823" s="34">
        <v>-2.5</v>
      </c>
      <c r="K823" s="35" t="s">
        <v>686</v>
      </c>
      <c r="L82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823" s="11"/>
      <c r="N823" s="10" t="s">
        <v>119</v>
      </c>
      <c r="O823" s="10" t="s">
        <v>35</v>
      </c>
      <c r="P823" s="9" t="s">
        <v>161</v>
      </c>
      <c r="R823" t="s">
        <v>852</v>
      </c>
      <c r="T823" s="3"/>
      <c r="U823" s="83" t="s">
        <v>1465</v>
      </c>
      <c r="V823" s="62" t="s">
        <v>1466</v>
      </c>
      <c r="W823" s="44"/>
      <c r="X823" s="45"/>
    </row>
    <row r="824" spans="1:24">
      <c r="A824" s="58" t="s">
        <v>188</v>
      </c>
      <c r="B824" s="146">
        <v>44284.114583333299</v>
      </c>
      <c r="C824" s="138">
        <v>2</v>
      </c>
      <c r="D824" s="134" t="s">
        <v>217</v>
      </c>
      <c r="E824" s="7" t="s">
        <v>64</v>
      </c>
      <c r="F824" s="139" t="s">
        <v>239</v>
      </c>
      <c r="G824" s="43">
        <v>69.3</v>
      </c>
      <c r="H824" s="43">
        <v>85.4</v>
      </c>
      <c r="I824">
        <f>表1_4[[#This Row],[主队2]]-表1_4[[#This Row],[客队2]]</f>
        <v>-16.100000000000001</v>
      </c>
      <c r="J82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824" s="35" t="s">
        <v>111</v>
      </c>
      <c r="L82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824" s="11"/>
      <c r="N824" s="10" t="s">
        <v>119</v>
      </c>
      <c r="O824" s="10" t="s">
        <v>28</v>
      </c>
      <c r="P824" s="9">
        <v>17</v>
      </c>
      <c r="R824" t="s">
        <v>852</v>
      </c>
      <c r="T824" s="3"/>
      <c r="U824" s="25"/>
      <c r="V824" s="231" t="s">
        <v>1467</v>
      </c>
      <c r="W824" s="44"/>
      <c r="X824" s="45"/>
    </row>
    <row r="825" spans="1:24">
      <c r="A825" s="58" t="s">
        <v>188</v>
      </c>
      <c r="B825" s="146">
        <v>44284.114583333299</v>
      </c>
      <c r="C825" s="138">
        <v>2</v>
      </c>
      <c r="D825" s="134" t="s">
        <v>261</v>
      </c>
      <c r="E825" s="7" t="s">
        <v>47</v>
      </c>
      <c r="F825" s="260" t="s">
        <v>204</v>
      </c>
      <c r="G825" s="43">
        <v>71.2</v>
      </c>
      <c r="H825" s="43">
        <v>92.8</v>
      </c>
      <c r="I825">
        <f>表1_4[[#This Row],[主队2]]-表1_4[[#This Row],[客队2]]</f>
        <v>-21.6</v>
      </c>
      <c r="J825" s="34">
        <v>-2</v>
      </c>
      <c r="K825" s="35" t="s">
        <v>666</v>
      </c>
      <c r="L82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25" s="11"/>
      <c r="N825" s="10" t="s">
        <v>119</v>
      </c>
      <c r="O825" s="10" t="s">
        <v>48</v>
      </c>
      <c r="P825" s="9">
        <v>-7</v>
      </c>
      <c r="R825" t="s">
        <v>852</v>
      </c>
      <c r="T825" s="3"/>
      <c r="U825" s="25"/>
      <c r="V825" s="54" t="s">
        <v>1468</v>
      </c>
      <c r="W825" s="44"/>
      <c r="X825" s="45"/>
    </row>
    <row r="826" spans="1:24">
      <c r="A826" s="58" t="s">
        <v>188</v>
      </c>
      <c r="B826" s="127">
        <v>44284.114583333299</v>
      </c>
      <c r="C826" s="138">
        <v>2</v>
      </c>
      <c r="D826" s="134" t="s">
        <v>250</v>
      </c>
      <c r="E826" s="7" t="s">
        <v>31</v>
      </c>
      <c r="F826" s="139" t="s">
        <v>292</v>
      </c>
      <c r="G826" s="43">
        <v>90.4</v>
      </c>
      <c r="H826" s="43">
        <v>62.8</v>
      </c>
      <c r="I826">
        <f>表1_4[[#This Row],[主队2]]-表1_4[[#This Row],[客队2]]</f>
        <v>27.6</v>
      </c>
      <c r="J826" s="34">
        <v>3</v>
      </c>
      <c r="K826" s="35" t="s">
        <v>34</v>
      </c>
      <c r="L82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26" s="63" t="s">
        <v>1469</v>
      </c>
      <c r="N826" s="10" t="s">
        <v>133</v>
      </c>
      <c r="O826" s="10" t="s">
        <v>143</v>
      </c>
      <c r="P826" s="9" t="s">
        <v>161</v>
      </c>
      <c r="R826" t="s">
        <v>852</v>
      </c>
      <c r="T826" s="3"/>
      <c r="U826" s="83"/>
      <c r="V826" s="55" t="s">
        <v>1386</v>
      </c>
      <c r="W826" s="44"/>
      <c r="X826" s="45"/>
    </row>
    <row r="827" spans="1:24">
      <c r="A827" s="58" t="s">
        <v>188</v>
      </c>
      <c r="B827" s="146">
        <v>44284.114583333299</v>
      </c>
      <c r="C827" s="138">
        <v>2</v>
      </c>
      <c r="D827" s="134" t="s">
        <v>214</v>
      </c>
      <c r="E827" s="7" t="s">
        <v>36</v>
      </c>
      <c r="F827" s="139" t="s">
        <v>191</v>
      </c>
      <c r="G827" s="43">
        <v>83.7</v>
      </c>
      <c r="H827" s="43">
        <v>77.400000000000006</v>
      </c>
      <c r="I827">
        <f>表1_4[[#This Row],[主队2]]-表1_4[[#This Row],[客队2]]</f>
        <v>6.3</v>
      </c>
      <c r="J82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827" s="35" t="s">
        <v>118</v>
      </c>
      <c r="L82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27" s="11"/>
      <c r="N827" s="10" t="s">
        <v>119</v>
      </c>
      <c r="O827" s="57" t="s">
        <v>28</v>
      </c>
      <c r="P827" s="9" t="s">
        <v>161</v>
      </c>
      <c r="R827" t="s">
        <v>855</v>
      </c>
      <c r="T827" s="3"/>
      <c r="U827" s="246"/>
      <c r="V827" s="231" t="s">
        <v>639</v>
      </c>
      <c r="W827" s="44"/>
      <c r="X827" s="45"/>
    </row>
    <row r="828" spans="1:24">
      <c r="A828" s="58" t="s">
        <v>188</v>
      </c>
      <c r="B828" s="146">
        <v>44284</v>
      </c>
      <c r="C828" s="138">
        <v>2</v>
      </c>
      <c r="D828" s="134" t="s">
        <v>306</v>
      </c>
      <c r="E828" s="42" t="s">
        <v>700</v>
      </c>
      <c r="F828" s="139" t="s">
        <v>195</v>
      </c>
      <c r="G828" s="43">
        <v>88.7</v>
      </c>
      <c r="H828" s="43">
        <v>59.6</v>
      </c>
      <c r="I828">
        <f>表1_4[[#This Row],[主队2]]-表1_4[[#This Row],[客队2]]</f>
        <v>29.1</v>
      </c>
      <c r="J828" s="34">
        <v>3.25</v>
      </c>
      <c r="K828" s="35" t="s">
        <v>34</v>
      </c>
      <c r="L82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28" s="11"/>
      <c r="N828" s="10" t="s">
        <v>1139</v>
      </c>
      <c r="O828" s="10" t="s">
        <v>28</v>
      </c>
      <c r="P828" s="9" t="s">
        <v>161</v>
      </c>
      <c r="R828" t="s">
        <v>852</v>
      </c>
      <c r="T828" s="3"/>
      <c r="U828" s="25"/>
      <c r="V828" s="231" t="s">
        <v>406</v>
      </c>
      <c r="W828" s="44"/>
      <c r="X828" s="45"/>
    </row>
    <row r="829" spans="1:24">
      <c r="A829" s="58" t="s">
        <v>188</v>
      </c>
      <c r="B829" s="146">
        <v>44284.114583333299</v>
      </c>
      <c r="C829" s="138">
        <v>2</v>
      </c>
      <c r="D829" s="134" t="s">
        <v>194</v>
      </c>
      <c r="E829" s="7" t="s">
        <v>41</v>
      </c>
      <c r="F829" s="139" t="s">
        <v>244</v>
      </c>
      <c r="G829" s="43">
        <v>82.9</v>
      </c>
      <c r="H829" s="43">
        <v>58.3</v>
      </c>
      <c r="I829">
        <f>表1_4[[#This Row],[主队2]]-表1_4[[#This Row],[客队2]]</f>
        <v>24.6</v>
      </c>
      <c r="J829" s="34">
        <v>2.75</v>
      </c>
      <c r="K829" s="35" t="s">
        <v>30</v>
      </c>
      <c r="L82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29" s="11"/>
      <c r="N829" s="10" t="s">
        <v>119</v>
      </c>
      <c r="O829" s="10" t="s">
        <v>143</v>
      </c>
      <c r="P829" s="9" t="s">
        <v>161</v>
      </c>
      <c r="R829" t="s">
        <v>855</v>
      </c>
      <c r="T829" s="3"/>
      <c r="U829" s="246"/>
      <c r="V829" s="231" t="s">
        <v>1470</v>
      </c>
      <c r="W829" s="44"/>
      <c r="X829" s="45"/>
    </row>
    <row r="830" spans="1:24">
      <c r="A830" s="58" t="s">
        <v>188</v>
      </c>
      <c r="B830" s="146">
        <v>44284.114583333299</v>
      </c>
      <c r="C830" s="140">
        <v>2</v>
      </c>
      <c r="D830" s="134" t="s">
        <v>210</v>
      </c>
      <c r="E830" s="7" t="s">
        <v>36</v>
      </c>
      <c r="F830" s="139" t="s">
        <v>123</v>
      </c>
      <c r="G830" s="43">
        <v>75.099999999999994</v>
      </c>
      <c r="H830" s="43">
        <v>78.2</v>
      </c>
      <c r="I830">
        <f>表1_4[[#This Row],[主队2]]-表1_4[[#This Row],[客队2]]</f>
        <v>-3.1000000000000099</v>
      </c>
      <c r="J83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830" s="35" t="s">
        <v>166</v>
      </c>
      <c r="L83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30" s="11"/>
      <c r="N830" s="10" t="s">
        <v>119</v>
      </c>
      <c r="O830" s="57" t="s">
        <v>28</v>
      </c>
      <c r="P830" s="9">
        <v>7</v>
      </c>
      <c r="R830" t="s">
        <v>852</v>
      </c>
      <c r="T830" s="3"/>
      <c r="U830" s="83" t="s">
        <v>1471</v>
      </c>
      <c r="V830" s="55" t="s">
        <v>699</v>
      </c>
      <c r="W830" s="44"/>
      <c r="X830" s="45"/>
    </row>
    <row r="831" spans="1:24">
      <c r="A831" s="58" t="s">
        <v>188</v>
      </c>
      <c r="B831" s="146">
        <v>44284</v>
      </c>
      <c r="C831" s="138">
        <v>2</v>
      </c>
      <c r="D831" s="134" t="s">
        <v>205</v>
      </c>
      <c r="E831" s="7" t="s">
        <v>47</v>
      </c>
      <c r="F831" s="139" t="s">
        <v>117</v>
      </c>
      <c r="G831" s="43">
        <v>72.8</v>
      </c>
      <c r="H831" s="43">
        <v>95.4</v>
      </c>
      <c r="I831">
        <f>表1_4[[#This Row],[主队2]]-表1_4[[#This Row],[客队2]]</f>
        <v>-22.6</v>
      </c>
      <c r="J831" s="34">
        <v>-2</v>
      </c>
      <c r="K831" s="35" t="s">
        <v>706</v>
      </c>
      <c r="L83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831" s="11"/>
      <c r="N831" s="10" t="s">
        <v>112</v>
      </c>
      <c r="O831" s="10" t="s">
        <v>35</v>
      </c>
      <c r="P831" s="9" t="s">
        <v>161</v>
      </c>
      <c r="R831" t="s">
        <v>852</v>
      </c>
      <c r="T831" s="3"/>
      <c r="U831" s="246" t="s">
        <v>1472</v>
      </c>
      <c r="V831" s="231" t="s">
        <v>1473</v>
      </c>
      <c r="W831" s="44"/>
      <c r="X831" s="45"/>
    </row>
    <row r="832" spans="1:24">
      <c r="A832" s="58" t="s">
        <v>188</v>
      </c>
      <c r="B832" s="146">
        <v>44284.114583333299</v>
      </c>
      <c r="C832" s="140">
        <v>2</v>
      </c>
      <c r="D832" s="134" t="s">
        <v>302</v>
      </c>
      <c r="E832" s="7" t="s">
        <v>44</v>
      </c>
      <c r="F832" s="139" t="s">
        <v>243</v>
      </c>
      <c r="G832" s="43">
        <v>85.6</v>
      </c>
      <c r="H832" s="43">
        <v>46.7</v>
      </c>
      <c r="I832">
        <f>表1_4[[#This Row],[主队2]]-表1_4[[#This Row],[客队2]]</f>
        <v>38.9</v>
      </c>
      <c r="J832" s="34">
        <v>4.25</v>
      </c>
      <c r="K832" s="35" t="s">
        <v>50</v>
      </c>
      <c r="L83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832" s="11"/>
      <c r="N832" s="10" t="s">
        <v>119</v>
      </c>
      <c r="O832" s="10" t="s">
        <v>46</v>
      </c>
      <c r="P832" s="9" t="s">
        <v>161</v>
      </c>
      <c r="T832" s="3"/>
      <c r="U832" s="25"/>
      <c r="V832" s="54" t="s">
        <v>640</v>
      </c>
      <c r="W832" s="44"/>
      <c r="X832" s="45"/>
    </row>
    <row r="833" spans="1:24">
      <c r="A833" s="58" t="s">
        <v>188</v>
      </c>
      <c r="B833" s="146">
        <v>44284.114583333299</v>
      </c>
      <c r="C833" s="140">
        <v>2</v>
      </c>
      <c r="D833" s="134" t="s">
        <v>282</v>
      </c>
      <c r="E833" s="7" t="s">
        <v>64</v>
      </c>
      <c r="F833" s="273" t="s">
        <v>271</v>
      </c>
      <c r="G833" s="43">
        <v>30.8</v>
      </c>
      <c r="H833" s="43">
        <v>79.2</v>
      </c>
      <c r="I833">
        <f>表1_4[[#This Row],[主队2]]-表1_4[[#This Row],[客队2]]</f>
        <v>-48.4</v>
      </c>
      <c r="J833" s="34">
        <v>-4.5</v>
      </c>
      <c r="K833" s="35" t="s">
        <v>1021</v>
      </c>
      <c r="L83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833" s="11"/>
      <c r="N833" s="10" t="s">
        <v>119</v>
      </c>
      <c r="O833" s="10" t="s">
        <v>40</v>
      </c>
      <c r="P833" s="9" t="s">
        <v>161</v>
      </c>
      <c r="R833" t="s">
        <v>852</v>
      </c>
      <c r="T833" s="3"/>
      <c r="U833" s="246" t="s">
        <v>1084</v>
      </c>
      <c r="V833" s="231" t="s">
        <v>645</v>
      </c>
      <c r="W833" s="44"/>
      <c r="X833" s="45"/>
    </row>
    <row r="834" spans="1:24">
      <c r="A834" s="58" t="s">
        <v>188</v>
      </c>
      <c r="B834" s="146">
        <v>44284</v>
      </c>
      <c r="C834" s="140">
        <v>2</v>
      </c>
      <c r="D834" s="134" t="s">
        <v>287</v>
      </c>
      <c r="E834" s="7" t="s">
        <v>22</v>
      </c>
      <c r="F834" s="139" t="s">
        <v>218</v>
      </c>
      <c r="G834" s="43">
        <v>69.400000000000006</v>
      </c>
      <c r="H834" s="43">
        <v>77.2</v>
      </c>
      <c r="I834">
        <f>表1_4[[#This Row],[主队2]]-表1_4[[#This Row],[客队2]]</f>
        <v>-7.8</v>
      </c>
      <c r="J83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834" s="35" t="s">
        <v>152</v>
      </c>
      <c r="L83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34" s="11"/>
      <c r="N834" s="10" t="s">
        <v>112</v>
      </c>
      <c r="O834" s="57" t="s">
        <v>35</v>
      </c>
      <c r="P834" s="9">
        <v>13</v>
      </c>
      <c r="R834" t="s">
        <v>852</v>
      </c>
      <c r="T834" s="3"/>
      <c r="U834" s="25" t="s">
        <v>693</v>
      </c>
      <c r="V834" s="54" t="s">
        <v>640</v>
      </c>
      <c r="W834" s="44"/>
      <c r="X834" s="45"/>
    </row>
    <row r="835" spans="1:24">
      <c r="A835" s="58" t="s">
        <v>188</v>
      </c>
      <c r="B835" s="146">
        <v>44284.114583333299</v>
      </c>
      <c r="C835" s="138">
        <v>2</v>
      </c>
      <c r="D835" s="134" t="s">
        <v>305</v>
      </c>
      <c r="E835" s="7" t="s">
        <v>53</v>
      </c>
      <c r="F835" s="139" t="s">
        <v>116</v>
      </c>
      <c r="G835" s="43">
        <v>80.900000000000006</v>
      </c>
      <c r="H835" s="43">
        <v>95.7</v>
      </c>
      <c r="I835">
        <f>表1_4[[#This Row],[主队2]]-表1_4[[#This Row],[客队2]]</f>
        <v>-14.8</v>
      </c>
      <c r="J83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835" s="35" t="s">
        <v>706</v>
      </c>
      <c r="L83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835" s="11"/>
      <c r="N835" s="10" t="s">
        <v>119</v>
      </c>
      <c r="O835" s="10" t="s">
        <v>143</v>
      </c>
      <c r="P835" s="9">
        <v>-3</v>
      </c>
      <c r="R835" t="s">
        <v>852</v>
      </c>
      <c r="T835" s="3"/>
      <c r="U835" s="246"/>
      <c r="V835" s="231" t="s">
        <v>920</v>
      </c>
      <c r="W835" s="44"/>
      <c r="X835" s="45"/>
    </row>
    <row r="836" spans="1:24">
      <c r="A836" s="58" t="s">
        <v>188</v>
      </c>
      <c r="B836" s="146">
        <v>44284.114583333299</v>
      </c>
      <c r="C836" s="138">
        <v>2</v>
      </c>
      <c r="D836" s="134" t="s">
        <v>440</v>
      </c>
      <c r="E836" s="7" t="s">
        <v>57</v>
      </c>
      <c r="F836" s="139" t="s">
        <v>437</v>
      </c>
      <c r="G836" s="43">
        <v>73.400000000000006</v>
      </c>
      <c r="H836" s="43">
        <v>47.5</v>
      </c>
      <c r="I836">
        <f>表1_4[[#This Row],[主队2]]-表1_4[[#This Row],[客队2]]</f>
        <v>25.9</v>
      </c>
      <c r="J836" s="34">
        <v>2.75</v>
      </c>
      <c r="K836" s="35" t="s">
        <v>23</v>
      </c>
      <c r="L83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36" s="11"/>
      <c r="N836" s="10" t="s">
        <v>119</v>
      </c>
      <c r="O836" s="10" t="s">
        <v>143</v>
      </c>
      <c r="P836" s="9" t="s">
        <v>161</v>
      </c>
      <c r="R836" t="s">
        <v>852</v>
      </c>
      <c r="T836" s="3"/>
      <c r="U836" s="246"/>
      <c r="V836" s="231" t="s">
        <v>645</v>
      </c>
      <c r="W836" s="44"/>
      <c r="X836" s="45"/>
    </row>
    <row r="837" spans="1:24">
      <c r="A837" s="58" t="s">
        <v>188</v>
      </c>
      <c r="B837" s="146">
        <v>44286</v>
      </c>
      <c r="C837" s="138">
        <v>3</v>
      </c>
      <c r="D837" s="134" t="s">
        <v>407</v>
      </c>
      <c r="E837" s="7" t="s">
        <v>31</v>
      </c>
      <c r="F837" s="139" t="s">
        <v>309</v>
      </c>
      <c r="G837" s="43">
        <v>64.2</v>
      </c>
      <c r="H837" s="43">
        <v>77.900000000000006</v>
      </c>
      <c r="I837">
        <f>表1_4[[#This Row],[主队2]]-表1_4[[#This Row],[客队2]]</f>
        <v>-13.7</v>
      </c>
      <c r="J83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837" s="35" t="s">
        <v>111</v>
      </c>
      <c r="L83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37" s="11" t="s">
        <v>1474</v>
      </c>
      <c r="N837" s="10" t="s">
        <v>133</v>
      </c>
      <c r="O837" s="10" t="s">
        <v>46</v>
      </c>
      <c r="P837" s="9" t="s">
        <v>161</v>
      </c>
      <c r="T837" s="3"/>
      <c r="U837" s="246"/>
      <c r="V837" s="231" t="s">
        <v>639</v>
      </c>
      <c r="W837" s="241"/>
      <c r="X837" s="45"/>
    </row>
    <row r="838" spans="1:24">
      <c r="A838" s="58" t="s">
        <v>188</v>
      </c>
      <c r="B838" s="146">
        <v>44286</v>
      </c>
      <c r="C838" s="138">
        <v>3</v>
      </c>
      <c r="D838" s="134" t="s">
        <v>278</v>
      </c>
      <c r="E838" s="7" t="s">
        <v>60</v>
      </c>
      <c r="F838" s="139" t="s">
        <v>434</v>
      </c>
      <c r="G838" s="43">
        <v>65.099999999999994</v>
      </c>
      <c r="H838" s="43">
        <v>83.9</v>
      </c>
      <c r="I838">
        <f>表1_4[[#This Row],[主队2]]-表1_4[[#This Row],[客队2]]</f>
        <v>-18.8</v>
      </c>
      <c r="J83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838" s="34">
        <v>-1.5</v>
      </c>
      <c r="L83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38" s="11"/>
      <c r="N838" s="10" t="s">
        <v>119</v>
      </c>
      <c r="O838" s="10" t="s">
        <v>28</v>
      </c>
      <c r="R838" t="s">
        <v>852</v>
      </c>
      <c r="T838" s="3"/>
      <c r="U838" s="83" t="s">
        <v>521</v>
      </c>
      <c r="V838" s="55" t="s">
        <v>1475</v>
      </c>
      <c r="W838" s="48"/>
      <c r="X838" s="45"/>
    </row>
    <row r="839" spans="1:24">
      <c r="A839" s="58" t="s">
        <v>188</v>
      </c>
      <c r="B839" s="146">
        <v>44286.114583333299</v>
      </c>
      <c r="C839" s="140">
        <v>3</v>
      </c>
      <c r="D839" s="134" t="s">
        <v>425</v>
      </c>
      <c r="E839" s="7" t="s">
        <v>33</v>
      </c>
      <c r="F839" s="139" t="s">
        <v>353</v>
      </c>
      <c r="G839" s="43">
        <v>78.5</v>
      </c>
      <c r="H839" s="43">
        <v>83.2</v>
      </c>
      <c r="I839">
        <f>表1_4[[#This Row],[主队2]]-表1_4[[#This Row],[客队2]]</f>
        <v>-4.7</v>
      </c>
      <c r="J83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839" s="35" t="s">
        <v>132</v>
      </c>
      <c r="L83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839" s="11"/>
      <c r="N839" s="10" t="s">
        <v>112</v>
      </c>
      <c r="O839" s="10" t="s">
        <v>35</v>
      </c>
      <c r="R839" t="s">
        <v>855</v>
      </c>
      <c r="T839" s="3"/>
      <c r="U839" s="25" t="s">
        <v>938</v>
      </c>
      <c r="V839" s="246" t="s">
        <v>1476</v>
      </c>
      <c r="W839" s="246"/>
      <c r="X839" s="135"/>
    </row>
    <row r="840" spans="1:24">
      <c r="A840" s="58" t="s">
        <v>188</v>
      </c>
      <c r="B840" s="146">
        <v>44286.114583333299</v>
      </c>
      <c r="C840" s="138">
        <v>3</v>
      </c>
      <c r="D840" s="134" t="s">
        <v>110</v>
      </c>
      <c r="E840" s="7" t="s">
        <v>44</v>
      </c>
      <c r="F840" s="139" t="s">
        <v>929</v>
      </c>
      <c r="G840" s="43">
        <v>85.6</v>
      </c>
      <c r="H840" s="43">
        <v>56.9</v>
      </c>
      <c r="I840">
        <f>表1_4[[#This Row],[主队2]]-表1_4[[#This Row],[客队2]]</f>
        <v>28.7</v>
      </c>
      <c r="J840" s="34">
        <v>3</v>
      </c>
      <c r="K840" s="34">
        <v>2.75</v>
      </c>
      <c r="L84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40" s="11"/>
      <c r="N840" s="10" t="s">
        <v>119</v>
      </c>
      <c r="O840" s="10" t="s">
        <v>143</v>
      </c>
      <c r="R840" t="s">
        <v>855</v>
      </c>
      <c r="T840" s="3"/>
      <c r="U840" s="246"/>
      <c r="V840" s="55" t="s">
        <v>1477</v>
      </c>
      <c r="W840" s="56"/>
      <c r="X840" s="45"/>
    </row>
    <row r="841" spans="1:24">
      <c r="A841" s="58" t="s">
        <v>188</v>
      </c>
      <c r="B841" s="146">
        <v>44286.114583333299</v>
      </c>
      <c r="C841" s="140">
        <v>3</v>
      </c>
      <c r="D841" s="134" t="s">
        <v>266</v>
      </c>
      <c r="E841" s="7" t="s">
        <v>74</v>
      </c>
      <c r="F841" s="139" t="s">
        <v>270</v>
      </c>
      <c r="G841" s="43">
        <v>62.7</v>
      </c>
      <c r="H841" s="43">
        <v>92.8</v>
      </c>
      <c r="I841">
        <f>表1_4[[#This Row],[主队2]]-表1_4[[#This Row],[客队2]]</f>
        <v>-30.1</v>
      </c>
      <c r="J841" s="34">
        <v>-2.75</v>
      </c>
      <c r="K841" s="35" t="s">
        <v>686</v>
      </c>
      <c r="L84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841" s="11"/>
      <c r="N841" s="10" t="s">
        <v>112</v>
      </c>
      <c r="O841" s="10" t="s">
        <v>65</v>
      </c>
      <c r="R841" t="s">
        <v>852</v>
      </c>
      <c r="T841" s="3"/>
      <c r="U841" s="246"/>
      <c r="V841" s="25" t="s">
        <v>1478</v>
      </c>
      <c r="W841" s="52"/>
      <c r="X841" s="45"/>
    </row>
    <row r="842" spans="1:24">
      <c r="A842" s="58" t="s">
        <v>188</v>
      </c>
      <c r="B842" s="146">
        <v>44286.114583333299</v>
      </c>
      <c r="C842" s="138">
        <v>3</v>
      </c>
      <c r="D842" s="134" t="s">
        <v>274</v>
      </c>
      <c r="E842" s="42" t="s">
        <v>700</v>
      </c>
      <c r="F842" s="139" t="s">
        <v>240</v>
      </c>
      <c r="G842" s="43">
        <v>96.9</v>
      </c>
      <c r="H842" s="43">
        <v>72.3</v>
      </c>
      <c r="I842">
        <f>表1_4[[#This Row],[主队2]]-表1_4[[#This Row],[客队2]]</f>
        <v>24.6</v>
      </c>
      <c r="J842" s="34">
        <v>2.75</v>
      </c>
      <c r="K842" s="35" t="s">
        <v>34</v>
      </c>
      <c r="L84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842" s="11"/>
      <c r="N842" s="10" t="s">
        <v>1072</v>
      </c>
      <c r="O842" s="10" t="s">
        <v>143</v>
      </c>
      <c r="R842" t="s">
        <v>852</v>
      </c>
      <c r="T842" s="3"/>
      <c r="U842" s="246"/>
      <c r="V842" s="55" t="s">
        <v>1479</v>
      </c>
      <c r="W842" s="48"/>
      <c r="X842" s="45"/>
    </row>
    <row r="843" spans="1:24">
      <c r="A843" s="58" t="s">
        <v>188</v>
      </c>
      <c r="B843" s="146">
        <v>44286.114583333299</v>
      </c>
      <c r="C843" s="140">
        <v>3</v>
      </c>
      <c r="D843" s="134" t="s">
        <v>200</v>
      </c>
      <c r="E843" s="7" t="s">
        <v>31</v>
      </c>
      <c r="F843" s="139" t="s">
        <v>284</v>
      </c>
      <c r="G843" s="43">
        <v>82.7</v>
      </c>
      <c r="H843" s="43">
        <v>84.6</v>
      </c>
      <c r="I843">
        <f>表1_4[[#This Row],[主队2]]-表1_4[[#This Row],[客队2]]</f>
        <v>-1.8999999999999899</v>
      </c>
      <c r="J84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843" s="35" t="s">
        <v>166</v>
      </c>
      <c r="L84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43" s="11"/>
      <c r="N843" s="10" t="s">
        <v>112</v>
      </c>
      <c r="O843" s="10" t="s">
        <v>143</v>
      </c>
      <c r="P843" s="9">
        <v>5</v>
      </c>
      <c r="R843" t="s">
        <v>852</v>
      </c>
      <c r="T843" s="3"/>
      <c r="U843" s="83" t="s">
        <v>1471</v>
      </c>
      <c r="V843" s="55" t="s">
        <v>314</v>
      </c>
      <c r="W843" s="56"/>
      <c r="X843" s="45"/>
    </row>
    <row r="844" spans="1:24">
      <c r="A844" s="58" t="s">
        <v>188</v>
      </c>
      <c r="B844" s="146">
        <v>44286.114583333299</v>
      </c>
      <c r="C844" s="140">
        <v>3</v>
      </c>
      <c r="D844" s="134" t="s">
        <v>301</v>
      </c>
      <c r="E844" s="7" t="s">
        <v>53</v>
      </c>
      <c r="F844" s="139" t="s">
        <v>297</v>
      </c>
      <c r="G844" s="43">
        <v>73.599999999999994</v>
      </c>
      <c r="H844" s="43">
        <v>79.900000000000006</v>
      </c>
      <c r="I844">
        <f>表1_4[[#This Row],[主队2]]-表1_4[[#This Row],[客队2]]</f>
        <v>-6.3000000000000096</v>
      </c>
      <c r="J84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844" s="35" t="s">
        <v>132</v>
      </c>
      <c r="L84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44" s="11"/>
      <c r="N844" s="10" t="s">
        <v>119</v>
      </c>
      <c r="O844" s="10" t="s">
        <v>46</v>
      </c>
      <c r="R844" t="s">
        <v>852</v>
      </c>
      <c r="T844" s="3"/>
      <c r="U844" s="246"/>
      <c r="V844" s="25" t="s">
        <v>1480</v>
      </c>
      <c r="W844" s="52"/>
      <c r="X844" s="45"/>
    </row>
    <row r="845" spans="1:24">
      <c r="A845" s="58" t="s">
        <v>188</v>
      </c>
      <c r="B845" s="146">
        <v>44286.114583333299</v>
      </c>
      <c r="C845" s="145">
        <v>3</v>
      </c>
      <c r="D845" s="134" t="s">
        <v>190</v>
      </c>
      <c r="E845" s="7" t="s">
        <v>66</v>
      </c>
      <c r="F845" s="139" t="s">
        <v>251</v>
      </c>
      <c r="G845" s="43">
        <v>84.9</v>
      </c>
      <c r="H845" s="43">
        <v>61.9</v>
      </c>
      <c r="I845">
        <f>表1_4[[#This Row],[主队2]]-表1_4[[#This Row],[客队2]]</f>
        <v>23</v>
      </c>
      <c r="J845" s="34">
        <v>2.5</v>
      </c>
      <c r="K845" s="34">
        <v>2.5</v>
      </c>
      <c r="L84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45" s="11" t="s">
        <v>943</v>
      </c>
      <c r="N845" s="10" t="s">
        <v>404</v>
      </c>
      <c r="O845" s="10" t="s">
        <v>28</v>
      </c>
      <c r="R845" t="s">
        <v>852</v>
      </c>
      <c r="T845" s="3"/>
      <c r="U845" s="25"/>
      <c r="V845" s="25" t="s">
        <v>1481</v>
      </c>
      <c r="W845" s="246"/>
      <c r="X845" s="135"/>
    </row>
    <row r="846" spans="1:24">
      <c r="A846" s="58" t="s">
        <v>188</v>
      </c>
      <c r="B846" s="146">
        <v>44286.114583333299</v>
      </c>
      <c r="C846" s="140">
        <v>3</v>
      </c>
      <c r="D846" s="134" t="s">
        <v>256</v>
      </c>
      <c r="E846" s="49" t="s">
        <v>70</v>
      </c>
      <c r="F846" s="139" t="s">
        <v>262</v>
      </c>
      <c r="G846" s="43">
        <v>40</v>
      </c>
      <c r="H846" s="43">
        <v>90.8</v>
      </c>
      <c r="I846">
        <f>表1_4[[#This Row],[主队2]]-表1_4[[#This Row],[客队2]]</f>
        <v>-50.8</v>
      </c>
      <c r="J846" s="34">
        <v>-4.75</v>
      </c>
      <c r="K846" s="35" t="s">
        <v>1020</v>
      </c>
      <c r="L84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46" s="11"/>
      <c r="N846" s="10" t="s">
        <v>112</v>
      </c>
      <c r="O846" s="10" t="s">
        <v>46</v>
      </c>
      <c r="T846" s="3"/>
      <c r="U846" s="25"/>
      <c r="V846" s="25" t="s">
        <v>1482</v>
      </c>
      <c r="W846" s="246"/>
      <c r="X846" s="135"/>
    </row>
    <row r="847" spans="1:24">
      <c r="A847" s="58" t="s">
        <v>188</v>
      </c>
      <c r="B847" s="146">
        <v>44287</v>
      </c>
      <c r="C847" s="140">
        <v>3</v>
      </c>
      <c r="D847" s="134" t="s">
        <v>287</v>
      </c>
      <c r="E847" s="7" t="s">
        <v>29</v>
      </c>
      <c r="F847" s="139" t="s">
        <v>305</v>
      </c>
      <c r="G847" s="43">
        <v>70.2</v>
      </c>
      <c r="H847" s="43">
        <v>81.099999999999994</v>
      </c>
      <c r="I847">
        <f>表1_4[[#This Row],[主队2]]-表1_4[[#This Row],[客队2]]</f>
        <v>-10.9</v>
      </c>
      <c r="J84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847" s="35" t="s">
        <v>132</v>
      </c>
      <c r="L84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47" s="11"/>
      <c r="N847" s="10" t="s">
        <v>119</v>
      </c>
      <c r="O847" s="10" t="s">
        <v>24</v>
      </c>
      <c r="T847" s="3"/>
      <c r="U847" s="246"/>
      <c r="V847" s="55" t="s">
        <v>1483</v>
      </c>
      <c r="W847" s="56"/>
      <c r="X847" s="45"/>
    </row>
    <row r="848" spans="1:24">
      <c r="A848" s="58" t="s">
        <v>188</v>
      </c>
      <c r="B848" s="127">
        <v>44287.114583333299</v>
      </c>
      <c r="C848" s="138">
        <v>3</v>
      </c>
      <c r="D848" s="134" t="s">
        <v>275</v>
      </c>
      <c r="E848" s="7" t="s">
        <v>36</v>
      </c>
      <c r="F848" s="139" t="s">
        <v>430</v>
      </c>
      <c r="G848" s="43">
        <v>79.2</v>
      </c>
      <c r="H848" s="43">
        <v>72</v>
      </c>
      <c r="I848">
        <f>表1_4[[#This Row],[主队2]]-表1_4[[#This Row],[客队2]]</f>
        <v>7.2</v>
      </c>
      <c r="J84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848" s="35" t="s">
        <v>118</v>
      </c>
      <c r="L84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48" s="63" t="s">
        <v>1484</v>
      </c>
      <c r="N848" s="57" t="s">
        <v>119</v>
      </c>
      <c r="O848" s="57" t="s">
        <v>24</v>
      </c>
      <c r="R848" t="s">
        <v>855</v>
      </c>
      <c r="T848" s="3"/>
      <c r="U848" s="148"/>
      <c r="V848" s="234" t="s">
        <v>1485</v>
      </c>
      <c r="W848" s="48"/>
      <c r="X848" s="45"/>
    </row>
    <row r="849" spans="1:24">
      <c r="A849" s="58" t="s">
        <v>188</v>
      </c>
      <c r="B849" s="146">
        <v>44287.114583333299</v>
      </c>
      <c r="C849" s="138">
        <v>3</v>
      </c>
      <c r="D849" s="134" t="s">
        <v>209</v>
      </c>
      <c r="E849" s="7" t="s">
        <v>41</v>
      </c>
      <c r="F849" s="139" t="s">
        <v>217</v>
      </c>
      <c r="G849" s="43">
        <v>97.5</v>
      </c>
      <c r="H849" s="43">
        <v>68.3</v>
      </c>
      <c r="I849">
        <f>表1_4[[#This Row],[主队2]]-表1_4[[#This Row],[客队2]]</f>
        <v>29.2</v>
      </c>
      <c r="J849" s="34">
        <v>3.25</v>
      </c>
      <c r="K849" s="34">
        <v>2.25</v>
      </c>
      <c r="L84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849" s="11"/>
      <c r="N849" s="10" t="s">
        <v>160</v>
      </c>
      <c r="O849" s="10" t="s">
        <v>143</v>
      </c>
      <c r="R849" t="s">
        <v>852</v>
      </c>
      <c r="T849" s="3"/>
      <c r="U849" s="83"/>
      <c r="V849" s="54" t="s">
        <v>1486</v>
      </c>
      <c r="W849" s="52"/>
      <c r="X849" s="45"/>
    </row>
    <row r="850" spans="1:24">
      <c r="A850" s="58" t="s">
        <v>188</v>
      </c>
      <c r="B850" s="146">
        <v>44287.114583333299</v>
      </c>
      <c r="C850" s="140">
        <v>3</v>
      </c>
      <c r="D850" s="134" t="s">
        <v>292</v>
      </c>
      <c r="E850" s="7" t="s">
        <v>47</v>
      </c>
      <c r="F850" s="260" t="s">
        <v>204</v>
      </c>
      <c r="G850" s="43">
        <v>63.6</v>
      </c>
      <c r="H850" s="43">
        <v>93.1</v>
      </c>
      <c r="I850">
        <f>表1_4[[#This Row],[主队2]]-表1_4[[#This Row],[客队2]]</f>
        <v>-29.5</v>
      </c>
      <c r="J850" s="34">
        <v>-2.75</v>
      </c>
      <c r="K850" s="34">
        <v>-2</v>
      </c>
      <c r="L85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850" s="11"/>
      <c r="N850" s="10" t="s">
        <v>112</v>
      </c>
      <c r="O850" s="10" t="s">
        <v>143</v>
      </c>
      <c r="R850" t="s">
        <v>852</v>
      </c>
      <c r="T850" s="3"/>
      <c r="U850" s="25"/>
      <c r="V850" s="80" t="s">
        <v>1487</v>
      </c>
      <c r="W850" s="51"/>
      <c r="X850" s="45"/>
    </row>
    <row r="851" spans="1:24">
      <c r="A851" s="58" t="s">
        <v>188</v>
      </c>
      <c r="B851" s="146">
        <v>44287.114583333299</v>
      </c>
      <c r="C851" s="141">
        <v>3</v>
      </c>
      <c r="D851" s="134" t="s">
        <v>296</v>
      </c>
      <c r="E851" s="7" t="s">
        <v>42</v>
      </c>
      <c r="F851" s="139" t="s">
        <v>261</v>
      </c>
      <c r="G851" s="43">
        <v>76</v>
      </c>
      <c r="H851" s="43">
        <v>70.900000000000006</v>
      </c>
      <c r="I851">
        <f>表1_4[[#This Row],[主队2]]-表1_4[[#This Row],[客队2]]</f>
        <v>5.0999999999999899</v>
      </c>
      <c r="J85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851" s="35" t="s">
        <v>182</v>
      </c>
      <c r="L85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851" s="11"/>
      <c r="N851" s="46" t="s">
        <v>160</v>
      </c>
      <c r="O851" s="10" t="s">
        <v>65</v>
      </c>
      <c r="R851" t="s">
        <v>855</v>
      </c>
      <c r="T851" s="3"/>
      <c r="U851" s="25"/>
      <c r="V851" s="243" t="s">
        <v>1488</v>
      </c>
      <c r="W851" s="44"/>
      <c r="X851" s="45"/>
    </row>
    <row r="852" spans="1:24">
      <c r="A852" s="58" t="s">
        <v>188</v>
      </c>
      <c r="B852" s="146">
        <v>44287.114583333299</v>
      </c>
      <c r="C852" s="140">
        <v>3</v>
      </c>
      <c r="D852" s="134" t="s">
        <v>214</v>
      </c>
      <c r="E852" s="7" t="s">
        <v>36</v>
      </c>
      <c r="F852" s="139" t="s">
        <v>288</v>
      </c>
      <c r="G852" s="43">
        <v>83.1</v>
      </c>
      <c r="H852" s="43">
        <v>65</v>
      </c>
      <c r="I852">
        <f>表1_4[[#This Row],[主队2]]-表1_4[[#This Row],[客队2]]</f>
        <v>18.100000000000001</v>
      </c>
      <c r="J85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852" s="34">
        <v>1.75</v>
      </c>
      <c r="L85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52" s="11"/>
      <c r="N852" s="10" t="s">
        <v>133</v>
      </c>
      <c r="O852" s="10" t="s">
        <v>143</v>
      </c>
      <c r="R852" t="s">
        <v>855</v>
      </c>
      <c r="T852" s="3"/>
      <c r="U852" s="25"/>
      <c r="V852" s="54" t="s">
        <v>1489</v>
      </c>
      <c r="W852" s="48"/>
      <c r="X852" s="45"/>
    </row>
    <row r="853" spans="1:24">
      <c r="A853" s="58" t="s">
        <v>188</v>
      </c>
      <c r="B853" s="146">
        <v>44287.114583333299</v>
      </c>
      <c r="C853" s="26">
        <v>3</v>
      </c>
      <c r="D853" s="134" t="s">
        <v>255</v>
      </c>
      <c r="E853" s="7" t="s">
        <v>53</v>
      </c>
      <c r="F853" s="139" t="s">
        <v>267</v>
      </c>
      <c r="G853" s="43">
        <v>80.099999999999994</v>
      </c>
      <c r="H853" s="43">
        <v>96</v>
      </c>
      <c r="I853">
        <f>表1_4[[#This Row],[主队2]]-表1_4[[#This Row],[客队2]]</f>
        <v>-15.9</v>
      </c>
      <c r="J85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853" s="35" t="s">
        <v>245</v>
      </c>
      <c r="L85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53" s="11"/>
      <c r="N853" s="10" t="s">
        <v>112</v>
      </c>
      <c r="O853" s="10" t="s">
        <v>28</v>
      </c>
      <c r="R853" t="s">
        <v>852</v>
      </c>
      <c r="T853" s="3"/>
      <c r="U853" s="25"/>
      <c r="V853" s="80" t="s">
        <v>1490</v>
      </c>
      <c r="W853" s="44"/>
      <c r="X853" s="45"/>
    </row>
    <row r="854" spans="1:24">
      <c r="A854" s="58" t="s">
        <v>188</v>
      </c>
      <c r="B854" s="146">
        <v>44287.114583333299</v>
      </c>
      <c r="C854" s="140">
        <v>3</v>
      </c>
      <c r="D854" s="134" t="s">
        <v>123</v>
      </c>
      <c r="E854" s="7" t="s">
        <v>37</v>
      </c>
      <c r="F854" s="139" t="s">
        <v>244</v>
      </c>
      <c r="G854" s="43">
        <v>78.3</v>
      </c>
      <c r="H854" s="43">
        <v>58.6</v>
      </c>
      <c r="I854">
        <f>表1_4[[#This Row],[主队2]]-表1_4[[#This Row],[客队2]]</f>
        <v>19.7</v>
      </c>
      <c r="J85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854" s="35" t="s">
        <v>45</v>
      </c>
      <c r="L85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54" s="11"/>
      <c r="N854" s="10" t="s">
        <v>133</v>
      </c>
      <c r="O854" s="10" t="s">
        <v>24</v>
      </c>
      <c r="T854" s="3"/>
      <c r="U854" s="246"/>
      <c r="V854" s="55" t="s">
        <v>1491</v>
      </c>
      <c r="W854" s="48"/>
      <c r="X854" s="45"/>
    </row>
    <row r="855" spans="1:24">
      <c r="A855" s="58" t="s">
        <v>188</v>
      </c>
      <c r="B855" s="146">
        <v>44287.114583333299</v>
      </c>
      <c r="C855" s="138">
        <v>3</v>
      </c>
      <c r="D855" s="134" t="s">
        <v>195</v>
      </c>
      <c r="E855" s="7" t="s">
        <v>75</v>
      </c>
      <c r="F855" s="139" t="s">
        <v>210</v>
      </c>
      <c r="G855" s="43">
        <v>58.7</v>
      </c>
      <c r="H855" s="43">
        <v>75</v>
      </c>
      <c r="I855">
        <f>表1_4[[#This Row],[主队2]]-表1_4[[#This Row],[客队2]]</f>
        <v>-16.3</v>
      </c>
      <c r="J85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855" s="35" t="s">
        <v>111</v>
      </c>
      <c r="L85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855" s="11"/>
      <c r="N855" s="10" t="s">
        <v>160</v>
      </c>
      <c r="O855" s="10" t="s">
        <v>46</v>
      </c>
      <c r="P855" s="9" t="s">
        <v>161</v>
      </c>
      <c r="R855" t="s">
        <v>852</v>
      </c>
      <c r="T855" s="3"/>
      <c r="U855" s="25"/>
      <c r="V855" s="80" t="s">
        <v>1492</v>
      </c>
      <c r="W855" s="52"/>
      <c r="X855" s="45"/>
    </row>
    <row r="856" spans="1:24">
      <c r="A856" s="58" t="s">
        <v>188</v>
      </c>
      <c r="B856" s="146">
        <v>44287.114583333299</v>
      </c>
      <c r="C856" s="141">
        <v>3</v>
      </c>
      <c r="D856" s="134" t="s">
        <v>194</v>
      </c>
      <c r="E856" s="7" t="s">
        <v>61</v>
      </c>
      <c r="F856" s="139" t="s">
        <v>306</v>
      </c>
      <c r="G856" s="43">
        <v>82.6</v>
      </c>
      <c r="H856" s="43">
        <v>89.6</v>
      </c>
      <c r="I856">
        <f>表1_4[[#This Row],[主队2]]-表1_4[[#This Row],[客队2]]</f>
        <v>-7</v>
      </c>
      <c r="J85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856" s="35" t="s">
        <v>152</v>
      </c>
      <c r="L85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56" s="11"/>
      <c r="N856" s="10" t="s">
        <v>133</v>
      </c>
      <c r="O856" s="10" t="s">
        <v>40</v>
      </c>
      <c r="P856" s="9">
        <v>11</v>
      </c>
      <c r="R856" t="s">
        <v>855</v>
      </c>
      <c r="T856" s="3"/>
      <c r="U856" s="83" t="s">
        <v>803</v>
      </c>
      <c r="V856" s="55" t="s">
        <v>980</v>
      </c>
      <c r="W856" s="56"/>
      <c r="X856" s="45"/>
    </row>
    <row r="857" spans="1:24">
      <c r="A857" s="58" t="s">
        <v>188</v>
      </c>
      <c r="B857" s="146">
        <v>44287.114583333299</v>
      </c>
      <c r="C857" s="140">
        <v>3</v>
      </c>
      <c r="D857" s="134" t="s">
        <v>243</v>
      </c>
      <c r="E857" s="7" t="s">
        <v>75</v>
      </c>
      <c r="F857" s="273" t="s">
        <v>271</v>
      </c>
      <c r="G857" s="43">
        <v>47</v>
      </c>
      <c r="H857" s="43">
        <v>79.099999999999994</v>
      </c>
      <c r="I857">
        <f>表1_4[[#This Row],[主队2]]-表1_4[[#This Row],[客队2]]</f>
        <v>-32.1</v>
      </c>
      <c r="J857" s="34">
        <v>-3</v>
      </c>
      <c r="K857" s="35" t="s">
        <v>686</v>
      </c>
      <c r="L85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857" s="11"/>
      <c r="N857" s="10" t="s">
        <v>133</v>
      </c>
      <c r="O857" s="10" t="s">
        <v>28</v>
      </c>
      <c r="R857" t="s">
        <v>855</v>
      </c>
      <c r="T857" s="3"/>
      <c r="U857" s="246"/>
      <c r="V857" s="55" t="s">
        <v>1493</v>
      </c>
      <c r="W857" s="48"/>
      <c r="X857" s="45"/>
    </row>
    <row r="858" spans="1:24">
      <c r="A858" s="58" t="s">
        <v>188</v>
      </c>
      <c r="B858" s="146">
        <v>44287.114583333299</v>
      </c>
      <c r="C858" s="140">
        <v>3</v>
      </c>
      <c r="D858" s="134" t="s">
        <v>117</v>
      </c>
      <c r="E858" s="7" t="s">
        <v>33</v>
      </c>
      <c r="F858" s="139" t="s">
        <v>302</v>
      </c>
      <c r="G858" s="43">
        <v>95.8</v>
      </c>
      <c r="H858" s="43">
        <v>85.3</v>
      </c>
      <c r="I858">
        <f>表1_4[[#This Row],[主队2]]-表1_4[[#This Row],[客队2]]</f>
        <v>10.5</v>
      </c>
      <c r="J85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858" s="35" t="s">
        <v>125</v>
      </c>
      <c r="L85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58" s="11"/>
      <c r="N858" s="46" t="s">
        <v>112</v>
      </c>
      <c r="O858" s="46" t="s">
        <v>35</v>
      </c>
      <c r="P858" s="9">
        <v>1</v>
      </c>
      <c r="R858" t="s">
        <v>852</v>
      </c>
      <c r="T858" s="3"/>
      <c r="U858" s="83" t="s">
        <v>938</v>
      </c>
      <c r="V858" s="80" t="s">
        <v>1494</v>
      </c>
      <c r="W858" s="44"/>
      <c r="X858" s="45"/>
    </row>
    <row r="859" spans="1:24">
      <c r="A859" s="58" t="s">
        <v>188</v>
      </c>
      <c r="B859" s="146">
        <v>44287.114583333299</v>
      </c>
      <c r="C859" s="140">
        <v>3</v>
      </c>
      <c r="D859" s="134" t="s">
        <v>282</v>
      </c>
      <c r="E859" s="7" t="s">
        <v>47</v>
      </c>
      <c r="F859" s="139" t="s">
        <v>205</v>
      </c>
      <c r="G859" s="43">
        <v>30.9</v>
      </c>
      <c r="H859" s="43">
        <v>72.400000000000006</v>
      </c>
      <c r="I859">
        <f>表1_4[[#This Row],[主队2]]-表1_4[[#This Row],[客队2]]</f>
        <v>-41.5</v>
      </c>
      <c r="J859" s="34">
        <v>-4</v>
      </c>
      <c r="K859" s="35" t="s">
        <v>1016</v>
      </c>
      <c r="L85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859" s="11"/>
      <c r="N859" s="10" t="s">
        <v>133</v>
      </c>
      <c r="O859" s="10" t="s">
        <v>40</v>
      </c>
      <c r="R859" t="s">
        <v>852</v>
      </c>
      <c r="T859" s="3"/>
      <c r="U859" s="25" t="s">
        <v>1495</v>
      </c>
      <c r="V859" s="54" t="s">
        <v>1496</v>
      </c>
      <c r="W859" s="48"/>
      <c r="X859" s="45"/>
    </row>
    <row r="860" spans="1:24">
      <c r="A860" s="58" t="s">
        <v>188</v>
      </c>
      <c r="B860" s="146">
        <v>44287.114583333299</v>
      </c>
      <c r="C860" s="140">
        <v>3</v>
      </c>
      <c r="D860" s="134" t="s">
        <v>116</v>
      </c>
      <c r="E860" s="7" t="s">
        <v>60</v>
      </c>
      <c r="F860" s="139" t="s">
        <v>572</v>
      </c>
      <c r="G860" s="43">
        <v>95.5</v>
      </c>
      <c r="H860" s="43">
        <v>74.099999999999994</v>
      </c>
      <c r="I860">
        <f>表1_4[[#This Row],[主队2]]-表1_4[[#This Row],[客队2]]</f>
        <v>21.4</v>
      </c>
      <c r="J860" s="34">
        <v>2.5</v>
      </c>
      <c r="K860" s="35" t="s">
        <v>30</v>
      </c>
      <c r="L86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860" s="11"/>
      <c r="N860" s="10" t="s">
        <v>133</v>
      </c>
      <c r="O860" s="10" t="s">
        <v>35</v>
      </c>
      <c r="R860" t="s">
        <v>855</v>
      </c>
      <c r="T860" s="3"/>
      <c r="U860" s="246" t="s">
        <v>791</v>
      </c>
      <c r="V860" s="62" t="s">
        <v>1497</v>
      </c>
      <c r="W860" s="149"/>
      <c r="X860" s="144"/>
    </row>
    <row r="861" spans="1:24">
      <c r="A861" s="58" t="s">
        <v>188</v>
      </c>
      <c r="B861" s="146">
        <v>44287.114583333299</v>
      </c>
      <c r="C861" s="140">
        <v>3</v>
      </c>
      <c r="D861" s="134" t="s">
        <v>437</v>
      </c>
      <c r="E861" s="7" t="s">
        <v>61</v>
      </c>
      <c r="F861" s="139" t="s">
        <v>218</v>
      </c>
      <c r="G861" s="43">
        <v>46.8</v>
      </c>
      <c r="H861" s="43">
        <v>76.400000000000006</v>
      </c>
      <c r="I861">
        <f>表1_4[[#This Row],[主队2]]-表1_4[[#This Row],[客队2]]</f>
        <v>-29.6</v>
      </c>
      <c r="J861" s="34">
        <v>-2.75</v>
      </c>
      <c r="K861" s="35" t="s">
        <v>1062</v>
      </c>
      <c r="L86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61" s="11"/>
      <c r="N861" s="10" t="s">
        <v>404</v>
      </c>
      <c r="O861" s="10" t="s">
        <v>51</v>
      </c>
      <c r="R861" t="s">
        <v>855</v>
      </c>
      <c r="T861" s="3"/>
      <c r="U861" s="83"/>
      <c r="V861" s="62" t="s">
        <v>1498</v>
      </c>
      <c r="W861" s="48"/>
      <c r="X861" s="45"/>
    </row>
    <row r="862" spans="1:24">
      <c r="A862" s="58" t="s">
        <v>156</v>
      </c>
      <c r="B862" s="146">
        <v>44351.166666666701</v>
      </c>
      <c r="C862" s="140">
        <v>7</v>
      </c>
      <c r="D862" s="134" t="s">
        <v>159</v>
      </c>
      <c r="E862" s="7" t="s">
        <v>41</v>
      </c>
      <c r="F862" s="71" t="s">
        <v>180</v>
      </c>
      <c r="G862" s="43">
        <v>74.099999999999994</v>
      </c>
      <c r="H862" s="43">
        <v>84.5</v>
      </c>
      <c r="I862">
        <f>表1_4[[#This Row],[主队2]]-表1_4[[#This Row],[客队2]]</f>
        <v>-10.4</v>
      </c>
      <c r="J86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862" s="35" t="s">
        <v>289</v>
      </c>
      <c r="L862" s="36" t="s">
        <v>636</v>
      </c>
      <c r="M862" s="63" t="s">
        <v>331</v>
      </c>
      <c r="N862" s="10" t="s">
        <v>119</v>
      </c>
      <c r="O862" s="10" t="s">
        <v>51</v>
      </c>
      <c r="P862" s="9">
        <v>-14</v>
      </c>
      <c r="R862" t="s">
        <v>852</v>
      </c>
      <c r="T862" s="3"/>
      <c r="U862" s="25"/>
      <c r="V862" s="54" t="s">
        <v>1499</v>
      </c>
      <c r="W862" s="56"/>
      <c r="X862" s="45"/>
    </row>
    <row r="863" spans="1:24">
      <c r="A863" s="58" t="s">
        <v>156</v>
      </c>
      <c r="B863" s="146">
        <v>44351.25</v>
      </c>
      <c r="C863" s="138">
        <v>7</v>
      </c>
      <c r="D863" s="134" t="s">
        <v>170</v>
      </c>
      <c r="E863" s="7" t="s">
        <v>42</v>
      </c>
      <c r="F863" s="139" t="s">
        <v>164</v>
      </c>
      <c r="G863" s="43">
        <v>91.3</v>
      </c>
      <c r="H863" s="43">
        <v>84.2</v>
      </c>
      <c r="I863">
        <f>表1_4[[#This Row],[主队2]]-表1_4[[#This Row],[客队2]]</f>
        <v>7.0999999999999899</v>
      </c>
      <c r="J86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863" s="35" t="s">
        <v>118</v>
      </c>
      <c r="L86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63" s="11"/>
      <c r="N863" s="10" t="s">
        <v>119</v>
      </c>
      <c r="O863" s="57" t="s">
        <v>51</v>
      </c>
      <c r="P863" s="9">
        <v>7</v>
      </c>
      <c r="R863" t="s">
        <v>855</v>
      </c>
      <c r="T863" s="3"/>
      <c r="U863" s="246"/>
      <c r="V863" s="242" t="s">
        <v>1500</v>
      </c>
      <c r="W863" s="51"/>
      <c r="X863" s="45"/>
    </row>
    <row r="864" spans="1:24">
      <c r="A864" s="58" t="s">
        <v>156</v>
      </c>
      <c r="B864" s="146">
        <v>44351.333333333299</v>
      </c>
      <c r="C864" s="138">
        <v>7</v>
      </c>
      <c r="D864" s="134" t="s">
        <v>174</v>
      </c>
      <c r="E864" s="7" t="s">
        <v>36</v>
      </c>
      <c r="F864" s="139" t="s">
        <v>175</v>
      </c>
      <c r="G864" s="43">
        <v>93.7</v>
      </c>
      <c r="H864" s="43">
        <v>86.8</v>
      </c>
      <c r="I864">
        <f>表1_4[[#This Row],[主队2]]-表1_4[[#This Row],[客队2]]</f>
        <v>6.9000000000000101</v>
      </c>
      <c r="J86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864" s="35" t="s">
        <v>176</v>
      </c>
      <c r="L86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64" s="11"/>
      <c r="N864" s="10" t="s">
        <v>119</v>
      </c>
      <c r="O864" s="10" t="s">
        <v>28</v>
      </c>
      <c r="P864" s="9">
        <v>10</v>
      </c>
      <c r="R864" t="s">
        <v>852</v>
      </c>
      <c r="T864" s="3"/>
      <c r="U864" s="83"/>
      <c r="V864" s="55" t="s">
        <v>902</v>
      </c>
      <c r="W864" s="56"/>
      <c r="X864" s="45"/>
    </row>
    <row r="865" spans="1:24">
      <c r="A865" s="58" t="s">
        <v>156</v>
      </c>
      <c r="B865" s="146">
        <v>44351.416666666701</v>
      </c>
      <c r="C865" s="140">
        <v>7</v>
      </c>
      <c r="D865" s="134" t="s">
        <v>181</v>
      </c>
      <c r="E865" s="7" t="s">
        <v>64</v>
      </c>
      <c r="F865" s="139" t="s">
        <v>158</v>
      </c>
      <c r="G865" s="43">
        <v>83.6</v>
      </c>
      <c r="H865" s="43">
        <v>91.2</v>
      </c>
      <c r="I865">
        <f>表1_4[[#This Row],[主队2]]-表1_4[[#This Row],[客队2]]</f>
        <v>-7.6000000000000103</v>
      </c>
      <c r="J86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865" s="35" t="s">
        <v>152</v>
      </c>
      <c r="L86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65" s="11"/>
      <c r="N865" s="10" t="s">
        <v>119</v>
      </c>
      <c r="O865" s="10" t="s">
        <v>143</v>
      </c>
      <c r="P865" s="9">
        <v>8</v>
      </c>
      <c r="T865" s="3"/>
      <c r="U865" s="246"/>
      <c r="V865" s="234" t="s">
        <v>1501</v>
      </c>
      <c r="W865" s="52"/>
      <c r="X865" s="45"/>
    </row>
    <row r="866" spans="1:24">
      <c r="A866" s="58" t="s">
        <v>156</v>
      </c>
      <c r="B866" s="146">
        <v>44352.354166666701</v>
      </c>
      <c r="C866" s="140">
        <v>7</v>
      </c>
      <c r="D866" s="134" t="s">
        <v>171</v>
      </c>
      <c r="E866" s="7" t="s">
        <v>22</v>
      </c>
      <c r="F866" s="139" t="s">
        <v>165</v>
      </c>
      <c r="G866" s="43">
        <v>101.1</v>
      </c>
      <c r="H866" s="43">
        <v>85.9</v>
      </c>
      <c r="I866">
        <f>表1_4[[#This Row],[主队2]]-表1_4[[#This Row],[客队2]]</f>
        <v>15.2</v>
      </c>
      <c r="J86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866" s="35" t="s">
        <v>81</v>
      </c>
      <c r="L86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66" s="11"/>
      <c r="N866" s="10" t="s">
        <v>119</v>
      </c>
      <c r="O866" s="10" t="s">
        <v>35</v>
      </c>
      <c r="R866" t="s">
        <v>852</v>
      </c>
      <c r="T866" s="3"/>
      <c r="U866" s="25" t="s">
        <v>931</v>
      </c>
      <c r="V866" s="80" t="s">
        <v>1502</v>
      </c>
      <c r="W866" s="44"/>
      <c r="X866" s="45"/>
    </row>
    <row r="867" spans="1:24">
      <c r="A867" s="58" t="s">
        <v>156</v>
      </c>
      <c r="B867" s="146">
        <v>44356.208333333299</v>
      </c>
      <c r="C867" s="140">
        <v>8</v>
      </c>
      <c r="D867" s="134" t="s">
        <v>165</v>
      </c>
      <c r="E867" s="7" t="s">
        <v>60</v>
      </c>
      <c r="F867" s="139" t="s">
        <v>181</v>
      </c>
      <c r="G867" s="43">
        <v>85.9</v>
      </c>
      <c r="H867" s="43">
        <v>82.5</v>
      </c>
      <c r="I867">
        <f>表1_4[[#This Row],[主队2]]-表1_4[[#This Row],[客队2]]</f>
        <v>3.4000000000000101</v>
      </c>
      <c r="J86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867" s="35" t="s">
        <v>125</v>
      </c>
      <c r="L86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867" s="11"/>
      <c r="N867" s="10" t="s">
        <v>119</v>
      </c>
      <c r="O867" s="10" t="s">
        <v>28</v>
      </c>
      <c r="P867" s="9">
        <v>10</v>
      </c>
      <c r="R867" t="s">
        <v>855</v>
      </c>
      <c r="T867" s="3"/>
      <c r="U867" s="246"/>
      <c r="V867" s="231" t="s">
        <v>1503</v>
      </c>
      <c r="W867" s="44"/>
      <c r="X867" s="45"/>
    </row>
    <row r="868" spans="1:24">
      <c r="A868" s="58" t="s">
        <v>156</v>
      </c>
      <c r="B868" s="146">
        <v>44356.270833333299</v>
      </c>
      <c r="C868" s="140">
        <v>8</v>
      </c>
      <c r="D868" s="134" t="s">
        <v>180</v>
      </c>
      <c r="E868" s="7" t="s">
        <v>42</v>
      </c>
      <c r="F868" s="139" t="s">
        <v>170</v>
      </c>
      <c r="G868" s="43">
        <v>83.6</v>
      </c>
      <c r="H868" s="43">
        <v>90.5</v>
      </c>
      <c r="I868">
        <f>表1_4[[#This Row],[主队2]]-表1_4[[#This Row],[客队2]]</f>
        <v>-6.9000000000000101</v>
      </c>
      <c r="J86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868" s="35" t="s">
        <v>132</v>
      </c>
      <c r="L86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68" s="11"/>
      <c r="N868" s="57" t="s">
        <v>119</v>
      </c>
      <c r="O868" s="57" t="s">
        <v>28</v>
      </c>
      <c r="P868" s="9">
        <v>23</v>
      </c>
      <c r="R868" t="s">
        <v>855</v>
      </c>
      <c r="T868" s="3"/>
      <c r="U868" s="246"/>
      <c r="V868" s="54" t="s">
        <v>1504</v>
      </c>
      <c r="W868" s="52"/>
      <c r="X868" s="45"/>
    </row>
    <row r="869" spans="1:24">
      <c r="A869" s="58" t="s">
        <v>156</v>
      </c>
      <c r="B869" s="146">
        <v>44356.291666666701</v>
      </c>
      <c r="C869" s="140">
        <v>8</v>
      </c>
      <c r="D869" s="134" t="s">
        <v>158</v>
      </c>
      <c r="E869" s="7" t="s">
        <v>25</v>
      </c>
      <c r="F869" s="139" t="s">
        <v>174</v>
      </c>
      <c r="G869" s="43">
        <v>92.4</v>
      </c>
      <c r="H869" s="43">
        <v>93</v>
      </c>
      <c r="I869">
        <f>表1_4[[#This Row],[主队2]]-表1_4[[#This Row],[客队2]]</f>
        <v>-0.59999999999999398</v>
      </c>
      <c r="J86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869" s="35" t="s">
        <v>166</v>
      </c>
      <c r="L86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69" s="11"/>
      <c r="N869" s="10" t="s">
        <v>119</v>
      </c>
      <c r="O869" s="10" t="s">
        <v>46</v>
      </c>
      <c r="P869" s="9">
        <v>21</v>
      </c>
      <c r="R869" t="s">
        <v>852</v>
      </c>
      <c r="T869" s="3"/>
      <c r="U869" s="83"/>
      <c r="V869" s="64" t="s">
        <v>1505</v>
      </c>
      <c r="W869" s="48"/>
      <c r="X869" s="45"/>
    </row>
    <row r="870" spans="1:24">
      <c r="A870" s="58" t="s">
        <v>156</v>
      </c>
      <c r="B870" s="146">
        <v>44356.354166666701</v>
      </c>
      <c r="C870" s="138">
        <v>8</v>
      </c>
      <c r="D870" s="134" t="s">
        <v>164</v>
      </c>
      <c r="E870" s="7" t="s">
        <v>47</v>
      </c>
      <c r="F870" s="139" t="s">
        <v>171</v>
      </c>
      <c r="G870" s="43">
        <v>85</v>
      </c>
      <c r="H870" s="43">
        <v>101.1</v>
      </c>
      <c r="I870">
        <f>表1_4[[#This Row],[主队2]]-表1_4[[#This Row],[客队2]]</f>
        <v>-16.100000000000001</v>
      </c>
      <c r="J87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870" s="35" t="s">
        <v>245</v>
      </c>
      <c r="L87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70" s="11"/>
      <c r="N870" s="10" t="s">
        <v>133</v>
      </c>
      <c r="O870" s="10" t="s">
        <v>143</v>
      </c>
      <c r="P870" s="9">
        <v>15</v>
      </c>
      <c r="R870" t="s">
        <v>852</v>
      </c>
      <c r="T870" s="3"/>
      <c r="U870" s="83"/>
      <c r="V870" s="55" t="s">
        <v>731</v>
      </c>
      <c r="W870" s="44"/>
      <c r="X870" s="45"/>
    </row>
    <row r="871" spans="1:24">
      <c r="A871" s="58" t="s">
        <v>156</v>
      </c>
      <c r="B871" s="146">
        <v>44356.395833333299</v>
      </c>
      <c r="C871" s="138">
        <v>8</v>
      </c>
      <c r="D871" s="134" t="s">
        <v>175</v>
      </c>
      <c r="E871" s="7" t="s">
        <v>36</v>
      </c>
      <c r="F871" s="139" t="s">
        <v>159</v>
      </c>
      <c r="G871" s="43">
        <v>87.5</v>
      </c>
      <c r="H871" s="43">
        <v>75</v>
      </c>
      <c r="I871">
        <f>表1_4[[#This Row],[主队2]]-表1_4[[#This Row],[客队2]]</f>
        <v>12.5</v>
      </c>
      <c r="J87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871" s="35" t="s">
        <v>81</v>
      </c>
      <c r="L87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71" s="11"/>
      <c r="N871" s="10" t="s">
        <v>112</v>
      </c>
      <c r="O871" s="10" t="s">
        <v>51</v>
      </c>
      <c r="R871" t="s">
        <v>855</v>
      </c>
      <c r="T871" s="3"/>
      <c r="U871" s="255"/>
      <c r="V871" s="80" t="s">
        <v>1506</v>
      </c>
      <c r="W871" s="44"/>
      <c r="X871" s="45"/>
    </row>
    <row r="872" spans="1:24">
      <c r="A872" s="58" t="s">
        <v>128</v>
      </c>
      <c r="B872" s="146">
        <v>44358.916666666701</v>
      </c>
      <c r="C872" s="138">
        <v>7</v>
      </c>
      <c r="D872" s="134" t="s">
        <v>995</v>
      </c>
      <c r="E872" s="7" t="s">
        <v>44</v>
      </c>
      <c r="F872" s="139" t="s">
        <v>1082</v>
      </c>
      <c r="G872" s="43">
        <v>45.5</v>
      </c>
      <c r="H872" s="43">
        <v>0.2</v>
      </c>
      <c r="I872">
        <f>表1_4[[#This Row],[主队2]]-表1_4[[#This Row],[客队2]]</f>
        <v>45.3</v>
      </c>
      <c r="J872" s="34">
        <v>4.5</v>
      </c>
      <c r="K872" s="35" t="s">
        <v>30</v>
      </c>
      <c r="L87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872" s="11"/>
      <c r="N872" s="10" t="s">
        <v>112</v>
      </c>
      <c r="O872" s="10" t="s">
        <v>143</v>
      </c>
      <c r="T872" s="3"/>
      <c r="U872" s="25" t="s">
        <v>776</v>
      </c>
      <c r="V872" s="54" t="s">
        <v>392</v>
      </c>
      <c r="W872" s="44"/>
      <c r="X872" s="45"/>
    </row>
    <row r="873" spans="1:24">
      <c r="A873" s="58" t="s">
        <v>128</v>
      </c>
      <c r="B873" s="146">
        <v>44359.041666666701</v>
      </c>
      <c r="C873" s="140">
        <v>7</v>
      </c>
      <c r="D873" s="134" t="s">
        <v>109</v>
      </c>
      <c r="E873" s="7" t="s">
        <v>57</v>
      </c>
      <c r="F873" s="139" t="s">
        <v>1080</v>
      </c>
      <c r="G873" s="43">
        <v>68.400000000000006</v>
      </c>
      <c r="H873" s="43">
        <v>33.200000000000003</v>
      </c>
      <c r="I873">
        <f>表1_4[[#This Row],[主队2]]-表1_4[[#This Row],[客队2]]</f>
        <v>35.200000000000003</v>
      </c>
      <c r="J873" s="34">
        <v>3.5</v>
      </c>
      <c r="K873" s="35" t="s">
        <v>257</v>
      </c>
      <c r="L87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873" s="11"/>
      <c r="N873" s="10" t="s">
        <v>119</v>
      </c>
      <c r="O873" s="10" t="s">
        <v>46</v>
      </c>
      <c r="R873" t="s">
        <v>855</v>
      </c>
      <c r="T873" s="3"/>
      <c r="U873" s="246" t="s">
        <v>776</v>
      </c>
      <c r="V873" s="231" t="s">
        <v>1507</v>
      </c>
      <c r="W873" s="44"/>
      <c r="X873" s="45"/>
    </row>
    <row r="874" spans="1:24">
      <c r="A874" s="58" t="s">
        <v>128</v>
      </c>
      <c r="B874" s="146">
        <v>44359</v>
      </c>
      <c r="C874" s="140">
        <v>7</v>
      </c>
      <c r="D874" s="134" t="s">
        <v>142</v>
      </c>
      <c r="E874" s="7" t="s">
        <v>44</v>
      </c>
      <c r="F874" s="139" t="s">
        <v>1192</v>
      </c>
      <c r="G874" s="43">
        <v>81.7</v>
      </c>
      <c r="H874" s="43">
        <v>28.6</v>
      </c>
      <c r="I874">
        <f>表1_4[[#This Row],[主队2]]-表1_4[[#This Row],[客队2]]</f>
        <v>53.1</v>
      </c>
      <c r="J874" s="34">
        <v>5.25</v>
      </c>
      <c r="K874" s="35" t="s">
        <v>58</v>
      </c>
      <c r="L87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74" s="11"/>
      <c r="N874" s="10" t="s">
        <v>119</v>
      </c>
      <c r="O874" s="10" t="s">
        <v>28</v>
      </c>
      <c r="T874" s="3"/>
      <c r="U874" s="246" t="s">
        <v>776</v>
      </c>
      <c r="V874" s="231" t="s">
        <v>1508</v>
      </c>
      <c r="W874" s="44"/>
      <c r="X874" s="45"/>
    </row>
    <row r="875" spans="1:24">
      <c r="A875" s="58" t="s">
        <v>128</v>
      </c>
      <c r="B875" s="146">
        <v>44359.020833333299</v>
      </c>
      <c r="C875" s="140">
        <v>7</v>
      </c>
      <c r="D875" s="134" t="s">
        <v>141</v>
      </c>
      <c r="E875" s="7" t="s">
        <v>31</v>
      </c>
      <c r="F875" s="139" t="s">
        <v>1103</v>
      </c>
      <c r="G875" s="43">
        <v>71.099999999999994</v>
      </c>
      <c r="H875" s="43">
        <v>49.5</v>
      </c>
      <c r="I875">
        <f>表1_4[[#This Row],[主队2]]-表1_4[[#This Row],[客队2]]</f>
        <v>21.6</v>
      </c>
      <c r="J875" s="34">
        <v>2.25</v>
      </c>
      <c r="K875" s="35" t="s">
        <v>23</v>
      </c>
      <c r="L87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875" s="11" t="s">
        <v>1104</v>
      </c>
      <c r="N875" s="10" t="s">
        <v>119</v>
      </c>
      <c r="O875" s="10" t="s">
        <v>46</v>
      </c>
      <c r="T875" s="3"/>
      <c r="U875" s="246" t="s">
        <v>776</v>
      </c>
      <c r="V875" s="231" t="s">
        <v>640</v>
      </c>
      <c r="W875" s="44"/>
      <c r="X875" s="45"/>
    </row>
    <row r="876" spans="1:24">
      <c r="A876" s="58" t="s">
        <v>128</v>
      </c>
      <c r="B876" s="146">
        <v>44359.083333333299</v>
      </c>
      <c r="C876" s="140">
        <v>7</v>
      </c>
      <c r="D876" s="134" t="s">
        <v>453</v>
      </c>
      <c r="E876" s="7" t="s">
        <v>64</v>
      </c>
      <c r="F876" s="139" t="s">
        <v>138</v>
      </c>
      <c r="G876" s="43">
        <v>46.2</v>
      </c>
      <c r="H876" s="43">
        <v>73.400000000000006</v>
      </c>
      <c r="I876">
        <f>表1_4[[#This Row],[主队2]]-表1_4[[#This Row],[客队2]]</f>
        <v>-27.2</v>
      </c>
      <c r="J876" s="34">
        <v>-2.5</v>
      </c>
      <c r="K876" s="35" t="s">
        <v>1509</v>
      </c>
      <c r="L87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876" s="11"/>
      <c r="N876" s="10" t="s">
        <v>119</v>
      </c>
      <c r="O876" s="10" t="s">
        <v>143</v>
      </c>
      <c r="T876" s="3"/>
      <c r="U876" s="83"/>
      <c r="V876" s="55" t="s">
        <v>699</v>
      </c>
      <c r="W876" s="44"/>
      <c r="X876" s="45"/>
    </row>
    <row r="877" spans="1:24" ht="28.9">
      <c r="A877" s="58" t="s">
        <v>128</v>
      </c>
      <c r="B877" s="146">
        <v>44359.083333333299</v>
      </c>
      <c r="C877" s="140">
        <v>7</v>
      </c>
      <c r="D877" s="134" t="s">
        <v>131</v>
      </c>
      <c r="E877" s="7" t="s">
        <v>31</v>
      </c>
      <c r="F877" s="139" t="s">
        <v>1086</v>
      </c>
      <c r="G877" s="43">
        <v>73.3</v>
      </c>
      <c r="H877" s="43">
        <v>49.2</v>
      </c>
      <c r="I877">
        <f>表1_4[[#This Row],[主队2]]-表1_4[[#This Row],[客队2]]</f>
        <v>24.1</v>
      </c>
      <c r="J877" s="34">
        <v>2.5</v>
      </c>
      <c r="K877" s="35" t="s">
        <v>23</v>
      </c>
      <c r="L87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77" s="11" t="s">
        <v>1104</v>
      </c>
      <c r="N877" s="10" t="s">
        <v>119</v>
      </c>
      <c r="O877" s="10" t="s">
        <v>40</v>
      </c>
      <c r="T877" s="3"/>
      <c r="U877" s="246" t="s">
        <v>1510</v>
      </c>
      <c r="V877" s="231" t="s">
        <v>645</v>
      </c>
      <c r="W877" s="44"/>
      <c r="X877" s="45"/>
    </row>
    <row r="878" spans="1:24">
      <c r="A878" s="58" t="s">
        <v>128</v>
      </c>
      <c r="B878" s="125">
        <v>44359.125</v>
      </c>
      <c r="C878" s="140">
        <v>7</v>
      </c>
      <c r="D878" s="134" t="s">
        <v>1098</v>
      </c>
      <c r="E878" s="7" t="s">
        <v>42</v>
      </c>
      <c r="F878" s="139" t="s">
        <v>1099</v>
      </c>
      <c r="G878" s="43">
        <v>65.599999999999994</v>
      </c>
      <c r="H878" s="43">
        <v>63.1</v>
      </c>
      <c r="I878">
        <f>表1_4[[#This Row],[主队2]]-表1_4[[#This Row],[客队2]]</f>
        <v>2.4999999999999898</v>
      </c>
      <c r="J878" s="34">
        <v>0.25</v>
      </c>
      <c r="K878" s="35" t="s">
        <v>166</v>
      </c>
      <c r="L87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78" s="11"/>
      <c r="N878" s="10" t="s">
        <v>119</v>
      </c>
      <c r="O878" s="57" t="s">
        <v>24</v>
      </c>
      <c r="P878" s="9">
        <v>19</v>
      </c>
      <c r="T878" s="3"/>
      <c r="U878" s="25" t="s">
        <v>776</v>
      </c>
      <c r="V878" s="54" t="s">
        <v>1511</v>
      </c>
      <c r="W878" s="51"/>
      <c r="X878" s="45"/>
    </row>
    <row r="879" spans="1:24" ht="28.9">
      <c r="A879" s="58" t="s">
        <v>128</v>
      </c>
      <c r="B879" s="146">
        <v>44359.041666666701</v>
      </c>
      <c r="C879" s="140">
        <v>7</v>
      </c>
      <c r="D879" s="134" t="s">
        <v>1093</v>
      </c>
      <c r="E879" s="7" t="s">
        <v>33</v>
      </c>
      <c r="F879" s="139" t="s">
        <v>1094</v>
      </c>
      <c r="G879" s="43">
        <v>64.2</v>
      </c>
      <c r="H879" s="43">
        <v>38.700000000000003</v>
      </c>
      <c r="I879">
        <f>表1_4[[#This Row],[主队2]]-表1_4[[#This Row],[客队2]]</f>
        <v>25.5</v>
      </c>
      <c r="J879" s="34">
        <v>2.5</v>
      </c>
      <c r="K879" s="35" t="s">
        <v>45</v>
      </c>
      <c r="L87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879" s="11"/>
      <c r="N879" s="10" t="s">
        <v>133</v>
      </c>
      <c r="O879" s="10" t="s">
        <v>40</v>
      </c>
      <c r="R879" t="s">
        <v>852</v>
      </c>
      <c r="T879" s="3"/>
      <c r="U879" s="246" t="s">
        <v>1512</v>
      </c>
      <c r="V879" s="231" t="s">
        <v>639</v>
      </c>
      <c r="W879" s="44"/>
      <c r="X879" s="45"/>
    </row>
    <row r="880" spans="1:24">
      <c r="A880" s="58" t="s">
        <v>128</v>
      </c>
      <c r="B880" s="146">
        <v>44359.03125</v>
      </c>
      <c r="C880" s="140">
        <v>7</v>
      </c>
      <c r="D880" s="134" t="s">
        <v>1100</v>
      </c>
      <c r="E880" s="7" t="s">
        <v>978</v>
      </c>
      <c r="F880" s="139" t="s">
        <v>146</v>
      </c>
      <c r="G880" s="43">
        <v>49</v>
      </c>
      <c r="H880" s="43">
        <v>68.7</v>
      </c>
      <c r="I880">
        <f>表1_4[[#This Row],[主队2]]-表1_4[[#This Row],[客队2]]</f>
        <v>-19.7</v>
      </c>
      <c r="J880" s="34">
        <v>-1.75</v>
      </c>
      <c r="K880" s="35" t="s">
        <v>1059</v>
      </c>
      <c r="L88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880" s="11"/>
      <c r="N880" s="10" t="s">
        <v>160</v>
      </c>
      <c r="O880" s="10" t="s">
        <v>143</v>
      </c>
      <c r="T880" s="3"/>
      <c r="U880" s="246"/>
      <c r="V880" s="231" t="s">
        <v>920</v>
      </c>
      <c r="W880" s="44"/>
      <c r="X880" s="45"/>
    </row>
    <row r="881" spans="1:24">
      <c r="A881" s="58" t="s">
        <v>128</v>
      </c>
      <c r="B881" s="146">
        <v>44359.03125</v>
      </c>
      <c r="C881" s="138">
        <v>7</v>
      </c>
      <c r="D881" s="134" t="s">
        <v>1002</v>
      </c>
      <c r="E881" s="7" t="s">
        <v>33</v>
      </c>
      <c r="F881" s="139" t="s">
        <v>1087</v>
      </c>
      <c r="G881" s="43">
        <v>59.3</v>
      </c>
      <c r="H881" s="43">
        <v>49.9</v>
      </c>
      <c r="I881">
        <f>表1_4[[#This Row],[主队2]]-表1_4[[#This Row],[客队2]]</f>
        <v>9.4</v>
      </c>
      <c r="J881" s="34">
        <v>1</v>
      </c>
      <c r="K881" s="35" t="s">
        <v>118</v>
      </c>
      <c r="L88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81" s="11"/>
      <c r="N881" s="10" t="s">
        <v>112</v>
      </c>
      <c r="O881" s="10" t="s">
        <v>46</v>
      </c>
      <c r="P881" s="9">
        <v>20</v>
      </c>
      <c r="T881" s="3"/>
      <c r="U881" s="246" t="s">
        <v>776</v>
      </c>
      <c r="V881" s="54" t="s">
        <v>1513</v>
      </c>
      <c r="W881" s="51"/>
      <c r="X881" s="45"/>
    </row>
    <row r="882" spans="1:24" ht="28.9">
      <c r="A882" s="58" t="s">
        <v>128</v>
      </c>
      <c r="B882" s="146">
        <v>44362.767361111102</v>
      </c>
      <c r="C882" s="138">
        <v>7</v>
      </c>
      <c r="D882" s="134" t="s">
        <v>1000</v>
      </c>
      <c r="E882" s="7" t="s">
        <v>37</v>
      </c>
      <c r="F882" s="139" t="s">
        <v>1091</v>
      </c>
      <c r="G882" s="43">
        <v>53.9</v>
      </c>
      <c r="H882" s="43">
        <v>36.9</v>
      </c>
      <c r="I882">
        <f>表1_4[[#This Row],[主队2]]-表1_4[[#This Row],[客队2]]</f>
        <v>17</v>
      </c>
      <c r="J882" s="34">
        <v>1.75</v>
      </c>
      <c r="K882" s="34">
        <v>3</v>
      </c>
      <c r="L88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882" s="11"/>
      <c r="N882" s="10" t="s">
        <v>112</v>
      </c>
      <c r="O882" s="10" t="s">
        <v>35</v>
      </c>
      <c r="T882" s="3"/>
      <c r="U882" s="246" t="s">
        <v>1514</v>
      </c>
      <c r="V882" s="231" t="s">
        <v>920</v>
      </c>
      <c r="W882" s="44"/>
      <c r="X882" s="45"/>
    </row>
    <row r="883" spans="1:24">
      <c r="A883" s="58" t="s">
        <v>128</v>
      </c>
      <c r="B883" s="146">
        <v>44362.767361111102</v>
      </c>
      <c r="C883" s="138">
        <v>7</v>
      </c>
      <c r="D883" s="134" t="s">
        <v>147</v>
      </c>
      <c r="E883" s="7" t="s">
        <v>82</v>
      </c>
      <c r="F883" s="139" t="s">
        <v>1001</v>
      </c>
      <c r="G883" s="43">
        <v>84.3</v>
      </c>
      <c r="H883" s="43">
        <v>52.8</v>
      </c>
      <c r="I883">
        <f>表1_4[[#This Row],[主队2]]-表1_4[[#This Row],[客队2]]</f>
        <v>31.5</v>
      </c>
      <c r="J883" s="34">
        <v>3.25</v>
      </c>
      <c r="K883" s="34">
        <v>3</v>
      </c>
      <c r="L88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83" s="11"/>
      <c r="N883" s="10" t="s">
        <v>404</v>
      </c>
      <c r="O883" s="10" t="s">
        <v>143</v>
      </c>
      <c r="T883" s="3"/>
      <c r="U883" s="246"/>
      <c r="V883" s="231" t="s">
        <v>645</v>
      </c>
      <c r="W883" s="44"/>
      <c r="X883" s="45"/>
    </row>
    <row r="884" spans="1:24" ht="28.9">
      <c r="A884" s="58" t="s">
        <v>128</v>
      </c>
      <c r="B884" s="146">
        <v>44362.916666666701</v>
      </c>
      <c r="C884" s="140">
        <v>7</v>
      </c>
      <c r="D884" s="134" t="s">
        <v>995</v>
      </c>
      <c r="E884" s="7" t="s">
        <v>36</v>
      </c>
      <c r="F884" s="139" t="s">
        <v>1080</v>
      </c>
      <c r="G884" s="43">
        <v>45.3</v>
      </c>
      <c r="H884" s="43">
        <v>32.700000000000003</v>
      </c>
      <c r="I884">
        <f>表1_4[[#This Row],[主队2]]-表1_4[[#This Row],[客队2]]</f>
        <v>12.6</v>
      </c>
      <c r="J884" s="34">
        <v>1.25</v>
      </c>
      <c r="K884" s="34">
        <v>1.75</v>
      </c>
      <c r="L88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884" s="11"/>
      <c r="N884" s="10" t="s">
        <v>112</v>
      </c>
      <c r="O884" s="10" t="s">
        <v>35</v>
      </c>
      <c r="T884" s="3"/>
      <c r="U884" s="246" t="s">
        <v>458</v>
      </c>
      <c r="V884" s="231" t="s">
        <v>920</v>
      </c>
      <c r="W884" s="44"/>
      <c r="X884" s="45"/>
    </row>
    <row r="885" spans="1:24" ht="28.9">
      <c r="A885" s="58" t="s">
        <v>128</v>
      </c>
      <c r="B885" s="146">
        <v>44362.916666666701</v>
      </c>
      <c r="C885" s="141">
        <v>7</v>
      </c>
      <c r="D885" s="134" t="s">
        <v>1187</v>
      </c>
      <c r="E885" s="7" t="s">
        <v>36</v>
      </c>
      <c r="F885" s="139" t="s">
        <v>1094</v>
      </c>
      <c r="G885" s="43">
        <v>46.1</v>
      </c>
      <c r="H885" s="43">
        <v>39.200000000000003</v>
      </c>
      <c r="I885">
        <f>表1_4[[#This Row],[主队2]]-表1_4[[#This Row],[客队2]]</f>
        <v>6.9</v>
      </c>
      <c r="J885" s="34">
        <v>0.75</v>
      </c>
      <c r="K885" s="35" t="s">
        <v>182</v>
      </c>
      <c r="L88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885" s="11"/>
      <c r="N885" s="10" t="s">
        <v>133</v>
      </c>
      <c r="O885" s="10" t="s">
        <v>40</v>
      </c>
      <c r="R885" t="s">
        <v>852</v>
      </c>
      <c r="T885" s="3"/>
      <c r="U885" s="246" t="s">
        <v>1515</v>
      </c>
      <c r="V885" s="231" t="s">
        <v>639</v>
      </c>
      <c r="W885" s="44"/>
      <c r="X885" s="45"/>
    </row>
    <row r="886" spans="1:24" ht="28.9">
      <c r="A886" s="58" t="s">
        <v>128</v>
      </c>
      <c r="B886" s="146">
        <v>44363.03125</v>
      </c>
      <c r="C886" s="141">
        <v>7</v>
      </c>
      <c r="D886" s="134" t="s">
        <v>137</v>
      </c>
      <c r="E886" s="7" t="s">
        <v>53</v>
      </c>
      <c r="F886" s="139" t="s">
        <v>1087</v>
      </c>
      <c r="G886" s="43">
        <v>61.3</v>
      </c>
      <c r="H886" s="43">
        <v>49.7</v>
      </c>
      <c r="I886">
        <f>表1_4[[#This Row],[主队2]]-表1_4[[#This Row],[客队2]]</f>
        <v>11.6</v>
      </c>
      <c r="J886" s="34">
        <v>1.25</v>
      </c>
      <c r="K886" s="35" t="s">
        <v>289</v>
      </c>
      <c r="L88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886" s="11"/>
      <c r="N886" s="10" t="s">
        <v>112</v>
      </c>
      <c r="O886" s="10" t="s">
        <v>35</v>
      </c>
      <c r="P886" s="9">
        <v>15</v>
      </c>
      <c r="T886" s="3"/>
      <c r="U886" s="83" t="s">
        <v>1516</v>
      </c>
      <c r="V886" s="55" t="s">
        <v>1517</v>
      </c>
      <c r="W886" s="44"/>
      <c r="X886" s="45"/>
    </row>
    <row r="887" spans="1:24">
      <c r="A887" s="58" t="s">
        <v>128</v>
      </c>
      <c r="B887" s="146">
        <v>44363.03125</v>
      </c>
      <c r="C887" s="138">
        <v>7</v>
      </c>
      <c r="D887" s="134" t="s">
        <v>146</v>
      </c>
      <c r="E887" s="7" t="s">
        <v>29</v>
      </c>
      <c r="F887" s="139" t="s">
        <v>1002</v>
      </c>
      <c r="G887" s="43">
        <v>69.3</v>
      </c>
      <c r="H887" s="43">
        <v>59.5</v>
      </c>
      <c r="I887">
        <f>表1_4[[#This Row],[主队2]]-表1_4[[#This Row],[客队2]]</f>
        <v>9.8000000000000007</v>
      </c>
      <c r="J88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887" s="35" t="s">
        <v>176</v>
      </c>
      <c r="L88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87" s="11"/>
      <c r="N887" s="10" t="s">
        <v>119</v>
      </c>
      <c r="O887" s="10" t="s">
        <v>143</v>
      </c>
      <c r="P887" s="9">
        <v>10</v>
      </c>
      <c r="T887" s="3"/>
      <c r="U887" s="25"/>
      <c r="V887" s="54" t="s">
        <v>1518</v>
      </c>
      <c r="W887" s="241"/>
      <c r="X887" s="45"/>
    </row>
    <row r="888" spans="1:24" ht="28.9">
      <c r="A888" s="58" t="s">
        <v>128</v>
      </c>
      <c r="B888" s="146">
        <v>44363.083333333299</v>
      </c>
      <c r="C888" s="138">
        <v>7</v>
      </c>
      <c r="D888" s="134" t="s">
        <v>109</v>
      </c>
      <c r="E888" s="7" t="s">
        <v>41</v>
      </c>
      <c r="F888" s="139" t="s">
        <v>130</v>
      </c>
      <c r="G888" s="43">
        <v>69</v>
      </c>
      <c r="H888" s="43">
        <v>69.3</v>
      </c>
      <c r="I888">
        <f>表1_4[[#This Row],[主队2]]-表1_4[[#This Row],[客队2]]</f>
        <v>-0.29999999999999699</v>
      </c>
      <c r="J888" s="34">
        <v>0</v>
      </c>
      <c r="K888" s="35" t="s">
        <v>118</v>
      </c>
      <c r="L88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888" s="11"/>
      <c r="N888" s="10" t="s">
        <v>133</v>
      </c>
      <c r="O888" s="10" t="s">
        <v>40</v>
      </c>
      <c r="P888" s="9">
        <v>-0.1</v>
      </c>
      <c r="R888" t="s">
        <v>852</v>
      </c>
      <c r="T888" s="3"/>
      <c r="U888" s="246" t="s">
        <v>1519</v>
      </c>
      <c r="V888" s="231" t="s">
        <v>1468</v>
      </c>
      <c r="W888" s="44"/>
      <c r="X888" s="45"/>
    </row>
    <row r="889" spans="1:24">
      <c r="A889" s="58" t="s">
        <v>128</v>
      </c>
      <c r="B889" s="146">
        <v>44363.958333333299</v>
      </c>
      <c r="C889" s="145">
        <v>7</v>
      </c>
      <c r="D889" s="134" t="s">
        <v>142</v>
      </c>
      <c r="E889" s="7" t="s">
        <v>31</v>
      </c>
      <c r="F889" s="139" t="s">
        <v>1098</v>
      </c>
      <c r="G889" s="43">
        <v>81.5</v>
      </c>
      <c r="H889" s="43">
        <v>65.5</v>
      </c>
      <c r="I889">
        <f>表1_4[[#This Row],[主队2]]-表1_4[[#This Row],[客队2]]</f>
        <v>16</v>
      </c>
      <c r="J889" s="34">
        <v>1.5</v>
      </c>
      <c r="K889" s="35" t="s">
        <v>176</v>
      </c>
      <c r="L88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889" s="11"/>
      <c r="N889" s="10" t="s">
        <v>119</v>
      </c>
      <c r="O889" s="10" t="s">
        <v>143</v>
      </c>
      <c r="T889" s="3"/>
      <c r="U889" s="83" t="s">
        <v>776</v>
      </c>
      <c r="V889" s="55" t="s">
        <v>902</v>
      </c>
      <c r="W889" s="44"/>
      <c r="X889" s="45"/>
    </row>
    <row r="890" spans="1:24">
      <c r="A890" s="58" t="s">
        <v>188</v>
      </c>
      <c r="B890" s="127">
        <v>44440.916666666701</v>
      </c>
      <c r="C890" s="138">
        <v>4</v>
      </c>
      <c r="D890" s="134" t="s">
        <v>288</v>
      </c>
      <c r="E890" s="7" t="s">
        <v>25</v>
      </c>
      <c r="F890" s="139" t="s">
        <v>214</v>
      </c>
      <c r="G890" s="43">
        <v>65.599999999999994</v>
      </c>
      <c r="H890" s="43">
        <v>80.599999999999994</v>
      </c>
      <c r="I890">
        <f>表1_4[[#This Row],[主队2]]-表1_4[[#This Row],[客队2]]</f>
        <v>-15</v>
      </c>
      <c r="J89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890" s="35" t="s">
        <v>245</v>
      </c>
      <c r="L89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90" s="63" t="s">
        <v>1520</v>
      </c>
      <c r="N890" s="10" t="s">
        <v>112</v>
      </c>
      <c r="O890" s="10" t="s">
        <v>24</v>
      </c>
      <c r="R890" t="s">
        <v>855</v>
      </c>
      <c r="T890" s="3"/>
      <c r="U890" s="25"/>
      <c r="V890" s="246" t="s">
        <v>1521</v>
      </c>
      <c r="W890" s="51"/>
      <c r="X890" s="45"/>
    </row>
    <row r="891" spans="1:24">
      <c r="A891" s="58" t="s">
        <v>188</v>
      </c>
      <c r="B891" s="146">
        <v>44441.114583333299</v>
      </c>
      <c r="C891" s="140">
        <v>4</v>
      </c>
      <c r="D891" s="134" t="s">
        <v>267</v>
      </c>
      <c r="E891" s="7" t="s">
        <v>36</v>
      </c>
      <c r="F891" s="139" t="s">
        <v>255</v>
      </c>
      <c r="G891" s="43">
        <v>95.1</v>
      </c>
      <c r="H891" s="43">
        <v>79.7</v>
      </c>
      <c r="I891">
        <f>表1_4[[#This Row],[主队2]]-表1_4[[#This Row],[客队2]]</f>
        <v>15.4</v>
      </c>
      <c r="J89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891" s="35" t="s">
        <v>63</v>
      </c>
      <c r="L89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91" s="11"/>
      <c r="N891" s="10" t="s">
        <v>112</v>
      </c>
      <c r="O891" s="10" t="s">
        <v>28</v>
      </c>
      <c r="T891" s="3"/>
      <c r="U891" s="246" t="s">
        <v>1522</v>
      </c>
      <c r="V891" s="25" t="s">
        <v>1523</v>
      </c>
      <c r="W891" s="52"/>
      <c r="X891" s="45"/>
    </row>
    <row r="892" spans="1:24">
      <c r="A892" s="58" t="s">
        <v>188</v>
      </c>
      <c r="B892" s="146">
        <v>44441.114583333299</v>
      </c>
      <c r="C892" s="138">
        <v>4</v>
      </c>
      <c r="D892" s="134" t="s">
        <v>306</v>
      </c>
      <c r="E892" s="7" t="s">
        <v>22</v>
      </c>
      <c r="F892" s="139" t="s">
        <v>123</v>
      </c>
      <c r="G892" s="43">
        <v>92.3</v>
      </c>
      <c r="H892" s="43">
        <v>77.900000000000006</v>
      </c>
      <c r="I892">
        <f>表1_4[[#This Row],[主队2]]-表1_4[[#This Row],[客队2]]</f>
        <v>14.4</v>
      </c>
      <c r="J89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892" s="35" t="s">
        <v>176</v>
      </c>
      <c r="L89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892" s="11"/>
      <c r="N892" s="10" t="s">
        <v>119</v>
      </c>
      <c r="O892" s="10" t="s">
        <v>51</v>
      </c>
      <c r="R892" t="s">
        <v>852</v>
      </c>
      <c r="T892" s="3"/>
      <c r="U892" s="25"/>
      <c r="V892" s="150" t="s">
        <v>1524</v>
      </c>
      <c r="W892" s="44"/>
      <c r="X892" s="45"/>
    </row>
    <row r="893" spans="1:24" ht="28.9">
      <c r="A893" s="58" t="s">
        <v>188</v>
      </c>
      <c r="B893" s="146">
        <v>44441.114583333299</v>
      </c>
      <c r="C893" s="138">
        <v>4</v>
      </c>
      <c r="D893" s="134" t="s">
        <v>244</v>
      </c>
      <c r="E893" s="7" t="s">
        <v>61</v>
      </c>
      <c r="F893" s="139" t="s">
        <v>210</v>
      </c>
      <c r="G893" s="43">
        <v>58.1</v>
      </c>
      <c r="H893" s="43">
        <v>75.400000000000006</v>
      </c>
      <c r="I893">
        <f>表1_4[[#This Row],[主队2]]-表1_4[[#This Row],[客队2]]</f>
        <v>-17.3</v>
      </c>
      <c r="J89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893" s="35" t="s">
        <v>219</v>
      </c>
      <c r="L89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93" s="11"/>
      <c r="N893" s="10" t="s">
        <v>119</v>
      </c>
      <c r="O893" s="10" t="s">
        <v>46</v>
      </c>
      <c r="R893" t="s">
        <v>852</v>
      </c>
      <c r="T893" s="3"/>
      <c r="U893" s="83"/>
      <c r="V893" s="83" t="s">
        <v>1525</v>
      </c>
      <c r="W893" s="48"/>
      <c r="X893" s="45"/>
    </row>
    <row r="894" spans="1:24" ht="28.9">
      <c r="A894" s="58" t="s">
        <v>188</v>
      </c>
      <c r="B894" s="146">
        <v>44441.114583333299</v>
      </c>
      <c r="C894" s="138">
        <v>4</v>
      </c>
      <c r="D894" s="134" t="s">
        <v>195</v>
      </c>
      <c r="E894" s="7" t="s">
        <v>47</v>
      </c>
      <c r="F894" s="139" t="s">
        <v>194</v>
      </c>
      <c r="G894" s="43">
        <v>58.8</v>
      </c>
      <c r="H894" s="43">
        <v>83.5</v>
      </c>
      <c r="I894">
        <f>表1_4[[#This Row],[主队2]]-表1_4[[#This Row],[客队2]]</f>
        <v>-24.7</v>
      </c>
      <c r="J894" s="34">
        <v>-2.25</v>
      </c>
      <c r="K894" s="35" t="s">
        <v>666</v>
      </c>
      <c r="L89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894" s="11"/>
      <c r="N894" s="10" t="s">
        <v>112</v>
      </c>
      <c r="O894" s="10" t="s">
        <v>40</v>
      </c>
      <c r="R894" t="s">
        <v>852</v>
      </c>
      <c r="T894" s="3"/>
      <c r="U894" s="83" t="s">
        <v>500</v>
      </c>
      <c r="V894" s="246" t="s">
        <v>1526</v>
      </c>
      <c r="W894" s="52"/>
      <c r="X894" s="45"/>
    </row>
    <row r="895" spans="1:24">
      <c r="A895" s="58" t="s">
        <v>188</v>
      </c>
      <c r="B895" s="146">
        <v>44441.114583333299</v>
      </c>
      <c r="C895" s="138">
        <v>4</v>
      </c>
      <c r="D895" s="134" t="s">
        <v>251</v>
      </c>
      <c r="E895" s="7" t="s">
        <v>41</v>
      </c>
      <c r="F895" s="139" t="s">
        <v>256</v>
      </c>
      <c r="G895" s="43">
        <v>62.7</v>
      </c>
      <c r="H895" s="43">
        <v>39.299999999999997</v>
      </c>
      <c r="I895">
        <f>表1_4[[#This Row],[主队2]]-表1_4[[#This Row],[客队2]]</f>
        <v>23.4</v>
      </c>
      <c r="J895" s="34">
        <v>2.5</v>
      </c>
      <c r="K895" s="35" t="s">
        <v>81</v>
      </c>
      <c r="L89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895" s="11"/>
      <c r="N895" s="10" t="s">
        <v>112</v>
      </c>
      <c r="O895" s="10" t="s">
        <v>40</v>
      </c>
      <c r="T895" s="3"/>
      <c r="U895" s="25" t="s">
        <v>126</v>
      </c>
      <c r="V895" s="25" t="s">
        <v>1527</v>
      </c>
      <c r="W895" s="52"/>
      <c r="X895" s="45"/>
    </row>
    <row r="896" spans="1:24">
      <c r="A896" s="58" t="s">
        <v>188</v>
      </c>
      <c r="B896" s="146">
        <v>44441.114583333299</v>
      </c>
      <c r="C896" s="141">
        <v>4</v>
      </c>
      <c r="D896" s="134" t="s">
        <v>297</v>
      </c>
      <c r="E896" s="7" t="s">
        <v>36</v>
      </c>
      <c r="F896" s="139" t="s">
        <v>262</v>
      </c>
      <c r="G896" s="43">
        <v>80</v>
      </c>
      <c r="H896" s="43">
        <v>91.2</v>
      </c>
      <c r="I896">
        <f>表1_4[[#This Row],[主队2]]-表1_4[[#This Row],[客队2]]</f>
        <v>-11.2</v>
      </c>
      <c r="J89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896" s="35" t="s">
        <v>111</v>
      </c>
      <c r="L89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96" s="11"/>
      <c r="N896" s="10" t="s">
        <v>119</v>
      </c>
      <c r="O896" s="10" t="s">
        <v>48</v>
      </c>
      <c r="R896" t="s">
        <v>852</v>
      </c>
      <c r="T896" s="3"/>
      <c r="U896" s="246"/>
      <c r="V896" s="83" t="s">
        <v>1528</v>
      </c>
      <c r="W896" s="48"/>
      <c r="X896" s="45"/>
    </row>
    <row r="897" spans="1:24">
      <c r="A897" s="58" t="s">
        <v>188</v>
      </c>
      <c r="B897" s="146">
        <v>44441.114583333299</v>
      </c>
      <c r="C897" s="138">
        <v>4</v>
      </c>
      <c r="D897" s="134" t="s">
        <v>190</v>
      </c>
      <c r="E897" s="7" t="s">
        <v>25</v>
      </c>
      <c r="F897" s="139" t="s">
        <v>301</v>
      </c>
      <c r="G897" s="43">
        <v>80.3</v>
      </c>
      <c r="H897" s="43">
        <v>72.900000000000006</v>
      </c>
      <c r="I897">
        <f>表1_4[[#This Row],[主队2]]-表1_4[[#This Row],[客队2]]</f>
        <v>7.3999999999999897</v>
      </c>
      <c r="J89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897" s="35" t="s">
        <v>176</v>
      </c>
      <c r="L89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97" s="11"/>
      <c r="N897" s="10" t="s">
        <v>133</v>
      </c>
      <c r="O897" s="10" t="s">
        <v>143</v>
      </c>
      <c r="R897" t="s">
        <v>855</v>
      </c>
      <c r="T897" s="3"/>
      <c r="U897" s="246"/>
      <c r="V897" s="246" t="s">
        <v>1529</v>
      </c>
      <c r="W897" s="48"/>
      <c r="X897" s="45"/>
    </row>
    <row r="898" spans="1:24">
      <c r="A898" s="58" t="s">
        <v>188</v>
      </c>
      <c r="B898" s="146">
        <v>44441.114583333299</v>
      </c>
      <c r="C898" s="140">
        <v>4</v>
      </c>
      <c r="D898" s="134" t="s">
        <v>929</v>
      </c>
      <c r="E898" s="7" t="s">
        <v>44</v>
      </c>
      <c r="F898" s="139" t="s">
        <v>407</v>
      </c>
      <c r="G898" s="43">
        <v>56.5</v>
      </c>
      <c r="H898" s="43">
        <v>65</v>
      </c>
      <c r="I898">
        <f>表1_4[[#This Row],[主队2]]-表1_4[[#This Row],[客队2]]</f>
        <v>-8.5</v>
      </c>
      <c r="J89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898" s="35" t="s">
        <v>132</v>
      </c>
      <c r="L89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898" s="11"/>
      <c r="N898" s="10" t="s">
        <v>133</v>
      </c>
      <c r="O898" s="46" t="s">
        <v>28</v>
      </c>
      <c r="R898" t="s">
        <v>855</v>
      </c>
      <c r="T898" s="3"/>
      <c r="U898" s="246" t="s">
        <v>1522</v>
      </c>
      <c r="V898" s="246" t="s">
        <v>1530</v>
      </c>
      <c r="W898" s="48"/>
      <c r="X898" s="45"/>
    </row>
    <row r="899" spans="1:24">
      <c r="A899" s="58" t="s">
        <v>188</v>
      </c>
      <c r="B899" s="146">
        <v>44441.114583333299</v>
      </c>
      <c r="C899" s="140">
        <v>4</v>
      </c>
      <c r="D899" s="134" t="s">
        <v>353</v>
      </c>
      <c r="E899" s="7" t="s">
        <v>42</v>
      </c>
      <c r="F899" s="139" t="s">
        <v>110</v>
      </c>
      <c r="G899" s="43">
        <v>81.099999999999994</v>
      </c>
      <c r="H899" s="43">
        <v>87.3</v>
      </c>
      <c r="I899">
        <f>表1_4[[#This Row],[主队2]]-表1_4[[#This Row],[客队2]]</f>
        <v>-6.2</v>
      </c>
      <c r="J89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899" s="35" t="s">
        <v>166</v>
      </c>
      <c r="L89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899" s="11"/>
      <c r="N899" s="10" t="s">
        <v>119</v>
      </c>
      <c r="O899" s="10" t="s">
        <v>24</v>
      </c>
      <c r="R899" t="s">
        <v>852</v>
      </c>
      <c r="T899" s="3"/>
      <c r="U899" s="25"/>
      <c r="V899" s="25" t="s">
        <v>1531</v>
      </c>
      <c r="W899" s="241"/>
      <c r="X899" s="45"/>
    </row>
    <row r="900" spans="1:24">
      <c r="A900" s="58" t="s">
        <v>188</v>
      </c>
      <c r="B900" s="146">
        <v>44441.114583333299</v>
      </c>
      <c r="C900" s="140">
        <v>4</v>
      </c>
      <c r="D900" s="134" t="s">
        <v>309</v>
      </c>
      <c r="E900" s="7" t="s">
        <v>36</v>
      </c>
      <c r="F900" s="139" t="s">
        <v>425</v>
      </c>
      <c r="G900" s="43">
        <v>77.599999999999994</v>
      </c>
      <c r="H900" s="43">
        <v>78.400000000000006</v>
      </c>
      <c r="I900">
        <f>表1_4[[#This Row],[主队2]]-表1_4[[#This Row],[客队2]]</f>
        <v>-0.80000000000001104</v>
      </c>
      <c r="J90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900" s="35" t="s">
        <v>182</v>
      </c>
      <c r="L90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00" s="11"/>
      <c r="N900" s="10" t="s">
        <v>112</v>
      </c>
      <c r="O900" s="10" t="s">
        <v>28</v>
      </c>
      <c r="R900" t="s">
        <v>855</v>
      </c>
      <c r="T900" s="3"/>
      <c r="U900" s="246"/>
      <c r="V900" s="83" t="s">
        <v>1532</v>
      </c>
      <c r="W900" s="52"/>
      <c r="X900" s="45"/>
    </row>
    <row r="901" spans="1:24">
      <c r="A901" s="151" t="s">
        <v>188</v>
      </c>
      <c r="B901" s="146">
        <v>44441.114583333299</v>
      </c>
      <c r="C901" s="279">
        <v>4</v>
      </c>
      <c r="D901" s="134" t="s">
        <v>266</v>
      </c>
      <c r="E901" s="7" t="s">
        <v>33</v>
      </c>
      <c r="F901" s="139" t="s">
        <v>278</v>
      </c>
      <c r="G901" s="43">
        <v>63.1</v>
      </c>
      <c r="H901" s="43">
        <v>65.400000000000006</v>
      </c>
      <c r="I901">
        <f>表1_4[[#This Row],[主队2]]-表1_4[[#This Row],[客队2]]</f>
        <v>-2.2999999999999998</v>
      </c>
      <c r="J90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901" s="35" t="s">
        <v>182</v>
      </c>
      <c r="L90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901" s="11"/>
      <c r="N901" s="10" t="s">
        <v>119</v>
      </c>
      <c r="O901" s="10" t="s">
        <v>46</v>
      </c>
      <c r="R901" t="s">
        <v>852</v>
      </c>
      <c r="T901" s="3"/>
      <c r="U901" s="25"/>
      <c r="V901" s="25" t="s">
        <v>1533</v>
      </c>
      <c r="W901" s="51"/>
      <c r="X901" s="45"/>
    </row>
    <row r="902" spans="1:24">
      <c r="A902" s="58" t="s">
        <v>188</v>
      </c>
      <c r="B902" s="146">
        <v>44441.114583333299</v>
      </c>
      <c r="C902" s="140">
        <v>4</v>
      </c>
      <c r="D902" s="134" t="s">
        <v>270</v>
      </c>
      <c r="E902" s="7" t="s">
        <v>33</v>
      </c>
      <c r="F902" s="139" t="s">
        <v>199</v>
      </c>
      <c r="G902" s="43">
        <v>93.4</v>
      </c>
      <c r="H902" s="43">
        <v>78.5</v>
      </c>
      <c r="I902">
        <f>表1_4[[#This Row],[主队2]]-表1_4[[#This Row],[客队2]]</f>
        <v>14.9</v>
      </c>
      <c r="J90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902" s="35" t="s">
        <v>81</v>
      </c>
      <c r="L90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02" s="11" t="s">
        <v>1534</v>
      </c>
      <c r="N902" s="10" t="s">
        <v>160</v>
      </c>
      <c r="O902" s="10" t="s">
        <v>28</v>
      </c>
      <c r="R902" t="s">
        <v>855</v>
      </c>
      <c r="T902" s="3"/>
      <c r="U902" s="25"/>
      <c r="V902" s="80" t="s">
        <v>1535</v>
      </c>
      <c r="W902" s="52"/>
      <c r="X902" s="45"/>
    </row>
    <row r="903" spans="1:24">
      <c r="A903" s="58" t="s">
        <v>188</v>
      </c>
      <c r="B903" s="146">
        <v>44442</v>
      </c>
      <c r="C903" s="141">
        <v>4</v>
      </c>
      <c r="D903" s="134" t="s">
        <v>430</v>
      </c>
      <c r="E903" s="7" t="s">
        <v>53</v>
      </c>
      <c r="F903" s="139" t="s">
        <v>217</v>
      </c>
      <c r="G903" s="43">
        <v>73.3</v>
      </c>
      <c r="H903" s="43">
        <v>68.400000000000006</v>
      </c>
      <c r="I903">
        <f>表1_4[[#This Row],[主队2]]-表1_4[[#This Row],[客队2]]</f>
        <v>4.8999999999999897</v>
      </c>
      <c r="J90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903" s="35" t="s">
        <v>182</v>
      </c>
      <c r="L90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03" s="11"/>
      <c r="N903" s="10" t="s">
        <v>112</v>
      </c>
      <c r="O903" s="10" t="s">
        <v>35</v>
      </c>
      <c r="T903" s="3"/>
      <c r="U903" s="25" t="s">
        <v>988</v>
      </c>
      <c r="V903" s="246" t="s">
        <v>1536</v>
      </c>
      <c r="W903" s="56"/>
      <c r="X903" s="45"/>
    </row>
    <row r="904" spans="1:24">
      <c r="A904" s="58" t="s">
        <v>188</v>
      </c>
      <c r="B904" s="146">
        <v>44442.114583333299</v>
      </c>
      <c r="C904" s="141">
        <v>4</v>
      </c>
      <c r="D904" s="134" t="s">
        <v>239</v>
      </c>
      <c r="E904" s="7" t="s">
        <v>33</v>
      </c>
      <c r="F904" s="139" t="s">
        <v>209</v>
      </c>
      <c r="G904" s="43">
        <v>87.5</v>
      </c>
      <c r="H904" s="43">
        <v>95.7</v>
      </c>
      <c r="I904">
        <f>表1_4[[#This Row],[主队2]]-表1_4[[#This Row],[客队2]]</f>
        <v>-8.1999999999999993</v>
      </c>
      <c r="J90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904" s="35" t="s">
        <v>111</v>
      </c>
      <c r="L90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904" s="63" t="s">
        <v>393</v>
      </c>
      <c r="N904" s="10" t="s">
        <v>133</v>
      </c>
      <c r="O904" s="10" t="s">
        <v>40</v>
      </c>
      <c r="T904" s="3"/>
      <c r="U904" s="246" t="s">
        <v>631</v>
      </c>
      <c r="V904" s="246" t="s">
        <v>1537</v>
      </c>
      <c r="W904" s="56"/>
      <c r="X904" s="45"/>
    </row>
    <row r="905" spans="1:24">
      <c r="A905" s="58" t="s">
        <v>188</v>
      </c>
      <c r="B905" s="146">
        <v>44442.114583333299</v>
      </c>
      <c r="C905" s="140">
        <v>4</v>
      </c>
      <c r="D905" s="275" t="s">
        <v>204</v>
      </c>
      <c r="E905" s="7" t="s">
        <v>36</v>
      </c>
      <c r="F905" s="139" t="s">
        <v>261</v>
      </c>
      <c r="G905" s="43">
        <v>96</v>
      </c>
      <c r="H905" s="43">
        <v>72.400000000000006</v>
      </c>
      <c r="I905">
        <f>表1_4[[#This Row],[主队2]]-表1_4[[#This Row],[客队2]]</f>
        <v>23.6</v>
      </c>
      <c r="J905" s="34">
        <v>2.5</v>
      </c>
      <c r="K905" s="35" t="s">
        <v>23</v>
      </c>
      <c r="L90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05" s="11" t="s">
        <v>1538</v>
      </c>
      <c r="N905" s="10" t="s">
        <v>119</v>
      </c>
      <c r="O905" s="10" t="s">
        <v>40</v>
      </c>
      <c r="T905" s="3"/>
      <c r="U905" s="83" t="s">
        <v>1539</v>
      </c>
      <c r="V905" s="150" t="s">
        <v>1540</v>
      </c>
      <c r="W905" s="44"/>
      <c r="X905" s="45"/>
    </row>
    <row r="906" spans="1:24">
      <c r="A906" s="58" t="s">
        <v>188</v>
      </c>
      <c r="B906" s="127">
        <v>44442.114583333299</v>
      </c>
      <c r="C906" s="141">
        <v>4</v>
      </c>
      <c r="D906" s="134" t="s">
        <v>292</v>
      </c>
      <c r="E906" s="7" t="s">
        <v>75</v>
      </c>
      <c r="F906" s="139" t="s">
        <v>296</v>
      </c>
      <c r="G906" s="43">
        <v>62.6</v>
      </c>
      <c r="H906" s="43">
        <v>75.7</v>
      </c>
      <c r="I906">
        <f>表1_4[[#This Row],[主队2]]-表1_4[[#This Row],[客队2]]</f>
        <v>-13.1</v>
      </c>
      <c r="J90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906" s="35" t="s">
        <v>111</v>
      </c>
      <c r="L90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06" s="63" t="s">
        <v>1541</v>
      </c>
      <c r="T906" s="3"/>
      <c r="U906" s="83"/>
      <c r="V906" s="83" t="s">
        <v>1542</v>
      </c>
      <c r="W906" s="44"/>
      <c r="X906" s="45"/>
    </row>
    <row r="907" spans="1:24">
      <c r="A907" s="58" t="s">
        <v>188</v>
      </c>
      <c r="B907" s="146">
        <v>44442.114583333299</v>
      </c>
      <c r="C907" s="140">
        <v>4</v>
      </c>
      <c r="D907" s="134" t="s">
        <v>284</v>
      </c>
      <c r="E907" s="7" t="s">
        <v>31</v>
      </c>
      <c r="F907" s="139" t="s">
        <v>240</v>
      </c>
      <c r="G907" s="43">
        <v>85.6</v>
      </c>
      <c r="H907" s="43">
        <v>70.8</v>
      </c>
      <c r="I907">
        <f>表1_4[[#This Row],[主队2]]-表1_4[[#This Row],[客队2]]</f>
        <v>14.8</v>
      </c>
      <c r="J90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907" s="35" t="s">
        <v>63</v>
      </c>
      <c r="L90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07" s="11"/>
      <c r="N907" s="46" t="s">
        <v>112</v>
      </c>
      <c r="O907" s="10" t="s">
        <v>35</v>
      </c>
      <c r="R907" t="s">
        <v>855</v>
      </c>
      <c r="T907" s="3"/>
      <c r="U907" s="83" t="s">
        <v>177</v>
      </c>
      <c r="V907" s="246" t="s">
        <v>1543</v>
      </c>
      <c r="W907" s="51"/>
      <c r="X907" s="45"/>
    </row>
    <row r="908" spans="1:24">
      <c r="A908" s="58" t="s">
        <v>188</v>
      </c>
      <c r="B908" s="146">
        <v>44442.114583333299</v>
      </c>
      <c r="C908" s="140">
        <v>4</v>
      </c>
      <c r="D908" s="70" t="s">
        <v>403</v>
      </c>
      <c r="E908" s="49" t="s">
        <v>996</v>
      </c>
      <c r="F908" s="139" t="s">
        <v>274</v>
      </c>
      <c r="G908" s="43">
        <v>66.099999999999994</v>
      </c>
      <c r="H908" s="43">
        <v>98</v>
      </c>
      <c r="I908">
        <f>表1_4[[#This Row],[主队2]]-表1_4[[#This Row],[客队2]]</f>
        <v>-31.9</v>
      </c>
      <c r="J908" s="34">
        <v>-3</v>
      </c>
      <c r="K908" s="35" t="s">
        <v>670</v>
      </c>
      <c r="L90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08" s="11"/>
      <c r="N908" s="10" t="s">
        <v>133</v>
      </c>
      <c r="O908" s="10" t="s">
        <v>24</v>
      </c>
      <c r="T908" s="3"/>
      <c r="U908" s="83"/>
      <c r="V908" s="152" t="s">
        <v>1544</v>
      </c>
      <c r="W908" s="48"/>
      <c r="X908" s="45"/>
    </row>
    <row r="909" spans="1:24">
      <c r="A909" s="58" t="s">
        <v>188</v>
      </c>
      <c r="B909" s="146">
        <v>44442.114583333299</v>
      </c>
      <c r="C909" s="138">
        <v>4</v>
      </c>
      <c r="D909" s="134" t="s">
        <v>243</v>
      </c>
      <c r="E909" s="7" t="s">
        <v>22</v>
      </c>
      <c r="F909" s="44" t="s">
        <v>282</v>
      </c>
      <c r="G909" s="43">
        <v>45.9</v>
      </c>
      <c r="H909" s="43">
        <v>31.4</v>
      </c>
      <c r="I909">
        <f>表1_4[[#This Row],[主队2]]-表1_4[[#This Row],[客队2]]</f>
        <v>14.5</v>
      </c>
      <c r="J90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909" s="35" t="s">
        <v>125</v>
      </c>
      <c r="L90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09" s="11"/>
      <c r="N909" s="10" t="s">
        <v>133</v>
      </c>
      <c r="O909" s="10" t="s">
        <v>48</v>
      </c>
      <c r="T909" s="3"/>
      <c r="U909" s="83"/>
      <c r="V909" s="83" t="s">
        <v>1545</v>
      </c>
      <c r="W909" s="44"/>
      <c r="X909" s="45"/>
    </row>
    <row r="910" spans="1:24">
      <c r="A910" s="58" t="s">
        <v>188</v>
      </c>
      <c r="B910" s="146">
        <v>44442.114583333299</v>
      </c>
      <c r="C910" s="138">
        <v>4</v>
      </c>
      <c r="D910" s="134" t="s">
        <v>271</v>
      </c>
      <c r="E910" s="7" t="s">
        <v>61</v>
      </c>
      <c r="F910" s="139" t="s">
        <v>117</v>
      </c>
      <c r="G910" s="43">
        <v>79.599999999999994</v>
      </c>
      <c r="H910" s="43">
        <v>95.4</v>
      </c>
      <c r="I910">
        <f>表1_4[[#This Row],[主队2]]-表1_4[[#This Row],[客队2]]</f>
        <v>-15.8</v>
      </c>
      <c r="J91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910" s="35" t="s">
        <v>219</v>
      </c>
      <c r="L91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10" s="11"/>
      <c r="N910" s="10" t="s">
        <v>119</v>
      </c>
      <c r="O910" s="10" t="s">
        <v>65</v>
      </c>
      <c r="T910" s="3"/>
      <c r="U910" s="83"/>
      <c r="V910" s="83" t="s">
        <v>1546</v>
      </c>
      <c r="W910" s="56"/>
      <c r="X910" s="45"/>
    </row>
    <row r="911" spans="1:24">
      <c r="A911" s="58" t="s">
        <v>188</v>
      </c>
      <c r="B911" s="146">
        <v>44442.114583333299</v>
      </c>
      <c r="C911" s="138">
        <v>4</v>
      </c>
      <c r="D911" s="134" t="s">
        <v>302</v>
      </c>
      <c r="E911" s="7" t="s">
        <v>43</v>
      </c>
      <c r="F911" s="139" t="s">
        <v>205</v>
      </c>
      <c r="G911" s="43">
        <v>84.3</v>
      </c>
      <c r="H911" s="43">
        <v>72.5</v>
      </c>
      <c r="I911">
        <f>表1_4[[#This Row],[主队2]]-表1_4[[#This Row],[客队2]]</f>
        <v>11.8</v>
      </c>
      <c r="J91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911" s="35" t="s">
        <v>176</v>
      </c>
      <c r="L91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11" s="11"/>
      <c r="N911" s="10" t="s">
        <v>119</v>
      </c>
      <c r="O911" s="10" t="s">
        <v>35</v>
      </c>
      <c r="T911" s="3"/>
      <c r="U911" s="246" t="s">
        <v>177</v>
      </c>
      <c r="V911" s="25" t="s">
        <v>1547</v>
      </c>
      <c r="W911" s="241"/>
      <c r="X911" s="45"/>
    </row>
    <row r="912" spans="1:24">
      <c r="A912" s="58" t="s">
        <v>188</v>
      </c>
      <c r="B912" s="146">
        <v>44442.114583333299</v>
      </c>
      <c r="C912" s="140">
        <v>4</v>
      </c>
      <c r="D912" s="134" t="s">
        <v>437</v>
      </c>
      <c r="E912" s="7" t="s">
        <v>47</v>
      </c>
      <c r="F912" s="139" t="s">
        <v>116</v>
      </c>
      <c r="G912" s="43">
        <v>45.7</v>
      </c>
      <c r="H912" s="43">
        <v>92.7</v>
      </c>
      <c r="I912">
        <f>表1_4[[#This Row],[主队2]]-表1_4[[#This Row],[客队2]]</f>
        <v>-47</v>
      </c>
      <c r="J912" s="34">
        <v>-4.75</v>
      </c>
      <c r="K912" s="35" t="s">
        <v>1178</v>
      </c>
      <c r="L91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12" s="11"/>
      <c r="N912" s="10" t="s">
        <v>895</v>
      </c>
      <c r="O912" s="10" t="s">
        <v>35</v>
      </c>
      <c r="T912" s="3"/>
      <c r="U912" s="25" t="s">
        <v>1548</v>
      </c>
      <c r="V912" s="25" t="s">
        <v>1549</v>
      </c>
      <c r="W912" s="51"/>
      <c r="X912" s="45"/>
    </row>
    <row r="913" spans="1:24" ht="15.6">
      <c r="A913" s="58" t="s">
        <v>188</v>
      </c>
      <c r="B913" s="146">
        <v>44442.114583333299</v>
      </c>
      <c r="C913" s="140">
        <v>4</v>
      </c>
      <c r="D913" s="134" t="s">
        <v>218</v>
      </c>
      <c r="E913" s="7" t="s">
        <v>47</v>
      </c>
      <c r="F913" s="139" t="s">
        <v>305</v>
      </c>
      <c r="G913" s="43">
        <v>77.400000000000006</v>
      </c>
      <c r="H913" s="43">
        <v>80.099999999999994</v>
      </c>
      <c r="I913">
        <f>表1_4[[#This Row],[主队2]]-表1_4[[#This Row],[客队2]]</f>
        <v>-2.69999999999999</v>
      </c>
      <c r="J91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913" s="35" t="s">
        <v>166</v>
      </c>
      <c r="L91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13" s="153"/>
      <c r="N913" s="10" t="s">
        <v>119</v>
      </c>
      <c r="O913" s="10" t="s">
        <v>51</v>
      </c>
      <c r="R913" t="s">
        <v>855</v>
      </c>
      <c r="T913" s="3"/>
      <c r="U913" s="246"/>
      <c r="V913" s="246" t="s">
        <v>1550</v>
      </c>
      <c r="W913" s="51"/>
      <c r="X913" s="45"/>
    </row>
    <row r="914" spans="1:24">
      <c r="A914" s="58" t="s">
        <v>188</v>
      </c>
      <c r="B914" s="146">
        <v>44442.114583333299</v>
      </c>
      <c r="C914" s="140">
        <v>4</v>
      </c>
      <c r="D914" s="134" t="s">
        <v>440</v>
      </c>
      <c r="E914" s="7" t="s">
        <v>42</v>
      </c>
      <c r="F914" s="139" t="s">
        <v>287</v>
      </c>
      <c r="G914" s="43">
        <v>72.900000000000006</v>
      </c>
      <c r="H914" s="43">
        <v>71.2</v>
      </c>
      <c r="I914">
        <f>表1_4[[#This Row],[主队2]]-表1_4[[#This Row],[客队2]]</f>
        <v>1.7</v>
      </c>
      <c r="J91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914" s="35" t="s">
        <v>289</v>
      </c>
      <c r="L91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14" s="11"/>
      <c r="T914" s="3"/>
      <c r="U914" s="25"/>
      <c r="V914" s="25" t="s">
        <v>1551</v>
      </c>
      <c r="W914" s="51"/>
      <c r="X914" s="45"/>
    </row>
    <row r="915" spans="1:24">
      <c r="A915" s="58" t="s">
        <v>128</v>
      </c>
      <c r="B915" s="4">
        <v>44441.756944444402</v>
      </c>
      <c r="C915" s="1">
        <v>1</v>
      </c>
      <c r="D915" s="6" t="s">
        <v>147</v>
      </c>
      <c r="E915" s="7" t="s">
        <v>53</v>
      </c>
      <c r="F915" t="s">
        <v>1093</v>
      </c>
      <c r="G915" s="43">
        <v>84.2</v>
      </c>
      <c r="H915" s="43">
        <v>63.7</v>
      </c>
      <c r="I915">
        <f>表1_4[[#This Row],[主队2]]-表1_4[[#This Row],[客队2]]</f>
        <v>20.5</v>
      </c>
      <c r="J91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915" s="35" t="s">
        <v>45</v>
      </c>
      <c r="L91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15" s="11"/>
      <c r="T915" s="3"/>
      <c r="U915" s="25"/>
      <c r="V915" s="80" t="s">
        <v>1552</v>
      </c>
      <c r="W915" s="44"/>
      <c r="X915" s="45"/>
    </row>
    <row r="916" spans="1:24">
      <c r="A916" s="58" t="s">
        <v>128</v>
      </c>
      <c r="B916" s="4">
        <v>44441.791666666701</v>
      </c>
      <c r="C916" s="1">
        <v>1</v>
      </c>
      <c r="D916" s="6" t="s">
        <v>185</v>
      </c>
      <c r="E916" s="7" t="s">
        <v>42</v>
      </c>
      <c r="F916" t="s">
        <v>141</v>
      </c>
      <c r="G916" s="43">
        <v>77.599999999999994</v>
      </c>
      <c r="H916" s="43">
        <v>71</v>
      </c>
      <c r="I916">
        <f>表1_4[[#This Row],[主队2]]-表1_4[[#This Row],[客队2]]</f>
        <v>6.5999999999999899</v>
      </c>
      <c r="J91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916" s="35" t="s">
        <v>176</v>
      </c>
      <c r="L91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16" s="11"/>
      <c r="N916" s="46" t="s">
        <v>112</v>
      </c>
      <c r="O916" s="10" t="s">
        <v>28</v>
      </c>
      <c r="R916" t="s">
        <v>855</v>
      </c>
      <c r="T916" s="3"/>
      <c r="U916" s="25"/>
      <c r="V916" s="25" t="s">
        <v>1553</v>
      </c>
      <c r="W916" s="44"/>
      <c r="X916" s="45"/>
    </row>
    <row r="917" spans="1:24">
      <c r="A917" s="58" t="s">
        <v>128</v>
      </c>
      <c r="B917" s="146">
        <v>44442</v>
      </c>
      <c r="C917" s="140">
        <v>1</v>
      </c>
      <c r="D917" s="134" t="s">
        <v>151</v>
      </c>
      <c r="E917" s="7" t="s">
        <v>31</v>
      </c>
      <c r="F917" s="139" t="s">
        <v>130</v>
      </c>
      <c r="G917" s="43">
        <v>84.8</v>
      </c>
      <c r="H917" s="43">
        <v>68.2</v>
      </c>
      <c r="I917">
        <f>表1_4[[#This Row],[主队2]]-表1_4[[#This Row],[客队2]]</f>
        <v>16.600000000000001</v>
      </c>
      <c r="J91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917" s="35" t="s">
        <v>81</v>
      </c>
      <c r="L91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17" s="11"/>
      <c r="N917" s="10" t="s">
        <v>119</v>
      </c>
      <c r="O917" s="10" t="s">
        <v>35</v>
      </c>
      <c r="T917" s="3"/>
      <c r="U917" s="25" t="s">
        <v>1554</v>
      </c>
      <c r="V917" s="80" t="s">
        <v>1555</v>
      </c>
      <c r="W917" s="48"/>
      <c r="X917" s="45"/>
    </row>
    <row r="918" spans="1:24">
      <c r="A918" s="58" t="s">
        <v>128</v>
      </c>
      <c r="B918" s="146">
        <v>44442.03125</v>
      </c>
      <c r="C918" s="140">
        <v>1</v>
      </c>
      <c r="D918" s="134" t="s">
        <v>146</v>
      </c>
      <c r="E918" s="7" t="s">
        <v>42</v>
      </c>
      <c r="F918" s="139" t="s">
        <v>1005</v>
      </c>
      <c r="G918" s="43">
        <v>68.8</v>
      </c>
      <c r="H918" s="43">
        <v>59.6</v>
      </c>
      <c r="I918">
        <f>表1_4[[#This Row],[主队2]]-表1_4[[#This Row],[客队2]]</f>
        <v>9.1999999999999993</v>
      </c>
      <c r="J91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918" s="35" t="s">
        <v>125</v>
      </c>
      <c r="L91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18" s="11"/>
      <c r="N918" s="10" t="s">
        <v>160</v>
      </c>
      <c r="O918" s="10" t="s">
        <v>24</v>
      </c>
      <c r="T918" s="3"/>
      <c r="U918" s="246"/>
      <c r="V918" s="80" t="s">
        <v>1556</v>
      </c>
      <c r="W918" s="44"/>
      <c r="X918" s="45"/>
    </row>
    <row r="919" spans="1:24">
      <c r="A919" s="58" t="s">
        <v>128</v>
      </c>
      <c r="B919" s="146">
        <v>44442.083333333299</v>
      </c>
      <c r="C919" s="138">
        <v>1</v>
      </c>
      <c r="D919" s="134" t="s">
        <v>142</v>
      </c>
      <c r="E919" s="7" t="s">
        <v>44</v>
      </c>
      <c r="F919" s="139" t="s">
        <v>109</v>
      </c>
      <c r="G919" s="43">
        <v>81</v>
      </c>
      <c r="H919" s="43">
        <v>70</v>
      </c>
      <c r="I919">
        <f>表1_4[[#This Row],[主队2]]-表1_4[[#This Row],[客队2]]</f>
        <v>11</v>
      </c>
      <c r="J919" s="34">
        <v>1</v>
      </c>
      <c r="K919" s="35" t="s">
        <v>118</v>
      </c>
      <c r="L91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19" s="11"/>
      <c r="N919" s="10" t="s">
        <v>133</v>
      </c>
      <c r="O919" s="10" t="s">
        <v>46</v>
      </c>
      <c r="T919" s="3"/>
      <c r="U919" s="25" t="s">
        <v>776</v>
      </c>
      <c r="V919" s="280" t="s">
        <v>1557</v>
      </c>
      <c r="W919" s="281"/>
      <c r="X919" s="154"/>
    </row>
    <row r="920" spans="1:24">
      <c r="A920" s="58" t="s">
        <v>128</v>
      </c>
      <c r="B920" s="146">
        <v>44442.083333333299</v>
      </c>
      <c r="C920" s="140">
        <v>1</v>
      </c>
      <c r="D920" s="134" t="s">
        <v>138</v>
      </c>
      <c r="E920" s="7" t="s">
        <v>41</v>
      </c>
      <c r="F920" s="139" t="s">
        <v>1002</v>
      </c>
      <c r="G920" s="43">
        <v>74.599999999999994</v>
      </c>
      <c r="H920" s="43">
        <v>60</v>
      </c>
      <c r="I920">
        <f>表1_4[[#This Row],[主队2]]-表1_4[[#This Row],[客队2]]</f>
        <v>14.6</v>
      </c>
      <c r="J92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920" s="35" t="s">
        <v>45</v>
      </c>
      <c r="L92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920" s="11"/>
      <c r="T920" s="3"/>
      <c r="U920" s="246"/>
      <c r="V920" s="246" t="s">
        <v>1349</v>
      </c>
      <c r="W920" s="44"/>
      <c r="X920" s="45"/>
    </row>
    <row r="921" spans="1:24">
      <c r="A921" s="58" t="s">
        <v>156</v>
      </c>
      <c r="B921" s="146">
        <v>44442.166666666701</v>
      </c>
      <c r="C921" s="141">
        <v>9</v>
      </c>
      <c r="D921" s="134" t="s">
        <v>159</v>
      </c>
      <c r="E921" s="7" t="s">
        <v>36</v>
      </c>
      <c r="F921" s="139" t="s">
        <v>158</v>
      </c>
      <c r="G921" s="43">
        <v>73.8</v>
      </c>
      <c r="H921" s="43">
        <v>91.7</v>
      </c>
      <c r="I921">
        <f>表1_4[[#This Row],[主队2]]-表1_4[[#This Row],[客队2]]</f>
        <v>-17.899999999999999</v>
      </c>
      <c r="J92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921" s="35" t="s">
        <v>132</v>
      </c>
      <c r="L92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921" s="63" t="s">
        <v>331</v>
      </c>
      <c r="N921" s="10" t="s">
        <v>119</v>
      </c>
      <c r="O921" s="57" t="s">
        <v>35</v>
      </c>
      <c r="R921" t="s">
        <v>852</v>
      </c>
      <c r="T921" s="3"/>
      <c r="U921" s="83" t="s">
        <v>1558</v>
      </c>
      <c r="V921" s="83" t="s">
        <v>731</v>
      </c>
      <c r="W921" s="44"/>
      <c r="X921" s="45"/>
    </row>
    <row r="922" spans="1:24">
      <c r="A922" s="58" t="s">
        <v>156</v>
      </c>
      <c r="B922" s="146">
        <v>44442.208333333299</v>
      </c>
      <c r="C922" s="140">
        <v>9</v>
      </c>
      <c r="D922" s="134" t="s">
        <v>165</v>
      </c>
      <c r="E922" s="7" t="s">
        <v>22</v>
      </c>
      <c r="F922" s="139" t="s">
        <v>164</v>
      </c>
      <c r="G922" s="43">
        <v>84.4</v>
      </c>
      <c r="H922" s="43">
        <v>85.4</v>
      </c>
      <c r="I922">
        <f>表1_4[[#This Row],[主队2]]-表1_4[[#This Row],[客队2]]</f>
        <v>-1</v>
      </c>
      <c r="J92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922" s="35" t="s">
        <v>289</v>
      </c>
      <c r="L92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922" s="11"/>
      <c r="T922" s="3"/>
      <c r="U922" s="25"/>
      <c r="V922" s="25" t="s">
        <v>1559</v>
      </c>
      <c r="W922" s="44"/>
      <c r="X922" s="45"/>
    </row>
    <row r="923" spans="1:24">
      <c r="A923" s="58" t="s">
        <v>156</v>
      </c>
      <c r="B923" s="146">
        <v>44442.333333333299</v>
      </c>
      <c r="C923" s="138">
        <v>9</v>
      </c>
      <c r="D923" s="134" t="s">
        <v>180</v>
      </c>
      <c r="E923" s="7" t="s">
        <v>74</v>
      </c>
      <c r="F923" s="139" t="s">
        <v>174</v>
      </c>
      <c r="G923" s="43">
        <v>82.9</v>
      </c>
      <c r="H923" s="43">
        <v>95.9</v>
      </c>
      <c r="I923">
        <f>表1_4[[#This Row],[主队2]]-表1_4[[#This Row],[客队2]]</f>
        <v>-13</v>
      </c>
      <c r="J92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923" s="35" t="s">
        <v>245</v>
      </c>
      <c r="L92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23" s="11"/>
      <c r="N923" s="10" t="s">
        <v>112</v>
      </c>
      <c r="O923" s="10" t="s">
        <v>51</v>
      </c>
      <c r="R923" t="s">
        <v>855</v>
      </c>
      <c r="T923" s="3"/>
      <c r="U923" s="246"/>
      <c r="V923" s="246" t="s">
        <v>645</v>
      </c>
      <c r="W923" s="44"/>
      <c r="X923" s="45"/>
    </row>
    <row r="924" spans="1:24">
      <c r="A924" s="58" t="s">
        <v>156</v>
      </c>
      <c r="B924" s="127">
        <v>44442.375</v>
      </c>
      <c r="C924" s="141">
        <v>9</v>
      </c>
      <c r="D924" s="134" t="s">
        <v>175</v>
      </c>
      <c r="E924" s="7" t="s">
        <v>53</v>
      </c>
      <c r="F924" s="139" t="s">
        <v>171</v>
      </c>
      <c r="G924" s="43">
        <v>86.7</v>
      </c>
      <c r="H924" s="43">
        <v>100.6</v>
      </c>
      <c r="I924">
        <f>表1_4[[#This Row],[主队2]]-表1_4[[#This Row],[客队2]]</f>
        <v>-13.9</v>
      </c>
      <c r="J92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924" s="35" t="s">
        <v>132</v>
      </c>
      <c r="L92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924" s="63" t="s">
        <v>787</v>
      </c>
      <c r="N924" s="10" t="s">
        <v>119</v>
      </c>
      <c r="O924" s="10" t="s">
        <v>40</v>
      </c>
      <c r="T924" s="3"/>
      <c r="U924" s="83" t="s">
        <v>718</v>
      </c>
      <c r="V924" s="231" t="s">
        <v>1560</v>
      </c>
      <c r="W924" s="51"/>
      <c r="X924" s="45"/>
    </row>
    <row r="925" spans="1:24">
      <c r="A925" s="58" t="s">
        <v>156</v>
      </c>
      <c r="B925" s="146">
        <v>44442.375</v>
      </c>
      <c r="C925" s="141">
        <v>9</v>
      </c>
      <c r="D925" s="134" t="s">
        <v>181</v>
      </c>
      <c r="E925" s="7" t="s">
        <v>36</v>
      </c>
      <c r="F925" s="139" t="s">
        <v>170</v>
      </c>
      <c r="G925" s="43">
        <v>84.6</v>
      </c>
      <c r="H925" s="43">
        <v>90.5</v>
      </c>
      <c r="I925">
        <f>表1_4[[#This Row],[主队2]]-表1_4[[#This Row],[客队2]]</f>
        <v>-5.9000000000000101</v>
      </c>
      <c r="J92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925" s="35" t="s">
        <v>152</v>
      </c>
      <c r="L92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25" s="11"/>
      <c r="N925" s="10" t="s">
        <v>119</v>
      </c>
      <c r="O925" s="57" t="s">
        <v>65</v>
      </c>
      <c r="R925" t="s">
        <v>852</v>
      </c>
      <c r="T925" s="3"/>
      <c r="U925" s="83"/>
      <c r="V925" s="55" t="s">
        <v>731</v>
      </c>
      <c r="W925" s="44"/>
      <c r="X925" s="45"/>
    </row>
    <row r="926" spans="1:24">
      <c r="A926" s="58" t="s">
        <v>188</v>
      </c>
      <c r="B926" s="146">
        <v>44443.875</v>
      </c>
      <c r="C926" s="138">
        <v>5</v>
      </c>
      <c r="D926" s="134" t="s">
        <v>191</v>
      </c>
      <c r="E926" s="7" t="s">
        <v>31</v>
      </c>
      <c r="F926" s="139" t="s">
        <v>288</v>
      </c>
      <c r="G926" s="43">
        <v>78.3</v>
      </c>
      <c r="H926" s="43">
        <v>66.3</v>
      </c>
      <c r="I926">
        <f>表1_4[[#This Row],[主队2]]-表1_4[[#This Row],[客队2]]</f>
        <v>12</v>
      </c>
      <c r="J92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926" s="35" t="s">
        <v>176</v>
      </c>
      <c r="L92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26" s="11"/>
      <c r="N926" s="10" t="s">
        <v>112</v>
      </c>
      <c r="O926" s="10" t="s">
        <v>28</v>
      </c>
      <c r="R926" t="s">
        <v>852</v>
      </c>
      <c r="T926" s="3"/>
      <c r="U926" s="25" t="s">
        <v>1522</v>
      </c>
      <c r="V926" s="54" t="s">
        <v>1561</v>
      </c>
      <c r="W926" s="52"/>
      <c r="X926" s="45"/>
    </row>
    <row r="927" spans="1:24">
      <c r="A927" s="58" t="s">
        <v>188</v>
      </c>
      <c r="B927" s="146">
        <v>44444.114583333299</v>
      </c>
      <c r="C927" s="141">
        <v>5</v>
      </c>
      <c r="D927" s="134" t="s">
        <v>214</v>
      </c>
      <c r="E927" s="7" t="s">
        <v>36</v>
      </c>
      <c r="F927" s="139" t="s">
        <v>267</v>
      </c>
      <c r="G927" s="43">
        <v>79.8</v>
      </c>
      <c r="H927" s="43">
        <v>94.2</v>
      </c>
      <c r="I927">
        <f>表1_4[[#This Row],[主队2]]-表1_4[[#This Row],[客队2]]</f>
        <v>-14.4</v>
      </c>
      <c r="J92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927" s="35" t="s">
        <v>111</v>
      </c>
      <c r="L92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27" s="11"/>
      <c r="N927" s="10" t="s">
        <v>119</v>
      </c>
      <c r="O927" s="10" t="s">
        <v>46</v>
      </c>
      <c r="R927" t="s">
        <v>852</v>
      </c>
      <c r="T927" s="3"/>
      <c r="U927" s="25"/>
      <c r="V927" s="54" t="s">
        <v>1562</v>
      </c>
      <c r="W927" s="52"/>
      <c r="X927" s="45"/>
    </row>
    <row r="928" spans="1:24">
      <c r="A928" s="58" t="s">
        <v>188</v>
      </c>
      <c r="B928" s="146">
        <v>44444</v>
      </c>
      <c r="C928" s="140">
        <v>5</v>
      </c>
      <c r="D928" s="134" t="s">
        <v>199</v>
      </c>
      <c r="E928" s="7" t="s">
        <v>36</v>
      </c>
      <c r="F928" s="139" t="s">
        <v>278</v>
      </c>
      <c r="G928" s="43">
        <v>79.099999999999994</v>
      </c>
      <c r="H928" s="43">
        <v>64.8</v>
      </c>
      <c r="I928">
        <f>表1_4[[#This Row],[主队2]]-表1_4[[#This Row],[客队2]]</f>
        <v>14.3</v>
      </c>
      <c r="J92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928" s="35" t="s">
        <v>118</v>
      </c>
      <c r="L92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928" s="11"/>
      <c r="N928" s="10" t="s">
        <v>112</v>
      </c>
      <c r="O928" s="10" t="s">
        <v>28</v>
      </c>
      <c r="R928" t="s">
        <v>852</v>
      </c>
      <c r="T928" s="3"/>
      <c r="U928" s="25"/>
      <c r="V928" s="54" t="s">
        <v>1563</v>
      </c>
      <c r="W928" s="52"/>
      <c r="X928" s="45"/>
    </row>
    <row r="929" spans="1:25">
      <c r="A929" s="58" t="s">
        <v>188</v>
      </c>
      <c r="B929" s="146">
        <v>44444</v>
      </c>
      <c r="C929" s="140">
        <v>5</v>
      </c>
      <c r="D929" s="134" t="s">
        <v>434</v>
      </c>
      <c r="E929" s="7" t="s">
        <v>43</v>
      </c>
      <c r="F929" s="139" t="s">
        <v>266</v>
      </c>
      <c r="G929" s="43">
        <v>84.2</v>
      </c>
      <c r="H929" s="43">
        <v>63.7</v>
      </c>
      <c r="I929">
        <f>表1_4[[#This Row],[主队2]]-表1_4[[#This Row],[客队2]]</f>
        <v>20.5</v>
      </c>
      <c r="J92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929" s="35" t="s">
        <v>63</v>
      </c>
      <c r="L92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29" s="11"/>
      <c r="N929" s="57" t="s">
        <v>119</v>
      </c>
      <c r="O929" s="10" t="s">
        <v>48</v>
      </c>
      <c r="R929" t="s">
        <v>855</v>
      </c>
      <c r="T929" s="3"/>
      <c r="U929" s="246"/>
      <c r="V929" s="231" t="s">
        <v>1564</v>
      </c>
      <c r="W929" s="241"/>
      <c r="X929" s="45"/>
    </row>
    <row r="930" spans="1:25">
      <c r="A930" s="58" t="s">
        <v>188</v>
      </c>
      <c r="B930" s="146">
        <v>44444.114583333299</v>
      </c>
      <c r="C930" s="140">
        <v>5</v>
      </c>
      <c r="D930" s="134" t="s">
        <v>244</v>
      </c>
      <c r="E930" s="7" t="s">
        <v>53</v>
      </c>
      <c r="F930" s="139" t="s">
        <v>306</v>
      </c>
      <c r="G930" s="43">
        <v>57.2</v>
      </c>
      <c r="H930" s="43">
        <v>92.4</v>
      </c>
      <c r="I930">
        <f>表1_4[[#This Row],[主队2]]-表1_4[[#This Row],[客队2]]</f>
        <v>-35.200000000000003</v>
      </c>
      <c r="J930" s="34">
        <v>-3.25</v>
      </c>
      <c r="K930" s="35" t="s">
        <v>1062</v>
      </c>
      <c r="L93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930" s="11"/>
      <c r="N930" s="10" t="s">
        <v>119</v>
      </c>
      <c r="O930" s="10" t="s">
        <v>65</v>
      </c>
      <c r="R930" t="s">
        <v>855</v>
      </c>
      <c r="T930" s="3"/>
      <c r="U930" s="246"/>
      <c r="V930" s="231" t="s">
        <v>1565</v>
      </c>
      <c r="W930" s="241"/>
      <c r="X930" s="45"/>
    </row>
    <row r="931" spans="1:25">
      <c r="A931" s="58" t="s">
        <v>188</v>
      </c>
      <c r="B931" s="146">
        <v>44444.114583333299</v>
      </c>
      <c r="C931" s="140">
        <v>5</v>
      </c>
      <c r="D931" s="134" t="s">
        <v>210</v>
      </c>
      <c r="E931" s="7" t="s">
        <v>77</v>
      </c>
      <c r="F931" s="139" t="s">
        <v>194</v>
      </c>
      <c r="G931" s="43">
        <v>76.2</v>
      </c>
      <c r="H931" s="43">
        <v>83.6</v>
      </c>
      <c r="I931">
        <f>表1_4[[#This Row],[主队2]]-表1_4[[#This Row],[客队2]]</f>
        <v>-7.3999999999999897</v>
      </c>
      <c r="J93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931" s="35" t="s">
        <v>152</v>
      </c>
      <c r="L93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31" s="98"/>
      <c r="N931" s="10" t="s">
        <v>119</v>
      </c>
      <c r="O931" s="10" t="s">
        <v>51</v>
      </c>
      <c r="R931" t="s">
        <v>855</v>
      </c>
      <c r="T931" s="3"/>
      <c r="U931" s="246"/>
      <c r="V931" s="231" t="s">
        <v>1566</v>
      </c>
      <c r="W931" s="241"/>
      <c r="X931" s="45"/>
    </row>
    <row r="932" spans="1:25">
      <c r="A932" s="58" t="s">
        <v>188</v>
      </c>
      <c r="B932" s="146">
        <v>44444.114583333299</v>
      </c>
      <c r="C932" s="140">
        <v>5</v>
      </c>
      <c r="D932" s="134" t="s">
        <v>123</v>
      </c>
      <c r="E932" s="7" t="s">
        <v>31</v>
      </c>
      <c r="F932" s="139" t="s">
        <v>195</v>
      </c>
      <c r="G932" s="43">
        <v>77.7</v>
      </c>
      <c r="H932" s="43">
        <v>58.7</v>
      </c>
      <c r="I932">
        <f>表1_4[[#This Row],[主队2]]-表1_4[[#This Row],[客队2]]</f>
        <v>19</v>
      </c>
      <c r="J93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932" s="35" t="s">
        <v>63</v>
      </c>
      <c r="L93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32" s="11"/>
      <c r="N932" s="10" t="s">
        <v>112</v>
      </c>
      <c r="O932" s="10" t="s">
        <v>46</v>
      </c>
      <c r="R932" t="s">
        <v>855</v>
      </c>
      <c r="T932" s="3"/>
      <c r="U932" s="246"/>
      <c r="V932" s="80" t="s">
        <v>1567</v>
      </c>
      <c r="W932" s="51"/>
      <c r="X932" s="45"/>
    </row>
    <row r="933" spans="1:25">
      <c r="A933" s="58" t="s">
        <v>188</v>
      </c>
      <c r="B933" s="146">
        <v>44444</v>
      </c>
      <c r="C933" s="138">
        <v>5</v>
      </c>
      <c r="D933" s="134" t="s">
        <v>251</v>
      </c>
      <c r="E933" s="7" t="s">
        <v>47</v>
      </c>
      <c r="F933" s="139" t="s">
        <v>297</v>
      </c>
      <c r="G933" s="43">
        <v>62.5</v>
      </c>
      <c r="H933" s="43">
        <v>80.599999999999994</v>
      </c>
      <c r="I933">
        <f>表1_4[[#This Row],[主队2]]-表1_4[[#This Row],[客队2]]</f>
        <v>-18.100000000000001</v>
      </c>
      <c r="J93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933" s="35" t="s">
        <v>706</v>
      </c>
      <c r="L93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33" s="11"/>
      <c r="N933" s="10" t="s">
        <v>119</v>
      </c>
      <c r="O933" s="10" t="s">
        <v>143</v>
      </c>
      <c r="R933" t="s">
        <v>852</v>
      </c>
      <c r="T933" s="3"/>
      <c r="U933" s="246"/>
      <c r="V933" s="231" t="s">
        <v>1568</v>
      </c>
      <c r="W933" s="52"/>
      <c r="X933" s="45"/>
    </row>
    <row r="934" spans="1:25">
      <c r="A934" s="58" t="s">
        <v>188</v>
      </c>
      <c r="B934" s="146">
        <v>44444.114583333299</v>
      </c>
      <c r="C934" s="140">
        <v>5</v>
      </c>
      <c r="D934" s="134" t="s">
        <v>256</v>
      </c>
      <c r="E934" s="7" t="s">
        <v>64</v>
      </c>
      <c r="F934" s="139" t="s">
        <v>190</v>
      </c>
      <c r="G934" s="43">
        <v>39.6</v>
      </c>
      <c r="H934" s="43">
        <v>79.599999999999994</v>
      </c>
      <c r="I934">
        <f>表1_4[[#This Row],[主队2]]-表1_4[[#This Row],[客队2]]</f>
        <v>-40</v>
      </c>
      <c r="J934" s="34">
        <v>-3.75</v>
      </c>
      <c r="K934" s="35" t="s">
        <v>1179</v>
      </c>
      <c r="L93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934" s="11"/>
      <c r="N934" s="57" t="s">
        <v>133</v>
      </c>
      <c r="O934" s="57" t="s">
        <v>35</v>
      </c>
      <c r="R934" t="s">
        <v>855</v>
      </c>
      <c r="T934" s="3"/>
      <c r="U934" s="246" t="s">
        <v>1569</v>
      </c>
      <c r="V934" s="231" t="s">
        <v>1570</v>
      </c>
      <c r="W934" s="48"/>
      <c r="X934" s="45"/>
    </row>
    <row r="935" spans="1:25">
      <c r="A935" s="58" t="s">
        <v>188</v>
      </c>
      <c r="B935" s="146">
        <v>44444.114583333299</v>
      </c>
      <c r="C935" s="138">
        <v>5</v>
      </c>
      <c r="D935" s="134" t="s">
        <v>262</v>
      </c>
      <c r="E935" s="7" t="s">
        <v>37</v>
      </c>
      <c r="F935" s="139" t="s">
        <v>301</v>
      </c>
      <c r="G935" s="43">
        <v>90.7</v>
      </c>
      <c r="H935" s="43">
        <v>73.5</v>
      </c>
      <c r="I935">
        <f>表1_4[[#This Row],[主队2]]-表1_4[[#This Row],[客队2]]</f>
        <v>17.2</v>
      </c>
      <c r="J93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935" s="35" t="s">
        <v>26</v>
      </c>
      <c r="L93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935" s="11"/>
      <c r="N935" s="10" t="s">
        <v>133</v>
      </c>
      <c r="O935" s="10" t="s">
        <v>40</v>
      </c>
      <c r="R935" t="s">
        <v>852</v>
      </c>
      <c r="T935" s="3"/>
      <c r="U935" s="246" t="s">
        <v>126</v>
      </c>
      <c r="V935" s="55" t="s">
        <v>1571</v>
      </c>
      <c r="W935" s="48"/>
      <c r="X935" s="45"/>
    </row>
    <row r="936" spans="1:25">
      <c r="A936" s="58" t="s">
        <v>188</v>
      </c>
      <c r="B936" s="146">
        <v>44444</v>
      </c>
      <c r="C936" s="138">
        <v>5</v>
      </c>
      <c r="D936" s="134" t="s">
        <v>407</v>
      </c>
      <c r="E936" s="7" t="s">
        <v>47</v>
      </c>
      <c r="F936" s="139" t="s">
        <v>353</v>
      </c>
      <c r="G936" s="43">
        <v>64</v>
      </c>
      <c r="H936" s="43">
        <v>81.400000000000006</v>
      </c>
      <c r="I936">
        <f>表1_4[[#This Row],[主队2]]-表1_4[[#This Row],[客队2]]</f>
        <v>-17.399999999999999</v>
      </c>
      <c r="J93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936" s="35" t="s">
        <v>219</v>
      </c>
      <c r="L93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36" s="11"/>
      <c r="N936" s="10" t="s">
        <v>119</v>
      </c>
      <c r="O936" s="10" t="s">
        <v>28</v>
      </c>
      <c r="T936" s="3"/>
      <c r="U936" s="246"/>
      <c r="V936" s="231" t="s">
        <v>1572</v>
      </c>
      <c r="W936" s="241"/>
      <c r="X936" s="45"/>
    </row>
    <row r="937" spans="1:25">
      <c r="A937" s="58" t="s">
        <v>188</v>
      </c>
      <c r="B937" s="146">
        <v>44444</v>
      </c>
      <c r="C937" s="140">
        <v>5</v>
      </c>
      <c r="D937" s="134" t="s">
        <v>309</v>
      </c>
      <c r="E937" s="7" t="s">
        <v>31</v>
      </c>
      <c r="F937" s="139" t="s">
        <v>929</v>
      </c>
      <c r="G937" s="43">
        <v>77.3</v>
      </c>
      <c r="H937" s="43">
        <v>57.5</v>
      </c>
      <c r="I937">
        <f>表1_4[[#This Row],[主队2]]-表1_4[[#This Row],[客队2]]</f>
        <v>19.8</v>
      </c>
      <c r="J93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937" s="35" t="s">
        <v>26</v>
      </c>
      <c r="L93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37" s="11"/>
      <c r="N937" s="46" t="s">
        <v>404</v>
      </c>
      <c r="O937" s="10" t="s">
        <v>35</v>
      </c>
      <c r="T937" s="3"/>
      <c r="U937" s="83" t="s">
        <v>1472</v>
      </c>
      <c r="V937" s="278" t="s">
        <v>1573</v>
      </c>
      <c r="W937" s="48"/>
      <c r="X937" s="45"/>
    </row>
    <row r="938" spans="1:25">
      <c r="A938" s="58" t="s">
        <v>188</v>
      </c>
      <c r="B938" s="146">
        <v>44444.114583333299</v>
      </c>
      <c r="C938" s="140">
        <v>5</v>
      </c>
      <c r="D938" s="134" t="s">
        <v>425</v>
      </c>
      <c r="E938" s="7" t="s">
        <v>53</v>
      </c>
      <c r="F938" s="139" t="s">
        <v>110</v>
      </c>
      <c r="G938" s="43">
        <v>78.7</v>
      </c>
      <c r="H938" s="43">
        <v>86.9</v>
      </c>
      <c r="I938">
        <f>表1_4[[#This Row],[主队2]]-表1_4[[#This Row],[客队2]]</f>
        <v>-8.1999999999999993</v>
      </c>
      <c r="J93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938" s="35" t="s">
        <v>132</v>
      </c>
      <c r="L93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38" s="11"/>
      <c r="N938" s="10" t="s">
        <v>119</v>
      </c>
      <c r="O938" s="10" t="s">
        <v>35</v>
      </c>
      <c r="T938" s="3"/>
      <c r="U938" s="83" t="s">
        <v>931</v>
      </c>
      <c r="V938" s="231" t="s">
        <v>1574</v>
      </c>
      <c r="W938" s="241"/>
      <c r="X938" s="45"/>
    </row>
    <row r="939" spans="1:25">
      <c r="A939" s="58" t="s">
        <v>188</v>
      </c>
      <c r="B939" s="146">
        <v>44444.875</v>
      </c>
      <c r="C939" s="138">
        <v>5</v>
      </c>
      <c r="D939" s="134" t="s">
        <v>200</v>
      </c>
      <c r="E939" s="7" t="s">
        <v>29</v>
      </c>
      <c r="F939" s="139" t="s">
        <v>240</v>
      </c>
      <c r="G939" s="43">
        <v>83.2</v>
      </c>
      <c r="H939" s="43">
        <v>71.5</v>
      </c>
      <c r="I939">
        <f>表1_4[[#This Row],[主队2]]-表1_4[[#This Row],[客队2]]</f>
        <v>11.7</v>
      </c>
      <c r="J939" s="34">
        <v>1.25</v>
      </c>
      <c r="K939" s="35" t="s">
        <v>118</v>
      </c>
      <c r="L93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39" s="11"/>
      <c r="N939" s="10" t="s">
        <v>112</v>
      </c>
      <c r="O939" s="10" t="s">
        <v>65</v>
      </c>
      <c r="R939" t="s">
        <v>852</v>
      </c>
      <c r="T939" s="3"/>
      <c r="U939" s="25" t="s">
        <v>776</v>
      </c>
      <c r="V939" s="54" t="s">
        <v>1575</v>
      </c>
      <c r="W939" s="52"/>
      <c r="X939" s="45"/>
    </row>
    <row r="940" spans="1:25">
      <c r="A940" s="58" t="s">
        <v>188</v>
      </c>
      <c r="B940" s="146">
        <v>44445.114583333299</v>
      </c>
      <c r="C940" s="138">
        <v>5</v>
      </c>
      <c r="D940" s="134" t="s">
        <v>274</v>
      </c>
      <c r="E940" s="7" t="s">
        <v>44</v>
      </c>
      <c r="F940" s="139" t="s">
        <v>284</v>
      </c>
      <c r="G940" s="43">
        <v>98.2</v>
      </c>
      <c r="H940" s="43">
        <v>85</v>
      </c>
      <c r="I940">
        <f>表1_4[[#This Row],[主队2]]-表1_4[[#This Row],[客队2]]</f>
        <v>13.2</v>
      </c>
      <c r="J94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940" s="35" t="s">
        <v>125</v>
      </c>
      <c r="L94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40" s="11"/>
      <c r="N940" s="10" t="s">
        <v>119</v>
      </c>
      <c r="O940" s="10" t="s">
        <v>28</v>
      </c>
      <c r="R940" t="s">
        <v>852</v>
      </c>
      <c r="T940" s="3"/>
      <c r="U940" s="246"/>
      <c r="V940" s="231" t="s">
        <v>1576</v>
      </c>
      <c r="W940" s="56"/>
      <c r="X940" s="45"/>
    </row>
    <row r="941" spans="1:25">
      <c r="A941" s="58" t="s">
        <v>188</v>
      </c>
      <c r="B941" s="146">
        <v>44445</v>
      </c>
      <c r="C941" s="140">
        <v>5</v>
      </c>
      <c r="D941" s="134" t="s">
        <v>205</v>
      </c>
      <c r="E941" s="7" t="s">
        <v>31</v>
      </c>
      <c r="F941" s="273" t="s">
        <v>271</v>
      </c>
      <c r="G941" s="43">
        <v>71.5</v>
      </c>
      <c r="H941" s="43">
        <v>78.900000000000006</v>
      </c>
      <c r="I941">
        <f>表1_4[[#This Row],[主队2]]-表1_4[[#This Row],[客队2]]</f>
        <v>-7.4000000000000101</v>
      </c>
      <c r="J94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941" s="35" t="s">
        <v>166</v>
      </c>
      <c r="L94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41" s="11"/>
      <c r="N941" s="10" t="s">
        <v>119</v>
      </c>
      <c r="O941" s="10" t="s">
        <v>48</v>
      </c>
      <c r="T941" s="3"/>
      <c r="U941" s="25"/>
      <c r="V941" s="54" t="s">
        <v>1577</v>
      </c>
      <c r="W941" s="241"/>
      <c r="X941" s="45"/>
    </row>
    <row r="942" spans="1:25">
      <c r="A942" s="58" t="s">
        <v>188</v>
      </c>
      <c r="B942" s="146">
        <v>44445</v>
      </c>
      <c r="C942" s="140">
        <v>5</v>
      </c>
      <c r="D942" s="134" t="s">
        <v>117</v>
      </c>
      <c r="E942" s="7" t="s">
        <v>37</v>
      </c>
      <c r="F942" s="139" t="s">
        <v>243</v>
      </c>
      <c r="G942" s="43">
        <v>96.2</v>
      </c>
      <c r="H942" s="43">
        <v>45.9</v>
      </c>
      <c r="I942">
        <f>表1_4[[#This Row],[主队2]]-表1_4[[#This Row],[客队2]]</f>
        <v>50.3</v>
      </c>
      <c r="J942" s="34">
        <v>5.25</v>
      </c>
      <c r="K942" s="35" t="s">
        <v>257</v>
      </c>
      <c r="L94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942" s="11"/>
      <c r="N942" s="10" t="s">
        <v>133</v>
      </c>
      <c r="O942" s="10" t="s">
        <v>28</v>
      </c>
      <c r="T942" s="3"/>
      <c r="U942" s="246"/>
      <c r="V942" s="54" t="s">
        <v>1578</v>
      </c>
      <c r="W942" s="52"/>
      <c r="X942" s="45"/>
    </row>
    <row r="943" spans="1:25">
      <c r="A943" s="58" t="s">
        <v>188</v>
      </c>
      <c r="B943" s="146">
        <v>44445.114583333299</v>
      </c>
      <c r="C943" s="140">
        <v>5</v>
      </c>
      <c r="D943" s="134" t="s">
        <v>282</v>
      </c>
      <c r="E943" s="49" t="s">
        <v>1177</v>
      </c>
      <c r="F943" s="139" t="s">
        <v>302</v>
      </c>
      <c r="G943" s="43">
        <v>31.4</v>
      </c>
      <c r="H943" s="43">
        <v>85.2</v>
      </c>
      <c r="I943">
        <f>表1_4[[#This Row],[主队2]]-表1_4[[#This Row],[客队2]]</f>
        <v>-53.8</v>
      </c>
      <c r="J943" s="34">
        <v>-5.25</v>
      </c>
      <c r="K943" s="35" t="s">
        <v>1178</v>
      </c>
      <c r="L94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43" s="11"/>
      <c r="N943" s="10" t="s">
        <v>404</v>
      </c>
      <c r="O943" s="10" t="s">
        <v>35</v>
      </c>
      <c r="R943" t="s">
        <v>855</v>
      </c>
      <c r="T943" s="3"/>
      <c r="U943" s="246" t="s">
        <v>697</v>
      </c>
      <c r="V943" s="231" t="s">
        <v>1579</v>
      </c>
      <c r="W943" s="56"/>
      <c r="X943" s="45"/>
    </row>
    <row r="944" spans="1:25">
      <c r="A944" s="58" t="s">
        <v>188</v>
      </c>
      <c r="B944" s="146">
        <v>44445</v>
      </c>
      <c r="C944" s="141">
        <v>5</v>
      </c>
      <c r="D944" s="134" t="s">
        <v>218</v>
      </c>
      <c r="E944" s="7" t="s">
        <v>25</v>
      </c>
      <c r="F944" s="139" t="s">
        <v>572</v>
      </c>
      <c r="G944" s="43">
        <v>76.3</v>
      </c>
      <c r="H944" s="43">
        <v>72.400000000000006</v>
      </c>
      <c r="I944">
        <f>表1_4[[#This Row],[主队2]]-表1_4[[#This Row],[客队2]]</f>
        <v>3.8999999999999901</v>
      </c>
      <c r="J94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944" s="35" t="s">
        <v>182</v>
      </c>
      <c r="L94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44" s="11"/>
      <c r="N944" s="10" t="s">
        <v>133</v>
      </c>
      <c r="O944" s="10" t="s">
        <v>39</v>
      </c>
      <c r="T944" s="3"/>
      <c r="U944" s="25"/>
      <c r="V944" s="55" t="s">
        <v>1580</v>
      </c>
      <c r="W944" s="48"/>
      <c r="X944" s="77" t="s">
        <v>921</v>
      </c>
      <c r="Y944" s="61">
        <v>84</v>
      </c>
    </row>
    <row r="945" spans="1:24">
      <c r="A945" s="58" t="s">
        <v>188</v>
      </c>
      <c r="B945" s="146">
        <v>44445.114583333299</v>
      </c>
      <c r="C945" s="138">
        <v>5</v>
      </c>
      <c r="D945" s="134" t="s">
        <v>116</v>
      </c>
      <c r="E945" s="7" t="s">
        <v>55</v>
      </c>
      <c r="F945" s="139" t="s">
        <v>287</v>
      </c>
      <c r="G945" s="43">
        <v>92.4</v>
      </c>
      <c r="H945" s="43">
        <v>71.7</v>
      </c>
      <c r="I945">
        <f>表1_4[[#This Row],[主队2]]-表1_4[[#This Row],[客队2]]</f>
        <v>20.7</v>
      </c>
      <c r="J94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945" s="35" t="s">
        <v>34</v>
      </c>
      <c r="L94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945" s="11"/>
      <c r="N945" s="10" t="s">
        <v>133</v>
      </c>
      <c r="O945" s="10" t="s">
        <v>143</v>
      </c>
      <c r="T945" s="3"/>
      <c r="U945" s="246"/>
      <c r="V945" s="62" t="s">
        <v>1581</v>
      </c>
      <c r="W945" s="48"/>
      <c r="X945" s="45"/>
    </row>
    <row r="946" spans="1:24">
      <c r="A946" s="58" t="s">
        <v>188</v>
      </c>
      <c r="B946" s="146">
        <v>44445.114583333299</v>
      </c>
      <c r="C946" s="140">
        <v>5</v>
      </c>
      <c r="D946" s="134" t="s">
        <v>305</v>
      </c>
      <c r="E946" s="7" t="s">
        <v>22</v>
      </c>
      <c r="F946" s="139" t="s">
        <v>437</v>
      </c>
      <c r="G946" s="43">
        <v>81.2</v>
      </c>
      <c r="H946" s="43">
        <v>46.1</v>
      </c>
      <c r="I946">
        <f>表1_4[[#This Row],[主队2]]-表1_4[[#This Row],[客队2]]</f>
        <v>35.1</v>
      </c>
      <c r="J946" s="34">
        <v>3.75</v>
      </c>
      <c r="K946" s="35" t="s">
        <v>38</v>
      </c>
      <c r="L94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46" s="11"/>
      <c r="N946" s="10" t="s">
        <v>119</v>
      </c>
      <c r="O946" s="46" t="s">
        <v>35</v>
      </c>
      <c r="T946" s="3"/>
      <c r="U946" s="246" t="s">
        <v>693</v>
      </c>
      <c r="V946" s="231" t="s">
        <v>1582</v>
      </c>
      <c r="W946" s="56"/>
      <c r="X946" s="45"/>
    </row>
    <row r="947" spans="1:24">
      <c r="A947" s="58" t="s">
        <v>188</v>
      </c>
      <c r="B947" s="146">
        <v>44445.114583333299</v>
      </c>
      <c r="C947" s="140">
        <v>5</v>
      </c>
      <c r="D947" s="134" t="s">
        <v>217</v>
      </c>
      <c r="E947" s="7" t="s">
        <v>36</v>
      </c>
      <c r="F947" s="139" t="s">
        <v>275</v>
      </c>
      <c r="G947" s="43">
        <v>69.7</v>
      </c>
      <c r="H947" s="43">
        <v>79.599999999999994</v>
      </c>
      <c r="I947">
        <f>表1_4[[#This Row],[主队2]]-表1_4[[#This Row],[客队2]]</f>
        <v>-9.8999999999999897</v>
      </c>
      <c r="J94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947" s="35" t="s">
        <v>152</v>
      </c>
      <c r="L94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47" s="11"/>
      <c r="N947" s="10" t="s">
        <v>119</v>
      </c>
      <c r="O947" s="10" t="s">
        <v>28</v>
      </c>
      <c r="T947" s="3"/>
      <c r="U947" s="246"/>
      <c r="V947" s="55" t="s">
        <v>1583</v>
      </c>
      <c r="W947" s="241"/>
      <c r="X947" s="45"/>
    </row>
    <row r="948" spans="1:24">
      <c r="A948" s="58" t="s">
        <v>188</v>
      </c>
      <c r="B948" s="146">
        <v>44445.114583333299</v>
      </c>
      <c r="C948" s="138">
        <v>5</v>
      </c>
      <c r="D948" s="134" t="s">
        <v>209</v>
      </c>
      <c r="E948" s="7" t="s">
        <v>57</v>
      </c>
      <c r="F948" s="139" t="s">
        <v>430</v>
      </c>
      <c r="G948" s="43">
        <v>94.9</v>
      </c>
      <c r="H948" s="43">
        <v>72</v>
      </c>
      <c r="I948">
        <f>表1_4[[#This Row],[主队2]]-表1_4[[#This Row],[客队2]]</f>
        <v>22.9</v>
      </c>
      <c r="J948" s="34">
        <v>2.5</v>
      </c>
      <c r="K948" s="35" t="s">
        <v>26</v>
      </c>
      <c r="L94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48" s="11"/>
      <c r="N948" s="10" t="s">
        <v>119</v>
      </c>
      <c r="O948" s="10" t="s">
        <v>143</v>
      </c>
      <c r="T948" s="3"/>
      <c r="U948" s="25"/>
      <c r="V948" s="54" t="s">
        <v>1584</v>
      </c>
      <c r="W948" s="52"/>
      <c r="X948" s="45"/>
    </row>
    <row r="949" spans="1:24">
      <c r="A949" s="58" t="s">
        <v>188</v>
      </c>
      <c r="B949" s="146">
        <v>44445</v>
      </c>
      <c r="C949" s="138">
        <v>5</v>
      </c>
      <c r="D949" s="134" t="s">
        <v>261</v>
      </c>
      <c r="E949" s="7" t="s">
        <v>31</v>
      </c>
      <c r="F949" s="139" t="s">
        <v>292</v>
      </c>
      <c r="G949" s="43">
        <v>73.599999999999994</v>
      </c>
      <c r="H949" s="43">
        <v>61.9</v>
      </c>
      <c r="I949">
        <f>表1_4[[#This Row],[主队2]]-表1_4[[#This Row],[客队2]]</f>
        <v>11.7</v>
      </c>
      <c r="J94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949" s="35" t="s">
        <v>176</v>
      </c>
      <c r="L94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49" s="46"/>
      <c r="N949" s="10" t="s">
        <v>119</v>
      </c>
      <c r="O949" s="10" t="s">
        <v>48</v>
      </c>
      <c r="R949" t="s">
        <v>852</v>
      </c>
      <c r="T949" s="3"/>
      <c r="U949" s="246"/>
      <c r="V949" s="231" t="s">
        <v>1585</v>
      </c>
      <c r="W949" s="241"/>
      <c r="X949" s="45"/>
    </row>
    <row r="950" spans="1:24">
      <c r="A950" s="58" t="s">
        <v>188</v>
      </c>
      <c r="B950" s="146">
        <v>44445.114583333299</v>
      </c>
      <c r="C950" s="140">
        <v>5</v>
      </c>
      <c r="D950" s="134" t="s">
        <v>250</v>
      </c>
      <c r="E950" s="7" t="s">
        <v>42</v>
      </c>
      <c r="F950" s="139" t="s">
        <v>204</v>
      </c>
      <c r="G950" s="43">
        <v>90.1</v>
      </c>
      <c r="H950" s="43">
        <v>94.8</v>
      </c>
      <c r="I950">
        <f>表1_4[[#This Row],[主队2]]-表1_4[[#This Row],[客队2]]</f>
        <v>-4.7</v>
      </c>
      <c r="J95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950" s="35" t="s">
        <v>152</v>
      </c>
      <c r="L95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50" s="11"/>
      <c r="N950" s="10" t="s">
        <v>112</v>
      </c>
      <c r="O950" s="10" t="s">
        <v>46</v>
      </c>
      <c r="T950" s="3"/>
      <c r="U950" s="25"/>
      <c r="V950" s="243" t="s">
        <v>1586</v>
      </c>
      <c r="W950" s="44"/>
      <c r="X950" s="45"/>
    </row>
    <row r="951" spans="1:24">
      <c r="A951" s="58" t="s">
        <v>156</v>
      </c>
      <c r="B951" s="146">
        <v>44445.208333333299</v>
      </c>
      <c r="C951" s="140">
        <v>6</v>
      </c>
      <c r="D951" s="134" t="s">
        <v>165</v>
      </c>
      <c r="E951" s="7" t="s">
        <v>42</v>
      </c>
      <c r="F951" s="139" t="s">
        <v>175</v>
      </c>
      <c r="G951" s="43">
        <v>85.7</v>
      </c>
      <c r="H951" s="43">
        <v>86.3</v>
      </c>
      <c r="I951">
        <f>表1_4[[#This Row],[主队2]]-表1_4[[#This Row],[客队2]]</f>
        <v>-0.59999999999999398</v>
      </c>
      <c r="J95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951" s="35" t="s">
        <v>182</v>
      </c>
      <c r="L95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51" s="11"/>
      <c r="N951" s="10" t="s">
        <v>112</v>
      </c>
      <c r="O951" s="10" t="s">
        <v>24</v>
      </c>
      <c r="R951" t="s">
        <v>852</v>
      </c>
      <c r="T951" s="3"/>
      <c r="U951" s="246" t="s">
        <v>1587</v>
      </c>
      <c r="V951" s="80" t="s">
        <v>1588</v>
      </c>
      <c r="W951" s="44"/>
      <c r="X951" s="45"/>
    </row>
    <row r="952" spans="1:24">
      <c r="A952" s="58" t="s">
        <v>156</v>
      </c>
      <c r="B952" s="146">
        <v>44445.25</v>
      </c>
      <c r="C952" s="140">
        <v>6</v>
      </c>
      <c r="D952" s="134" t="s">
        <v>164</v>
      </c>
      <c r="E952" s="7" t="s">
        <v>36</v>
      </c>
      <c r="F952" s="139" t="s">
        <v>158</v>
      </c>
      <c r="G952" s="43">
        <v>84.1</v>
      </c>
      <c r="H952" s="43">
        <v>90.9</v>
      </c>
      <c r="I952">
        <f>表1_4[[#This Row],[主队2]]-表1_4[[#This Row],[客队2]]</f>
        <v>-6.8000000000000096</v>
      </c>
      <c r="J95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952" s="35" t="s">
        <v>152</v>
      </c>
      <c r="L95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52" s="11"/>
      <c r="N952" s="10" t="s">
        <v>119</v>
      </c>
      <c r="O952" s="57" t="s">
        <v>65</v>
      </c>
      <c r="R952" t="s">
        <v>852</v>
      </c>
      <c r="T952" s="3"/>
      <c r="U952" s="246"/>
      <c r="V952" s="231" t="s">
        <v>1589</v>
      </c>
      <c r="W952" s="56"/>
      <c r="X952" s="45"/>
    </row>
    <row r="953" spans="1:24">
      <c r="A953" s="58" t="s">
        <v>156</v>
      </c>
      <c r="B953" s="146">
        <v>44445.25</v>
      </c>
      <c r="C953" s="140">
        <v>6</v>
      </c>
      <c r="D953" s="134" t="s">
        <v>170</v>
      </c>
      <c r="E953" s="7" t="s">
        <v>54</v>
      </c>
      <c r="F953" s="139" t="s">
        <v>159</v>
      </c>
      <c r="G953" s="43">
        <v>90.4</v>
      </c>
      <c r="H953" s="43">
        <v>74.5</v>
      </c>
      <c r="I953">
        <f>表1_4[[#This Row],[主队2]]-表1_4[[#This Row],[客队2]]</f>
        <v>15.9</v>
      </c>
      <c r="J95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953" s="35" t="s">
        <v>45</v>
      </c>
      <c r="L95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953" s="11"/>
      <c r="N953" s="10" t="s">
        <v>119</v>
      </c>
      <c r="O953" s="10" t="s">
        <v>28</v>
      </c>
      <c r="R953" t="s">
        <v>852</v>
      </c>
      <c r="T953" s="3"/>
      <c r="U953" s="83"/>
      <c r="V953" s="62" t="s">
        <v>1590</v>
      </c>
      <c r="W953" s="52"/>
      <c r="X953" s="45"/>
    </row>
    <row r="954" spans="1:24">
      <c r="A954" s="58" t="s">
        <v>156</v>
      </c>
      <c r="B954" s="146">
        <v>44445.375</v>
      </c>
      <c r="C954" s="138">
        <v>6</v>
      </c>
      <c r="D954" s="134" t="s">
        <v>181</v>
      </c>
      <c r="E954" s="7" t="s">
        <v>31</v>
      </c>
      <c r="F954" s="71" t="s">
        <v>180</v>
      </c>
      <c r="G954" s="43">
        <v>84.7</v>
      </c>
      <c r="H954" s="43">
        <v>82.5</v>
      </c>
      <c r="I954">
        <f>表1_4[[#This Row],[主队2]]-表1_4[[#This Row],[客队2]]</f>
        <v>2.2000000000000002</v>
      </c>
      <c r="J95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954" s="35" t="s">
        <v>118</v>
      </c>
      <c r="L95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954" s="11"/>
      <c r="R954" t="s">
        <v>852</v>
      </c>
      <c r="T954" s="3"/>
      <c r="U954" s="25"/>
      <c r="V954" s="54" t="s">
        <v>1591</v>
      </c>
      <c r="W954" s="51"/>
      <c r="X954" s="45"/>
    </row>
    <row r="955" spans="1:24">
      <c r="A955" s="58" t="s">
        <v>128</v>
      </c>
      <c r="B955" s="146">
        <v>44446.833333333299</v>
      </c>
      <c r="C955" s="138">
        <v>2</v>
      </c>
      <c r="D955" s="134" t="s">
        <v>1002</v>
      </c>
      <c r="E955" s="7" t="s">
        <v>53</v>
      </c>
      <c r="F955" s="139" t="s">
        <v>142</v>
      </c>
      <c r="G955" s="43">
        <v>60.2</v>
      </c>
      <c r="H955" s="43">
        <v>82</v>
      </c>
      <c r="I955">
        <f>表1_4[[#This Row],[主队2]]-表1_4[[#This Row],[客队2]]</f>
        <v>-21.8</v>
      </c>
      <c r="J955" s="34">
        <v>-2</v>
      </c>
      <c r="K955" s="35" t="s">
        <v>666</v>
      </c>
      <c r="L95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55" s="11"/>
      <c r="N955" s="10" t="s">
        <v>133</v>
      </c>
      <c r="O955" s="57" t="s">
        <v>24</v>
      </c>
      <c r="T955" s="3"/>
      <c r="U955" s="254"/>
      <c r="V955" s="234" t="s">
        <v>1592</v>
      </c>
      <c r="W955" s="241"/>
      <c r="X955" s="45"/>
    </row>
    <row r="956" spans="1:24" ht="28.9">
      <c r="A956" s="58" t="s">
        <v>128</v>
      </c>
      <c r="B956" s="146">
        <v>44446.958333333299</v>
      </c>
      <c r="C956" s="140">
        <v>2</v>
      </c>
      <c r="D956" s="134" t="s">
        <v>147</v>
      </c>
      <c r="E956" s="7" t="s">
        <v>31</v>
      </c>
      <c r="F956" s="139" t="s">
        <v>109</v>
      </c>
      <c r="G956" s="43">
        <v>83.3</v>
      </c>
      <c r="H956" s="43">
        <v>69</v>
      </c>
      <c r="I956">
        <f>表1_4[[#This Row],[主队2]]-表1_4[[#This Row],[客队2]]</f>
        <v>14.3</v>
      </c>
      <c r="J956" s="34">
        <v>1.5</v>
      </c>
      <c r="K956" s="35" t="s">
        <v>63</v>
      </c>
      <c r="L95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956" s="11"/>
      <c r="N956" s="57" t="s">
        <v>133</v>
      </c>
      <c r="O956" s="57" t="s">
        <v>35</v>
      </c>
      <c r="R956" t="s">
        <v>852</v>
      </c>
      <c r="T956" s="3"/>
      <c r="U956" s="246" t="s">
        <v>1593</v>
      </c>
      <c r="V956" s="231" t="s">
        <v>1594</v>
      </c>
      <c r="W956" s="48"/>
      <c r="X956" s="45"/>
    </row>
    <row r="957" spans="1:24">
      <c r="A957" s="58" t="s">
        <v>128</v>
      </c>
      <c r="B957" s="146">
        <v>44447</v>
      </c>
      <c r="C957" s="138">
        <v>2</v>
      </c>
      <c r="D957" s="134" t="s">
        <v>1093</v>
      </c>
      <c r="E957" s="7" t="s">
        <v>53</v>
      </c>
      <c r="F957" s="139" t="s">
        <v>138</v>
      </c>
      <c r="G957" s="43">
        <v>64.7</v>
      </c>
      <c r="H957" s="43">
        <v>74.400000000000006</v>
      </c>
      <c r="I957">
        <f>表1_4[[#This Row],[主队2]]-表1_4[[#This Row],[客队2]]</f>
        <v>-9.6999999999999993</v>
      </c>
      <c r="J95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957" s="35" t="s">
        <v>111</v>
      </c>
      <c r="L95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57" s="11"/>
      <c r="N957" s="10" t="s">
        <v>404</v>
      </c>
      <c r="O957" s="10" t="s">
        <v>28</v>
      </c>
      <c r="T957" s="3"/>
      <c r="U957" s="246"/>
      <c r="V957" s="231" t="s">
        <v>1595</v>
      </c>
      <c r="W957" s="48"/>
      <c r="X957" s="45"/>
    </row>
    <row r="958" spans="1:24">
      <c r="A958" s="58" t="s">
        <v>128</v>
      </c>
      <c r="B958" s="146">
        <v>44446.791666666701</v>
      </c>
      <c r="C958" s="140">
        <v>2</v>
      </c>
      <c r="D958" s="134" t="s">
        <v>185</v>
      </c>
      <c r="E958" s="7" t="s">
        <v>31</v>
      </c>
      <c r="F958" s="139" t="s">
        <v>1005</v>
      </c>
      <c r="G958" s="43">
        <v>76.8</v>
      </c>
      <c r="H958" s="43">
        <v>60.8</v>
      </c>
      <c r="I958">
        <f>表1_4[[#This Row],[主队2]]-表1_4[[#This Row],[客队2]]</f>
        <v>16</v>
      </c>
      <c r="J95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958" s="35" t="s">
        <v>45</v>
      </c>
      <c r="L95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958" s="11"/>
      <c r="N958" s="10" t="s">
        <v>133</v>
      </c>
      <c r="O958" s="10" t="s">
        <v>35</v>
      </c>
      <c r="R958" t="s">
        <v>852</v>
      </c>
      <c r="T958" s="3"/>
      <c r="U958" s="83" t="s">
        <v>1596</v>
      </c>
      <c r="V958" s="55" t="s">
        <v>1597</v>
      </c>
      <c r="W958" s="241"/>
      <c r="X958" s="45"/>
    </row>
    <row r="959" spans="1:24">
      <c r="A959" s="58" t="s">
        <v>128</v>
      </c>
      <c r="B959" s="146">
        <v>44447</v>
      </c>
      <c r="C959" s="140">
        <v>2</v>
      </c>
      <c r="D959" s="134" t="s">
        <v>130</v>
      </c>
      <c r="E959" s="7" t="s">
        <v>36</v>
      </c>
      <c r="F959" s="139" t="s">
        <v>146</v>
      </c>
      <c r="G959" s="43">
        <v>69</v>
      </c>
      <c r="H959" s="43">
        <v>67.599999999999994</v>
      </c>
      <c r="I959">
        <f>表1_4[[#This Row],[主队2]]-表1_4[[#This Row],[客队2]]</f>
        <v>1.4000000000000099</v>
      </c>
      <c r="J959" s="34">
        <v>0.25</v>
      </c>
      <c r="K959" s="35" t="s">
        <v>152</v>
      </c>
      <c r="L95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59" s="11"/>
      <c r="N959" s="10" t="s">
        <v>119</v>
      </c>
      <c r="O959" s="10" t="s">
        <v>24</v>
      </c>
      <c r="R959" t="s">
        <v>852</v>
      </c>
      <c r="T959" s="3"/>
      <c r="U959" s="246" t="s">
        <v>776</v>
      </c>
      <c r="V959" s="231" t="s">
        <v>645</v>
      </c>
      <c r="W959" s="241"/>
      <c r="X959" s="45"/>
    </row>
    <row r="960" spans="1:24">
      <c r="A960" s="58" t="s">
        <v>128</v>
      </c>
      <c r="B960" s="146">
        <v>44447.083333333299</v>
      </c>
      <c r="C960" s="140">
        <v>2</v>
      </c>
      <c r="D960" s="134" t="s">
        <v>151</v>
      </c>
      <c r="E960" s="7" t="s">
        <v>44</v>
      </c>
      <c r="F960" s="139" t="s">
        <v>141</v>
      </c>
      <c r="G960" s="43">
        <v>83.9</v>
      </c>
      <c r="H960" s="43">
        <v>71.8</v>
      </c>
      <c r="I960">
        <f>表1_4[[#This Row],[主队2]]-表1_4[[#This Row],[客队2]]</f>
        <v>12.1</v>
      </c>
      <c r="J960" s="34">
        <v>1.25</v>
      </c>
      <c r="K960" s="35" t="s">
        <v>289</v>
      </c>
      <c r="L96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960" s="11"/>
      <c r="N960" s="10" t="s">
        <v>112</v>
      </c>
      <c r="O960" s="10" t="s">
        <v>24</v>
      </c>
      <c r="T960" s="3"/>
      <c r="U960" s="25" t="s">
        <v>776</v>
      </c>
      <c r="V960" s="54" t="s">
        <v>1598</v>
      </c>
      <c r="W960" s="52"/>
      <c r="X960" s="45"/>
    </row>
    <row r="961" spans="1:24">
      <c r="A961" s="58" t="s">
        <v>156</v>
      </c>
      <c r="B961" s="146">
        <v>44449.270833333299</v>
      </c>
      <c r="C961" s="138">
        <v>10</v>
      </c>
      <c r="D961" s="134" t="s">
        <v>164</v>
      </c>
      <c r="E961" s="7" t="s">
        <v>33</v>
      </c>
      <c r="F961" s="71" t="s">
        <v>180</v>
      </c>
      <c r="G961" s="43">
        <v>84.2</v>
      </c>
      <c r="H961" s="43">
        <v>82.5</v>
      </c>
      <c r="I961">
        <f>表1_4[[#This Row],[主队2]]-表1_4[[#This Row],[客队2]]</f>
        <v>1.7</v>
      </c>
      <c r="J96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961" s="35" t="s">
        <v>118</v>
      </c>
      <c r="L96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961" s="11"/>
      <c r="N961" s="10" t="s">
        <v>119</v>
      </c>
      <c r="O961" s="10" t="s">
        <v>28</v>
      </c>
      <c r="T961" s="3"/>
      <c r="U961" s="25"/>
      <c r="V961" s="54" t="s">
        <v>1599</v>
      </c>
      <c r="W961" s="241"/>
      <c r="X961" s="45"/>
    </row>
    <row r="962" spans="1:24">
      <c r="A962" s="58" t="s">
        <v>156</v>
      </c>
      <c r="B962" s="146">
        <v>44449.270833333299</v>
      </c>
      <c r="C962" s="140">
        <v>10</v>
      </c>
      <c r="D962" s="134" t="s">
        <v>170</v>
      </c>
      <c r="E962" s="7" t="s">
        <v>31</v>
      </c>
      <c r="F962" s="139" t="s">
        <v>165</v>
      </c>
      <c r="G962" s="43">
        <v>90.2</v>
      </c>
      <c r="H962" s="43">
        <v>85.4</v>
      </c>
      <c r="I962">
        <f>表1_4[[#This Row],[主队2]]-表1_4[[#This Row],[客队2]]</f>
        <v>4.8</v>
      </c>
      <c r="J96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962" s="35" t="s">
        <v>289</v>
      </c>
      <c r="L96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62" s="11"/>
      <c r="N962" s="10" t="s">
        <v>112</v>
      </c>
      <c r="O962" s="10" t="s">
        <v>24</v>
      </c>
      <c r="R962" t="s">
        <v>852</v>
      </c>
      <c r="T962" s="3"/>
      <c r="U962" s="246"/>
      <c r="V962" s="231" t="s">
        <v>1600</v>
      </c>
      <c r="W962" s="51"/>
      <c r="X962" s="45"/>
    </row>
    <row r="963" spans="1:24">
      <c r="A963" s="58" t="s">
        <v>156</v>
      </c>
      <c r="B963" s="146">
        <v>44449.291666666701</v>
      </c>
      <c r="C963" s="5">
        <v>10</v>
      </c>
      <c r="D963" s="134" t="s">
        <v>158</v>
      </c>
      <c r="E963" s="7" t="s">
        <v>41</v>
      </c>
      <c r="F963" s="139" t="s">
        <v>175</v>
      </c>
      <c r="G963" s="43">
        <v>90.8</v>
      </c>
      <c r="H963" s="43">
        <v>86.6</v>
      </c>
      <c r="I963">
        <f>表1_4[[#This Row],[主队2]]-表1_4[[#This Row],[客队2]]</f>
        <v>4.2</v>
      </c>
      <c r="J96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963" s="35" t="s">
        <v>118</v>
      </c>
      <c r="L96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63" s="11"/>
      <c r="N963" s="10" t="s">
        <v>133</v>
      </c>
      <c r="O963" s="10" t="s">
        <v>48</v>
      </c>
      <c r="R963" t="s">
        <v>855</v>
      </c>
      <c r="T963" s="3"/>
      <c r="U963" s="83"/>
      <c r="V963" s="55" t="s">
        <v>1601</v>
      </c>
      <c r="W963" s="48"/>
      <c r="X963" s="45"/>
    </row>
    <row r="964" spans="1:24">
      <c r="A964" s="58" t="s">
        <v>156</v>
      </c>
      <c r="B964" s="146">
        <v>44449.3125</v>
      </c>
      <c r="C964" s="138">
        <v>10</v>
      </c>
      <c r="D964" s="134" t="s">
        <v>174</v>
      </c>
      <c r="E964" s="7" t="s">
        <v>44</v>
      </c>
      <c r="F964" s="139" t="s">
        <v>159</v>
      </c>
      <c r="G964" s="43">
        <v>96.4</v>
      </c>
      <c r="H964" s="43">
        <v>74.7</v>
      </c>
      <c r="I964">
        <f>表1_4[[#This Row],[主队2]]-表1_4[[#This Row],[客队2]]</f>
        <v>21.7</v>
      </c>
      <c r="J964" s="34">
        <v>2.5</v>
      </c>
      <c r="K964" s="35" t="s">
        <v>26</v>
      </c>
      <c r="L96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64" s="11"/>
      <c r="N964" s="10" t="s">
        <v>895</v>
      </c>
      <c r="O964" s="10" t="s">
        <v>46</v>
      </c>
      <c r="T964" s="3"/>
      <c r="U964" s="25"/>
      <c r="V964" s="80" t="s">
        <v>1602</v>
      </c>
      <c r="W964" s="44"/>
      <c r="X964" s="45"/>
    </row>
    <row r="965" spans="1:24">
      <c r="A965" s="58" t="s">
        <v>156</v>
      </c>
      <c r="B965" s="146">
        <v>44449.354166666701</v>
      </c>
      <c r="C965" s="138">
        <v>10</v>
      </c>
      <c r="D965" s="134" t="s">
        <v>171</v>
      </c>
      <c r="E965" s="7" t="s">
        <v>22</v>
      </c>
      <c r="F965" s="139" t="s">
        <v>181</v>
      </c>
      <c r="G965" s="43">
        <v>100.9</v>
      </c>
      <c r="H965" s="43">
        <v>84.7</v>
      </c>
      <c r="I965">
        <f>表1_4[[#This Row],[主队2]]-表1_4[[#This Row],[客队2]]</f>
        <v>16.2</v>
      </c>
      <c r="J96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965" s="35" t="s">
        <v>125</v>
      </c>
      <c r="L96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65" s="11"/>
      <c r="N965" s="10" t="s">
        <v>112</v>
      </c>
      <c r="O965" s="10" t="s">
        <v>28</v>
      </c>
      <c r="T965" s="3"/>
      <c r="U965" s="25" t="s">
        <v>1522</v>
      </c>
      <c r="V965" s="80" t="s">
        <v>1603</v>
      </c>
      <c r="W965" s="44"/>
      <c r="X965" s="45"/>
    </row>
    <row r="966" spans="1:24">
      <c r="A966" s="58" t="s">
        <v>222</v>
      </c>
      <c r="B966" s="146">
        <v>44445.25</v>
      </c>
      <c r="C966" s="140">
        <v>2</v>
      </c>
      <c r="D966" s="134" t="s">
        <v>1604</v>
      </c>
      <c r="E966" s="7" t="s">
        <v>64</v>
      </c>
      <c r="F966" s="139" t="s">
        <v>225</v>
      </c>
      <c r="G966" s="43">
        <v>74.599999999999994</v>
      </c>
      <c r="H966" s="43">
        <v>72.2</v>
      </c>
      <c r="I966">
        <f>表1_4[[#This Row],[主队2]]-表1_4[[#This Row],[客队2]]</f>
        <v>2.3999999999999901</v>
      </c>
      <c r="J96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966" s="35" t="s">
        <v>289</v>
      </c>
      <c r="L96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66" s="57"/>
      <c r="N966" s="10" t="s">
        <v>119</v>
      </c>
      <c r="O966" s="10" t="s">
        <v>46</v>
      </c>
      <c r="R966" t="s">
        <v>855</v>
      </c>
      <c r="T966" s="3"/>
      <c r="U966" s="246" t="s">
        <v>521</v>
      </c>
      <c r="V966" s="54" t="s">
        <v>1605</v>
      </c>
      <c r="W966" s="51"/>
      <c r="X966" s="45"/>
    </row>
    <row r="967" spans="1:24">
      <c r="A967" s="58" t="s">
        <v>222</v>
      </c>
      <c r="B967" s="146">
        <v>44445.291666666701</v>
      </c>
      <c r="C967" s="140">
        <v>2</v>
      </c>
      <c r="D967" s="134" t="s">
        <v>1606</v>
      </c>
      <c r="E967" s="7" t="s">
        <v>42</v>
      </c>
      <c r="F967" s="139" t="s">
        <v>235</v>
      </c>
      <c r="G967" s="43">
        <v>69.099999999999994</v>
      </c>
      <c r="H967" s="43">
        <v>74.7</v>
      </c>
      <c r="I967">
        <f>表1_4[[#This Row],[主队2]]-表1_4[[#This Row],[客队2]]</f>
        <v>-5.6000000000000103</v>
      </c>
      <c r="J96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967" s="35" t="s">
        <v>166</v>
      </c>
      <c r="L96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67" s="11"/>
      <c r="N967" s="10" t="s">
        <v>119</v>
      </c>
      <c r="O967" s="10" t="s">
        <v>51</v>
      </c>
      <c r="T967" s="3"/>
      <c r="U967" s="25"/>
      <c r="V967" s="54" t="s">
        <v>1607</v>
      </c>
      <c r="W967" s="241"/>
      <c r="X967" s="45"/>
    </row>
    <row r="968" spans="1:24">
      <c r="A968" s="58" t="s">
        <v>222</v>
      </c>
      <c r="B968" s="146">
        <v>44445.291666666701</v>
      </c>
      <c r="C968" s="140">
        <v>2</v>
      </c>
      <c r="D968" s="134" t="s">
        <v>230</v>
      </c>
      <c r="E968" s="7" t="s">
        <v>53</v>
      </c>
      <c r="F968" s="139" t="s">
        <v>229</v>
      </c>
      <c r="G968" s="43">
        <v>77</v>
      </c>
      <c r="H968" s="43">
        <v>88.2</v>
      </c>
      <c r="I968">
        <f>表1_4[[#This Row],[主队2]]-表1_4[[#This Row],[客队2]]</f>
        <v>-11.2</v>
      </c>
      <c r="J96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968" s="35" t="s">
        <v>132</v>
      </c>
      <c r="L96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68" s="11"/>
      <c r="T968" s="3"/>
      <c r="U968" s="246"/>
      <c r="V968" s="54" t="s">
        <v>1608</v>
      </c>
      <c r="W968" s="44"/>
      <c r="X968" s="45"/>
    </row>
    <row r="969" spans="1:24">
      <c r="A969" s="58" t="s">
        <v>222</v>
      </c>
      <c r="B969" s="146">
        <v>44445.333333333299</v>
      </c>
      <c r="C969" s="145">
        <v>2</v>
      </c>
      <c r="D969" s="134" t="s">
        <v>234</v>
      </c>
      <c r="E969" s="7" t="s">
        <v>36</v>
      </c>
      <c r="F969" s="139" t="s">
        <v>124</v>
      </c>
      <c r="G969" s="43">
        <v>85.5</v>
      </c>
      <c r="H969" s="43">
        <v>80.8</v>
      </c>
      <c r="I969">
        <f>表1_4[[#This Row],[主队2]]-表1_4[[#This Row],[客队2]]</f>
        <v>4.7</v>
      </c>
      <c r="J96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969" s="35" t="s">
        <v>176</v>
      </c>
      <c r="L96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969" s="11"/>
      <c r="N969" s="10" t="s">
        <v>133</v>
      </c>
      <c r="O969" s="10" t="s">
        <v>39</v>
      </c>
      <c r="R969" t="s">
        <v>855</v>
      </c>
      <c r="T969" s="3"/>
      <c r="U969" s="83"/>
      <c r="V969" s="282" t="s">
        <v>1609</v>
      </c>
      <c r="W969" s="44"/>
      <c r="X969" s="45"/>
    </row>
    <row r="970" spans="1:24">
      <c r="A970" s="58" t="s">
        <v>222</v>
      </c>
      <c r="B970" s="146">
        <v>44448.3125</v>
      </c>
      <c r="C970" s="138">
        <v>3</v>
      </c>
      <c r="D970" s="134" t="s">
        <v>124</v>
      </c>
      <c r="E970" s="7" t="s">
        <v>44</v>
      </c>
      <c r="F970" s="139" t="s">
        <v>1606</v>
      </c>
      <c r="G970" s="43">
        <v>81.5</v>
      </c>
      <c r="H970" s="43">
        <v>69</v>
      </c>
      <c r="I970">
        <f>表1_4[[#This Row],[主队2]]-表1_4[[#This Row],[客队2]]</f>
        <v>12.5</v>
      </c>
      <c r="J97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970" s="35" t="s">
        <v>81</v>
      </c>
      <c r="L97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70" s="11"/>
      <c r="N970" s="10" t="s">
        <v>404</v>
      </c>
      <c r="O970" s="10" t="s">
        <v>27</v>
      </c>
      <c r="R970" t="s">
        <v>852</v>
      </c>
      <c r="T970" s="3"/>
      <c r="U970" s="83"/>
      <c r="V970" s="62" t="s">
        <v>1610</v>
      </c>
      <c r="W970" s="44"/>
      <c r="X970" s="45"/>
    </row>
    <row r="971" spans="1:24">
      <c r="A971" s="58" t="s">
        <v>222</v>
      </c>
      <c r="B971" s="146">
        <v>44448.375</v>
      </c>
      <c r="C971" s="140">
        <v>3</v>
      </c>
      <c r="D971" s="134" t="s">
        <v>230</v>
      </c>
      <c r="E971" s="7" t="s">
        <v>36</v>
      </c>
      <c r="F971" s="139" t="s">
        <v>1604</v>
      </c>
      <c r="G971" s="43">
        <v>76.5</v>
      </c>
      <c r="H971" s="43">
        <v>73.400000000000006</v>
      </c>
      <c r="I971">
        <f>表1_4[[#This Row],[主队2]]-表1_4[[#This Row],[客队2]]</f>
        <v>3.0999999999999899</v>
      </c>
      <c r="J97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971" s="35" t="s">
        <v>289</v>
      </c>
      <c r="L97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71" s="11"/>
      <c r="N971" s="10" t="s">
        <v>112</v>
      </c>
      <c r="O971" s="10" t="s">
        <v>40</v>
      </c>
      <c r="T971" s="3"/>
      <c r="U971" s="246" t="s">
        <v>1611</v>
      </c>
      <c r="V971" s="231" t="s">
        <v>1612</v>
      </c>
      <c r="W971" s="52"/>
      <c r="X971" s="45"/>
    </row>
    <row r="972" spans="1:24">
      <c r="A972" s="58" t="s">
        <v>222</v>
      </c>
      <c r="B972" s="146">
        <v>44448.420138888898</v>
      </c>
      <c r="C972" s="138">
        <v>3</v>
      </c>
      <c r="D972" s="134" t="s">
        <v>235</v>
      </c>
      <c r="E972" s="7" t="s">
        <v>75</v>
      </c>
      <c r="F972" s="139" t="s">
        <v>234</v>
      </c>
      <c r="G972" s="43">
        <v>74.8</v>
      </c>
      <c r="H972" s="43">
        <v>84.8</v>
      </c>
      <c r="I972">
        <f>表1_4[[#This Row],[主队2]]-表1_4[[#This Row],[客队2]]</f>
        <v>-10</v>
      </c>
      <c r="J97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972" s="35" t="s">
        <v>245</v>
      </c>
      <c r="L97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972" s="11"/>
      <c r="N972" s="10" t="s">
        <v>133</v>
      </c>
      <c r="O972" s="10" t="s">
        <v>28</v>
      </c>
      <c r="T972" s="3"/>
      <c r="U972" s="246"/>
      <c r="V972" s="62" t="s">
        <v>1613</v>
      </c>
      <c r="W972" s="44"/>
      <c r="X972" s="45"/>
    </row>
    <row r="973" spans="1:24">
      <c r="A973" s="58" t="s">
        <v>188</v>
      </c>
      <c r="B973" s="146">
        <v>44447</v>
      </c>
      <c r="C973" s="140">
        <v>6</v>
      </c>
      <c r="D973" s="134" t="s">
        <v>278</v>
      </c>
      <c r="E973" s="7" t="s">
        <v>64</v>
      </c>
      <c r="F973" s="139" t="s">
        <v>270</v>
      </c>
      <c r="G973" s="43">
        <v>65.7</v>
      </c>
      <c r="H973" s="43">
        <v>92.8</v>
      </c>
      <c r="I973">
        <f>表1_4[[#This Row],[主队2]]-表1_4[[#This Row],[客队2]]</f>
        <v>-27.1</v>
      </c>
      <c r="J973" s="34">
        <v>-2.5</v>
      </c>
      <c r="K973" s="35" t="s">
        <v>692</v>
      </c>
      <c r="L97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73" s="11"/>
      <c r="N973" s="10" t="s">
        <v>133</v>
      </c>
      <c r="O973" s="10" t="s">
        <v>40</v>
      </c>
      <c r="T973" s="3"/>
      <c r="U973" s="83" t="s">
        <v>334</v>
      </c>
      <c r="V973" s="55" t="s">
        <v>1614</v>
      </c>
      <c r="W973" s="48"/>
      <c r="X973" s="45"/>
    </row>
    <row r="974" spans="1:24">
      <c r="A974" s="58" t="s">
        <v>188</v>
      </c>
      <c r="B974" s="146">
        <v>44447.114583333299</v>
      </c>
      <c r="C974" s="140">
        <v>6</v>
      </c>
      <c r="D974" s="134" t="s">
        <v>199</v>
      </c>
      <c r="E974" s="7" t="s">
        <v>36</v>
      </c>
      <c r="F974" s="139" t="s">
        <v>434</v>
      </c>
      <c r="G974" s="43">
        <v>78.2</v>
      </c>
      <c r="H974" s="43">
        <v>84.5</v>
      </c>
      <c r="I974">
        <f>表1_4[[#This Row],[主队2]]-表1_4[[#This Row],[客队2]]</f>
        <v>-6.3</v>
      </c>
      <c r="J97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974" s="35" t="s">
        <v>152</v>
      </c>
      <c r="L97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74" s="11"/>
      <c r="N974" s="10" t="s">
        <v>112</v>
      </c>
      <c r="O974" s="10" t="s">
        <v>35</v>
      </c>
      <c r="R974" t="s">
        <v>852</v>
      </c>
      <c r="T974" s="3"/>
      <c r="U974" s="246" t="s">
        <v>791</v>
      </c>
      <c r="V974" s="54" t="s">
        <v>1615</v>
      </c>
      <c r="W974" s="52"/>
      <c r="X974" s="45"/>
    </row>
    <row r="975" spans="1:24">
      <c r="A975" s="58" t="s">
        <v>188</v>
      </c>
      <c r="B975" s="146">
        <v>44447.114583333299</v>
      </c>
      <c r="C975" s="140">
        <v>6</v>
      </c>
      <c r="D975" s="134" t="s">
        <v>255</v>
      </c>
      <c r="E975" s="7" t="s">
        <v>25</v>
      </c>
      <c r="F975" s="139" t="s">
        <v>288</v>
      </c>
      <c r="G975" s="43">
        <v>80.3</v>
      </c>
      <c r="H975" s="43">
        <v>66.599999999999994</v>
      </c>
      <c r="I975">
        <f>表1_4[[#This Row],[主队2]]-表1_4[[#This Row],[客队2]]</f>
        <v>13.7</v>
      </c>
      <c r="J97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975" s="35" t="s">
        <v>81</v>
      </c>
      <c r="L97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75" s="11" t="s">
        <v>161</v>
      </c>
      <c r="N975" s="10" t="s">
        <v>119</v>
      </c>
      <c r="O975" s="46" t="s">
        <v>40</v>
      </c>
      <c r="R975" t="s">
        <v>855</v>
      </c>
      <c r="T975" s="3"/>
      <c r="U975" s="83" t="s">
        <v>688</v>
      </c>
      <c r="V975" s="231" t="s">
        <v>1616</v>
      </c>
    </row>
    <row r="976" spans="1:24">
      <c r="A976" s="58" t="s">
        <v>188</v>
      </c>
      <c r="B976" s="146">
        <v>44447.114583333299</v>
      </c>
      <c r="C976" s="140">
        <v>6</v>
      </c>
      <c r="D976" s="134" t="s">
        <v>267</v>
      </c>
      <c r="E976" s="7" t="s">
        <v>22</v>
      </c>
      <c r="F976" s="139" t="s">
        <v>191</v>
      </c>
      <c r="G976" s="43">
        <v>93.6</v>
      </c>
      <c r="H976" s="43">
        <v>78</v>
      </c>
      <c r="I976">
        <f>表1_4[[#This Row],[主队2]]-表1_4[[#This Row],[客队2]]</f>
        <v>15.6</v>
      </c>
      <c r="J97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976" s="35" t="s">
        <v>45</v>
      </c>
      <c r="L97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976" s="11"/>
      <c r="N976" s="10" t="s">
        <v>133</v>
      </c>
      <c r="O976" s="10" t="s">
        <v>40</v>
      </c>
      <c r="T976" s="3"/>
      <c r="U976" s="246" t="s">
        <v>1539</v>
      </c>
      <c r="V976" s="55" t="s">
        <v>1617</v>
      </c>
      <c r="W976" s="48"/>
      <c r="X976" s="45"/>
    </row>
    <row r="977" spans="1:24">
      <c r="A977" s="58" t="s">
        <v>188</v>
      </c>
      <c r="B977" s="146">
        <v>44447.114583333299</v>
      </c>
      <c r="C977" s="145">
        <v>6</v>
      </c>
      <c r="D977" s="134" t="s">
        <v>194</v>
      </c>
      <c r="E977" s="7" t="s">
        <v>53</v>
      </c>
      <c r="F977" s="139" t="s">
        <v>123</v>
      </c>
      <c r="G977" s="43">
        <v>82.4</v>
      </c>
      <c r="H977" s="43">
        <v>77.3</v>
      </c>
      <c r="I977">
        <f>表1_4[[#This Row],[主队2]]-表1_4[[#This Row],[客队2]]</f>
        <v>5.1000000000000103</v>
      </c>
      <c r="J97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977" s="35" t="s">
        <v>118</v>
      </c>
      <c r="L97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77" s="11"/>
      <c r="N977" s="10" t="s">
        <v>133</v>
      </c>
      <c r="O977" s="10" t="s">
        <v>143</v>
      </c>
      <c r="T977" s="3"/>
      <c r="U977" s="83"/>
      <c r="V977" s="62" t="s">
        <v>1618</v>
      </c>
      <c r="W977" s="44"/>
      <c r="X977" s="45"/>
    </row>
    <row r="978" spans="1:24">
      <c r="A978" s="58" t="s">
        <v>188</v>
      </c>
      <c r="B978" s="146">
        <v>44447.114583333299</v>
      </c>
      <c r="C978" s="279">
        <v>6</v>
      </c>
      <c r="D978" s="134" t="s">
        <v>244</v>
      </c>
      <c r="E978" s="7" t="s">
        <v>33</v>
      </c>
      <c r="F978" s="139" t="s">
        <v>195</v>
      </c>
      <c r="G978" s="43">
        <v>57.8</v>
      </c>
      <c r="H978" s="43">
        <v>59.2</v>
      </c>
      <c r="I978">
        <f>表1_4[[#This Row],[主队2]]-表1_4[[#This Row],[客队2]]</f>
        <v>-1.4000000000000099</v>
      </c>
      <c r="J97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978" s="35" t="s">
        <v>182</v>
      </c>
      <c r="L97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978" s="11"/>
      <c r="N978" s="10" t="s">
        <v>119</v>
      </c>
      <c r="O978" s="10" t="s">
        <v>40</v>
      </c>
      <c r="R978" t="s">
        <v>852</v>
      </c>
      <c r="T978" s="3"/>
      <c r="U978" s="246" t="s">
        <v>690</v>
      </c>
      <c r="V978" s="231" t="s">
        <v>1619</v>
      </c>
      <c r="W978" s="51"/>
      <c r="X978" s="45"/>
    </row>
    <row r="979" spans="1:24">
      <c r="A979" s="58" t="s">
        <v>188</v>
      </c>
      <c r="B979" s="146">
        <v>44447.114583333299</v>
      </c>
      <c r="C979" s="138">
        <v>6</v>
      </c>
      <c r="D979" s="134" t="s">
        <v>306</v>
      </c>
      <c r="E979" s="7" t="s">
        <v>57</v>
      </c>
      <c r="F979" s="139" t="s">
        <v>210</v>
      </c>
      <c r="G979" s="43">
        <v>91.8</v>
      </c>
      <c r="H979" s="43">
        <v>77.5</v>
      </c>
      <c r="I979">
        <f>表1_4[[#This Row],[主队2]]-表1_4[[#This Row],[客队2]]</f>
        <v>14.3</v>
      </c>
      <c r="J97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979" s="35" t="s">
        <v>81</v>
      </c>
      <c r="L97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79" s="11"/>
      <c r="N979" s="10" t="s">
        <v>119</v>
      </c>
      <c r="O979" s="10" t="s">
        <v>65</v>
      </c>
      <c r="R979" t="s">
        <v>852</v>
      </c>
      <c r="T979" s="3"/>
      <c r="U979" s="246"/>
      <c r="V979" s="55" t="s">
        <v>1620</v>
      </c>
      <c r="W979" s="56"/>
      <c r="X979" s="45"/>
    </row>
    <row r="980" spans="1:24">
      <c r="A980" s="58" t="s">
        <v>188</v>
      </c>
      <c r="B980" s="146">
        <v>44447.114583333299</v>
      </c>
      <c r="C980" s="140">
        <v>6</v>
      </c>
      <c r="D980" s="134" t="s">
        <v>301</v>
      </c>
      <c r="E980" s="7" t="s">
        <v>42</v>
      </c>
      <c r="F980" s="139" t="s">
        <v>251</v>
      </c>
      <c r="G980" s="43">
        <v>72.7</v>
      </c>
      <c r="H980" s="43">
        <v>62</v>
      </c>
      <c r="I980">
        <f>表1_4[[#This Row],[主队2]]-表1_4[[#This Row],[客队2]]</f>
        <v>10.7</v>
      </c>
      <c r="J98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980" s="35" t="s">
        <v>125</v>
      </c>
      <c r="L98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80" s="11"/>
      <c r="N980" s="10" t="s">
        <v>133</v>
      </c>
      <c r="O980" s="10" t="s">
        <v>143</v>
      </c>
      <c r="T980" s="3"/>
      <c r="U980" s="246"/>
      <c r="V980" s="55" t="s">
        <v>1621</v>
      </c>
      <c r="W980" s="48"/>
      <c r="X980" s="45"/>
    </row>
    <row r="981" spans="1:24">
      <c r="A981" s="58" t="s">
        <v>188</v>
      </c>
      <c r="B981" s="146">
        <v>44447.114583333299</v>
      </c>
      <c r="C981" s="140">
        <v>6</v>
      </c>
      <c r="D981" s="134" t="s">
        <v>297</v>
      </c>
      <c r="E981" s="7" t="s">
        <v>82</v>
      </c>
      <c r="F981" s="139" t="s">
        <v>256</v>
      </c>
      <c r="G981" s="43">
        <v>81</v>
      </c>
      <c r="H981" s="43">
        <v>39.700000000000003</v>
      </c>
      <c r="I981">
        <f>表1_4[[#This Row],[主队2]]-表1_4[[#This Row],[客队2]]</f>
        <v>41.3</v>
      </c>
      <c r="J981" s="34">
        <v>4.5</v>
      </c>
      <c r="K981" s="35" t="s">
        <v>59</v>
      </c>
      <c r="L98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81" s="11"/>
      <c r="N981" s="10" t="s">
        <v>112</v>
      </c>
      <c r="O981" s="10" t="s">
        <v>40</v>
      </c>
      <c r="T981" s="3"/>
      <c r="U981" s="25" t="s">
        <v>1076</v>
      </c>
      <c r="V981" s="54" t="s">
        <v>1622</v>
      </c>
      <c r="W981" s="52"/>
      <c r="X981" s="45"/>
    </row>
    <row r="982" spans="1:24">
      <c r="A982" s="58" t="s">
        <v>188</v>
      </c>
      <c r="B982" s="146">
        <v>44447.114583333299</v>
      </c>
      <c r="C982" s="138">
        <v>6</v>
      </c>
      <c r="D982" s="134" t="s">
        <v>262</v>
      </c>
      <c r="E982" s="7" t="s">
        <v>82</v>
      </c>
      <c r="F982" s="139" t="s">
        <v>190</v>
      </c>
      <c r="G982" s="43">
        <v>91.4</v>
      </c>
      <c r="H982" s="43">
        <v>79.599999999999994</v>
      </c>
      <c r="I982">
        <f>表1_4[[#This Row],[主队2]]-表1_4[[#This Row],[客队2]]</f>
        <v>11.8</v>
      </c>
      <c r="J98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982" s="35" t="s">
        <v>81</v>
      </c>
      <c r="L98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82" s="11"/>
      <c r="N982" s="10" t="s">
        <v>119</v>
      </c>
      <c r="O982" s="10" t="s">
        <v>46</v>
      </c>
      <c r="R982" t="s">
        <v>852</v>
      </c>
      <c r="T982" s="3"/>
      <c r="U982" s="246"/>
      <c r="V982" s="231" t="s">
        <v>1623</v>
      </c>
      <c r="W982" s="241"/>
      <c r="X982" s="45"/>
    </row>
    <row r="983" spans="1:24">
      <c r="A983" s="58" t="s">
        <v>188</v>
      </c>
      <c r="B983" s="146">
        <v>44447.114583333299</v>
      </c>
      <c r="C983" s="138">
        <v>6</v>
      </c>
      <c r="D983" s="134" t="s">
        <v>110</v>
      </c>
      <c r="E983" s="7" t="s">
        <v>44</v>
      </c>
      <c r="F983" s="139" t="s">
        <v>309</v>
      </c>
      <c r="G983" s="43">
        <v>87.4</v>
      </c>
      <c r="H983" s="43">
        <v>76.8</v>
      </c>
      <c r="I983">
        <f>表1_4[[#This Row],[主队2]]-表1_4[[#This Row],[客队2]]</f>
        <v>10.6</v>
      </c>
      <c r="J98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983" s="35" t="s">
        <v>118</v>
      </c>
      <c r="L98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83" s="11"/>
      <c r="N983" s="10" t="s">
        <v>119</v>
      </c>
      <c r="O983" s="10" t="s">
        <v>24</v>
      </c>
      <c r="R983" t="s">
        <v>852</v>
      </c>
      <c r="T983" s="3"/>
      <c r="U983" s="246"/>
      <c r="V983" s="54" t="s">
        <v>1624</v>
      </c>
      <c r="W983" s="241"/>
      <c r="X983" s="45"/>
    </row>
    <row r="984" spans="1:24">
      <c r="A984" s="58" t="s">
        <v>188</v>
      </c>
      <c r="B984" s="146">
        <v>44447.114583333299</v>
      </c>
      <c r="C984" s="138">
        <v>6</v>
      </c>
      <c r="D984" s="134" t="s">
        <v>425</v>
      </c>
      <c r="E984" s="7" t="s">
        <v>22</v>
      </c>
      <c r="F984" s="139" t="s">
        <v>407</v>
      </c>
      <c r="G984" s="43">
        <v>78.3</v>
      </c>
      <c r="H984" s="43">
        <v>63.3</v>
      </c>
      <c r="I984">
        <f>表1_4[[#This Row],[主队2]]-表1_4[[#This Row],[客队2]]</f>
        <v>15</v>
      </c>
      <c r="J98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984" s="35" t="s">
        <v>125</v>
      </c>
      <c r="L98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84" s="11"/>
      <c r="N984" s="10" t="s">
        <v>119</v>
      </c>
      <c r="O984" s="10" t="s">
        <v>28</v>
      </c>
      <c r="T984" s="3"/>
      <c r="U984" s="246"/>
      <c r="V984" s="55" t="s">
        <v>1625</v>
      </c>
      <c r="W984" s="44"/>
      <c r="X984" s="45"/>
    </row>
    <row r="985" spans="1:24">
      <c r="A985" s="58" t="s">
        <v>188</v>
      </c>
      <c r="B985" s="127">
        <v>44447.114583333299</v>
      </c>
      <c r="C985" s="138">
        <v>6</v>
      </c>
      <c r="D985" s="134" t="s">
        <v>353</v>
      </c>
      <c r="E985" s="7" t="s">
        <v>22</v>
      </c>
      <c r="F985" s="139" t="s">
        <v>929</v>
      </c>
      <c r="G985" s="43">
        <v>82.2</v>
      </c>
      <c r="H985" s="43">
        <v>58</v>
      </c>
      <c r="I985">
        <f>表1_4[[#This Row],[主队2]]-表1_4[[#This Row],[客队2]]</f>
        <v>24.2</v>
      </c>
      <c r="J985" s="34">
        <v>2.75</v>
      </c>
      <c r="K985" s="35" t="s">
        <v>30</v>
      </c>
      <c r="L98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85" s="63" t="s">
        <v>1626</v>
      </c>
      <c r="N985" s="10" t="s">
        <v>404</v>
      </c>
      <c r="O985" s="10" t="s">
        <v>46</v>
      </c>
      <c r="T985" s="3"/>
      <c r="U985" s="246"/>
      <c r="V985" s="62" t="s">
        <v>1627</v>
      </c>
      <c r="W985" s="48"/>
      <c r="X985" s="45"/>
    </row>
    <row r="986" spans="1:24">
      <c r="A986" s="58" t="s">
        <v>188</v>
      </c>
      <c r="B986" s="146">
        <v>44448.114583333299</v>
      </c>
      <c r="C986" s="140">
        <v>6</v>
      </c>
      <c r="D986" s="134" t="s">
        <v>275</v>
      </c>
      <c r="E986" s="7" t="s">
        <v>33</v>
      </c>
      <c r="F986" s="139" t="s">
        <v>239</v>
      </c>
      <c r="G986" s="43">
        <v>79.099999999999994</v>
      </c>
      <c r="H986" s="43">
        <v>87.9</v>
      </c>
      <c r="I986">
        <f>表1_4[[#This Row],[主队2]]-表1_4[[#This Row],[客队2]]</f>
        <v>-8.8000000000000096</v>
      </c>
      <c r="J98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986" s="35" t="s">
        <v>152</v>
      </c>
      <c r="L98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86" s="11"/>
      <c r="N986" s="10" t="s">
        <v>119</v>
      </c>
      <c r="O986" s="10" t="s">
        <v>35</v>
      </c>
      <c r="T986" s="3"/>
      <c r="U986" s="246" t="s">
        <v>931</v>
      </c>
      <c r="V986" s="54" t="s">
        <v>1628</v>
      </c>
      <c r="W986" s="44"/>
      <c r="X986" s="45"/>
    </row>
    <row r="987" spans="1:24">
      <c r="A987" s="58" t="s">
        <v>188</v>
      </c>
      <c r="B987" s="146">
        <v>44448.114583333299</v>
      </c>
      <c r="C987" s="138">
        <v>6</v>
      </c>
      <c r="D987" s="134" t="s">
        <v>217</v>
      </c>
      <c r="E987" s="7" t="s">
        <v>47</v>
      </c>
      <c r="F987" s="139" t="s">
        <v>209</v>
      </c>
      <c r="G987" s="43">
        <v>70.2</v>
      </c>
      <c r="H987" s="43">
        <v>95.5</v>
      </c>
      <c r="I987">
        <f>表1_4[[#This Row],[主队2]]-表1_4[[#This Row],[客队2]]</f>
        <v>-25.3</v>
      </c>
      <c r="J987" s="34">
        <v>-2.25</v>
      </c>
      <c r="K987" s="35" t="s">
        <v>666</v>
      </c>
      <c r="L98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87" s="11"/>
      <c r="N987" s="10" t="s">
        <v>119</v>
      </c>
      <c r="O987" s="10" t="s">
        <v>40</v>
      </c>
      <c r="T987" s="3"/>
      <c r="U987" s="246" t="s">
        <v>1011</v>
      </c>
      <c r="V987" s="54" t="s">
        <v>1629</v>
      </c>
      <c r="W987" s="44"/>
      <c r="X987" s="45"/>
    </row>
    <row r="988" spans="1:24">
      <c r="A988" s="58" t="s">
        <v>188</v>
      </c>
      <c r="B988" s="146">
        <v>44448.114583333299</v>
      </c>
      <c r="C988" s="138">
        <v>6</v>
      </c>
      <c r="D988" s="275" t="s">
        <v>204</v>
      </c>
      <c r="E988" s="7" t="s">
        <v>57</v>
      </c>
      <c r="F988" s="139" t="s">
        <v>292</v>
      </c>
      <c r="G988" s="43">
        <v>94.7</v>
      </c>
      <c r="H988" s="43">
        <v>62</v>
      </c>
      <c r="I988">
        <f>表1_4[[#This Row],[主队2]]-表1_4[[#This Row],[客队2]]</f>
        <v>32.700000000000003</v>
      </c>
      <c r="J988" s="34">
        <v>3.5</v>
      </c>
      <c r="K988" s="35" t="s">
        <v>34</v>
      </c>
      <c r="L98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88" s="11"/>
      <c r="N988" s="10" t="s">
        <v>112</v>
      </c>
      <c r="O988" s="10" t="s">
        <v>28</v>
      </c>
      <c r="T988" s="3"/>
      <c r="U988" s="246"/>
      <c r="V988" s="54" t="s">
        <v>1630</v>
      </c>
      <c r="W988" s="52"/>
      <c r="X988" s="45"/>
    </row>
    <row r="989" spans="1:24">
      <c r="A989" s="58" t="s">
        <v>188</v>
      </c>
      <c r="B989" s="146">
        <v>44448.114583333299</v>
      </c>
      <c r="C989" s="141">
        <v>6</v>
      </c>
      <c r="D989" s="134" t="s">
        <v>296</v>
      </c>
      <c r="E989" s="7" t="s">
        <v>42</v>
      </c>
      <c r="F989" s="139" t="s">
        <v>250</v>
      </c>
      <c r="G989" s="43">
        <v>76.8</v>
      </c>
      <c r="H989" s="43">
        <v>90.2</v>
      </c>
      <c r="I989">
        <f>表1_4[[#This Row],[主队2]]-表1_4[[#This Row],[客队2]]</f>
        <v>-13.4</v>
      </c>
      <c r="J98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989" s="35" t="s">
        <v>111</v>
      </c>
      <c r="L98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989" s="11"/>
      <c r="N989" s="10" t="s">
        <v>119</v>
      </c>
      <c r="O989" s="10" t="s">
        <v>51</v>
      </c>
      <c r="R989" t="s">
        <v>855</v>
      </c>
      <c r="T989" s="3"/>
      <c r="U989" s="83"/>
      <c r="V989" s="283" t="s">
        <v>1631</v>
      </c>
      <c r="W989" s="52"/>
      <c r="X989" s="45"/>
    </row>
    <row r="990" spans="1:24">
      <c r="A990" s="58" t="s">
        <v>188</v>
      </c>
      <c r="B990" s="146">
        <v>44448.114583333299</v>
      </c>
      <c r="C990" s="140">
        <v>6</v>
      </c>
      <c r="D990" s="134" t="s">
        <v>274</v>
      </c>
      <c r="E990" s="7" t="s">
        <v>31</v>
      </c>
      <c r="F990" s="139" t="s">
        <v>240</v>
      </c>
      <c r="G990" s="43">
        <v>98.9</v>
      </c>
      <c r="H990" s="43">
        <v>71.400000000000006</v>
      </c>
      <c r="I990">
        <f>表1_4[[#This Row],[主队2]]-表1_4[[#This Row],[客队2]]</f>
        <v>27.5</v>
      </c>
      <c r="J990" s="34">
        <v>2.75</v>
      </c>
      <c r="K990" s="155" t="s">
        <v>45</v>
      </c>
      <c r="L99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990" s="11"/>
      <c r="N990" s="10" t="s">
        <v>112</v>
      </c>
      <c r="O990" s="10" t="s">
        <v>28</v>
      </c>
      <c r="R990" t="s">
        <v>855</v>
      </c>
      <c r="T990" s="3"/>
      <c r="U990" s="25" t="s">
        <v>776</v>
      </c>
      <c r="V990" s="80" t="s">
        <v>1632</v>
      </c>
      <c r="W990" s="44"/>
      <c r="X990" s="45"/>
    </row>
    <row r="991" spans="1:24">
      <c r="A991" s="58" t="s">
        <v>188</v>
      </c>
      <c r="B991" s="146">
        <v>44448.114583333299</v>
      </c>
      <c r="C991" s="140">
        <v>6</v>
      </c>
      <c r="D991" s="134" t="s">
        <v>200</v>
      </c>
      <c r="E991" s="7" t="s">
        <v>42</v>
      </c>
      <c r="F991" s="139" t="s">
        <v>403</v>
      </c>
      <c r="G991" s="43">
        <v>83.3</v>
      </c>
      <c r="H991" s="43">
        <v>65.5</v>
      </c>
      <c r="I991">
        <f>表1_4[[#This Row],[主队2]]-表1_4[[#This Row],[客队2]]</f>
        <v>17.8</v>
      </c>
      <c r="J99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991" s="35" t="s">
        <v>45</v>
      </c>
      <c r="L99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91" s="11"/>
      <c r="N991" s="10" t="s">
        <v>404</v>
      </c>
      <c r="O991" s="10" t="s">
        <v>40</v>
      </c>
      <c r="T991" s="3"/>
      <c r="U991" s="83" t="s">
        <v>1539</v>
      </c>
      <c r="V991" s="55" t="s">
        <v>1633</v>
      </c>
      <c r="W991" s="56"/>
      <c r="X991" s="45"/>
    </row>
    <row r="992" spans="1:24">
      <c r="A992" s="58" t="s">
        <v>188</v>
      </c>
      <c r="B992" s="146">
        <v>44448.114583333299</v>
      </c>
      <c r="C992" s="140">
        <v>6</v>
      </c>
      <c r="D992" s="134" t="s">
        <v>205</v>
      </c>
      <c r="E992" s="7" t="s">
        <v>57</v>
      </c>
      <c r="F992" s="44" t="s">
        <v>282</v>
      </c>
      <c r="G992" s="43">
        <v>72.599999999999994</v>
      </c>
      <c r="H992" s="43">
        <v>30.5</v>
      </c>
      <c r="I992">
        <f>表1_4[[#This Row],[主队2]]-表1_4[[#This Row],[客队2]]</f>
        <v>42.1</v>
      </c>
      <c r="J992" s="34">
        <v>4.5</v>
      </c>
      <c r="K992" s="35" t="s">
        <v>38</v>
      </c>
      <c r="L99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992" s="11"/>
      <c r="N992" s="10" t="s">
        <v>119</v>
      </c>
      <c r="O992" s="10" t="s">
        <v>40</v>
      </c>
      <c r="T992" s="3"/>
      <c r="U992" s="246" t="s">
        <v>1634</v>
      </c>
      <c r="V992" s="231" t="s">
        <v>1038</v>
      </c>
      <c r="W992" s="44"/>
      <c r="X992" s="45"/>
    </row>
    <row r="993" spans="1:25">
      <c r="A993" s="58" t="s">
        <v>188</v>
      </c>
      <c r="B993" s="146">
        <v>44448.114583333299</v>
      </c>
      <c r="C993" s="141">
        <v>6</v>
      </c>
      <c r="D993" s="134" t="s">
        <v>302</v>
      </c>
      <c r="E993" s="7" t="s">
        <v>36</v>
      </c>
      <c r="F993" s="139" t="s">
        <v>117</v>
      </c>
      <c r="G993" s="43">
        <v>86.1</v>
      </c>
      <c r="H993" s="43">
        <v>96</v>
      </c>
      <c r="I993">
        <f>表1_4[[#This Row],[主队2]]-表1_4[[#This Row],[客队2]]</f>
        <v>-9.9000000000000092</v>
      </c>
      <c r="J99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993" s="35" t="s">
        <v>111</v>
      </c>
      <c r="L99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93" s="11"/>
      <c r="N993" s="10" t="s">
        <v>119</v>
      </c>
      <c r="O993" s="10" t="s">
        <v>28</v>
      </c>
      <c r="R993" t="s">
        <v>852</v>
      </c>
      <c r="T993" s="3"/>
      <c r="U993" s="246"/>
      <c r="V993" s="54" t="s">
        <v>1635</v>
      </c>
      <c r="W993" s="51"/>
      <c r="X993" s="45"/>
    </row>
    <row r="994" spans="1:25">
      <c r="A994" s="58" t="s">
        <v>188</v>
      </c>
      <c r="B994" s="127">
        <v>44448.114583333299</v>
      </c>
      <c r="C994" s="138">
        <v>6</v>
      </c>
      <c r="D994" s="134" t="s">
        <v>271</v>
      </c>
      <c r="E994" s="7" t="s">
        <v>33</v>
      </c>
      <c r="F994" s="139" t="s">
        <v>243</v>
      </c>
      <c r="G994" s="43">
        <v>77.8</v>
      </c>
      <c r="H994" s="43">
        <v>46.1</v>
      </c>
      <c r="I994">
        <f>表1_4[[#This Row],[主队2]]-表1_4[[#This Row],[客队2]]</f>
        <v>31.7</v>
      </c>
      <c r="J994" s="34">
        <v>3.5</v>
      </c>
      <c r="K994" s="35" t="s">
        <v>34</v>
      </c>
      <c r="L99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94" s="63" t="s">
        <v>1151</v>
      </c>
      <c r="N994" s="46" t="s">
        <v>1072</v>
      </c>
      <c r="O994" s="10" t="s">
        <v>40</v>
      </c>
      <c r="T994" s="3"/>
      <c r="U994" s="246" t="s">
        <v>126</v>
      </c>
      <c r="V994" s="231" t="s">
        <v>667</v>
      </c>
      <c r="W994" s="44"/>
      <c r="X994" s="45"/>
    </row>
    <row r="995" spans="1:25">
      <c r="A995" s="58" t="s">
        <v>188</v>
      </c>
      <c r="B995" s="146">
        <v>44448</v>
      </c>
      <c r="C995" s="138">
        <v>6</v>
      </c>
      <c r="D995" s="134" t="s">
        <v>287</v>
      </c>
      <c r="E995" s="7" t="s">
        <v>36</v>
      </c>
      <c r="F995" s="139" t="s">
        <v>437</v>
      </c>
      <c r="G995" s="43">
        <v>70.3</v>
      </c>
      <c r="H995" s="43">
        <v>46.4</v>
      </c>
      <c r="I995">
        <f>表1_4[[#This Row],[主队2]]-表1_4[[#This Row],[客队2]]</f>
        <v>23.9</v>
      </c>
      <c r="J995" s="34">
        <v>2.75</v>
      </c>
      <c r="K995" s="35" t="s">
        <v>26</v>
      </c>
      <c r="L99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95" s="11"/>
      <c r="N995" s="10" t="s">
        <v>112</v>
      </c>
      <c r="O995" s="10" t="s">
        <v>35</v>
      </c>
      <c r="T995" s="3"/>
      <c r="U995" s="83" t="s">
        <v>1437</v>
      </c>
      <c r="V995" s="55" t="s">
        <v>961</v>
      </c>
      <c r="W995" s="44"/>
      <c r="X995" s="45"/>
    </row>
    <row r="996" spans="1:25">
      <c r="A996" s="58" t="s">
        <v>188</v>
      </c>
      <c r="B996" s="146">
        <v>44448.114583333299</v>
      </c>
      <c r="C996" s="138">
        <v>6</v>
      </c>
      <c r="D996" s="134" t="s">
        <v>218</v>
      </c>
      <c r="E996" s="7" t="s">
        <v>61</v>
      </c>
      <c r="F996" s="139" t="s">
        <v>116</v>
      </c>
      <c r="G996" s="43">
        <v>75.599999999999994</v>
      </c>
      <c r="H996" s="43">
        <v>93.9</v>
      </c>
      <c r="I996">
        <f>表1_4[[#This Row],[主队2]]-表1_4[[#This Row],[客队2]]</f>
        <v>-18.3</v>
      </c>
      <c r="J99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996" s="35" t="s">
        <v>666</v>
      </c>
      <c r="L99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996" s="11"/>
      <c r="N996" s="10" t="s">
        <v>112</v>
      </c>
      <c r="O996" s="10" t="s">
        <v>40</v>
      </c>
      <c r="R996" t="s">
        <v>852</v>
      </c>
      <c r="T996" s="3"/>
      <c r="U996" s="25" t="s">
        <v>236</v>
      </c>
      <c r="V996" s="54" t="s">
        <v>1636</v>
      </c>
      <c r="W996" s="52"/>
      <c r="X996" s="45"/>
    </row>
    <row r="997" spans="1:25">
      <c r="A997" s="58" t="s">
        <v>188</v>
      </c>
      <c r="B997" s="146">
        <v>44448.114583333299</v>
      </c>
      <c r="C997" s="141">
        <v>6</v>
      </c>
      <c r="D997" s="134" t="s">
        <v>440</v>
      </c>
      <c r="E997" s="7" t="s">
        <v>42</v>
      </c>
      <c r="F997" s="139" t="s">
        <v>305</v>
      </c>
      <c r="G997" s="43">
        <v>73</v>
      </c>
      <c r="H997" s="43">
        <v>80.900000000000006</v>
      </c>
      <c r="I997">
        <f>表1_4[[#This Row],[主队2]]-表1_4[[#This Row],[客队2]]</f>
        <v>-7.9000000000000101</v>
      </c>
      <c r="J99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997" s="35" t="s">
        <v>166</v>
      </c>
      <c r="L99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97" s="11"/>
      <c r="N997" s="10" t="s">
        <v>112</v>
      </c>
      <c r="O997" s="10" t="s">
        <v>35</v>
      </c>
      <c r="R997" t="s">
        <v>852</v>
      </c>
      <c r="T997" s="3"/>
      <c r="U997" s="83" t="s">
        <v>177</v>
      </c>
      <c r="V997" s="55" t="s">
        <v>1637</v>
      </c>
      <c r="W997" s="48"/>
      <c r="X997" s="45"/>
    </row>
    <row r="998" spans="1:25">
      <c r="A998" s="58" t="s">
        <v>222</v>
      </c>
      <c r="B998" s="146">
        <v>44448.333333333299</v>
      </c>
      <c r="C998" s="145" t="s">
        <v>34</v>
      </c>
      <c r="D998" s="134" t="s">
        <v>225</v>
      </c>
      <c r="E998" s="7" t="s">
        <v>36</v>
      </c>
      <c r="F998" s="139" t="s">
        <v>229</v>
      </c>
      <c r="G998" s="43">
        <v>73.400000000000006</v>
      </c>
      <c r="H998" s="43">
        <v>88.7</v>
      </c>
      <c r="I998">
        <f>表1_4[[#This Row],[主队2]]-表1_4[[#This Row],[客队2]]</f>
        <v>-15.3</v>
      </c>
      <c r="J99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998" s="35" t="s">
        <v>111</v>
      </c>
      <c r="L99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998" s="63" t="s">
        <v>1638</v>
      </c>
      <c r="N998" s="46" t="s">
        <v>112</v>
      </c>
      <c r="O998" s="10" t="s">
        <v>35</v>
      </c>
      <c r="T998" s="3"/>
      <c r="U998" s="246" t="s">
        <v>988</v>
      </c>
      <c r="V998" s="231" t="s">
        <v>1639</v>
      </c>
      <c r="W998" s="241"/>
      <c r="X998" s="45"/>
    </row>
    <row r="999" spans="1:25">
      <c r="A999" s="58" t="s">
        <v>948</v>
      </c>
      <c r="B999" s="127">
        <v>44476.114583333299</v>
      </c>
      <c r="C999" s="138" t="s">
        <v>1296</v>
      </c>
      <c r="D999" s="275" t="s">
        <v>204</v>
      </c>
      <c r="E999" s="7" t="s">
        <v>60</v>
      </c>
      <c r="F999" s="139" t="s">
        <v>209</v>
      </c>
      <c r="G999" s="43">
        <v>95.3</v>
      </c>
      <c r="H999" s="43">
        <v>95.6</v>
      </c>
      <c r="I999">
        <f>表1_4[[#This Row],[主队2]]-表1_4[[#This Row],[客队2]]</f>
        <v>-0.29999999999999699</v>
      </c>
      <c r="J99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999" s="35" t="s">
        <v>182</v>
      </c>
      <c r="L99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999" s="72" t="s">
        <v>365</v>
      </c>
      <c r="N999" s="10" t="s">
        <v>119</v>
      </c>
      <c r="O999" s="57" t="s">
        <v>27</v>
      </c>
      <c r="R999" t="s">
        <v>855</v>
      </c>
      <c r="T999" s="3"/>
      <c r="U999" s="83"/>
      <c r="V999" s="231" t="s">
        <v>1640</v>
      </c>
      <c r="W999" s="241"/>
      <c r="X999" s="238" t="s">
        <v>395</v>
      </c>
      <c r="Y999" s="250">
        <v>90</v>
      </c>
    </row>
    <row r="1000" spans="1:25" ht="28.9">
      <c r="A1000" s="58" t="s">
        <v>948</v>
      </c>
      <c r="B1000" s="146">
        <v>44477.114583333299</v>
      </c>
      <c r="C1000" s="140" t="s">
        <v>1296</v>
      </c>
      <c r="D1000" s="134" t="s">
        <v>274</v>
      </c>
      <c r="E1000" s="7" t="s">
        <v>62</v>
      </c>
      <c r="F1000" s="139" t="s">
        <v>267</v>
      </c>
      <c r="G1000" s="43">
        <v>98.3</v>
      </c>
      <c r="H1000" s="43">
        <v>93.9</v>
      </c>
      <c r="I1000">
        <f>表1_4[[#This Row],[主队2]]-表1_4[[#This Row],[客队2]]</f>
        <v>4.3999999999999897</v>
      </c>
      <c r="J1000" s="34">
        <v>0.5</v>
      </c>
      <c r="K1000" s="35" t="s">
        <v>152</v>
      </c>
      <c r="L100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00" s="11"/>
      <c r="N1000" s="10" t="s">
        <v>133</v>
      </c>
      <c r="O1000" s="10" t="s">
        <v>40</v>
      </c>
      <c r="T1000" s="3"/>
      <c r="U1000" s="83" t="s">
        <v>1641</v>
      </c>
      <c r="V1000" s="62" t="s">
        <v>1642</v>
      </c>
      <c r="W1000" s="44"/>
      <c r="X1000" s="45"/>
    </row>
    <row r="1001" spans="1:25">
      <c r="A1001" s="58" t="s">
        <v>128</v>
      </c>
      <c r="B1001" s="146">
        <v>44476.791666666701</v>
      </c>
      <c r="C1001" s="140">
        <v>3</v>
      </c>
      <c r="D1001" s="134" t="s">
        <v>185</v>
      </c>
      <c r="E1001" s="7" t="s">
        <v>33</v>
      </c>
      <c r="F1001" s="139" t="s">
        <v>130</v>
      </c>
      <c r="G1001" s="43">
        <v>76.400000000000006</v>
      </c>
      <c r="H1001" s="43">
        <v>68.900000000000006</v>
      </c>
      <c r="I1001">
        <f>表1_4[[#This Row],[主队2]]-表1_4[[#This Row],[客队2]]</f>
        <v>7.5</v>
      </c>
      <c r="J100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001" s="35" t="s">
        <v>81</v>
      </c>
      <c r="L100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001" s="63" t="s">
        <v>1643</v>
      </c>
      <c r="N1001" s="46" t="s">
        <v>133</v>
      </c>
      <c r="O1001" s="10" t="s">
        <v>40</v>
      </c>
      <c r="T1001" s="3"/>
      <c r="U1001" s="83" t="s">
        <v>718</v>
      </c>
      <c r="V1001" s="55" t="s">
        <v>1644</v>
      </c>
      <c r="W1001" s="44"/>
      <c r="X1001" s="45"/>
    </row>
    <row r="1002" spans="1:25">
      <c r="A1002" s="58" t="s">
        <v>128</v>
      </c>
      <c r="B1002" s="127">
        <v>44476.9375</v>
      </c>
      <c r="C1002" s="138">
        <v>3</v>
      </c>
      <c r="D1002" s="134" t="s">
        <v>141</v>
      </c>
      <c r="E1002" s="7" t="s">
        <v>42</v>
      </c>
      <c r="F1002" s="139" t="s">
        <v>1005</v>
      </c>
      <c r="G1002" s="43">
        <v>71.099999999999994</v>
      </c>
      <c r="H1002" s="43">
        <v>61.2</v>
      </c>
      <c r="I1002">
        <f>表1_4[[#This Row],[主队2]]-表1_4[[#This Row],[客队2]]</f>
        <v>9.8999999999999897</v>
      </c>
      <c r="J1002" s="34">
        <v>1</v>
      </c>
      <c r="K1002" s="35" t="s">
        <v>118</v>
      </c>
      <c r="L100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02" s="63" t="s">
        <v>1484</v>
      </c>
      <c r="N1002" s="10" t="s">
        <v>119</v>
      </c>
      <c r="O1002" s="57" t="s">
        <v>28</v>
      </c>
      <c r="R1002" t="s">
        <v>855</v>
      </c>
      <c r="T1002" s="3"/>
      <c r="U1002" s="111" t="s">
        <v>776</v>
      </c>
      <c r="V1002" s="234" t="s">
        <v>1645</v>
      </c>
      <c r="W1002" s="44"/>
      <c r="X1002" s="45"/>
    </row>
    <row r="1003" spans="1:25">
      <c r="A1003" s="58" t="s">
        <v>128</v>
      </c>
      <c r="B1003" s="146">
        <v>44477.03125</v>
      </c>
      <c r="C1003" s="140">
        <v>3</v>
      </c>
      <c r="D1003" s="134" t="s">
        <v>146</v>
      </c>
      <c r="E1003" s="7" t="s">
        <v>53</v>
      </c>
      <c r="F1003" s="139" t="s">
        <v>151</v>
      </c>
      <c r="G1003" s="43">
        <v>67.8</v>
      </c>
      <c r="H1003" s="43">
        <v>84.7</v>
      </c>
      <c r="I1003">
        <f>表1_4[[#This Row],[主队2]]-表1_4[[#This Row],[客队2]]</f>
        <v>-16.899999999999999</v>
      </c>
      <c r="J100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003" s="35" t="s">
        <v>152</v>
      </c>
      <c r="L100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003" s="11"/>
      <c r="N1003" s="10" t="s">
        <v>160</v>
      </c>
      <c r="O1003" s="10" t="s">
        <v>24</v>
      </c>
      <c r="T1003" s="3"/>
      <c r="U1003" s="25"/>
      <c r="V1003" s="54" t="s">
        <v>1646</v>
      </c>
      <c r="W1003" s="52"/>
      <c r="X1003" s="77" t="s">
        <v>433</v>
      </c>
      <c r="Y1003" s="61">
        <v>82</v>
      </c>
    </row>
    <row r="1004" spans="1:25">
      <c r="A1004" s="58" t="s">
        <v>128</v>
      </c>
      <c r="B1004" s="146">
        <v>44477.041666666701</v>
      </c>
      <c r="C1004" s="140">
        <v>3</v>
      </c>
      <c r="D1004" s="134" t="s">
        <v>138</v>
      </c>
      <c r="E1004" s="7" t="s">
        <v>31</v>
      </c>
      <c r="F1004" s="139" t="s">
        <v>147</v>
      </c>
      <c r="G1004" s="43">
        <v>74.900000000000006</v>
      </c>
      <c r="H1004" s="43">
        <v>83.1</v>
      </c>
      <c r="I1004">
        <f>表1_4[[#This Row],[主队2]]-表1_4[[#This Row],[客队2]]</f>
        <v>-8.1999999999999904</v>
      </c>
      <c r="J100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004" s="35" t="s">
        <v>152</v>
      </c>
      <c r="L100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04" s="11"/>
      <c r="T1004" s="3"/>
      <c r="U1004" s="246"/>
      <c r="V1004" s="80" t="s">
        <v>1647</v>
      </c>
      <c r="W1004" s="44"/>
      <c r="X1004" s="45"/>
    </row>
    <row r="1005" spans="1:25">
      <c r="A1005" s="58" t="s">
        <v>128</v>
      </c>
      <c r="B1005" s="146">
        <v>44477.041666666701</v>
      </c>
      <c r="C1005" s="140">
        <v>3</v>
      </c>
      <c r="D1005" s="134" t="s">
        <v>109</v>
      </c>
      <c r="E1005" s="7" t="s">
        <v>29</v>
      </c>
      <c r="F1005" s="139" t="s">
        <v>1002</v>
      </c>
      <c r="G1005" s="43">
        <v>69.2</v>
      </c>
      <c r="H1005" s="43">
        <v>60.3</v>
      </c>
      <c r="I1005">
        <f>表1_4[[#This Row],[主队2]]-表1_4[[#This Row],[客队2]]</f>
        <v>8.9000000000000092</v>
      </c>
      <c r="J1005" s="34">
        <v>1</v>
      </c>
      <c r="K1005" s="35" t="s">
        <v>118</v>
      </c>
      <c r="L100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05" s="11"/>
      <c r="N1005" s="10" t="s">
        <v>119</v>
      </c>
      <c r="O1005" s="10" t="s">
        <v>46</v>
      </c>
      <c r="R1005" t="s">
        <v>852</v>
      </c>
      <c r="T1005" s="3"/>
      <c r="U1005" s="83" t="s">
        <v>776</v>
      </c>
      <c r="V1005" s="62" t="s">
        <v>1648</v>
      </c>
      <c r="W1005" s="44"/>
      <c r="X1005" s="45"/>
    </row>
    <row r="1006" spans="1:25" ht="28.9">
      <c r="A1006" s="58" t="s">
        <v>128</v>
      </c>
      <c r="B1006" s="146">
        <v>44477.104166666701</v>
      </c>
      <c r="C1006" s="138">
        <v>3</v>
      </c>
      <c r="D1006" s="134" t="s">
        <v>142</v>
      </c>
      <c r="E1006" s="7" t="s">
        <v>41</v>
      </c>
      <c r="F1006" s="139" t="s">
        <v>1093</v>
      </c>
      <c r="G1006" s="43">
        <v>81.900000000000006</v>
      </c>
      <c r="H1006" s="43">
        <v>64.400000000000006</v>
      </c>
      <c r="I1006">
        <f>表1_4[[#This Row],[主队2]]-表1_4[[#This Row],[客队2]]</f>
        <v>17.5</v>
      </c>
      <c r="J1006" s="34">
        <v>1.75</v>
      </c>
      <c r="K1006" s="35" t="s">
        <v>176</v>
      </c>
      <c r="L100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006" s="11"/>
      <c r="N1006" s="10" t="s">
        <v>112</v>
      </c>
      <c r="O1006" s="10" t="s">
        <v>40</v>
      </c>
      <c r="R1006" t="s">
        <v>852</v>
      </c>
      <c r="T1006" s="3"/>
      <c r="U1006" s="25" t="s">
        <v>1649</v>
      </c>
      <c r="V1006" s="54" t="s">
        <v>1650</v>
      </c>
      <c r="W1006" s="44"/>
      <c r="X1006" s="45"/>
    </row>
    <row r="1007" spans="1:25">
      <c r="A1007" s="58" t="s">
        <v>156</v>
      </c>
      <c r="B1007" s="146">
        <v>44477.291666666701</v>
      </c>
      <c r="C1007" s="141">
        <v>11</v>
      </c>
      <c r="D1007" s="134" t="s">
        <v>170</v>
      </c>
      <c r="E1007" s="7" t="s">
        <v>42</v>
      </c>
      <c r="F1007" s="139" t="s">
        <v>158</v>
      </c>
      <c r="G1007" s="43">
        <v>90.1</v>
      </c>
      <c r="H1007" s="43">
        <v>91.6</v>
      </c>
      <c r="I1007">
        <f>表1_4[[#This Row],[主队2]]-表1_4[[#This Row],[客队2]]</f>
        <v>-1.5</v>
      </c>
      <c r="J100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007" s="35" t="s">
        <v>289</v>
      </c>
      <c r="L100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007" s="11"/>
      <c r="N1007" s="10" t="s">
        <v>119</v>
      </c>
      <c r="O1007" s="46" t="s">
        <v>48</v>
      </c>
      <c r="R1007" t="s">
        <v>852</v>
      </c>
      <c r="T1007" s="3"/>
      <c r="U1007" s="83"/>
      <c r="V1007" s="55" t="s">
        <v>1386</v>
      </c>
      <c r="W1007" s="44"/>
      <c r="X1007" s="45"/>
    </row>
    <row r="1008" spans="1:25">
      <c r="A1008" s="58" t="s">
        <v>156</v>
      </c>
      <c r="B1008" s="146">
        <v>44477.291666666701</v>
      </c>
      <c r="C1008" s="141">
        <v>11</v>
      </c>
      <c r="D1008" s="134" t="s">
        <v>164</v>
      </c>
      <c r="E1008" s="7" t="s">
        <v>42</v>
      </c>
      <c r="F1008" s="139" t="s">
        <v>174</v>
      </c>
      <c r="G1008" s="43">
        <v>84.6</v>
      </c>
      <c r="H1008" s="43">
        <v>96.3</v>
      </c>
      <c r="I1008">
        <f>表1_4[[#This Row],[主队2]]-表1_4[[#This Row],[客队2]]</f>
        <v>-11.7</v>
      </c>
      <c r="J100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008" s="35" t="s">
        <v>111</v>
      </c>
      <c r="L100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08" s="11"/>
      <c r="T1008" s="3"/>
      <c r="U1008" s="246"/>
      <c r="V1008" s="231" t="s">
        <v>1651</v>
      </c>
      <c r="W1008" s="51"/>
      <c r="X1008" s="45"/>
    </row>
    <row r="1009" spans="1:24">
      <c r="A1009" s="58" t="s">
        <v>156</v>
      </c>
      <c r="B1009" s="146">
        <v>44477.3125</v>
      </c>
      <c r="C1009" s="138">
        <v>11</v>
      </c>
      <c r="D1009" s="134" t="s">
        <v>180</v>
      </c>
      <c r="E1009" s="7" t="s">
        <v>74</v>
      </c>
      <c r="F1009" s="139" t="s">
        <v>171</v>
      </c>
      <c r="G1009" s="43">
        <v>82.1</v>
      </c>
      <c r="H1009" s="43">
        <v>101.1</v>
      </c>
      <c r="I1009">
        <f>表1_4[[#This Row],[主队2]]-表1_4[[#This Row],[客队2]]</f>
        <v>-19</v>
      </c>
      <c r="J100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009" s="35" t="s">
        <v>219</v>
      </c>
      <c r="L100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09" s="11"/>
      <c r="N1009" s="10" t="s">
        <v>112</v>
      </c>
      <c r="O1009" s="10" t="s">
        <v>35</v>
      </c>
      <c r="T1009" s="3"/>
      <c r="U1009" s="25" t="s">
        <v>177</v>
      </c>
      <c r="V1009" s="80" t="s">
        <v>1652</v>
      </c>
      <c r="W1009" s="44"/>
      <c r="X1009" s="45"/>
    </row>
    <row r="1010" spans="1:24">
      <c r="A1010" s="58" t="s">
        <v>156</v>
      </c>
      <c r="B1010" s="146">
        <v>44477.354166666701</v>
      </c>
      <c r="C1010" s="138">
        <v>11</v>
      </c>
      <c r="D1010" s="134" t="s">
        <v>165</v>
      </c>
      <c r="E1010" s="7" t="s">
        <v>44</v>
      </c>
      <c r="F1010" s="139" t="s">
        <v>159</v>
      </c>
      <c r="G1010" s="43">
        <v>85.5</v>
      </c>
      <c r="H1010" s="43">
        <v>74.7</v>
      </c>
      <c r="I1010">
        <f>表1_4[[#This Row],[主队2]]-表1_4[[#This Row],[客队2]]</f>
        <v>10.8</v>
      </c>
      <c r="J101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010" s="35" t="s">
        <v>81</v>
      </c>
      <c r="L101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010" s="11"/>
      <c r="N1010" s="10" t="s">
        <v>160</v>
      </c>
      <c r="O1010" s="10" t="s">
        <v>35</v>
      </c>
      <c r="R1010" t="s">
        <v>855</v>
      </c>
      <c r="T1010" s="3"/>
      <c r="U1010" s="25" t="s">
        <v>226</v>
      </c>
      <c r="V1010" s="80" t="s">
        <v>1653</v>
      </c>
      <c r="W1010" s="44"/>
      <c r="X1010" s="45"/>
    </row>
    <row r="1011" spans="1:24">
      <c r="A1011" s="58" t="s">
        <v>156</v>
      </c>
      <c r="B1011" s="125">
        <v>44477.375</v>
      </c>
      <c r="C1011" s="140">
        <v>11</v>
      </c>
      <c r="D1011" s="134" t="s">
        <v>181</v>
      </c>
      <c r="E1011" s="7" t="s">
        <v>22</v>
      </c>
      <c r="F1011" s="139" t="s">
        <v>175</v>
      </c>
      <c r="G1011" s="43">
        <v>84.5</v>
      </c>
      <c r="H1011" s="43">
        <v>85.7</v>
      </c>
      <c r="I1011">
        <f>表1_4[[#This Row],[主队2]]-表1_4[[#This Row],[客队2]]</f>
        <v>-1.2</v>
      </c>
      <c r="J101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011" s="35" t="s">
        <v>166</v>
      </c>
      <c r="L101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11" s="11"/>
      <c r="N1011" s="10" t="s">
        <v>119</v>
      </c>
      <c r="O1011" s="10" t="s">
        <v>46</v>
      </c>
      <c r="R1011" t="s">
        <v>855</v>
      </c>
      <c r="T1011" s="3"/>
      <c r="U1011" s="25"/>
      <c r="V1011" s="54" t="s">
        <v>1654</v>
      </c>
      <c r="W1011" s="241"/>
      <c r="X1011" s="45"/>
    </row>
    <row r="1012" spans="1:24">
      <c r="A1012" s="58" t="s">
        <v>222</v>
      </c>
      <c r="B1012" s="146">
        <v>44477.3125</v>
      </c>
      <c r="C1012" s="138">
        <v>14</v>
      </c>
      <c r="D1012" s="134" t="s">
        <v>234</v>
      </c>
      <c r="E1012" s="7" t="s">
        <v>22</v>
      </c>
      <c r="F1012" s="139" t="s">
        <v>1604</v>
      </c>
      <c r="G1012" s="43">
        <v>86.1</v>
      </c>
      <c r="H1012" s="43">
        <v>74</v>
      </c>
      <c r="I1012">
        <f>表1_4[[#This Row],[主队2]]-表1_4[[#This Row],[客队2]]</f>
        <v>12.1</v>
      </c>
      <c r="J101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012" s="35" t="s">
        <v>125</v>
      </c>
      <c r="L101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12" s="11"/>
      <c r="N1012" s="10" t="s">
        <v>112</v>
      </c>
      <c r="O1012" s="10" t="s">
        <v>35</v>
      </c>
      <c r="T1012" s="3"/>
      <c r="U1012" s="25" t="s">
        <v>1655</v>
      </c>
      <c r="V1012" s="54" t="s">
        <v>1656</v>
      </c>
      <c r="W1012" s="52"/>
      <c r="X1012" s="45"/>
    </row>
    <row r="1013" spans="1:24">
      <c r="A1013" s="58" t="s">
        <v>222</v>
      </c>
      <c r="B1013" s="146">
        <v>44477.336805555598</v>
      </c>
      <c r="C1013" s="141">
        <v>14</v>
      </c>
      <c r="D1013" s="134" t="s">
        <v>235</v>
      </c>
      <c r="E1013" s="7" t="s">
        <v>42</v>
      </c>
      <c r="F1013" s="139" t="s">
        <v>230</v>
      </c>
      <c r="G1013" s="43">
        <v>73.599999999999994</v>
      </c>
      <c r="H1013" s="43">
        <v>75.900000000000006</v>
      </c>
      <c r="I1013">
        <f>表1_4[[#This Row],[主队2]]-表1_4[[#This Row],[客队2]]</f>
        <v>-2.30000000000001</v>
      </c>
      <c r="J101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013" s="35" t="s">
        <v>152</v>
      </c>
      <c r="L101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013" s="11"/>
      <c r="N1013" s="10" t="s">
        <v>133</v>
      </c>
      <c r="O1013" s="10" t="s">
        <v>40</v>
      </c>
      <c r="R1013" t="s">
        <v>852</v>
      </c>
      <c r="T1013" s="3"/>
      <c r="U1013" s="83" t="s">
        <v>1657</v>
      </c>
      <c r="V1013" s="62" t="s">
        <v>1658</v>
      </c>
      <c r="W1013" s="44"/>
      <c r="X1013" s="45"/>
    </row>
    <row r="1014" spans="1:24">
      <c r="A1014" s="58" t="s">
        <v>222</v>
      </c>
      <c r="B1014" s="146">
        <v>44477.402777777803</v>
      </c>
      <c r="C1014" s="138">
        <v>14</v>
      </c>
      <c r="D1014" s="134" t="s">
        <v>229</v>
      </c>
      <c r="E1014" s="7" t="s">
        <v>36</v>
      </c>
      <c r="F1014" s="139" t="s">
        <v>124</v>
      </c>
      <c r="G1014" s="43">
        <v>88.1</v>
      </c>
      <c r="H1014" s="43">
        <v>82.2</v>
      </c>
      <c r="I1014">
        <f>表1_4[[#This Row],[主队2]]-表1_4[[#This Row],[客队2]]</f>
        <v>5.8999999999999897</v>
      </c>
      <c r="J101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014" s="35" t="s">
        <v>118</v>
      </c>
      <c r="L101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14" s="11"/>
      <c r="N1014" s="10" t="s">
        <v>112</v>
      </c>
      <c r="O1014" s="10" t="s">
        <v>48</v>
      </c>
      <c r="R1014" t="s">
        <v>852</v>
      </c>
      <c r="T1014" s="3"/>
      <c r="U1014" s="246"/>
      <c r="V1014" s="234" t="s">
        <v>1659</v>
      </c>
      <c r="W1014" s="48"/>
      <c r="X1014" s="45"/>
    </row>
    <row r="1015" spans="1:24">
      <c r="A1015" s="58" t="s">
        <v>222</v>
      </c>
      <c r="B1015" s="146">
        <v>44477.420138888898</v>
      </c>
      <c r="C1015" s="141">
        <v>14</v>
      </c>
      <c r="D1015" s="134" t="s">
        <v>1606</v>
      </c>
      <c r="E1015" s="7" t="s">
        <v>31</v>
      </c>
      <c r="F1015" s="139" t="s">
        <v>225</v>
      </c>
      <c r="G1015" s="43">
        <v>67.7</v>
      </c>
      <c r="H1015" s="43">
        <v>74</v>
      </c>
      <c r="I1015">
        <f>表1_4[[#This Row],[主队2]]-表1_4[[#This Row],[客队2]]</f>
        <v>-6.3</v>
      </c>
      <c r="J101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015" s="35" t="s">
        <v>152</v>
      </c>
      <c r="L101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15" s="11"/>
      <c r="T1015" s="3"/>
      <c r="U1015" s="83"/>
      <c r="V1015" s="55" t="s">
        <v>1660</v>
      </c>
      <c r="W1015" s="48"/>
      <c r="X1015" s="45"/>
    </row>
    <row r="1016" spans="1:24">
      <c r="A1016" s="58" t="s">
        <v>188</v>
      </c>
      <c r="B1016" s="146">
        <v>44478.114583333299</v>
      </c>
      <c r="C1016" s="138">
        <v>7</v>
      </c>
      <c r="D1016" s="134" t="s">
        <v>284</v>
      </c>
      <c r="E1016" s="7" t="s">
        <v>25</v>
      </c>
      <c r="F1016" s="139" t="s">
        <v>200</v>
      </c>
      <c r="G1016" s="43">
        <v>83.7</v>
      </c>
      <c r="H1016" s="43">
        <v>82.5</v>
      </c>
      <c r="I1016">
        <f>表1_4[[#This Row],[主队2]]-表1_4[[#This Row],[客队2]]</f>
        <v>1.2</v>
      </c>
      <c r="J101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016" s="35" t="s">
        <v>118</v>
      </c>
      <c r="L101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016" s="11"/>
      <c r="N1016" s="10" t="s">
        <v>119</v>
      </c>
      <c r="O1016" s="57" t="s">
        <v>48</v>
      </c>
      <c r="T1016" s="3"/>
      <c r="U1016" s="231"/>
      <c r="V1016" s="231" t="s">
        <v>1661</v>
      </c>
      <c r="W1016" s="231"/>
      <c r="X1016" s="137"/>
    </row>
    <row r="1017" spans="1:24">
      <c r="A1017" s="58" t="s">
        <v>188</v>
      </c>
      <c r="B1017" s="146">
        <v>44478.114583333299</v>
      </c>
      <c r="C1017" s="141">
        <v>7</v>
      </c>
      <c r="D1017" s="70" t="s">
        <v>403</v>
      </c>
      <c r="E1017" s="7" t="s">
        <v>22</v>
      </c>
      <c r="F1017" s="139" t="s">
        <v>240</v>
      </c>
      <c r="G1017" s="43">
        <v>66.2</v>
      </c>
      <c r="H1017" s="43">
        <v>72</v>
      </c>
      <c r="I1017">
        <f>表1_4[[#This Row],[主队2]]-表1_4[[#This Row],[客队2]]</f>
        <v>-5.8</v>
      </c>
      <c r="J101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017" s="35" t="s">
        <v>152</v>
      </c>
      <c r="L101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17" s="11"/>
      <c r="N1017" s="10" t="s">
        <v>133</v>
      </c>
      <c r="O1017" s="10" t="s">
        <v>65</v>
      </c>
      <c r="R1017" t="s">
        <v>855</v>
      </c>
      <c r="T1017" s="3"/>
      <c r="U1017" s="83"/>
      <c r="V1017" s="282" t="s">
        <v>1662</v>
      </c>
      <c r="W1017" s="44"/>
      <c r="X1017" s="45"/>
    </row>
    <row r="1018" spans="1:24">
      <c r="A1018" s="58" t="s">
        <v>188</v>
      </c>
      <c r="B1018" s="146">
        <v>44478.114583333299</v>
      </c>
      <c r="C1018" s="140">
        <v>7</v>
      </c>
      <c r="D1018" s="134" t="s">
        <v>256</v>
      </c>
      <c r="E1018" s="7" t="s">
        <v>64</v>
      </c>
      <c r="F1018" s="139" t="s">
        <v>301</v>
      </c>
      <c r="G1018" s="43">
        <v>39.799999999999997</v>
      </c>
      <c r="H1018" s="43">
        <v>72.099999999999994</v>
      </c>
      <c r="I1018">
        <f>表1_4[[#This Row],[主队2]]-表1_4[[#This Row],[客队2]]</f>
        <v>-32.299999999999997</v>
      </c>
      <c r="J1018" s="34">
        <v>-3</v>
      </c>
      <c r="K1018" s="35" t="s">
        <v>1016</v>
      </c>
      <c r="L101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18" s="11"/>
      <c r="N1018" s="10" t="s">
        <v>1139</v>
      </c>
      <c r="O1018" s="10" t="s">
        <v>40</v>
      </c>
      <c r="R1018" t="s">
        <v>855</v>
      </c>
      <c r="T1018" s="3"/>
      <c r="U1018" s="25" t="s">
        <v>508</v>
      </c>
      <c r="V1018" s="62" t="s">
        <v>1663</v>
      </c>
      <c r="W1018" s="44"/>
      <c r="X1018" s="45"/>
    </row>
    <row r="1019" spans="1:24">
      <c r="A1019" s="58" t="s">
        <v>188</v>
      </c>
      <c r="B1019" s="146">
        <v>44478.114583333299</v>
      </c>
      <c r="C1019" s="140">
        <v>7</v>
      </c>
      <c r="D1019" s="134" t="s">
        <v>251</v>
      </c>
      <c r="E1019" s="7" t="s">
        <v>53</v>
      </c>
      <c r="F1019" s="139" t="s">
        <v>262</v>
      </c>
      <c r="G1019" s="43">
        <v>62.6</v>
      </c>
      <c r="H1019" s="43">
        <v>92.3</v>
      </c>
      <c r="I1019">
        <f>表1_4[[#This Row],[主队2]]-表1_4[[#This Row],[客队2]]</f>
        <v>-29.7</v>
      </c>
      <c r="J1019" s="34">
        <v>-2.75</v>
      </c>
      <c r="K1019" s="35" t="s">
        <v>1016</v>
      </c>
      <c r="L101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19" s="11"/>
      <c r="N1019" s="10" t="s">
        <v>112</v>
      </c>
      <c r="O1019" s="10" t="s">
        <v>35</v>
      </c>
      <c r="R1019" t="s">
        <v>855</v>
      </c>
      <c r="T1019" s="3"/>
      <c r="U1019" s="231" t="s">
        <v>1472</v>
      </c>
      <c r="V1019" s="83" t="s">
        <v>1664</v>
      </c>
      <c r="W1019" s="83"/>
      <c r="X1019" s="135"/>
    </row>
    <row r="1020" spans="1:24">
      <c r="A1020" s="58" t="s">
        <v>188</v>
      </c>
      <c r="B1020" s="146">
        <v>44478.114583333299</v>
      </c>
      <c r="C1020" s="140">
        <v>7</v>
      </c>
      <c r="D1020" s="134" t="s">
        <v>190</v>
      </c>
      <c r="E1020" s="7" t="s">
        <v>36</v>
      </c>
      <c r="F1020" s="139" t="s">
        <v>297</v>
      </c>
      <c r="G1020" s="43">
        <v>78.7</v>
      </c>
      <c r="H1020" s="43">
        <v>80.8</v>
      </c>
      <c r="I1020">
        <f>表1_4[[#This Row],[主队2]]-表1_4[[#This Row],[客队2]]</f>
        <v>-2.0999999999999899</v>
      </c>
      <c r="J102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020" s="35" t="s">
        <v>182</v>
      </c>
      <c r="L102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020" s="11"/>
      <c r="N1020" s="10" t="s">
        <v>119</v>
      </c>
      <c r="O1020" s="10" t="s">
        <v>48</v>
      </c>
      <c r="R1020" t="s">
        <v>852</v>
      </c>
      <c r="T1020" s="3"/>
      <c r="U1020" s="83"/>
      <c r="V1020" s="243" t="s">
        <v>1665</v>
      </c>
      <c r="W1020" s="44"/>
      <c r="X1020" s="45"/>
    </row>
    <row r="1021" spans="1:24">
      <c r="A1021" s="58" t="s">
        <v>188</v>
      </c>
      <c r="B1021" s="146">
        <v>44478.114583333299</v>
      </c>
      <c r="C1021" s="138">
        <v>7</v>
      </c>
      <c r="D1021" s="134" t="s">
        <v>407</v>
      </c>
      <c r="E1021" s="7" t="s">
        <v>64</v>
      </c>
      <c r="F1021" s="139" t="s">
        <v>110</v>
      </c>
      <c r="G1021" s="43">
        <v>63</v>
      </c>
      <c r="H1021" s="43">
        <v>88.2</v>
      </c>
      <c r="I1021">
        <f>表1_4[[#This Row],[主队2]]-表1_4[[#This Row],[客队2]]</f>
        <v>-25.2</v>
      </c>
      <c r="J1021" s="34">
        <v>-2.25</v>
      </c>
      <c r="K1021" s="35" t="s">
        <v>706</v>
      </c>
      <c r="L102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021" s="11"/>
      <c r="N1021" s="10" t="s">
        <v>112</v>
      </c>
      <c r="O1021" s="10" t="s">
        <v>46</v>
      </c>
      <c r="R1021" t="s">
        <v>855</v>
      </c>
      <c r="T1021" s="3"/>
      <c r="U1021" s="83"/>
      <c r="V1021" s="231" t="s">
        <v>1666</v>
      </c>
      <c r="W1021" s="51"/>
      <c r="X1021" s="45"/>
    </row>
    <row r="1022" spans="1:24">
      <c r="A1022" s="58" t="s">
        <v>188</v>
      </c>
      <c r="B1022" s="146">
        <v>44478.114583333299</v>
      </c>
      <c r="C1022" s="138">
        <v>7</v>
      </c>
      <c r="D1022" s="134" t="s">
        <v>929</v>
      </c>
      <c r="E1022" s="7" t="s">
        <v>61</v>
      </c>
      <c r="F1022" s="139" t="s">
        <v>309</v>
      </c>
      <c r="G1022" s="43">
        <v>58.3</v>
      </c>
      <c r="H1022" s="43">
        <v>76</v>
      </c>
      <c r="I1022">
        <f>表1_4[[#This Row],[主队2]]-表1_4[[#This Row],[客队2]]</f>
        <v>-17.7</v>
      </c>
      <c r="J102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022" s="35" t="s">
        <v>245</v>
      </c>
      <c r="L102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22" s="63" t="s">
        <v>455</v>
      </c>
      <c r="N1022" s="10" t="s">
        <v>133</v>
      </c>
      <c r="O1022" s="10" t="s">
        <v>143</v>
      </c>
      <c r="T1022" s="3"/>
      <c r="U1022" s="83"/>
      <c r="V1022" s="231" t="s">
        <v>1667</v>
      </c>
      <c r="W1022" s="44"/>
      <c r="X1022" s="45"/>
    </row>
    <row r="1023" spans="1:24">
      <c r="A1023" s="58" t="s">
        <v>188</v>
      </c>
      <c r="B1023" s="146">
        <v>44478.114583333299</v>
      </c>
      <c r="C1023" s="140">
        <v>7</v>
      </c>
      <c r="D1023" s="134" t="s">
        <v>353</v>
      </c>
      <c r="E1023" s="7" t="s">
        <v>31</v>
      </c>
      <c r="F1023" s="139" t="s">
        <v>425</v>
      </c>
      <c r="G1023" s="43">
        <v>81.900000000000006</v>
      </c>
      <c r="H1023" s="43">
        <v>78.5</v>
      </c>
      <c r="I1023">
        <f>表1_4[[#This Row],[主队2]]-表1_4[[#This Row],[客队2]]</f>
        <v>3.4000000000000101</v>
      </c>
      <c r="J102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023" s="35" t="s">
        <v>289</v>
      </c>
      <c r="L102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23" s="11"/>
      <c r="N1023" s="10" t="s">
        <v>119</v>
      </c>
      <c r="O1023" s="10" t="s">
        <v>143</v>
      </c>
      <c r="T1023" s="3"/>
      <c r="U1023" s="25"/>
      <c r="V1023" s="54" t="s">
        <v>1668</v>
      </c>
      <c r="W1023" s="241"/>
      <c r="X1023" s="45"/>
    </row>
    <row r="1024" spans="1:24">
      <c r="A1024" s="58" t="s">
        <v>188</v>
      </c>
      <c r="B1024" s="146">
        <v>44478.114583333299</v>
      </c>
      <c r="C1024" s="140">
        <v>7</v>
      </c>
      <c r="D1024" s="134" t="s">
        <v>116</v>
      </c>
      <c r="E1024" s="7" t="s">
        <v>33</v>
      </c>
      <c r="F1024" s="139" t="s">
        <v>305</v>
      </c>
      <c r="G1024" s="43">
        <v>94.7</v>
      </c>
      <c r="H1024" s="43">
        <v>80.5</v>
      </c>
      <c r="I1024">
        <f>表1_4[[#This Row],[主队2]]-表1_4[[#This Row],[客队2]]</f>
        <v>14.2</v>
      </c>
      <c r="J102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024" s="35" t="s">
        <v>23</v>
      </c>
      <c r="L102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1024" s="11" t="s">
        <v>1669</v>
      </c>
      <c r="N1024" s="10" t="s">
        <v>119</v>
      </c>
      <c r="O1024" s="10" t="s">
        <v>143</v>
      </c>
      <c r="R1024" t="s">
        <v>855</v>
      </c>
      <c r="T1024" s="3"/>
      <c r="U1024" s="83"/>
      <c r="V1024" s="83" t="s">
        <v>1670</v>
      </c>
      <c r="W1024" s="83"/>
      <c r="X1024" s="135"/>
    </row>
    <row r="1025" spans="1:25">
      <c r="A1025" s="58" t="s">
        <v>188</v>
      </c>
      <c r="B1025" s="146">
        <v>44478.114583333299</v>
      </c>
      <c r="C1025" s="140">
        <v>7</v>
      </c>
      <c r="D1025" s="134" t="s">
        <v>218</v>
      </c>
      <c r="E1025" s="7" t="s">
        <v>36</v>
      </c>
      <c r="F1025" s="139" t="s">
        <v>287</v>
      </c>
      <c r="G1025" s="43">
        <v>74.8</v>
      </c>
      <c r="H1025" s="43">
        <v>69.400000000000006</v>
      </c>
      <c r="I1025">
        <f>表1_4[[#This Row],[主队2]]-表1_4[[#This Row],[客队2]]</f>
        <v>5.3999999999999897</v>
      </c>
      <c r="J102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025" s="35" t="s">
        <v>289</v>
      </c>
      <c r="L102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25" s="11"/>
      <c r="N1025" s="57" t="s">
        <v>133</v>
      </c>
      <c r="O1025" s="10" t="s">
        <v>48</v>
      </c>
      <c r="R1025" t="s">
        <v>852</v>
      </c>
      <c r="T1025" s="3"/>
      <c r="U1025" s="25"/>
      <c r="V1025" s="64" t="s">
        <v>1671</v>
      </c>
      <c r="W1025" s="55"/>
      <c r="X1025" s="137"/>
    </row>
    <row r="1026" spans="1:25">
      <c r="A1026" s="58" t="s">
        <v>188</v>
      </c>
      <c r="B1026" s="146">
        <v>44478.114583333299</v>
      </c>
      <c r="C1026" s="140">
        <v>7</v>
      </c>
      <c r="D1026" s="134" t="s">
        <v>437</v>
      </c>
      <c r="E1026" s="7" t="s">
        <v>61</v>
      </c>
      <c r="F1026" s="139" t="s">
        <v>572</v>
      </c>
      <c r="G1026" s="43">
        <v>47.3</v>
      </c>
      <c r="H1026" s="43">
        <v>73.400000000000006</v>
      </c>
      <c r="I1026">
        <f>表1_4[[#This Row],[主队2]]-表1_4[[#This Row],[客队2]]</f>
        <v>-26.1</v>
      </c>
      <c r="J1026" s="34">
        <v>-2.25</v>
      </c>
      <c r="K1026" s="35" t="s">
        <v>686</v>
      </c>
      <c r="L102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26" s="11"/>
      <c r="N1026" s="10" t="s">
        <v>112</v>
      </c>
      <c r="O1026" s="10" t="s">
        <v>143</v>
      </c>
      <c r="R1026" t="s">
        <v>855</v>
      </c>
      <c r="T1026" s="3"/>
      <c r="U1026" s="25"/>
      <c r="V1026" s="80" t="s">
        <v>1672</v>
      </c>
      <c r="W1026" s="44"/>
      <c r="X1026" s="45"/>
    </row>
    <row r="1027" spans="1:25">
      <c r="A1027" s="58" t="s">
        <v>188</v>
      </c>
      <c r="B1027" s="146">
        <v>44478.875</v>
      </c>
      <c r="C1027" s="141">
        <v>7</v>
      </c>
      <c r="D1027" s="134" t="s">
        <v>288</v>
      </c>
      <c r="E1027" s="7" t="s">
        <v>47</v>
      </c>
      <c r="F1027" s="139" t="s">
        <v>255</v>
      </c>
      <c r="G1027" s="43">
        <v>67.3</v>
      </c>
      <c r="H1027" s="43">
        <v>79.599999999999994</v>
      </c>
      <c r="I1027">
        <f>表1_4[[#This Row],[主队2]]-表1_4[[#This Row],[客队2]]</f>
        <v>-12.3</v>
      </c>
      <c r="J102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027" s="35" t="s">
        <v>111</v>
      </c>
      <c r="L102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27" s="11"/>
      <c r="N1027" s="10" t="s">
        <v>133</v>
      </c>
      <c r="O1027" s="10" t="s">
        <v>40</v>
      </c>
      <c r="T1027" s="3"/>
      <c r="U1027" s="83" t="s">
        <v>494</v>
      </c>
      <c r="V1027" s="83" t="s">
        <v>1384</v>
      </c>
      <c r="W1027" s="44"/>
      <c r="X1027" s="45"/>
    </row>
    <row r="1028" spans="1:25">
      <c r="A1028" s="58" t="s">
        <v>188</v>
      </c>
      <c r="B1028" s="146">
        <v>44479</v>
      </c>
      <c r="C1028" s="140">
        <v>7</v>
      </c>
      <c r="D1028" s="134" t="s">
        <v>191</v>
      </c>
      <c r="E1028" s="7" t="s">
        <v>60</v>
      </c>
      <c r="F1028" s="139" t="s">
        <v>214</v>
      </c>
      <c r="G1028" s="43">
        <v>77.7</v>
      </c>
      <c r="H1028" s="43">
        <v>81</v>
      </c>
      <c r="I1028">
        <f>表1_4[[#This Row],[主队2]]-表1_4[[#This Row],[客队2]]</f>
        <v>-3.3</v>
      </c>
      <c r="J102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028" s="35" t="s">
        <v>152</v>
      </c>
      <c r="L102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028" s="11"/>
      <c r="N1028" s="10" t="s">
        <v>119</v>
      </c>
      <c r="O1028" s="10" t="s">
        <v>28</v>
      </c>
      <c r="R1028" t="s">
        <v>855</v>
      </c>
      <c r="T1028" s="3"/>
      <c r="U1028" s="25"/>
      <c r="V1028" s="55" t="s">
        <v>1673</v>
      </c>
      <c r="W1028" s="44"/>
      <c r="X1028" s="45"/>
    </row>
    <row r="1029" spans="1:25">
      <c r="A1029" s="58" t="s">
        <v>188</v>
      </c>
      <c r="B1029" s="146">
        <v>44478.875</v>
      </c>
      <c r="C1029" s="141">
        <v>7</v>
      </c>
      <c r="D1029" s="134" t="s">
        <v>292</v>
      </c>
      <c r="E1029" s="7" t="s">
        <v>41</v>
      </c>
      <c r="F1029" s="139" t="s">
        <v>261</v>
      </c>
      <c r="G1029" s="43">
        <v>61.4</v>
      </c>
      <c r="H1029" s="43">
        <v>73.900000000000006</v>
      </c>
      <c r="I1029">
        <f>表1_4[[#This Row],[主队2]]-表1_4[[#This Row],[客队2]]</f>
        <v>-12.5</v>
      </c>
      <c r="J102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029" s="35" t="s">
        <v>132</v>
      </c>
      <c r="L102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29" s="11"/>
      <c r="N1029" s="10" t="s">
        <v>133</v>
      </c>
      <c r="O1029" s="10" t="s">
        <v>28</v>
      </c>
      <c r="T1029" s="3"/>
      <c r="U1029" s="83"/>
      <c r="V1029" s="246" t="s">
        <v>1674</v>
      </c>
      <c r="W1029" s="44"/>
      <c r="X1029" s="45"/>
    </row>
    <row r="1030" spans="1:25">
      <c r="A1030" s="58" t="s">
        <v>188</v>
      </c>
      <c r="B1030" s="146">
        <v>44479.114583333299</v>
      </c>
      <c r="C1030" s="138">
        <v>7</v>
      </c>
      <c r="D1030" s="134" t="s">
        <v>250</v>
      </c>
      <c r="E1030" s="7" t="s">
        <v>22</v>
      </c>
      <c r="F1030" s="139" t="s">
        <v>296</v>
      </c>
      <c r="G1030" s="43">
        <v>89.4</v>
      </c>
      <c r="H1030" s="43">
        <v>77.599999999999994</v>
      </c>
      <c r="I1030">
        <f>表1_4[[#This Row],[主队2]]-表1_4[[#This Row],[客队2]]</f>
        <v>11.8</v>
      </c>
      <c r="J103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030" s="35" t="s">
        <v>125</v>
      </c>
      <c r="L103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30" s="11"/>
      <c r="N1030" s="10" t="s">
        <v>119</v>
      </c>
      <c r="O1030" s="10" t="s">
        <v>46</v>
      </c>
      <c r="R1030" t="s">
        <v>852</v>
      </c>
      <c r="T1030" s="3"/>
      <c r="U1030" s="25" t="s">
        <v>1675</v>
      </c>
      <c r="V1030" s="25" t="s">
        <v>1676</v>
      </c>
      <c r="W1030" s="51"/>
      <c r="X1030" s="45"/>
    </row>
    <row r="1031" spans="1:25">
      <c r="A1031" s="58" t="s">
        <v>188</v>
      </c>
      <c r="B1031" s="146">
        <v>44479</v>
      </c>
      <c r="C1031" s="140">
        <v>7</v>
      </c>
      <c r="D1031" s="134" t="s">
        <v>430</v>
      </c>
      <c r="E1031" s="7" t="s">
        <v>47</v>
      </c>
      <c r="F1031" s="139" t="s">
        <v>275</v>
      </c>
      <c r="G1031" s="43">
        <v>71</v>
      </c>
      <c r="H1031" s="43">
        <v>80.099999999999994</v>
      </c>
      <c r="I1031">
        <f>表1_4[[#This Row],[主队2]]-表1_4[[#This Row],[客队2]]</f>
        <v>-9.0999999999999908</v>
      </c>
      <c r="J103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031" s="35" t="s">
        <v>152</v>
      </c>
      <c r="L103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31" s="11"/>
      <c r="N1031" s="10" t="s">
        <v>119</v>
      </c>
      <c r="O1031" s="10" t="s">
        <v>51</v>
      </c>
      <c r="T1031" s="3"/>
      <c r="U1031" s="246"/>
      <c r="V1031" s="246" t="s">
        <v>1226</v>
      </c>
      <c r="W1031" s="241"/>
      <c r="X1031" s="45"/>
    </row>
    <row r="1032" spans="1:25">
      <c r="A1032" s="58" t="s">
        <v>188</v>
      </c>
      <c r="B1032" s="146">
        <v>44479</v>
      </c>
      <c r="C1032" s="138">
        <v>7</v>
      </c>
      <c r="D1032" s="134" t="s">
        <v>239</v>
      </c>
      <c r="E1032" s="7" t="s">
        <v>44</v>
      </c>
      <c r="F1032" s="139" t="s">
        <v>217</v>
      </c>
      <c r="G1032" s="43">
        <v>86.9</v>
      </c>
      <c r="H1032" s="43">
        <v>70.099999999999994</v>
      </c>
      <c r="I1032">
        <f>表1_4[[#This Row],[主队2]]-表1_4[[#This Row],[客队2]]</f>
        <v>16.8</v>
      </c>
      <c r="J103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032" s="35" t="s">
        <v>81</v>
      </c>
      <c r="L103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32" s="11"/>
      <c r="N1032" s="10" t="s">
        <v>133</v>
      </c>
      <c r="O1032" s="10" t="s">
        <v>46</v>
      </c>
      <c r="R1032" t="s">
        <v>852</v>
      </c>
      <c r="T1032" s="3"/>
      <c r="U1032" s="246"/>
      <c r="V1032" s="83" t="s">
        <v>1677</v>
      </c>
      <c r="W1032" s="48"/>
      <c r="X1032" s="45"/>
    </row>
    <row r="1033" spans="1:25">
      <c r="A1033" s="58" t="s">
        <v>188</v>
      </c>
      <c r="B1033" s="146">
        <v>44479</v>
      </c>
      <c r="C1033" s="140">
        <v>7</v>
      </c>
      <c r="D1033" s="134" t="s">
        <v>278</v>
      </c>
      <c r="E1033" s="7" t="s">
        <v>64</v>
      </c>
      <c r="F1033" s="139" t="s">
        <v>199</v>
      </c>
      <c r="G1033" s="43">
        <v>65.099999999999994</v>
      </c>
      <c r="H1033" s="43">
        <v>78.5</v>
      </c>
      <c r="I1033">
        <f>表1_4[[#This Row],[主队2]]-表1_4[[#This Row],[客队2]]</f>
        <v>-13.4</v>
      </c>
      <c r="J103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033" s="35" t="s">
        <v>152</v>
      </c>
      <c r="L103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033" s="11"/>
      <c r="N1033" s="10" t="s">
        <v>112</v>
      </c>
      <c r="O1033" s="10" t="s">
        <v>35</v>
      </c>
      <c r="T1033" s="3"/>
      <c r="U1033" s="246" t="s">
        <v>1174</v>
      </c>
      <c r="V1033" s="80" t="s">
        <v>1678</v>
      </c>
      <c r="W1033" s="44"/>
      <c r="X1033" s="45"/>
    </row>
    <row r="1034" spans="1:25">
      <c r="A1034" s="58" t="s">
        <v>188</v>
      </c>
      <c r="B1034" s="146">
        <v>44479.114583333299</v>
      </c>
      <c r="C1034" s="138">
        <v>7</v>
      </c>
      <c r="D1034" s="134" t="s">
        <v>266</v>
      </c>
      <c r="E1034" s="7" t="s">
        <v>53</v>
      </c>
      <c r="F1034" s="139" t="s">
        <v>434</v>
      </c>
      <c r="G1034" s="43">
        <v>63.8</v>
      </c>
      <c r="H1034" s="43">
        <v>84.2</v>
      </c>
      <c r="I1034">
        <f>表1_4[[#This Row],[主队2]]-表1_4[[#This Row],[客队2]]</f>
        <v>-20.399999999999999</v>
      </c>
      <c r="J103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034" s="35" t="s">
        <v>219</v>
      </c>
      <c r="L103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34" s="11"/>
      <c r="N1034" s="10" t="s">
        <v>112</v>
      </c>
      <c r="O1034" s="10" t="s">
        <v>35</v>
      </c>
      <c r="T1034" s="3"/>
      <c r="U1034" s="83" t="s">
        <v>1472</v>
      </c>
      <c r="V1034" s="62" t="s">
        <v>1679</v>
      </c>
      <c r="W1034" s="52"/>
      <c r="X1034" s="69" t="s">
        <v>774</v>
      </c>
      <c r="Y1034" s="70">
        <v>100</v>
      </c>
    </row>
    <row r="1035" spans="1:25">
      <c r="A1035" s="58" t="s">
        <v>188</v>
      </c>
      <c r="B1035" s="146">
        <v>44479</v>
      </c>
      <c r="C1035" s="140">
        <v>7</v>
      </c>
      <c r="D1035" s="134" t="s">
        <v>123</v>
      </c>
      <c r="E1035" s="7" t="s">
        <v>29</v>
      </c>
      <c r="F1035" s="139" t="s">
        <v>210</v>
      </c>
      <c r="G1035" s="43">
        <v>78.400000000000006</v>
      </c>
      <c r="H1035" s="43">
        <v>76.400000000000006</v>
      </c>
      <c r="I1035">
        <f>表1_4[[#This Row],[主队2]]-表1_4[[#This Row],[客队2]]</f>
        <v>2</v>
      </c>
      <c r="J103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035" s="35" t="s">
        <v>289</v>
      </c>
      <c r="L103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35" s="11"/>
      <c r="T1035" s="3"/>
      <c r="U1035" s="246"/>
      <c r="V1035" s="246" t="s">
        <v>1680</v>
      </c>
      <c r="W1035" s="44"/>
      <c r="X1035" s="45"/>
    </row>
    <row r="1036" spans="1:25">
      <c r="A1036" s="58" t="s">
        <v>188</v>
      </c>
      <c r="B1036" s="146">
        <v>44479.114583333299</v>
      </c>
      <c r="C1036" s="138">
        <v>7</v>
      </c>
      <c r="D1036" s="134" t="s">
        <v>244</v>
      </c>
      <c r="E1036" s="7" t="s">
        <v>47</v>
      </c>
      <c r="F1036" s="139" t="s">
        <v>194</v>
      </c>
      <c r="G1036" s="43">
        <v>58.4</v>
      </c>
      <c r="H1036" s="43">
        <v>81.2</v>
      </c>
      <c r="I1036">
        <f>表1_4[[#This Row],[主队2]]-表1_4[[#This Row],[客队2]]</f>
        <v>-22.8</v>
      </c>
      <c r="J1036" s="34">
        <v>-2</v>
      </c>
      <c r="K1036" s="35" t="s">
        <v>666</v>
      </c>
      <c r="L103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36" s="11"/>
      <c r="N1036" s="10" t="s">
        <v>119</v>
      </c>
      <c r="O1036" s="10" t="s">
        <v>27</v>
      </c>
      <c r="T1036" s="3"/>
      <c r="U1036" s="246"/>
      <c r="V1036" s="246" t="s">
        <v>1681</v>
      </c>
      <c r="W1036" s="44"/>
      <c r="X1036" s="45"/>
    </row>
    <row r="1037" spans="1:25">
      <c r="A1037" s="58" t="s">
        <v>188</v>
      </c>
      <c r="B1037" s="146">
        <v>44479.114583333299</v>
      </c>
      <c r="C1037" s="140">
        <v>7</v>
      </c>
      <c r="D1037" s="134" t="s">
        <v>195</v>
      </c>
      <c r="E1037" s="7" t="s">
        <v>61</v>
      </c>
      <c r="F1037" s="139" t="s">
        <v>306</v>
      </c>
      <c r="G1037" s="43">
        <v>58.6</v>
      </c>
      <c r="H1037" s="43">
        <v>92.9</v>
      </c>
      <c r="I1037">
        <f>表1_4[[#This Row],[主队2]]-表1_4[[#This Row],[客队2]]</f>
        <v>-34.299999999999997</v>
      </c>
      <c r="J1037" s="34">
        <v>-3.25</v>
      </c>
      <c r="K1037" s="35" t="s">
        <v>692</v>
      </c>
      <c r="L103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037" s="11"/>
      <c r="T1037" s="3"/>
      <c r="U1037" s="25"/>
      <c r="V1037" s="80" t="s">
        <v>1682</v>
      </c>
      <c r="W1037" s="44"/>
      <c r="X1037" s="45"/>
    </row>
    <row r="1038" spans="1:25">
      <c r="A1038" s="58" t="s">
        <v>188</v>
      </c>
      <c r="B1038" s="146">
        <v>44479.114583333299</v>
      </c>
      <c r="C1038" s="140">
        <v>7</v>
      </c>
      <c r="D1038" s="134" t="s">
        <v>302</v>
      </c>
      <c r="E1038" s="7" t="s">
        <v>57</v>
      </c>
      <c r="F1038" s="44" t="s">
        <v>282</v>
      </c>
      <c r="G1038" s="43">
        <v>86.8</v>
      </c>
      <c r="H1038" s="43">
        <v>30.4</v>
      </c>
      <c r="I1038">
        <f>表1_4[[#This Row],[主队2]]-表1_4[[#This Row],[客队2]]</f>
        <v>56.4</v>
      </c>
      <c r="J1038" s="34">
        <v>6</v>
      </c>
      <c r="K1038" s="35" t="s">
        <v>1055</v>
      </c>
      <c r="L103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038" s="11"/>
      <c r="T1038" s="3"/>
      <c r="U1038" s="246"/>
      <c r="V1038" s="231" t="s">
        <v>1042</v>
      </c>
      <c r="W1038" s="44"/>
      <c r="X1038" s="45"/>
    </row>
    <row r="1039" spans="1:25">
      <c r="A1039" s="58" t="s">
        <v>188</v>
      </c>
      <c r="B1039" s="146">
        <v>44479.114583333299</v>
      </c>
      <c r="C1039" s="140">
        <v>7</v>
      </c>
      <c r="D1039" s="134" t="s">
        <v>243</v>
      </c>
      <c r="E1039" s="7" t="s">
        <v>978</v>
      </c>
      <c r="F1039" s="139" t="s">
        <v>117</v>
      </c>
      <c r="G1039" s="43">
        <v>46.7</v>
      </c>
      <c r="H1039" s="43">
        <v>95.2</v>
      </c>
      <c r="I1039">
        <f>表1_4[[#This Row],[主队2]]-表1_4[[#This Row],[客队2]]</f>
        <v>-48.5</v>
      </c>
      <c r="J1039" s="34">
        <v>-4.5</v>
      </c>
      <c r="K1039" s="35" t="s">
        <v>1021</v>
      </c>
      <c r="L103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039" s="11"/>
      <c r="T1039" s="3"/>
      <c r="U1039" s="246"/>
      <c r="V1039" s="246" t="s">
        <v>1683</v>
      </c>
      <c r="W1039" s="44"/>
      <c r="X1039" s="45"/>
    </row>
    <row r="1040" spans="1:25">
      <c r="A1040" s="58" t="s">
        <v>188</v>
      </c>
      <c r="B1040" s="146">
        <v>44479.114583333299</v>
      </c>
      <c r="C1040" s="140">
        <v>7</v>
      </c>
      <c r="D1040" s="134" t="s">
        <v>271</v>
      </c>
      <c r="E1040" s="7" t="s">
        <v>53</v>
      </c>
      <c r="F1040" s="139" t="s">
        <v>205</v>
      </c>
      <c r="G1040" s="43">
        <v>77.2</v>
      </c>
      <c r="H1040" s="43">
        <v>72.7</v>
      </c>
      <c r="I1040">
        <f>表1_4[[#This Row],[主队2]]-表1_4[[#This Row],[客队2]]</f>
        <v>4.5</v>
      </c>
      <c r="J104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040" s="35" t="s">
        <v>289</v>
      </c>
      <c r="L104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40" s="11"/>
      <c r="T1040" s="3"/>
      <c r="U1040" s="246"/>
      <c r="V1040" s="55" t="s">
        <v>1684</v>
      </c>
      <c r="W1040" s="44"/>
      <c r="X1040" s="45"/>
    </row>
    <row r="1041" spans="1:25">
      <c r="A1041" s="58" t="s">
        <v>948</v>
      </c>
      <c r="B1041" s="146">
        <v>44479.875</v>
      </c>
      <c r="C1041" s="279" t="s">
        <v>1685</v>
      </c>
      <c r="D1041" s="275" t="s">
        <v>204</v>
      </c>
      <c r="E1041" s="7" t="s">
        <v>33</v>
      </c>
      <c r="F1041" s="139" t="s">
        <v>274</v>
      </c>
      <c r="G1041" s="43">
        <v>94.3</v>
      </c>
      <c r="H1041" s="43">
        <v>97.3</v>
      </c>
      <c r="I1041">
        <f>表1_4[[#This Row],[主队2]]-表1_4[[#This Row],[客队2]]</f>
        <v>-3</v>
      </c>
      <c r="J104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041" s="35" t="s">
        <v>182</v>
      </c>
      <c r="L104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041" s="11"/>
      <c r="N1041" s="10" t="s">
        <v>112</v>
      </c>
      <c r="O1041" s="10" t="s">
        <v>32</v>
      </c>
      <c r="R1041" t="s">
        <v>852</v>
      </c>
      <c r="T1041" s="3"/>
      <c r="U1041" s="246"/>
      <c r="V1041" s="54" t="s">
        <v>1686</v>
      </c>
      <c r="W1041" s="52"/>
      <c r="X1041" s="69" t="s">
        <v>730</v>
      </c>
      <c r="Y1041" s="70">
        <v>100</v>
      </c>
    </row>
    <row r="1042" spans="1:25">
      <c r="A1042" s="58" t="s">
        <v>948</v>
      </c>
      <c r="B1042" s="146">
        <v>44480.114583333299</v>
      </c>
      <c r="C1042" s="140" t="s">
        <v>1687</v>
      </c>
      <c r="D1042" s="134" t="s">
        <v>209</v>
      </c>
      <c r="E1042" s="7" t="s">
        <v>60</v>
      </c>
      <c r="F1042" s="139" t="s">
        <v>267</v>
      </c>
      <c r="G1042" s="43">
        <v>96.5</v>
      </c>
      <c r="H1042" s="43">
        <v>94.9</v>
      </c>
      <c r="I1042">
        <f>表1_4[[#This Row],[主队2]]-表1_4[[#This Row],[客队2]]</f>
        <v>1.5999999999999901</v>
      </c>
      <c r="J1042" s="34">
        <v>0.25</v>
      </c>
      <c r="K1042" s="35" t="s">
        <v>152</v>
      </c>
      <c r="L104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42" s="11"/>
      <c r="N1042" s="10" t="s">
        <v>133</v>
      </c>
      <c r="O1042" s="10" t="s">
        <v>143</v>
      </c>
      <c r="R1042" t="s">
        <v>852</v>
      </c>
      <c r="T1042" s="3"/>
      <c r="U1042" s="83" t="s">
        <v>776</v>
      </c>
      <c r="V1042" s="55" t="s">
        <v>1688</v>
      </c>
      <c r="W1042" s="56"/>
      <c r="X1042" s="45"/>
    </row>
    <row r="1043" spans="1:25">
      <c r="A1043" s="58" t="s">
        <v>156</v>
      </c>
      <c r="B1043" s="146">
        <v>44480.166666666701</v>
      </c>
      <c r="C1043" s="140">
        <v>5</v>
      </c>
      <c r="D1043" s="134" t="s">
        <v>159</v>
      </c>
      <c r="E1043" s="7" t="s">
        <v>31</v>
      </c>
      <c r="F1043" s="139" t="s">
        <v>181</v>
      </c>
      <c r="G1043" s="43">
        <v>74.099999999999994</v>
      </c>
      <c r="H1043" s="43">
        <v>85.4</v>
      </c>
      <c r="I1043">
        <f>表1_4[[#This Row],[主队2]]-表1_4[[#This Row],[客队2]]</f>
        <v>-11.3</v>
      </c>
      <c r="J104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043" s="35" t="s">
        <v>166</v>
      </c>
      <c r="L104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043" s="63" t="s">
        <v>331</v>
      </c>
      <c r="N1043" s="10" t="s">
        <v>119</v>
      </c>
      <c r="O1043" s="10" t="s">
        <v>40</v>
      </c>
      <c r="R1043" t="s">
        <v>852</v>
      </c>
      <c r="T1043" s="3"/>
      <c r="U1043" s="25" t="s">
        <v>803</v>
      </c>
      <c r="V1043" s="62" t="s">
        <v>1689</v>
      </c>
      <c r="W1043" s="44"/>
      <c r="X1043" s="45"/>
    </row>
    <row r="1044" spans="1:25">
      <c r="A1044" s="58" t="s">
        <v>156</v>
      </c>
      <c r="B1044" s="146">
        <v>44480.1875</v>
      </c>
      <c r="C1044" s="140">
        <v>5</v>
      </c>
      <c r="D1044" s="134" t="s">
        <v>180</v>
      </c>
      <c r="E1044" s="7" t="s">
        <v>33</v>
      </c>
      <c r="F1044" s="139" t="s">
        <v>165</v>
      </c>
      <c r="G1044" s="43">
        <v>81.5</v>
      </c>
      <c r="H1044" s="43">
        <v>86.2</v>
      </c>
      <c r="I1044">
        <f>表1_4[[#This Row],[主队2]]-表1_4[[#This Row],[客队2]]</f>
        <v>-4.7</v>
      </c>
      <c r="J104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044" s="35" t="s">
        <v>132</v>
      </c>
      <c r="L104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044" s="11"/>
      <c r="N1044" s="10" t="s">
        <v>119</v>
      </c>
      <c r="O1044" s="10" t="s">
        <v>35</v>
      </c>
      <c r="R1044" t="s">
        <v>852</v>
      </c>
      <c r="T1044" s="3"/>
      <c r="U1044" s="83" t="s">
        <v>1018</v>
      </c>
      <c r="V1044" s="55" t="s">
        <v>1690</v>
      </c>
      <c r="W1044" s="56"/>
      <c r="X1044" s="45"/>
    </row>
    <row r="1045" spans="1:25">
      <c r="A1045" s="58" t="s">
        <v>156</v>
      </c>
      <c r="B1045" s="146">
        <v>44480.208333333299</v>
      </c>
      <c r="C1045" s="145">
        <v>5</v>
      </c>
      <c r="D1045" s="134" t="s">
        <v>158</v>
      </c>
      <c r="E1045" s="7" t="s">
        <v>42</v>
      </c>
      <c r="F1045" s="139" t="s">
        <v>171</v>
      </c>
      <c r="G1045" s="43">
        <v>92.1</v>
      </c>
      <c r="H1045" s="43">
        <v>101.8</v>
      </c>
      <c r="I1045">
        <f>表1_4[[#This Row],[主队2]]-表1_4[[#This Row],[客队2]]</f>
        <v>-9.6999999999999993</v>
      </c>
      <c r="J104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045" s="35" t="s">
        <v>132</v>
      </c>
      <c r="L104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45" s="11"/>
      <c r="N1045" s="10" t="s">
        <v>119</v>
      </c>
      <c r="O1045" s="10" t="s">
        <v>65</v>
      </c>
      <c r="R1045" t="s">
        <v>855</v>
      </c>
      <c r="T1045" s="3"/>
      <c r="U1045" s="83"/>
      <c r="V1045" s="55" t="s">
        <v>1691</v>
      </c>
      <c r="W1045" s="44"/>
      <c r="X1045" s="45"/>
    </row>
    <row r="1046" spans="1:25">
      <c r="A1046" s="58" t="s">
        <v>156</v>
      </c>
      <c r="B1046" s="146">
        <v>44480.3125</v>
      </c>
      <c r="C1046" s="138">
        <v>5</v>
      </c>
      <c r="D1046" s="134" t="s">
        <v>174</v>
      </c>
      <c r="E1046" s="7" t="s">
        <v>44</v>
      </c>
      <c r="F1046" s="139" t="s">
        <v>170</v>
      </c>
      <c r="G1046" s="43">
        <v>95.8</v>
      </c>
      <c r="H1046" s="43">
        <v>89.6</v>
      </c>
      <c r="I1046">
        <f>表1_4[[#This Row],[主队2]]-表1_4[[#This Row],[客队2]]</f>
        <v>6.2</v>
      </c>
      <c r="J104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046" s="35" t="s">
        <v>118</v>
      </c>
      <c r="L104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46" s="11"/>
      <c r="N1046" s="10" t="s">
        <v>112</v>
      </c>
      <c r="O1046" s="10" t="s">
        <v>35</v>
      </c>
      <c r="T1046" s="3"/>
      <c r="U1046" s="246" t="s">
        <v>1174</v>
      </c>
      <c r="V1046" s="54" t="s">
        <v>1692</v>
      </c>
      <c r="W1046" s="51"/>
      <c r="X1046" s="45"/>
    </row>
    <row r="1047" spans="1:25">
      <c r="A1047" s="58" t="s">
        <v>156</v>
      </c>
      <c r="B1047" s="146">
        <v>44480.333333333299</v>
      </c>
      <c r="C1047" s="140">
        <v>5</v>
      </c>
      <c r="D1047" s="134" t="s">
        <v>175</v>
      </c>
      <c r="E1047" s="7" t="s">
        <v>22</v>
      </c>
      <c r="F1047" s="139" t="s">
        <v>164</v>
      </c>
      <c r="G1047" s="43">
        <v>84.8</v>
      </c>
      <c r="H1047" s="43">
        <v>85.2</v>
      </c>
      <c r="I1047">
        <f>表1_4[[#This Row],[主队2]]-表1_4[[#This Row],[客队2]]</f>
        <v>-0.40000000000000602</v>
      </c>
      <c r="J104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047" s="35" t="s">
        <v>289</v>
      </c>
      <c r="L104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047" s="11"/>
      <c r="T1047" s="3"/>
      <c r="U1047" s="246"/>
      <c r="V1047" s="231" t="s">
        <v>1693</v>
      </c>
      <c r="W1047" s="51"/>
      <c r="X1047" s="45"/>
    </row>
    <row r="1048" spans="1:25">
      <c r="A1048" s="58" t="s">
        <v>222</v>
      </c>
      <c r="B1048" s="146">
        <v>44480.25</v>
      </c>
      <c r="C1048" s="140">
        <v>14</v>
      </c>
      <c r="D1048" s="134" t="s">
        <v>1604</v>
      </c>
      <c r="E1048" s="7" t="s">
        <v>42</v>
      </c>
      <c r="F1048" s="139" t="s">
        <v>124</v>
      </c>
      <c r="G1048" s="43">
        <v>73.7</v>
      </c>
      <c r="H1048" s="43">
        <v>82.8</v>
      </c>
      <c r="I1048">
        <f>表1_4[[#This Row],[主队2]]-表1_4[[#This Row],[客队2]]</f>
        <v>-9.0999999999999908</v>
      </c>
      <c r="J104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048" s="35" t="s">
        <v>152</v>
      </c>
      <c r="L104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48" s="11"/>
      <c r="N1048" s="10" t="s">
        <v>112</v>
      </c>
      <c r="O1048" s="10" t="s">
        <v>46</v>
      </c>
      <c r="T1048" s="3"/>
      <c r="U1048" s="25"/>
      <c r="V1048" s="54" t="s">
        <v>1694</v>
      </c>
      <c r="W1048" s="52"/>
      <c r="X1048" s="77" t="s">
        <v>850</v>
      </c>
      <c r="Y1048" s="61">
        <v>78</v>
      </c>
    </row>
    <row r="1049" spans="1:25">
      <c r="A1049" s="58" t="s">
        <v>222</v>
      </c>
      <c r="B1049" s="146">
        <v>44480.25</v>
      </c>
      <c r="C1049" s="138">
        <v>14</v>
      </c>
      <c r="D1049" s="134" t="s">
        <v>230</v>
      </c>
      <c r="E1049" s="7" t="s">
        <v>33</v>
      </c>
      <c r="F1049" s="139" t="s">
        <v>1606</v>
      </c>
      <c r="G1049" s="43">
        <v>76.2</v>
      </c>
      <c r="H1049" s="43">
        <v>68.599999999999994</v>
      </c>
      <c r="I1049">
        <f>表1_4[[#This Row],[主队2]]-表1_4[[#This Row],[客队2]]</f>
        <v>7.6000000000000103</v>
      </c>
      <c r="J104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049" s="35" t="s">
        <v>118</v>
      </c>
      <c r="L104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49" s="11"/>
      <c r="N1049" s="10" t="s">
        <v>119</v>
      </c>
      <c r="O1049" s="10" t="s">
        <v>28</v>
      </c>
      <c r="T1049" s="3"/>
      <c r="U1049" s="25"/>
      <c r="V1049" s="54" t="s">
        <v>997</v>
      </c>
      <c r="W1049" s="44"/>
      <c r="X1049" s="45"/>
    </row>
    <row r="1050" spans="1:25">
      <c r="A1050" s="58" t="s">
        <v>222</v>
      </c>
      <c r="B1050" s="146">
        <v>44480.25</v>
      </c>
      <c r="C1050" s="141">
        <v>14</v>
      </c>
      <c r="D1050" s="134" t="s">
        <v>225</v>
      </c>
      <c r="E1050" s="7" t="s">
        <v>31</v>
      </c>
      <c r="F1050" s="139" t="s">
        <v>234</v>
      </c>
      <c r="G1050" s="43">
        <v>73.099999999999994</v>
      </c>
      <c r="H1050" s="43">
        <v>86.3</v>
      </c>
      <c r="I1050">
        <f>表1_4[[#This Row],[主队2]]-表1_4[[#This Row],[客队2]]</f>
        <v>-13.2</v>
      </c>
      <c r="J105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050" s="35" t="s">
        <v>111</v>
      </c>
      <c r="L105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50" s="11"/>
      <c r="T1050" s="3"/>
      <c r="U1050" s="83"/>
      <c r="V1050" s="55" t="s">
        <v>1695</v>
      </c>
      <c r="W1050" s="48"/>
      <c r="X1050" s="45"/>
    </row>
    <row r="1051" spans="1:25">
      <c r="A1051" s="58" t="s">
        <v>222</v>
      </c>
      <c r="B1051" s="146">
        <v>44480.291666666701</v>
      </c>
      <c r="C1051" s="138">
        <v>14</v>
      </c>
      <c r="D1051" s="134" t="s">
        <v>229</v>
      </c>
      <c r="E1051" s="7" t="s">
        <v>44</v>
      </c>
      <c r="F1051" s="139" t="s">
        <v>235</v>
      </c>
      <c r="G1051" s="43">
        <v>87.5</v>
      </c>
      <c r="H1051" s="43">
        <v>73.3</v>
      </c>
      <c r="I1051">
        <f>表1_4[[#This Row],[主队2]]-表1_4[[#This Row],[客队2]]</f>
        <v>14.2</v>
      </c>
      <c r="J105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051" s="35" t="s">
        <v>125</v>
      </c>
      <c r="L105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51" s="11"/>
      <c r="N1051" s="10" t="s">
        <v>895</v>
      </c>
      <c r="O1051" s="10" t="s">
        <v>40</v>
      </c>
      <c r="T1051" s="3"/>
      <c r="U1051" s="25" t="s">
        <v>688</v>
      </c>
      <c r="V1051" s="80" t="s">
        <v>1696</v>
      </c>
      <c r="W1051" s="44"/>
      <c r="X1051" s="45"/>
    </row>
    <row r="1052" spans="1:25">
      <c r="A1052" s="58" t="s">
        <v>188</v>
      </c>
      <c r="B1052" s="146">
        <v>44481</v>
      </c>
      <c r="C1052" s="2">
        <v>8</v>
      </c>
      <c r="D1052" s="134" t="s">
        <v>407</v>
      </c>
      <c r="E1052" s="7" t="s">
        <v>25</v>
      </c>
      <c r="F1052" s="139" t="s">
        <v>929</v>
      </c>
      <c r="G1052" s="43">
        <v>62.5</v>
      </c>
      <c r="H1052" s="43">
        <v>57</v>
      </c>
      <c r="I1052">
        <f>表1_4[[#This Row],[主队2]]-表1_4[[#This Row],[客队2]]</f>
        <v>5.5</v>
      </c>
      <c r="J105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052" s="35" t="s">
        <v>118</v>
      </c>
      <c r="L105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52" s="11"/>
      <c r="N1052" s="10" t="s">
        <v>133</v>
      </c>
      <c r="O1052" s="10" t="s">
        <v>65</v>
      </c>
      <c r="T1052" s="3"/>
      <c r="U1052" s="83"/>
      <c r="V1052" s="55" t="s">
        <v>1697</v>
      </c>
      <c r="W1052" s="48"/>
      <c r="X1052" s="45"/>
    </row>
    <row r="1053" spans="1:25">
      <c r="A1053" s="58" t="s">
        <v>188</v>
      </c>
      <c r="B1053" s="146">
        <v>44481.114583333299</v>
      </c>
      <c r="C1053" s="140">
        <v>8</v>
      </c>
      <c r="D1053" s="134" t="s">
        <v>110</v>
      </c>
      <c r="E1053" s="7" t="s">
        <v>25</v>
      </c>
      <c r="F1053" s="139" t="s">
        <v>425</v>
      </c>
      <c r="G1053" s="43">
        <v>88.8</v>
      </c>
      <c r="H1053" s="43">
        <v>78.2</v>
      </c>
      <c r="I1053">
        <f>表1_4[[#This Row],[主队2]]-表1_4[[#This Row],[客队2]]</f>
        <v>10.6</v>
      </c>
      <c r="J105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053" s="35" t="s">
        <v>176</v>
      </c>
      <c r="L105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53" s="11"/>
      <c r="N1053" s="46" t="s">
        <v>112</v>
      </c>
      <c r="O1053" s="10" t="s">
        <v>24</v>
      </c>
      <c r="R1053" t="s">
        <v>855</v>
      </c>
      <c r="T1053" s="3"/>
      <c r="U1053" s="25"/>
      <c r="V1053" s="242" t="s">
        <v>1698</v>
      </c>
      <c r="W1053" s="52"/>
      <c r="X1053" s="45"/>
    </row>
    <row r="1054" spans="1:25">
      <c r="A1054" s="58" t="s">
        <v>188</v>
      </c>
      <c r="B1054" s="146">
        <v>44481.114583333299</v>
      </c>
      <c r="C1054" s="140">
        <v>8</v>
      </c>
      <c r="D1054" s="134" t="s">
        <v>309</v>
      </c>
      <c r="E1054" s="7" t="s">
        <v>60</v>
      </c>
      <c r="F1054" s="139" t="s">
        <v>353</v>
      </c>
      <c r="G1054" s="43">
        <v>77.2</v>
      </c>
      <c r="H1054" s="43">
        <v>82.2</v>
      </c>
      <c r="I1054">
        <f>表1_4[[#This Row],[主队2]]-表1_4[[#This Row],[客队2]]</f>
        <v>-5</v>
      </c>
      <c r="J105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054" s="35" t="s">
        <v>182</v>
      </c>
      <c r="L105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54" s="11"/>
      <c r="N1054" s="57" t="s">
        <v>133</v>
      </c>
      <c r="O1054" s="10" t="s">
        <v>51</v>
      </c>
      <c r="T1054" s="3"/>
      <c r="U1054" s="83"/>
      <c r="V1054" s="64" t="s">
        <v>1699</v>
      </c>
      <c r="W1054" s="48"/>
      <c r="X1054" s="45"/>
    </row>
    <row r="1055" spans="1:25">
      <c r="A1055" s="58" t="s">
        <v>188</v>
      </c>
      <c r="B1055" s="146">
        <v>44481.114583333299</v>
      </c>
      <c r="C1055" s="138">
        <v>8</v>
      </c>
      <c r="D1055" s="134" t="s">
        <v>218</v>
      </c>
      <c r="E1055" s="7" t="s">
        <v>37</v>
      </c>
      <c r="F1055" s="139" t="s">
        <v>437</v>
      </c>
      <c r="G1055" s="43">
        <v>74.099999999999994</v>
      </c>
      <c r="H1055" s="43">
        <v>46.5</v>
      </c>
      <c r="I1055">
        <f>表1_4[[#This Row],[主队2]]-表1_4[[#This Row],[客队2]]</f>
        <v>27.6</v>
      </c>
      <c r="J1055" s="34">
        <v>3</v>
      </c>
      <c r="K1055" s="34">
        <v>2.5</v>
      </c>
      <c r="L105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55" s="11"/>
      <c r="N1055" s="10" t="s">
        <v>133</v>
      </c>
      <c r="O1055" s="10" t="s">
        <v>40</v>
      </c>
      <c r="T1055" s="3"/>
      <c r="U1055" s="83" t="s">
        <v>126</v>
      </c>
      <c r="V1055" s="55" t="s">
        <v>1700</v>
      </c>
      <c r="W1055" s="48"/>
      <c r="X1055" s="45"/>
    </row>
    <row r="1056" spans="1:25">
      <c r="A1056" s="58" t="s">
        <v>188</v>
      </c>
      <c r="B1056" s="146">
        <v>44481.114583333299</v>
      </c>
      <c r="C1056" s="140">
        <v>8</v>
      </c>
      <c r="D1056" s="134" t="s">
        <v>440</v>
      </c>
      <c r="E1056" s="7" t="s">
        <v>61</v>
      </c>
      <c r="F1056" s="139" t="s">
        <v>116</v>
      </c>
      <c r="G1056" s="43">
        <v>74.2</v>
      </c>
      <c r="H1056" s="43">
        <v>94.1</v>
      </c>
      <c r="I1056">
        <f>表1_4[[#This Row],[主队2]]-表1_4[[#This Row],[客队2]]</f>
        <v>-19.899999999999999</v>
      </c>
      <c r="J105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056" s="35" t="s">
        <v>686</v>
      </c>
      <c r="L105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056" s="11"/>
      <c r="N1056" s="10" t="s">
        <v>133</v>
      </c>
      <c r="O1056" s="10" t="s">
        <v>143</v>
      </c>
      <c r="T1056" s="3"/>
      <c r="U1056" s="83"/>
      <c r="V1056" s="55" t="s">
        <v>1701</v>
      </c>
      <c r="W1056" s="56"/>
      <c r="X1056" s="45"/>
    </row>
    <row r="1057" spans="1:25">
      <c r="A1057" s="58" t="s">
        <v>188</v>
      </c>
      <c r="B1057" s="146">
        <v>44481.114583333299</v>
      </c>
      <c r="C1057" s="138">
        <v>8</v>
      </c>
      <c r="D1057" s="134" t="s">
        <v>305</v>
      </c>
      <c r="E1057" s="7" t="s">
        <v>31</v>
      </c>
      <c r="F1057" s="139" t="s">
        <v>287</v>
      </c>
      <c r="G1057" s="43">
        <v>81.099999999999994</v>
      </c>
      <c r="H1057" s="43">
        <v>70</v>
      </c>
      <c r="I1057">
        <f>表1_4[[#This Row],[主队2]]-表1_4[[#This Row],[客队2]]</f>
        <v>11.1</v>
      </c>
      <c r="J105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057" s="35" t="s">
        <v>118</v>
      </c>
      <c r="L105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57" s="11"/>
      <c r="N1057" s="10" t="s">
        <v>112</v>
      </c>
      <c r="O1057" s="10" t="s">
        <v>35</v>
      </c>
      <c r="R1057" t="s">
        <v>852</v>
      </c>
      <c r="T1057" s="3"/>
      <c r="U1057" s="25" t="s">
        <v>693</v>
      </c>
      <c r="V1057" s="54" t="s">
        <v>1702</v>
      </c>
      <c r="W1057" s="52"/>
      <c r="X1057" s="45"/>
    </row>
    <row r="1058" spans="1:25">
      <c r="A1058" s="58" t="s">
        <v>188</v>
      </c>
      <c r="B1058" s="146">
        <v>44481.114583333299</v>
      </c>
      <c r="C1058" s="138">
        <v>8</v>
      </c>
      <c r="D1058" s="134" t="s">
        <v>251</v>
      </c>
      <c r="E1058" s="7" t="s">
        <v>60</v>
      </c>
      <c r="F1058" s="139" t="s">
        <v>190</v>
      </c>
      <c r="G1058" s="43">
        <v>63.2</v>
      </c>
      <c r="H1058" s="43">
        <v>78.5</v>
      </c>
      <c r="I1058">
        <f>表1_4[[#This Row],[主队2]]-表1_4[[#This Row],[客队2]]</f>
        <v>-15.3</v>
      </c>
      <c r="J105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058" s="35" t="s">
        <v>219</v>
      </c>
      <c r="L105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58" s="11"/>
      <c r="N1058" s="10" t="s">
        <v>119</v>
      </c>
      <c r="O1058" s="10" t="s">
        <v>48</v>
      </c>
      <c r="R1058" t="s">
        <v>852</v>
      </c>
      <c r="T1058" s="3"/>
      <c r="U1058" s="246"/>
      <c r="V1058" s="231" t="s">
        <v>1703</v>
      </c>
      <c r="W1058" s="56"/>
      <c r="X1058" s="45"/>
    </row>
    <row r="1059" spans="1:25">
      <c r="A1059" s="58" t="s">
        <v>188</v>
      </c>
      <c r="B1059" s="146">
        <v>44481.114583333299</v>
      </c>
      <c r="C1059" s="140">
        <v>8</v>
      </c>
      <c r="D1059" s="134" t="s">
        <v>262</v>
      </c>
      <c r="E1059" s="7" t="s">
        <v>55</v>
      </c>
      <c r="F1059" s="139" t="s">
        <v>256</v>
      </c>
      <c r="G1059" s="43">
        <v>91.8</v>
      </c>
      <c r="H1059" s="43">
        <v>39.6</v>
      </c>
      <c r="I1059">
        <f>表1_4[[#This Row],[主队2]]-表1_4[[#This Row],[客队2]]</f>
        <v>52.2</v>
      </c>
      <c r="J1059" s="34">
        <v>5.5</v>
      </c>
      <c r="K1059" s="35" t="s">
        <v>1704</v>
      </c>
      <c r="L105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059" s="11"/>
      <c r="N1059" s="10" t="s">
        <v>119</v>
      </c>
      <c r="O1059" s="10" t="s">
        <v>40</v>
      </c>
      <c r="R1059" t="s">
        <v>852</v>
      </c>
      <c r="T1059" s="3"/>
      <c r="U1059" s="25" t="s">
        <v>1217</v>
      </c>
      <c r="V1059" s="54" t="s">
        <v>522</v>
      </c>
      <c r="W1059" s="51"/>
      <c r="X1059" s="45"/>
    </row>
    <row r="1060" spans="1:25">
      <c r="A1060" s="58" t="s">
        <v>188</v>
      </c>
      <c r="B1060" s="146">
        <v>44481.114583333299</v>
      </c>
      <c r="C1060" s="138">
        <v>8</v>
      </c>
      <c r="D1060" s="134" t="s">
        <v>297</v>
      </c>
      <c r="E1060" s="7" t="s">
        <v>22</v>
      </c>
      <c r="F1060" s="139" t="s">
        <v>301</v>
      </c>
      <c r="G1060" s="43">
        <v>81</v>
      </c>
      <c r="H1060" s="43">
        <v>72.400000000000006</v>
      </c>
      <c r="I1060">
        <f>表1_4[[#This Row],[主队2]]-表1_4[[#This Row],[客队2]]</f>
        <v>8.5999999999999908</v>
      </c>
      <c r="J106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060" s="35" t="s">
        <v>176</v>
      </c>
      <c r="L106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60" s="11"/>
      <c r="N1060" s="10" t="s">
        <v>119</v>
      </c>
      <c r="O1060" s="10" t="s">
        <v>51</v>
      </c>
      <c r="R1060" t="s">
        <v>852</v>
      </c>
      <c r="T1060" s="3"/>
      <c r="U1060" s="83"/>
      <c r="V1060" s="55" t="s">
        <v>1705</v>
      </c>
      <c r="W1060" s="51"/>
      <c r="X1060" s="45"/>
    </row>
    <row r="1061" spans="1:25">
      <c r="A1061" s="58" t="s">
        <v>188</v>
      </c>
      <c r="B1061" s="146">
        <v>44481.114583333299</v>
      </c>
      <c r="C1061" s="138">
        <v>8</v>
      </c>
      <c r="D1061" s="70" t="s">
        <v>403</v>
      </c>
      <c r="E1061" s="7" t="s">
        <v>53</v>
      </c>
      <c r="F1061" s="139" t="s">
        <v>200</v>
      </c>
      <c r="G1061" s="43">
        <v>67</v>
      </c>
      <c r="H1061" s="43">
        <v>82.9</v>
      </c>
      <c r="I1061">
        <f>表1_4[[#This Row],[主队2]]-表1_4[[#This Row],[客队2]]</f>
        <v>-15.9</v>
      </c>
      <c r="J106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061" s="35" t="s">
        <v>245</v>
      </c>
      <c r="L106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61" s="11"/>
      <c r="N1061" s="10" t="s">
        <v>119</v>
      </c>
      <c r="O1061" s="10" t="s">
        <v>46</v>
      </c>
      <c r="R1061" t="s">
        <v>852</v>
      </c>
      <c r="T1061" s="3"/>
      <c r="U1061" s="83"/>
      <c r="V1061" s="55" t="s">
        <v>1706</v>
      </c>
      <c r="W1061" s="48"/>
      <c r="X1061" s="45"/>
    </row>
    <row r="1062" spans="1:25" ht="28.9">
      <c r="A1062" s="58" t="s">
        <v>188</v>
      </c>
      <c r="B1062" s="146">
        <v>44481.114583333299</v>
      </c>
      <c r="C1062" s="140">
        <v>8</v>
      </c>
      <c r="D1062" s="134" t="s">
        <v>284</v>
      </c>
      <c r="E1062" s="7" t="s">
        <v>22</v>
      </c>
      <c r="F1062" s="139" t="s">
        <v>240</v>
      </c>
      <c r="G1062" s="43">
        <v>83.3</v>
      </c>
      <c r="H1062" s="43">
        <v>71.3</v>
      </c>
      <c r="I1062">
        <f>表1_4[[#This Row],[主队2]]-表1_4[[#This Row],[客队2]]</f>
        <v>12</v>
      </c>
      <c r="J1062" s="34">
        <v>1.25</v>
      </c>
      <c r="K1062" s="35" t="s">
        <v>63</v>
      </c>
      <c r="L106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062" s="11"/>
      <c r="N1062" s="10" t="s">
        <v>119</v>
      </c>
      <c r="O1062" s="10" t="s">
        <v>35</v>
      </c>
      <c r="R1062" t="s">
        <v>852</v>
      </c>
      <c r="T1062" s="3"/>
      <c r="U1062" s="83" t="s">
        <v>1434</v>
      </c>
      <c r="V1062" s="55" t="s">
        <v>731</v>
      </c>
      <c r="W1062" s="56"/>
      <c r="X1062" s="45"/>
    </row>
    <row r="1063" spans="1:25">
      <c r="A1063" s="58" t="s">
        <v>188</v>
      </c>
      <c r="B1063" s="146">
        <v>44481.916666666701</v>
      </c>
      <c r="C1063" s="140">
        <v>8</v>
      </c>
      <c r="D1063" s="134" t="s">
        <v>288</v>
      </c>
      <c r="E1063" s="7" t="s">
        <v>47</v>
      </c>
      <c r="F1063" s="139" t="s">
        <v>191</v>
      </c>
      <c r="G1063" s="43">
        <v>66.5</v>
      </c>
      <c r="H1063" s="43">
        <v>76.7</v>
      </c>
      <c r="I1063">
        <f>表1_4[[#This Row],[主队2]]-表1_4[[#This Row],[客队2]]</f>
        <v>-10.199999999999999</v>
      </c>
      <c r="J106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063" s="35" t="s">
        <v>132</v>
      </c>
      <c r="L106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63" s="11"/>
      <c r="N1063" s="10" t="s">
        <v>119</v>
      </c>
      <c r="O1063" s="10" t="s">
        <v>28</v>
      </c>
      <c r="T1063" s="3"/>
      <c r="U1063" s="25"/>
      <c r="V1063" s="54" t="s">
        <v>1707</v>
      </c>
      <c r="W1063" s="44"/>
      <c r="X1063" s="45"/>
    </row>
    <row r="1064" spans="1:25">
      <c r="A1064" s="58" t="s">
        <v>188</v>
      </c>
      <c r="B1064" s="146">
        <v>44482.114583333299</v>
      </c>
      <c r="C1064" s="138">
        <v>8</v>
      </c>
      <c r="D1064" s="134" t="s">
        <v>214</v>
      </c>
      <c r="E1064" s="7" t="s">
        <v>36</v>
      </c>
      <c r="F1064" s="139" t="s">
        <v>255</v>
      </c>
      <c r="G1064" s="43">
        <v>81.900000000000006</v>
      </c>
      <c r="H1064" s="43">
        <v>80.400000000000006</v>
      </c>
      <c r="I1064">
        <f>表1_4[[#This Row],[主队2]]-表1_4[[#This Row],[客队2]]</f>
        <v>1.5</v>
      </c>
      <c r="J106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064" s="35" t="s">
        <v>118</v>
      </c>
      <c r="L106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064" s="11"/>
      <c r="N1064" s="10" t="s">
        <v>119</v>
      </c>
      <c r="O1064" s="10" t="s">
        <v>28</v>
      </c>
      <c r="T1064" s="3"/>
      <c r="U1064" s="83"/>
      <c r="V1064" s="55" t="s">
        <v>1708</v>
      </c>
      <c r="W1064" s="246"/>
      <c r="X1064" s="135"/>
    </row>
    <row r="1065" spans="1:25">
      <c r="A1065" s="58" t="s">
        <v>188</v>
      </c>
      <c r="B1065" s="146">
        <v>44482.114583333299</v>
      </c>
      <c r="C1065" s="140">
        <v>8</v>
      </c>
      <c r="D1065" s="134" t="s">
        <v>205</v>
      </c>
      <c r="E1065" s="7" t="s">
        <v>53</v>
      </c>
      <c r="F1065" s="139" t="s">
        <v>302</v>
      </c>
      <c r="G1065" s="43">
        <v>73.599999999999994</v>
      </c>
      <c r="H1065" s="43">
        <v>86.6</v>
      </c>
      <c r="I1065">
        <f>表1_4[[#This Row],[主队2]]-表1_4[[#This Row],[客队2]]</f>
        <v>-13</v>
      </c>
      <c r="J106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065" s="35" t="s">
        <v>152</v>
      </c>
      <c r="L106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065" s="11"/>
      <c r="N1065" s="10" t="s">
        <v>112</v>
      </c>
      <c r="O1065" s="10" t="s">
        <v>65</v>
      </c>
      <c r="R1065" t="s">
        <v>852</v>
      </c>
      <c r="T1065" s="3"/>
      <c r="U1065" s="25"/>
      <c r="V1065" s="54" t="s">
        <v>1709</v>
      </c>
      <c r="W1065" s="52"/>
      <c r="X1065" s="69" t="s">
        <v>772</v>
      </c>
      <c r="Y1065" s="70">
        <v>98</v>
      </c>
    </row>
    <row r="1066" spans="1:25">
      <c r="A1066" s="58" t="s">
        <v>188</v>
      </c>
      <c r="B1066" s="146">
        <v>44482.114583333299</v>
      </c>
      <c r="C1066" s="140">
        <v>8</v>
      </c>
      <c r="D1066" s="134" t="s">
        <v>117</v>
      </c>
      <c r="E1066" s="7" t="s">
        <v>36</v>
      </c>
      <c r="F1066" s="273" t="s">
        <v>271</v>
      </c>
      <c r="G1066" s="43">
        <v>95.9</v>
      </c>
      <c r="H1066" s="43">
        <v>76.3</v>
      </c>
      <c r="I1066">
        <f>表1_4[[#This Row],[主队2]]-表1_4[[#This Row],[客队2]]</f>
        <v>19.600000000000001</v>
      </c>
      <c r="J106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1066" s="35" t="s">
        <v>45</v>
      </c>
      <c r="L106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66" s="11"/>
      <c r="N1066" s="10" t="s">
        <v>112</v>
      </c>
      <c r="O1066" s="10" t="s">
        <v>51</v>
      </c>
      <c r="R1066" t="s">
        <v>855</v>
      </c>
      <c r="T1066" s="3"/>
      <c r="U1066" s="246"/>
      <c r="V1066" s="246" t="s">
        <v>1710</v>
      </c>
      <c r="W1066" s="51"/>
      <c r="X1066" s="45"/>
    </row>
    <row r="1067" spans="1:25">
      <c r="A1067" s="58" t="s">
        <v>188</v>
      </c>
      <c r="B1067" s="146">
        <v>44482.114583333299</v>
      </c>
      <c r="C1067" s="138">
        <v>8</v>
      </c>
      <c r="D1067" s="134" t="s">
        <v>282</v>
      </c>
      <c r="E1067" s="7" t="s">
        <v>64</v>
      </c>
      <c r="F1067" s="139" t="s">
        <v>243</v>
      </c>
      <c r="G1067" s="43">
        <v>30.6</v>
      </c>
      <c r="H1067" s="43">
        <v>46</v>
      </c>
      <c r="I1067">
        <f>表1_4[[#This Row],[主队2]]-表1_4[[#This Row],[客队2]]</f>
        <v>-15.4</v>
      </c>
      <c r="J106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067" s="35" t="s">
        <v>111</v>
      </c>
      <c r="L106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67" s="11"/>
      <c r="N1067" s="10" t="s">
        <v>133</v>
      </c>
      <c r="O1067" s="10" t="s">
        <v>40</v>
      </c>
      <c r="T1067" s="3"/>
      <c r="U1067" s="246" t="s">
        <v>126</v>
      </c>
      <c r="V1067" s="246" t="s">
        <v>1711</v>
      </c>
      <c r="W1067" s="48"/>
      <c r="X1067" s="45"/>
    </row>
    <row r="1068" spans="1:25">
      <c r="A1068" s="58" t="s">
        <v>188</v>
      </c>
      <c r="B1068" s="146">
        <v>44482.114583333299</v>
      </c>
      <c r="C1068" s="138">
        <v>8</v>
      </c>
      <c r="D1068" s="134" t="s">
        <v>306</v>
      </c>
      <c r="E1068" s="7" t="s">
        <v>31</v>
      </c>
      <c r="F1068" s="139" t="s">
        <v>194</v>
      </c>
      <c r="G1068" s="43">
        <v>93.2</v>
      </c>
      <c r="H1068" s="43">
        <v>81.599999999999994</v>
      </c>
      <c r="I1068">
        <f>表1_4[[#This Row],[主队2]]-表1_4[[#This Row],[客队2]]</f>
        <v>11.6</v>
      </c>
      <c r="J106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068" s="35" t="s">
        <v>176</v>
      </c>
      <c r="L106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68" s="11"/>
      <c r="N1068" s="10" t="s">
        <v>133</v>
      </c>
      <c r="O1068" s="10" t="s">
        <v>143</v>
      </c>
      <c r="R1068" t="s">
        <v>852</v>
      </c>
      <c r="T1068" s="3"/>
      <c r="U1068" s="25"/>
      <c r="V1068" s="25" t="s">
        <v>1712</v>
      </c>
      <c r="W1068" s="56"/>
      <c r="X1068" s="45"/>
    </row>
    <row r="1069" spans="1:25">
      <c r="A1069" s="58" t="s">
        <v>188</v>
      </c>
      <c r="B1069" s="146">
        <v>44482.114583333299</v>
      </c>
      <c r="C1069" s="138">
        <v>8</v>
      </c>
      <c r="D1069" s="134" t="s">
        <v>244</v>
      </c>
      <c r="E1069" s="7" t="s">
        <v>53</v>
      </c>
      <c r="F1069" s="139" t="s">
        <v>123</v>
      </c>
      <c r="G1069" s="43">
        <v>58.1</v>
      </c>
      <c r="H1069" s="43">
        <v>78.900000000000006</v>
      </c>
      <c r="I1069">
        <f>表1_4[[#This Row],[主队2]]-表1_4[[#This Row],[客队2]]</f>
        <v>-20.8</v>
      </c>
      <c r="J106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069" s="35" t="s">
        <v>706</v>
      </c>
      <c r="L106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69" s="11"/>
      <c r="N1069" s="10" t="s">
        <v>119</v>
      </c>
      <c r="O1069" s="10" t="s">
        <v>40</v>
      </c>
      <c r="R1069" t="s">
        <v>855</v>
      </c>
      <c r="T1069" s="3"/>
      <c r="U1069" s="83" t="s">
        <v>688</v>
      </c>
      <c r="V1069" s="83" t="s">
        <v>1713</v>
      </c>
      <c r="W1069" s="51"/>
      <c r="X1069" s="45"/>
    </row>
    <row r="1070" spans="1:25">
      <c r="A1070" s="58" t="s">
        <v>188</v>
      </c>
      <c r="B1070" s="146">
        <v>44482.114583333299</v>
      </c>
      <c r="C1070" s="140">
        <v>8</v>
      </c>
      <c r="D1070" s="134" t="s">
        <v>210</v>
      </c>
      <c r="E1070" s="7" t="s">
        <v>33</v>
      </c>
      <c r="F1070" s="139" t="s">
        <v>195</v>
      </c>
      <c r="G1070" s="43">
        <v>76</v>
      </c>
      <c r="H1070" s="43">
        <v>58.2</v>
      </c>
      <c r="I1070">
        <f>表1_4[[#This Row],[主队2]]-表1_4[[#This Row],[客队2]]</f>
        <v>17.8</v>
      </c>
      <c r="J107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070" s="35" t="s">
        <v>45</v>
      </c>
      <c r="L107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70" s="11"/>
      <c r="N1070" s="10" t="s">
        <v>112</v>
      </c>
      <c r="O1070" s="10" t="s">
        <v>143</v>
      </c>
      <c r="R1070" t="s">
        <v>855</v>
      </c>
      <c r="T1070" s="3"/>
      <c r="U1070" s="246"/>
      <c r="V1070" s="246" t="s">
        <v>1714</v>
      </c>
      <c r="W1070" s="52"/>
      <c r="X1070" s="45"/>
    </row>
    <row r="1071" spans="1:25">
      <c r="A1071" s="58" t="s">
        <v>188</v>
      </c>
      <c r="B1071" s="146">
        <v>44482.114583333299</v>
      </c>
      <c r="C1071" s="140">
        <v>8</v>
      </c>
      <c r="D1071" s="134" t="s">
        <v>292</v>
      </c>
      <c r="E1071" s="7" t="s">
        <v>64</v>
      </c>
      <c r="F1071" s="139" t="s">
        <v>250</v>
      </c>
      <c r="G1071" s="43">
        <v>62.6</v>
      </c>
      <c r="H1071" s="43">
        <v>89.5</v>
      </c>
      <c r="I1071">
        <f>表1_4[[#This Row],[主队2]]-表1_4[[#This Row],[客队2]]</f>
        <v>-26.9</v>
      </c>
      <c r="J1071" s="34">
        <v>-2.5</v>
      </c>
      <c r="K1071" s="35" t="s">
        <v>686</v>
      </c>
      <c r="L107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71" s="11"/>
      <c r="N1071" s="10" t="s">
        <v>133</v>
      </c>
      <c r="O1071" s="10" t="s">
        <v>40</v>
      </c>
      <c r="R1071" t="s">
        <v>852</v>
      </c>
      <c r="T1071" s="3"/>
      <c r="U1071" s="83" t="s">
        <v>753</v>
      </c>
      <c r="V1071" s="48" t="s">
        <v>1715</v>
      </c>
      <c r="W1071" s="44"/>
      <c r="X1071" s="45"/>
    </row>
    <row r="1072" spans="1:25">
      <c r="A1072" s="58" t="s">
        <v>188</v>
      </c>
      <c r="B1072" s="146">
        <v>44482.114583333299</v>
      </c>
      <c r="C1072" s="141">
        <v>8</v>
      </c>
      <c r="D1072" s="134" t="s">
        <v>261</v>
      </c>
      <c r="E1072" s="7" t="s">
        <v>33</v>
      </c>
      <c r="F1072" s="139" t="s">
        <v>296</v>
      </c>
      <c r="G1072" s="43">
        <v>72.7</v>
      </c>
      <c r="H1072" s="43">
        <v>77.5</v>
      </c>
      <c r="I1072">
        <f>表1_4[[#This Row],[主队2]]-表1_4[[#This Row],[客队2]]</f>
        <v>-4.8</v>
      </c>
      <c r="J107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072" s="35" t="s">
        <v>166</v>
      </c>
      <c r="L107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72" s="11"/>
      <c r="N1072" s="10" t="s">
        <v>119</v>
      </c>
      <c r="O1072" s="10" t="s">
        <v>46</v>
      </c>
      <c r="T1072" s="3"/>
      <c r="U1072" s="83"/>
      <c r="V1072" s="246" t="s">
        <v>1716</v>
      </c>
      <c r="W1072" s="241"/>
      <c r="X1072" s="45"/>
    </row>
    <row r="1073" spans="1:24">
      <c r="A1073" s="58" t="s">
        <v>188</v>
      </c>
      <c r="B1073" s="146">
        <v>44482.114583333299</v>
      </c>
      <c r="C1073" s="140">
        <v>8</v>
      </c>
      <c r="D1073" s="134" t="s">
        <v>217</v>
      </c>
      <c r="E1073" s="7" t="s">
        <v>60</v>
      </c>
      <c r="F1073" s="139" t="s">
        <v>430</v>
      </c>
      <c r="G1073" s="43">
        <v>69.400000000000006</v>
      </c>
      <c r="H1073" s="43">
        <v>70.5</v>
      </c>
      <c r="I1073">
        <f>表1_4[[#This Row],[主队2]]-表1_4[[#This Row],[客队2]]</f>
        <v>-1.0999999999999901</v>
      </c>
      <c r="J107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073" s="35" t="s">
        <v>182</v>
      </c>
      <c r="L107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73" s="11"/>
      <c r="N1073" s="10" t="s">
        <v>119</v>
      </c>
      <c r="O1073" s="10" t="s">
        <v>24</v>
      </c>
      <c r="T1073" s="3"/>
      <c r="U1073" s="246"/>
      <c r="V1073" s="25" t="s">
        <v>1717</v>
      </c>
      <c r="W1073" s="241"/>
      <c r="X1073" s="45"/>
    </row>
    <row r="1074" spans="1:24">
      <c r="A1074" s="58" t="s">
        <v>188</v>
      </c>
      <c r="B1074" s="146">
        <v>44482.114583333299</v>
      </c>
      <c r="C1074" s="140">
        <v>8</v>
      </c>
      <c r="D1074" s="134" t="s">
        <v>239</v>
      </c>
      <c r="E1074" s="7" t="s">
        <v>22</v>
      </c>
      <c r="F1074" s="139" t="s">
        <v>275</v>
      </c>
      <c r="G1074" s="43">
        <v>87.6</v>
      </c>
      <c r="H1074" s="43">
        <v>80.7</v>
      </c>
      <c r="I1074">
        <f>表1_4[[#This Row],[主队2]]-表1_4[[#This Row],[客队2]]</f>
        <v>6.8999999999999897</v>
      </c>
      <c r="J107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074" s="35" t="s">
        <v>289</v>
      </c>
      <c r="L107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74" s="11"/>
      <c r="N1074" s="10" t="s">
        <v>119</v>
      </c>
      <c r="O1074" s="10" t="s">
        <v>51</v>
      </c>
      <c r="R1074" t="s">
        <v>852</v>
      </c>
      <c r="T1074" s="3"/>
      <c r="U1074" s="246"/>
      <c r="V1074" s="25" t="s">
        <v>1439</v>
      </c>
      <c r="W1074" s="51"/>
      <c r="X1074" s="45"/>
    </row>
    <row r="1075" spans="1:24">
      <c r="A1075" s="58" t="s">
        <v>188</v>
      </c>
      <c r="B1075" s="146">
        <v>44482.114583333299</v>
      </c>
      <c r="C1075" s="138">
        <v>8</v>
      </c>
      <c r="D1075" s="134" t="s">
        <v>270</v>
      </c>
      <c r="E1075" s="7" t="s">
        <v>57</v>
      </c>
      <c r="F1075" s="139" t="s">
        <v>266</v>
      </c>
      <c r="G1075" s="43">
        <v>93.3</v>
      </c>
      <c r="H1075" s="43">
        <v>64.099999999999994</v>
      </c>
      <c r="I1075">
        <f>表1_4[[#This Row],[主队2]]-表1_4[[#This Row],[客队2]]</f>
        <v>29.2</v>
      </c>
      <c r="J1075" s="34">
        <v>3.25</v>
      </c>
      <c r="K1075" s="35" t="s">
        <v>30</v>
      </c>
      <c r="L107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75" s="11"/>
      <c r="N1075" s="10" t="s">
        <v>112</v>
      </c>
      <c r="O1075" s="10" t="s">
        <v>24</v>
      </c>
      <c r="R1075" t="s">
        <v>852</v>
      </c>
      <c r="T1075" s="3"/>
      <c r="U1075" s="246"/>
      <c r="V1075" s="231" t="s">
        <v>1718</v>
      </c>
      <c r="W1075" s="25"/>
      <c r="X1075" s="135"/>
    </row>
    <row r="1076" spans="1:24">
      <c r="A1076" s="58" t="s">
        <v>188</v>
      </c>
      <c r="B1076" s="146">
        <v>44482.114583333299</v>
      </c>
      <c r="C1076" s="140">
        <v>8</v>
      </c>
      <c r="D1076" s="134" t="s">
        <v>434</v>
      </c>
      <c r="E1076" s="7" t="s">
        <v>41</v>
      </c>
      <c r="F1076" s="139" t="s">
        <v>278</v>
      </c>
      <c r="G1076" s="43">
        <v>83.8</v>
      </c>
      <c r="H1076" s="43">
        <v>64.2</v>
      </c>
      <c r="I1076">
        <f>表1_4[[#This Row],[主队2]]-表1_4[[#This Row],[客队2]]</f>
        <v>19.600000000000001</v>
      </c>
      <c r="J107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1076" s="35" t="s">
        <v>45</v>
      </c>
      <c r="L107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76" s="11"/>
      <c r="N1076" s="10" t="s">
        <v>112</v>
      </c>
      <c r="O1076" s="10" t="s">
        <v>28</v>
      </c>
      <c r="T1076" s="3"/>
      <c r="U1076" s="25"/>
      <c r="V1076" s="25" t="s">
        <v>1719</v>
      </c>
      <c r="W1076" s="52"/>
      <c r="X1076" s="45"/>
    </row>
    <row r="1077" spans="1:24">
      <c r="A1077" s="58" t="s">
        <v>128</v>
      </c>
      <c r="B1077" s="146">
        <v>44481.756944444402</v>
      </c>
      <c r="C1077" s="140">
        <v>4</v>
      </c>
      <c r="D1077" s="134" t="s">
        <v>147</v>
      </c>
      <c r="E1077" s="7" t="s">
        <v>33</v>
      </c>
      <c r="F1077" s="139" t="s">
        <v>142</v>
      </c>
      <c r="G1077" s="43">
        <v>82.6</v>
      </c>
      <c r="H1077" s="43">
        <v>82.1</v>
      </c>
      <c r="I1077">
        <f>表1_4[[#This Row],[主队2]]-表1_4[[#This Row],[客队2]]</f>
        <v>0.5</v>
      </c>
      <c r="J107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077" s="35" t="s">
        <v>289</v>
      </c>
      <c r="L107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077" s="11"/>
      <c r="N1077" s="10" t="s">
        <v>119</v>
      </c>
      <c r="O1077" s="10" t="s">
        <v>24</v>
      </c>
      <c r="T1077" s="3"/>
      <c r="U1077" s="83"/>
      <c r="V1077" s="55" t="s">
        <v>1720</v>
      </c>
      <c r="W1077" s="44"/>
      <c r="X1077" s="45"/>
    </row>
    <row r="1078" spans="1:24">
      <c r="A1078" s="58" t="s">
        <v>128</v>
      </c>
      <c r="B1078" s="146">
        <v>44482</v>
      </c>
      <c r="C1078" s="138">
        <v>4</v>
      </c>
      <c r="D1078" s="134" t="s">
        <v>1093</v>
      </c>
      <c r="E1078" s="7" t="s">
        <v>41</v>
      </c>
      <c r="F1078" s="139" t="s">
        <v>1002</v>
      </c>
      <c r="G1078" s="43">
        <v>64.2</v>
      </c>
      <c r="H1078" s="43">
        <v>60.1</v>
      </c>
      <c r="I1078">
        <f>表1_4[[#This Row],[主队2]]-表1_4[[#This Row],[客队2]]</f>
        <v>4.0999999999999996</v>
      </c>
      <c r="J107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078" s="35" t="s">
        <v>118</v>
      </c>
      <c r="L107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78" s="11"/>
      <c r="N1078" s="10" t="s">
        <v>119</v>
      </c>
      <c r="O1078" s="10" t="s">
        <v>46</v>
      </c>
      <c r="R1078" t="s">
        <v>852</v>
      </c>
      <c r="T1078" s="3"/>
      <c r="U1078" s="25"/>
      <c r="V1078" s="54" t="s">
        <v>1052</v>
      </c>
      <c r="W1078" s="44"/>
      <c r="X1078" s="45"/>
    </row>
    <row r="1079" spans="1:24">
      <c r="A1079" s="58" t="s">
        <v>128</v>
      </c>
      <c r="B1079" s="146">
        <v>44482.041666666701</v>
      </c>
      <c r="C1079" s="140">
        <v>4</v>
      </c>
      <c r="D1079" s="134" t="s">
        <v>138</v>
      </c>
      <c r="E1079" s="7" t="s">
        <v>29</v>
      </c>
      <c r="F1079" s="139" t="s">
        <v>109</v>
      </c>
      <c r="G1079" s="43">
        <v>75.400000000000006</v>
      </c>
      <c r="H1079" s="43">
        <v>69.3</v>
      </c>
      <c r="I1079">
        <f>表1_4[[#This Row],[主队2]]-表1_4[[#This Row],[客队2]]</f>
        <v>6.1000000000000103</v>
      </c>
      <c r="J107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079" s="35" t="s">
        <v>125</v>
      </c>
      <c r="L107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079" s="11"/>
      <c r="N1079" s="10" t="s">
        <v>133</v>
      </c>
      <c r="O1079" s="10" t="s">
        <v>28</v>
      </c>
      <c r="R1079" t="s">
        <v>852</v>
      </c>
      <c r="T1079" s="3"/>
      <c r="U1079" s="83"/>
      <c r="V1079" s="55" t="s">
        <v>1721</v>
      </c>
      <c r="W1079" s="48"/>
      <c r="X1079" s="45"/>
    </row>
    <row r="1080" spans="1:24">
      <c r="A1080" s="58" t="s">
        <v>128</v>
      </c>
      <c r="B1080" s="146">
        <v>44481.895833333299</v>
      </c>
      <c r="C1080" s="141">
        <v>4</v>
      </c>
      <c r="D1080" s="134" t="s">
        <v>151</v>
      </c>
      <c r="E1080" s="7" t="s">
        <v>36</v>
      </c>
      <c r="F1080" s="139" t="s">
        <v>185</v>
      </c>
      <c r="G1080" s="43">
        <v>84.8</v>
      </c>
      <c r="H1080" s="43">
        <v>76.099999999999994</v>
      </c>
      <c r="I1080">
        <f>表1_4[[#This Row],[主队2]]-表1_4[[#This Row],[客队2]]</f>
        <v>8.6999999999999993</v>
      </c>
      <c r="J108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080" s="35" t="s">
        <v>182</v>
      </c>
      <c r="L108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080" s="11"/>
      <c r="N1080" s="10" t="s">
        <v>119</v>
      </c>
      <c r="O1080" s="10" t="s">
        <v>28</v>
      </c>
      <c r="R1080" t="s">
        <v>852</v>
      </c>
      <c r="T1080" s="3"/>
      <c r="U1080" s="25"/>
      <c r="V1080" s="54" t="s">
        <v>1722</v>
      </c>
      <c r="W1080" s="241"/>
      <c r="X1080" s="45"/>
    </row>
    <row r="1081" spans="1:24">
      <c r="A1081" s="58" t="s">
        <v>128</v>
      </c>
      <c r="B1081" s="146">
        <v>44482</v>
      </c>
      <c r="C1081" s="141">
        <v>4</v>
      </c>
      <c r="D1081" s="134" t="s">
        <v>130</v>
      </c>
      <c r="E1081" s="7" t="s">
        <v>62</v>
      </c>
      <c r="F1081" s="139" t="s">
        <v>1005</v>
      </c>
      <c r="G1081" s="43">
        <v>69.2</v>
      </c>
      <c r="H1081" s="43">
        <v>61.8</v>
      </c>
      <c r="I1081">
        <f>表1_4[[#This Row],[主队2]]-表1_4[[#This Row],[客队2]]</f>
        <v>7.4000000000000101</v>
      </c>
      <c r="J1081" s="34">
        <v>0.75</v>
      </c>
      <c r="K1081" s="35" t="s">
        <v>289</v>
      </c>
      <c r="L108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81" s="11"/>
      <c r="N1081" s="10" t="s">
        <v>119</v>
      </c>
      <c r="O1081" s="10" t="s">
        <v>46</v>
      </c>
      <c r="T1081" s="3"/>
      <c r="U1081" s="83" t="s">
        <v>776</v>
      </c>
      <c r="V1081" s="55" t="s">
        <v>635</v>
      </c>
      <c r="W1081" s="44"/>
      <c r="X1081" s="45"/>
    </row>
    <row r="1082" spans="1:24">
      <c r="A1082" s="58" t="s">
        <v>128</v>
      </c>
      <c r="B1082" s="127">
        <v>44482.03125</v>
      </c>
      <c r="C1082" s="279">
        <v>4</v>
      </c>
      <c r="D1082" s="134" t="s">
        <v>146</v>
      </c>
      <c r="E1082" s="7" t="s">
        <v>25</v>
      </c>
      <c r="F1082" s="139" t="s">
        <v>141</v>
      </c>
      <c r="G1082" s="43">
        <v>67.7</v>
      </c>
      <c r="H1082" s="43">
        <v>70.5</v>
      </c>
      <c r="I1082">
        <f>表1_4[[#This Row],[主队2]]-表1_4[[#This Row],[客队2]]</f>
        <v>-2.8</v>
      </c>
      <c r="J108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082" s="35" t="s">
        <v>182</v>
      </c>
      <c r="L108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082" s="63" t="s">
        <v>1723</v>
      </c>
      <c r="N1082" s="10" t="s">
        <v>119</v>
      </c>
      <c r="O1082" s="57" t="s">
        <v>35</v>
      </c>
      <c r="R1082" t="s">
        <v>852</v>
      </c>
      <c r="T1082" s="3"/>
      <c r="U1082" s="25" t="s">
        <v>791</v>
      </c>
      <c r="V1082" s="54" t="s">
        <v>1724</v>
      </c>
      <c r="W1082" s="52"/>
      <c r="X1082" s="45"/>
    </row>
    <row r="1083" spans="1:24">
      <c r="A1083" s="58" t="s">
        <v>222</v>
      </c>
      <c r="B1083" s="146">
        <v>44483.291666666701</v>
      </c>
      <c r="C1083" s="138">
        <v>14</v>
      </c>
      <c r="D1083" s="134" t="s">
        <v>234</v>
      </c>
      <c r="E1083" s="7" t="s">
        <v>33</v>
      </c>
      <c r="F1083" s="139" t="s">
        <v>230</v>
      </c>
      <c r="G1083" s="43">
        <v>85.6</v>
      </c>
      <c r="H1083" s="43">
        <v>75.8</v>
      </c>
      <c r="I1083">
        <f>表1_4[[#This Row],[主队2]]-表1_4[[#This Row],[客队2]]</f>
        <v>9.8000000000000007</v>
      </c>
      <c r="J108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083" s="35" t="s">
        <v>176</v>
      </c>
      <c r="L108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83" s="11"/>
      <c r="N1083" s="10" t="s">
        <v>119</v>
      </c>
      <c r="O1083" s="10" t="s">
        <v>40</v>
      </c>
      <c r="T1083" s="3"/>
      <c r="U1083" s="83" t="s">
        <v>1725</v>
      </c>
      <c r="V1083" s="54" t="s">
        <v>1726</v>
      </c>
      <c r="W1083" s="44"/>
      <c r="X1083" s="45"/>
    </row>
    <row r="1084" spans="1:24">
      <c r="A1084" s="58" t="s">
        <v>222</v>
      </c>
      <c r="B1084" s="146">
        <v>44483.3125</v>
      </c>
      <c r="C1084" s="138">
        <v>14</v>
      </c>
      <c r="D1084" s="134" t="s">
        <v>124</v>
      </c>
      <c r="E1084" s="7" t="s">
        <v>37</v>
      </c>
      <c r="F1084" s="139" t="s">
        <v>225</v>
      </c>
      <c r="G1084" s="43">
        <v>82.5</v>
      </c>
      <c r="H1084" s="43">
        <v>73.900000000000006</v>
      </c>
      <c r="I1084">
        <f>表1_4[[#This Row],[主队2]]-表1_4[[#This Row],[客队2]]</f>
        <v>8.5999999999999908</v>
      </c>
      <c r="J108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084" s="35" t="s">
        <v>118</v>
      </c>
      <c r="L108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84" s="11"/>
      <c r="N1084" s="10" t="s">
        <v>119</v>
      </c>
      <c r="O1084" s="10" t="s">
        <v>40</v>
      </c>
      <c r="R1084" t="s">
        <v>852</v>
      </c>
      <c r="T1084" s="3"/>
      <c r="U1084" s="25" t="s">
        <v>1727</v>
      </c>
      <c r="V1084" s="54" t="s">
        <v>1728</v>
      </c>
      <c r="W1084" s="44"/>
      <c r="X1084" s="45"/>
    </row>
    <row r="1085" spans="1:24">
      <c r="A1085" s="58" t="s">
        <v>222</v>
      </c>
      <c r="B1085" s="146">
        <v>44483.336805555598</v>
      </c>
      <c r="C1085" s="141">
        <v>14</v>
      </c>
      <c r="D1085" s="134" t="s">
        <v>235</v>
      </c>
      <c r="E1085" s="7" t="s">
        <v>47</v>
      </c>
      <c r="F1085" s="139" t="s">
        <v>1604</v>
      </c>
      <c r="G1085" s="43">
        <v>72.8</v>
      </c>
      <c r="H1085" s="43">
        <v>74.099999999999994</v>
      </c>
      <c r="I1085">
        <f>表1_4[[#This Row],[主队2]]-表1_4[[#This Row],[客队2]]</f>
        <v>-1.3</v>
      </c>
      <c r="J108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085" s="35" t="s">
        <v>289</v>
      </c>
      <c r="L108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085" s="11"/>
      <c r="N1085" s="10" t="s">
        <v>119</v>
      </c>
      <c r="O1085" s="10" t="s">
        <v>28</v>
      </c>
      <c r="R1085" t="s">
        <v>855</v>
      </c>
      <c r="T1085" s="3"/>
      <c r="U1085" s="83"/>
      <c r="V1085" s="231" t="s">
        <v>1729</v>
      </c>
      <c r="W1085" s="44"/>
      <c r="X1085" s="45"/>
    </row>
    <row r="1086" spans="1:24">
      <c r="A1086" s="58" t="s">
        <v>222</v>
      </c>
      <c r="B1086" s="146">
        <v>44483.420138888898</v>
      </c>
      <c r="C1086" s="138">
        <v>14</v>
      </c>
      <c r="D1086" s="134" t="s">
        <v>1606</v>
      </c>
      <c r="E1086" s="7" t="s">
        <v>47</v>
      </c>
      <c r="F1086" s="139" t="s">
        <v>229</v>
      </c>
      <c r="G1086" s="43">
        <v>68.900000000000006</v>
      </c>
      <c r="H1086" s="43">
        <v>87.9</v>
      </c>
      <c r="I1086">
        <f>表1_4[[#This Row],[主队2]]-表1_4[[#This Row],[客队2]]</f>
        <v>-19</v>
      </c>
      <c r="J108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086" s="35" t="s">
        <v>245</v>
      </c>
      <c r="L108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086" s="11"/>
      <c r="N1086" s="10" t="s">
        <v>112</v>
      </c>
      <c r="O1086" s="10" t="s">
        <v>28</v>
      </c>
      <c r="R1086" t="s">
        <v>855</v>
      </c>
      <c r="T1086" s="3"/>
      <c r="U1086" s="25"/>
      <c r="V1086" s="54" t="s">
        <v>1730</v>
      </c>
      <c r="W1086" s="44"/>
      <c r="X1086" s="45"/>
    </row>
    <row r="1087" spans="1:24">
      <c r="A1087" s="58" t="s">
        <v>156</v>
      </c>
      <c r="B1087" s="146">
        <v>44484.166666666701</v>
      </c>
      <c r="C1087" s="140">
        <v>12</v>
      </c>
      <c r="D1087" s="134" t="s">
        <v>159</v>
      </c>
      <c r="E1087" s="7" t="s">
        <v>37</v>
      </c>
      <c r="F1087" s="139" t="s">
        <v>164</v>
      </c>
      <c r="G1087" s="43">
        <v>75.2</v>
      </c>
      <c r="H1087" s="43">
        <v>84.2</v>
      </c>
      <c r="I1087">
        <f>表1_4[[#This Row],[主队2]]-表1_4[[#This Row],[客队2]]</f>
        <v>-9</v>
      </c>
      <c r="J108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087" s="35" t="s">
        <v>182</v>
      </c>
      <c r="L1087" s="36" t="s">
        <v>636</v>
      </c>
      <c r="M1087" s="63" t="s">
        <v>331</v>
      </c>
      <c r="N1087" s="10" t="s">
        <v>133</v>
      </c>
      <c r="O1087" s="10" t="s">
        <v>40</v>
      </c>
      <c r="R1087" t="s">
        <v>852</v>
      </c>
      <c r="T1087" s="3"/>
      <c r="U1087" s="83" t="s">
        <v>450</v>
      </c>
      <c r="V1087" s="55" t="s">
        <v>1731</v>
      </c>
      <c r="W1087" s="56"/>
      <c r="X1087" s="45"/>
    </row>
    <row r="1088" spans="1:24">
      <c r="A1088" s="58" t="s">
        <v>156</v>
      </c>
      <c r="B1088" s="146">
        <v>44484.208333333299</v>
      </c>
      <c r="C1088" s="140">
        <v>12</v>
      </c>
      <c r="D1088" s="134" t="s">
        <v>158</v>
      </c>
      <c r="E1088" s="7" t="s">
        <v>42</v>
      </c>
      <c r="F1088" s="139" t="s">
        <v>165</v>
      </c>
      <c r="G1088" s="43">
        <v>92.5</v>
      </c>
      <c r="H1088" s="43">
        <v>85.2</v>
      </c>
      <c r="I1088">
        <f>表1_4[[#This Row],[主队2]]-表1_4[[#This Row],[客队2]]</f>
        <v>7.3</v>
      </c>
      <c r="J108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088" s="35" t="s">
        <v>289</v>
      </c>
      <c r="L108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88" s="63" t="s">
        <v>1732</v>
      </c>
      <c r="N1088" s="10" t="s">
        <v>112</v>
      </c>
      <c r="O1088" s="10" t="s">
        <v>40</v>
      </c>
      <c r="R1088" t="s">
        <v>855</v>
      </c>
      <c r="T1088" s="3"/>
      <c r="U1088" s="25" t="s">
        <v>450</v>
      </c>
      <c r="V1088" s="80" t="s">
        <v>1733</v>
      </c>
      <c r="W1088" s="51"/>
      <c r="X1088" s="45"/>
    </row>
    <row r="1089" spans="1:24">
      <c r="A1089" s="58" t="s">
        <v>156</v>
      </c>
      <c r="B1089" s="146">
        <v>44484.3125</v>
      </c>
      <c r="C1089" s="140">
        <v>12</v>
      </c>
      <c r="D1089" s="134" t="s">
        <v>174</v>
      </c>
      <c r="E1089" s="7" t="s">
        <v>31</v>
      </c>
      <c r="F1089" s="139" t="s">
        <v>181</v>
      </c>
      <c r="G1089" s="43">
        <v>96.7</v>
      </c>
      <c r="H1089" s="43">
        <v>84.3</v>
      </c>
      <c r="I1089">
        <f>表1_4[[#This Row],[主队2]]-表1_4[[#This Row],[客队2]]</f>
        <v>12.4</v>
      </c>
      <c r="J108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089" s="35" t="s">
        <v>81</v>
      </c>
      <c r="L108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89" s="63" t="s">
        <v>383</v>
      </c>
      <c r="N1089" s="46" t="s">
        <v>160</v>
      </c>
      <c r="O1089" s="10" t="s">
        <v>28</v>
      </c>
      <c r="R1089" t="s">
        <v>855</v>
      </c>
      <c r="T1089" s="3"/>
      <c r="U1089" s="83"/>
      <c r="V1089" s="80" t="s">
        <v>1734</v>
      </c>
      <c r="W1089" s="52"/>
      <c r="X1089" s="45"/>
    </row>
    <row r="1090" spans="1:24">
      <c r="A1090" s="58" t="s">
        <v>156</v>
      </c>
      <c r="B1090" s="146">
        <v>44484.333333333299</v>
      </c>
      <c r="C1090" s="138">
        <v>12</v>
      </c>
      <c r="D1090" s="134" t="s">
        <v>175</v>
      </c>
      <c r="E1090" s="7" t="s">
        <v>44</v>
      </c>
      <c r="F1090" s="71" t="s">
        <v>180</v>
      </c>
      <c r="G1090" s="43">
        <v>85.8</v>
      </c>
      <c r="H1090" s="43">
        <v>82.5</v>
      </c>
      <c r="I1090">
        <f>表1_4[[#This Row],[主队2]]-表1_4[[#This Row],[客队2]]</f>
        <v>3.3</v>
      </c>
      <c r="J109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090" s="35" t="s">
        <v>176</v>
      </c>
      <c r="L109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090" s="11"/>
      <c r="N1090" s="10" t="s">
        <v>112</v>
      </c>
      <c r="O1090" s="10" t="s">
        <v>35</v>
      </c>
      <c r="R1090" t="s">
        <v>852</v>
      </c>
      <c r="T1090" s="3"/>
      <c r="U1090" s="25" t="s">
        <v>931</v>
      </c>
      <c r="V1090" s="80" t="s">
        <v>1735</v>
      </c>
      <c r="W1090" s="44"/>
      <c r="X1090" s="45"/>
    </row>
    <row r="1091" spans="1:24">
      <c r="A1091" s="58" t="s">
        <v>156</v>
      </c>
      <c r="B1091" s="146">
        <v>44484.354166666701</v>
      </c>
      <c r="C1091" s="138">
        <v>12</v>
      </c>
      <c r="D1091" s="134" t="s">
        <v>171</v>
      </c>
      <c r="E1091" s="7" t="s">
        <v>43</v>
      </c>
      <c r="F1091" s="139" t="s">
        <v>170</v>
      </c>
      <c r="G1091" s="43">
        <v>101.4</v>
      </c>
      <c r="H1091" s="43">
        <v>88.7</v>
      </c>
      <c r="I1091">
        <f>表1_4[[#This Row],[主队2]]-表1_4[[#This Row],[客队2]]</f>
        <v>12.7</v>
      </c>
      <c r="J109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091" s="35" t="s">
        <v>176</v>
      </c>
      <c r="L109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91" s="11"/>
      <c r="N1091" s="10" t="s">
        <v>119</v>
      </c>
      <c r="O1091" s="10" t="s">
        <v>46</v>
      </c>
      <c r="R1091" t="s">
        <v>852</v>
      </c>
      <c r="T1091" s="3"/>
      <c r="U1091" s="83"/>
      <c r="V1091" s="231" t="s">
        <v>426</v>
      </c>
      <c r="W1091" s="44"/>
      <c r="X1091" s="45"/>
    </row>
    <row r="1092" spans="1:24">
      <c r="A1092" s="58" t="s">
        <v>128</v>
      </c>
      <c r="B1092" s="146">
        <v>44511.715277777803</v>
      </c>
      <c r="C1092" s="138">
        <v>5</v>
      </c>
      <c r="D1092" s="134" t="s">
        <v>142</v>
      </c>
      <c r="E1092" s="7" t="s">
        <v>42</v>
      </c>
      <c r="F1092" s="139" t="s">
        <v>138</v>
      </c>
      <c r="G1092" s="43">
        <v>82.1</v>
      </c>
      <c r="H1092" s="43">
        <v>75.099999999999994</v>
      </c>
      <c r="I1092">
        <f>表1_4[[#This Row],[主队2]]-表1_4[[#This Row],[客队2]]</f>
        <v>7</v>
      </c>
      <c r="J109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092" s="35" t="s">
        <v>118</v>
      </c>
      <c r="L109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92" s="11"/>
      <c r="N1092" s="10" t="s">
        <v>119</v>
      </c>
      <c r="O1092" s="57" t="s">
        <v>46</v>
      </c>
      <c r="T1092" s="3"/>
      <c r="U1092" s="246"/>
      <c r="V1092" s="231" t="s">
        <v>1736</v>
      </c>
      <c r="W1092" s="44"/>
      <c r="X1092" s="45"/>
    </row>
    <row r="1093" spans="1:24">
      <c r="A1093" s="58" t="s">
        <v>128</v>
      </c>
      <c r="B1093" s="146">
        <v>44511.833333333299</v>
      </c>
      <c r="C1093" s="138">
        <v>5</v>
      </c>
      <c r="D1093" s="134" t="s">
        <v>1002</v>
      </c>
      <c r="E1093" s="7" t="s">
        <v>53</v>
      </c>
      <c r="F1093" s="139" t="s">
        <v>147</v>
      </c>
      <c r="G1093" s="43">
        <v>59.4</v>
      </c>
      <c r="H1093" s="43">
        <v>82.6</v>
      </c>
      <c r="I1093">
        <f>表1_4[[#This Row],[主队2]]-表1_4[[#This Row],[客队2]]</f>
        <v>-23.2</v>
      </c>
      <c r="J1093" s="34">
        <v>-2</v>
      </c>
      <c r="K1093" s="35" t="s">
        <v>666</v>
      </c>
      <c r="L109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093" s="63" t="s">
        <v>1737</v>
      </c>
      <c r="N1093" s="10" t="s">
        <v>119</v>
      </c>
      <c r="O1093" s="57" t="s">
        <v>35</v>
      </c>
      <c r="R1093" t="s">
        <v>855</v>
      </c>
      <c r="T1093" s="3"/>
      <c r="U1093" s="25" t="s">
        <v>1738</v>
      </c>
      <c r="V1093" s="54" t="s">
        <v>1739</v>
      </c>
      <c r="W1093" s="44"/>
      <c r="X1093" s="45"/>
    </row>
    <row r="1094" spans="1:24">
      <c r="A1094" s="58" t="s">
        <v>128</v>
      </c>
      <c r="B1094" s="146">
        <v>44511.958333333299</v>
      </c>
      <c r="C1094" s="140">
        <v>5</v>
      </c>
      <c r="D1094" s="134" t="s">
        <v>109</v>
      </c>
      <c r="E1094" s="7" t="s">
        <v>36</v>
      </c>
      <c r="F1094" s="139" t="s">
        <v>1093</v>
      </c>
      <c r="G1094" s="43">
        <v>69.599999999999994</v>
      </c>
      <c r="H1094" s="43">
        <v>64.900000000000006</v>
      </c>
      <c r="I1094">
        <f>表1_4[[#This Row],[主队2]]-表1_4[[#This Row],[客队2]]</f>
        <v>4.6999999999999904</v>
      </c>
      <c r="J1094" s="34">
        <v>0.5</v>
      </c>
      <c r="K1094" s="35" t="s">
        <v>166</v>
      </c>
      <c r="L109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94" s="11"/>
      <c r="N1094" s="10" t="s">
        <v>119</v>
      </c>
      <c r="O1094" s="10" t="s">
        <v>24</v>
      </c>
      <c r="R1094" t="s">
        <v>852</v>
      </c>
      <c r="T1094" s="3"/>
      <c r="U1094" s="246" t="s">
        <v>776</v>
      </c>
      <c r="V1094" s="62" t="s">
        <v>1740</v>
      </c>
      <c r="W1094" s="52"/>
      <c r="X1094" s="45"/>
    </row>
    <row r="1095" spans="1:24">
      <c r="A1095" s="58" t="s">
        <v>128</v>
      </c>
      <c r="B1095" s="146">
        <v>44511.791666666701</v>
      </c>
      <c r="C1095" s="140">
        <v>5</v>
      </c>
      <c r="D1095" s="134" t="s">
        <v>185</v>
      </c>
      <c r="E1095" s="7" t="s">
        <v>31</v>
      </c>
      <c r="F1095" s="139" t="s">
        <v>146</v>
      </c>
      <c r="G1095" s="43">
        <v>77.3</v>
      </c>
      <c r="H1095" s="43">
        <v>67.2</v>
      </c>
      <c r="I1095">
        <f>表1_4[[#This Row],[主队2]]-表1_4[[#This Row],[客队2]]</f>
        <v>10.1</v>
      </c>
      <c r="J109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095" s="35" t="s">
        <v>125</v>
      </c>
      <c r="L109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95" s="11"/>
      <c r="N1095" s="10" t="s">
        <v>112</v>
      </c>
      <c r="O1095" s="10" t="s">
        <v>46</v>
      </c>
      <c r="R1095" t="s">
        <v>852</v>
      </c>
      <c r="T1095" s="3"/>
      <c r="U1095" s="83"/>
      <c r="V1095" s="231" t="s">
        <v>1331</v>
      </c>
      <c r="W1095" s="44"/>
      <c r="X1095" s="45"/>
    </row>
    <row r="1096" spans="1:24">
      <c r="A1096" s="58" t="s">
        <v>128</v>
      </c>
      <c r="B1096" s="146">
        <v>44511.833333333299</v>
      </c>
      <c r="C1096" s="138">
        <v>5</v>
      </c>
      <c r="D1096" s="134" t="s">
        <v>1005</v>
      </c>
      <c r="E1096" s="7" t="s">
        <v>60</v>
      </c>
      <c r="F1096" s="139" t="s">
        <v>151</v>
      </c>
      <c r="G1096" s="43">
        <v>62.5</v>
      </c>
      <c r="H1096" s="43">
        <v>83.5</v>
      </c>
      <c r="I1096">
        <f>表1_4[[#This Row],[主队2]]-表1_4[[#This Row],[客队2]]</f>
        <v>-21</v>
      </c>
      <c r="J109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096" s="35" t="s">
        <v>219</v>
      </c>
      <c r="L109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096" s="11"/>
      <c r="N1096" s="10" t="s">
        <v>119</v>
      </c>
      <c r="O1096" s="10" t="s">
        <v>35</v>
      </c>
      <c r="R1096" t="s">
        <v>852</v>
      </c>
      <c r="T1096" s="3"/>
      <c r="U1096" s="83" t="s">
        <v>791</v>
      </c>
      <c r="V1096" s="55" t="s">
        <v>1038</v>
      </c>
      <c r="W1096" s="44"/>
      <c r="X1096" s="45"/>
    </row>
    <row r="1097" spans="1:24">
      <c r="A1097" s="58" t="s">
        <v>128</v>
      </c>
      <c r="B1097" s="146">
        <v>44512.041666666701</v>
      </c>
      <c r="C1097" s="141">
        <v>5</v>
      </c>
      <c r="D1097" s="134" t="s">
        <v>141</v>
      </c>
      <c r="E1097" s="7" t="s">
        <v>36</v>
      </c>
      <c r="F1097" s="139" t="s">
        <v>130</v>
      </c>
      <c r="G1097" s="43">
        <v>71.099999999999994</v>
      </c>
      <c r="H1097" s="43">
        <v>68.5</v>
      </c>
      <c r="I1097">
        <f>表1_4[[#This Row],[主队2]]-表1_4[[#This Row],[客队2]]</f>
        <v>2.5999999999999899</v>
      </c>
      <c r="J1097" s="34">
        <v>0.25</v>
      </c>
      <c r="K1097" s="35" t="s">
        <v>182</v>
      </c>
      <c r="L109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97" s="11"/>
      <c r="N1097" s="10" t="s">
        <v>133</v>
      </c>
      <c r="O1097" s="10" t="s">
        <v>24</v>
      </c>
      <c r="T1097" s="3"/>
      <c r="U1097" s="25" t="s">
        <v>776</v>
      </c>
      <c r="V1097" s="231" t="s">
        <v>1741</v>
      </c>
      <c r="W1097" s="241"/>
      <c r="X1097" s="45"/>
    </row>
    <row r="1098" spans="1:24">
      <c r="A1098" s="58" t="s">
        <v>188</v>
      </c>
      <c r="B1098" s="146">
        <v>44512.041666666701</v>
      </c>
      <c r="C1098" s="141">
        <v>9</v>
      </c>
      <c r="D1098" s="134" t="s">
        <v>278</v>
      </c>
      <c r="E1098" s="7" t="s">
        <v>74</v>
      </c>
      <c r="F1098" s="139" t="s">
        <v>266</v>
      </c>
      <c r="G1098" s="43">
        <v>64.3</v>
      </c>
      <c r="H1098" s="43">
        <v>63.2</v>
      </c>
      <c r="I1098">
        <f>表1_4[[#This Row],[主队2]]-表1_4[[#This Row],[客队2]]</f>
        <v>1.0999999999999901</v>
      </c>
      <c r="J109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098" s="35" t="s">
        <v>182</v>
      </c>
      <c r="L109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98" s="11"/>
      <c r="N1098" s="10" t="s">
        <v>133</v>
      </c>
      <c r="O1098" s="10" t="s">
        <v>28</v>
      </c>
      <c r="T1098" s="3"/>
      <c r="U1098" s="55"/>
      <c r="V1098" s="62" t="s">
        <v>1742</v>
      </c>
      <c r="W1098" s="51"/>
      <c r="X1098" s="45"/>
    </row>
    <row r="1099" spans="1:24">
      <c r="A1099" s="58" t="s">
        <v>188</v>
      </c>
      <c r="B1099" s="146">
        <v>44512.15625</v>
      </c>
      <c r="C1099" s="138">
        <v>9</v>
      </c>
      <c r="D1099" s="134" t="s">
        <v>199</v>
      </c>
      <c r="E1099" s="7" t="s">
        <v>42</v>
      </c>
      <c r="F1099" s="139" t="s">
        <v>270</v>
      </c>
      <c r="G1099" s="43">
        <v>80</v>
      </c>
      <c r="H1099" s="43">
        <v>94.2</v>
      </c>
      <c r="I1099">
        <f>表1_4[[#This Row],[主队2]]-表1_4[[#This Row],[客队2]]</f>
        <v>-14.2</v>
      </c>
      <c r="J109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099" s="35" t="s">
        <v>219</v>
      </c>
      <c r="L109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099" s="63" t="s">
        <v>1743</v>
      </c>
      <c r="N1099" s="10" t="s">
        <v>119</v>
      </c>
      <c r="O1099" s="57" t="s">
        <v>65</v>
      </c>
      <c r="R1099" t="s">
        <v>855</v>
      </c>
      <c r="T1099" s="3"/>
      <c r="U1099" s="25"/>
      <c r="V1099" s="54" t="s">
        <v>997</v>
      </c>
      <c r="W1099" s="51"/>
      <c r="X1099" s="45"/>
    </row>
    <row r="1100" spans="1:24">
      <c r="A1100" s="58" t="s">
        <v>188</v>
      </c>
      <c r="B1100" s="146">
        <v>44512.041666666701</v>
      </c>
      <c r="C1100" s="284">
        <v>9</v>
      </c>
      <c r="D1100" s="134" t="s">
        <v>430</v>
      </c>
      <c r="E1100" s="7" t="s">
        <v>22</v>
      </c>
      <c r="F1100" s="139" t="s">
        <v>239</v>
      </c>
      <c r="G1100" s="43">
        <v>71.7</v>
      </c>
      <c r="H1100" s="43">
        <v>88.3</v>
      </c>
      <c r="I1100">
        <f>表1_4[[#This Row],[主队2]]-表1_4[[#This Row],[客队2]]</f>
        <v>-16.600000000000001</v>
      </c>
      <c r="J110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100" s="35" t="s">
        <v>245</v>
      </c>
      <c r="L110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100" s="11"/>
      <c r="N1100" s="10" t="s">
        <v>119</v>
      </c>
      <c r="O1100" s="285" t="s">
        <v>35</v>
      </c>
      <c r="T1100" s="3"/>
      <c r="U1100" s="246" t="s">
        <v>177</v>
      </c>
      <c r="V1100" s="80" t="s">
        <v>1744</v>
      </c>
      <c r="W1100" s="48"/>
      <c r="X1100" s="45"/>
    </row>
    <row r="1101" spans="1:24">
      <c r="A1101" s="58" t="s">
        <v>188</v>
      </c>
      <c r="B1101" s="146">
        <v>44512.15625</v>
      </c>
      <c r="C1101" s="2">
        <v>9</v>
      </c>
      <c r="D1101" s="134" t="s">
        <v>275</v>
      </c>
      <c r="E1101" s="7" t="s">
        <v>53</v>
      </c>
      <c r="F1101" s="139" t="s">
        <v>209</v>
      </c>
      <c r="G1101" s="43">
        <v>80</v>
      </c>
      <c r="H1101" s="43">
        <v>95.7</v>
      </c>
      <c r="I1101">
        <f>表1_4[[#This Row],[主队2]]-表1_4[[#This Row],[客队2]]</f>
        <v>-15.7</v>
      </c>
      <c r="J110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101" s="35" t="s">
        <v>245</v>
      </c>
      <c r="L110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01" s="11"/>
      <c r="N1101" s="10" t="s">
        <v>119</v>
      </c>
      <c r="O1101" s="10" t="s">
        <v>28</v>
      </c>
      <c r="R1101" t="s">
        <v>852</v>
      </c>
      <c r="T1101" s="3"/>
      <c r="U1101" s="25"/>
      <c r="V1101" s="54" t="s">
        <v>1551</v>
      </c>
      <c r="W1101" s="51"/>
      <c r="X1101" s="45"/>
    </row>
    <row r="1102" spans="1:24">
      <c r="A1102" s="58" t="s">
        <v>188</v>
      </c>
      <c r="B1102" s="146">
        <v>44512.041666666701</v>
      </c>
      <c r="C1102" s="140">
        <v>9</v>
      </c>
      <c r="D1102" s="134" t="s">
        <v>353</v>
      </c>
      <c r="E1102" s="7" t="s">
        <v>55</v>
      </c>
      <c r="F1102" s="139" t="s">
        <v>407</v>
      </c>
      <c r="G1102" s="43">
        <v>82.9</v>
      </c>
      <c r="H1102" s="43">
        <v>61.9</v>
      </c>
      <c r="I1102">
        <f>表1_4[[#This Row],[主队2]]-表1_4[[#This Row],[客队2]]</f>
        <v>21</v>
      </c>
      <c r="J110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1102" s="35" t="s">
        <v>63</v>
      </c>
      <c r="L110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102" s="11"/>
      <c r="T1102" s="3"/>
      <c r="U1102" s="25"/>
      <c r="V1102" s="80" t="s">
        <v>1745</v>
      </c>
      <c r="W1102" s="44"/>
      <c r="X1102" s="45"/>
    </row>
    <row r="1103" spans="1:24">
      <c r="A1103" s="58" t="s">
        <v>188</v>
      </c>
      <c r="B1103" s="146">
        <v>44512.15625</v>
      </c>
      <c r="C1103" s="140">
        <v>9</v>
      </c>
      <c r="D1103" s="134" t="s">
        <v>929</v>
      </c>
      <c r="E1103" s="49" t="s">
        <v>1177</v>
      </c>
      <c r="F1103" s="139" t="s">
        <v>110</v>
      </c>
      <c r="G1103" s="43">
        <v>57.5</v>
      </c>
      <c r="H1103" s="43">
        <v>87.9</v>
      </c>
      <c r="I1103">
        <f>表1_4[[#This Row],[主队2]]-表1_4[[#This Row],[客队2]]</f>
        <v>-30.4</v>
      </c>
      <c r="J1103" s="34">
        <v>-2.75</v>
      </c>
      <c r="K1103" s="35" t="s">
        <v>692</v>
      </c>
      <c r="L110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103" s="11"/>
      <c r="N1103" s="10" t="s">
        <v>119</v>
      </c>
      <c r="O1103" s="10" t="s">
        <v>40</v>
      </c>
      <c r="R1103" t="s">
        <v>852</v>
      </c>
      <c r="T1103" s="3"/>
      <c r="U1103" s="246" t="s">
        <v>196</v>
      </c>
      <c r="V1103" s="231" t="s">
        <v>1746</v>
      </c>
      <c r="W1103" s="241"/>
      <c r="X1103" s="45"/>
    </row>
    <row r="1104" spans="1:24">
      <c r="A1104" s="58" t="s">
        <v>188</v>
      </c>
      <c r="B1104" s="146">
        <v>44512.15625</v>
      </c>
      <c r="C1104" s="140">
        <v>9</v>
      </c>
      <c r="D1104" s="134" t="s">
        <v>425</v>
      </c>
      <c r="E1104" s="7" t="s">
        <v>25</v>
      </c>
      <c r="F1104" s="139" t="s">
        <v>309</v>
      </c>
      <c r="G1104" s="43">
        <v>79.099999999999994</v>
      </c>
      <c r="H1104" s="43">
        <v>76.5</v>
      </c>
      <c r="I1104">
        <f>表1_4[[#This Row],[主队2]]-表1_4[[#This Row],[客队2]]</f>
        <v>2.5999999999999899</v>
      </c>
      <c r="J110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104" s="35" t="s">
        <v>182</v>
      </c>
      <c r="L110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04" s="11"/>
      <c r="N1104" s="10" t="s">
        <v>119</v>
      </c>
      <c r="O1104" s="10" t="s">
        <v>28</v>
      </c>
      <c r="R1104" t="s">
        <v>852</v>
      </c>
      <c r="T1104" s="3"/>
      <c r="U1104" s="246"/>
      <c r="V1104" s="231" t="s">
        <v>1747</v>
      </c>
      <c r="W1104" s="241"/>
      <c r="X1104" s="45"/>
    </row>
    <row r="1105" spans="1:24" ht="15.6">
      <c r="A1105" s="58" t="s">
        <v>188</v>
      </c>
      <c r="B1105" s="146">
        <v>44512.041666666701</v>
      </c>
      <c r="C1105" s="140">
        <v>9</v>
      </c>
      <c r="D1105" s="134" t="s">
        <v>287</v>
      </c>
      <c r="E1105" s="7" t="s">
        <v>978</v>
      </c>
      <c r="F1105" s="139" t="s">
        <v>572</v>
      </c>
      <c r="G1105" s="43">
        <v>70.3</v>
      </c>
      <c r="H1105" s="43">
        <v>73</v>
      </c>
      <c r="I1105">
        <f>表1_4[[#This Row],[主队2]]-表1_4[[#This Row],[客队2]]</f>
        <v>-2.7</v>
      </c>
      <c r="J110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105" s="35" t="s">
        <v>166</v>
      </c>
      <c r="L110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05" s="153"/>
      <c r="N1105" s="10" t="s">
        <v>119</v>
      </c>
      <c r="O1105" s="10" t="s">
        <v>48</v>
      </c>
      <c r="R1105" t="s">
        <v>855</v>
      </c>
      <c r="T1105" s="3"/>
      <c r="U1105" s="246"/>
      <c r="V1105" s="55" t="s">
        <v>1748</v>
      </c>
      <c r="W1105" s="56"/>
      <c r="X1105" s="45"/>
    </row>
    <row r="1106" spans="1:24" ht="28.9">
      <c r="A1106" s="58" t="s">
        <v>188</v>
      </c>
      <c r="B1106" s="146">
        <v>44512.15625</v>
      </c>
      <c r="C1106" s="140">
        <v>9</v>
      </c>
      <c r="D1106" s="134" t="s">
        <v>116</v>
      </c>
      <c r="E1106" s="42" t="s">
        <v>490</v>
      </c>
      <c r="F1106" s="139" t="s">
        <v>437</v>
      </c>
      <c r="G1106" s="43">
        <v>95.3</v>
      </c>
      <c r="H1106" s="43">
        <v>46.3</v>
      </c>
      <c r="I1106">
        <f>表1_4[[#This Row],[主队2]]-表1_4[[#This Row],[客队2]]</f>
        <v>49</v>
      </c>
      <c r="J1106" s="34">
        <v>5.25</v>
      </c>
      <c r="K1106" s="35" t="s">
        <v>1055</v>
      </c>
      <c r="L110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06" s="11"/>
      <c r="N1106" s="10" t="s">
        <v>112</v>
      </c>
      <c r="O1106" s="10" t="s">
        <v>24</v>
      </c>
      <c r="R1106" t="s">
        <v>855</v>
      </c>
      <c r="T1106" s="3"/>
      <c r="U1106" s="246"/>
      <c r="V1106" s="246" t="s">
        <v>1749</v>
      </c>
      <c r="W1106" s="52"/>
      <c r="X1106" s="45"/>
    </row>
    <row r="1107" spans="1:24">
      <c r="A1107" s="58" t="s">
        <v>188</v>
      </c>
      <c r="B1107" s="146">
        <v>44512.15625</v>
      </c>
      <c r="C1107" s="138">
        <v>9</v>
      </c>
      <c r="D1107" s="134" t="s">
        <v>305</v>
      </c>
      <c r="E1107" s="7" t="s">
        <v>42</v>
      </c>
      <c r="F1107" s="139" t="s">
        <v>218</v>
      </c>
      <c r="G1107" s="43">
        <v>80.8</v>
      </c>
      <c r="H1107" s="43">
        <v>74.3</v>
      </c>
      <c r="I1107">
        <f>表1_4[[#This Row],[主队2]]-表1_4[[#This Row],[客队2]]</f>
        <v>6.5</v>
      </c>
      <c r="J110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107" s="35" t="s">
        <v>118</v>
      </c>
      <c r="L110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07" s="63" t="s">
        <v>1750</v>
      </c>
      <c r="N1107" s="46" t="s">
        <v>112</v>
      </c>
      <c r="O1107" s="46" t="s">
        <v>35</v>
      </c>
      <c r="R1107" t="s">
        <v>855</v>
      </c>
      <c r="T1107" s="3"/>
      <c r="U1107" s="25" t="s">
        <v>633</v>
      </c>
      <c r="V1107" s="54" t="s">
        <v>1751</v>
      </c>
      <c r="W1107" s="52"/>
      <c r="X1107" s="45"/>
    </row>
    <row r="1108" spans="1:24">
      <c r="A1108" s="58" t="s">
        <v>188</v>
      </c>
      <c r="B1108" s="146">
        <v>44513.041666666701</v>
      </c>
      <c r="C1108" s="138">
        <v>9</v>
      </c>
      <c r="D1108" s="134" t="s">
        <v>195</v>
      </c>
      <c r="E1108" s="7" t="s">
        <v>47</v>
      </c>
      <c r="F1108" s="139" t="s">
        <v>123</v>
      </c>
      <c r="G1108" s="43">
        <v>58.9</v>
      </c>
      <c r="H1108" s="43">
        <v>78.599999999999994</v>
      </c>
      <c r="I1108">
        <f>表1_4[[#This Row],[主队2]]-表1_4[[#This Row],[客队2]]</f>
        <v>-19.7</v>
      </c>
      <c r="J110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108" s="35" t="s">
        <v>666</v>
      </c>
      <c r="L110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08" s="11"/>
      <c r="N1108" s="10" t="s">
        <v>133</v>
      </c>
      <c r="O1108" s="10" t="s">
        <v>28</v>
      </c>
      <c r="R1108" t="s">
        <v>852</v>
      </c>
      <c r="T1108" s="3"/>
      <c r="U1108" s="83"/>
      <c r="V1108" s="231" t="s">
        <v>501</v>
      </c>
      <c r="W1108" s="241"/>
      <c r="X1108" s="45"/>
    </row>
    <row r="1109" spans="1:24">
      <c r="A1109" s="58" t="s">
        <v>188</v>
      </c>
      <c r="B1109" s="146">
        <v>44513.15625</v>
      </c>
      <c r="C1109" s="138">
        <v>9</v>
      </c>
      <c r="D1109" s="134" t="s">
        <v>194</v>
      </c>
      <c r="E1109" s="7" t="s">
        <v>54</v>
      </c>
      <c r="F1109" s="139" t="s">
        <v>210</v>
      </c>
      <c r="G1109" s="43">
        <v>82</v>
      </c>
      <c r="H1109" s="43">
        <v>75.3</v>
      </c>
      <c r="I1109">
        <f>表1_4[[#This Row],[主队2]]-表1_4[[#This Row],[客队2]]</f>
        <v>6.7</v>
      </c>
      <c r="J110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109" s="35" t="s">
        <v>118</v>
      </c>
      <c r="L110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09" s="11"/>
      <c r="N1109" s="10" t="s">
        <v>160</v>
      </c>
      <c r="O1109" s="10" t="s">
        <v>48</v>
      </c>
      <c r="T1109" s="3"/>
      <c r="U1109" s="246"/>
      <c r="V1109" s="231" t="s">
        <v>1752</v>
      </c>
      <c r="W1109" s="52"/>
      <c r="X1109" s="45"/>
    </row>
    <row r="1110" spans="1:24" ht="28.9">
      <c r="A1110" s="58" t="s">
        <v>188</v>
      </c>
      <c r="B1110" s="146">
        <v>44513.15625</v>
      </c>
      <c r="C1110" s="140">
        <v>9</v>
      </c>
      <c r="D1110" s="134" t="s">
        <v>306</v>
      </c>
      <c r="E1110" s="7" t="s">
        <v>41</v>
      </c>
      <c r="F1110" s="139" t="s">
        <v>244</v>
      </c>
      <c r="G1110" s="43">
        <v>92.8</v>
      </c>
      <c r="H1110" s="43">
        <v>58.4</v>
      </c>
      <c r="I1110">
        <f>表1_4[[#This Row],[主队2]]-表1_4[[#This Row],[客队2]]</f>
        <v>34.4</v>
      </c>
      <c r="J1110" s="34">
        <v>3.75</v>
      </c>
      <c r="K1110" s="35" t="s">
        <v>38</v>
      </c>
      <c r="L111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110" s="11"/>
      <c r="N1110" s="10" t="s">
        <v>119</v>
      </c>
      <c r="O1110" s="46" t="s">
        <v>35</v>
      </c>
      <c r="T1110" s="3"/>
      <c r="U1110" s="246" t="s">
        <v>1753</v>
      </c>
      <c r="V1110" s="231" t="s">
        <v>1754</v>
      </c>
      <c r="W1110" s="241"/>
      <c r="X1110" s="45"/>
    </row>
    <row r="1111" spans="1:24">
      <c r="A1111" s="58" t="s">
        <v>188</v>
      </c>
      <c r="B1111" s="146">
        <v>44513.15625</v>
      </c>
      <c r="C1111" s="145">
        <v>9</v>
      </c>
      <c r="D1111" s="275" t="s">
        <v>204</v>
      </c>
      <c r="E1111" s="7" t="s">
        <v>36</v>
      </c>
      <c r="F1111" s="139" t="s">
        <v>250</v>
      </c>
      <c r="G1111" s="43">
        <v>95.1</v>
      </c>
      <c r="H1111" s="43">
        <v>90.1</v>
      </c>
      <c r="I1111">
        <f>表1_4[[#This Row],[主队2]]-表1_4[[#This Row],[客队2]]</f>
        <v>5</v>
      </c>
      <c r="J111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111" s="35" t="s">
        <v>118</v>
      </c>
      <c r="L111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11" s="63" t="s">
        <v>1755</v>
      </c>
      <c r="N1111" s="10" t="s">
        <v>119</v>
      </c>
      <c r="O1111" s="10" t="s">
        <v>40</v>
      </c>
      <c r="R1111" t="s">
        <v>855</v>
      </c>
      <c r="T1111" s="3"/>
      <c r="U1111" s="25" t="s">
        <v>1011</v>
      </c>
      <c r="V1111" s="54" t="s">
        <v>1756</v>
      </c>
      <c r="W1111" s="51"/>
      <c r="X1111" s="45"/>
    </row>
    <row r="1112" spans="1:24">
      <c r="A1112" s="58" t="s">
        <v>188</v>
      </c>
      <c r="B1112" s="146">
        <v>44513.15625</v>
      </c>
      <c r="C1112" s="138">
        <v>9</v>
      </c>
      <c r="D1112" s="134" t="s">
        <v>296</v>
      </c>
      <c r="E1112" s="7" t="s">
        <v>31</v>
      </c>
      <c r="F1112" s="139" t="s">
        <v>292</v>
      </c>
      <c r="G1112" s="43">
        <v>76.599999999999994</v>
      </c>
      <c r="H1112" s="43">
        <v>62</v>
      </c>
      <c r="I1112">
        <f>表1_4[[#This Row],[主队2]]-表1_4[[#This Row],[客队2]]</f>
        <v>14.6</v>
      </c>
      <c r="J111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112" s="35" t="s">
        <v>176</v>
      </c>
      <c r="L111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12" s="11"/>
      <c r="N1112" s="10" t="s">
        <v>119</v>
      </c>
      <c r="O1112" s="10" t="s">
        <v>40</v>
      </c>
      <c r="R1112" t="s">
        <v>852</v>
      </c>
      <c r="T1112" s="3"/>
      <c r="U1112" s="25" t="s">
        <v>954</v>
      </c>
      <c r="V1112" s="54" t="s">
        <v>1757</v>
      </c>
      <c r="W1112" s="51"/>
      <c r="X1112" s="45"/>
    </row>
    <row r="1113" spans="1:24">
      <c r="A1113" s="58" t="s">
        <v>188</v>
      </c>
      <c r="B1113" s="146">
        <v>44513.15625</v>
      </c>
      <c r="C1113" s="140">
        <v>9</v>
      </c>
      <c r="D1113" s="134" t="s">
        <v>243</v>
      </c>
      <c r="E1113" s="7" t="s">
        <v>75</v>
      </c>
      <c r="F1113" s="139" t="s">
        <v>302</v>
      </c>
      <c r="G1113" s="43">
        <v>46.8</v>
      </c>
      <c r="H1113" s="43">
        <v>86.8</v>
      </c>
      <c r="I1113">
        <f>表1_4[[#This Row],[主队2]]-表1_4[[#This Row],[客队2]]</f>
        <v>-40</v>
      </c>
      <c r="J1113" s="34">
        <v>-3.75</v>
      </c>
      <c r="K1113" s="35" t="s">
        <v>1016</v>
      </c>
      <c r="L111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13" s="11"/>
      <c r="N1113" s="10" t="s">
        <v>133</v>
      </c>
      <c r="O1113" s="10" t="s">
        <v>24</v>
      </c>
      <c r="T1113" s="3"/>
      <c r="U1113" s="25"/>
      <c r="V1113" s="54" t="s">
        <v>1482</v>
      </c>
      <c r="W1113" s="241"/>
      <c r="X1113" s="45"/>
    </row>
    <row r="1114" spans="1:24">
      <c r="A1114" s="58" t="s">
        <v>188</v>
      </c>
      <c r="B1114" s="146">
        <v>44513.15625</v>
      </c>
      <c r="C1114" s="140">
        <v>9</v>
      </c>
      <c r="D1114" s="134" t="s">
        <v>117</v>
      </c>
      <c r="E1114" s="7" t="s">
        <v>57</v>
      </c>
      <c r="F1114" s="139" t="s">
        <v>205</v>
      </c>
      <c r="G1114" s="43">
        <v>95</v>
      </c>
      <c r="H1114" s="43">
        <v>73.400000000000006</v>
      </c>
      <c r="I1114">
        <f>表1_4[[#This Row],[主队2]]-表1_4[[#This Row],[客队2]]</f>
        <v>21.6</v>
      </c>
      <c r="J1114" s="34">
        <v>2.5</v>
      </c>
      <c r="K1114" s="35" t="s">
        <v>45</v>
      </c>
      <c r="L111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114" s="11"/>
      <c r="N1114" s="10" t="s">
        <v>133</v>
      </c>
      <c r="O1114" s="10" t="s">
        <v>40</v>
      </c>
      <c r="R1114" t="s">
        <v>855</v>
      </c>
      <c r="T1114" s="3"/>
      <c r="U1114" s="25" t="s">
        <v>126</v>
      </c>
      <c r="V1114" s="80" t="s">
        <v>1758</v>
      </c>
      <c r="W1114" s="48"/>
      <c r="X1114" s="45"/>
    </row>
    <row r="1115" spans="1:24">
      <c r="A1115" s="58" t="s">
        <v>188</v>
      </c>
      <c r="B1115" s="146">
        <v>44513.15625</v>
      </c>
      <c r="C1115" s="140">
        <v>9</v>
      </c>
      <c r="D1115" s="134" t="s">
        <v>271</v>
      </c>
      <c r="E1115" s="7" t="s">
        <v>37</v>
      </c>
      <c r="F1115" s="44" t="s">
        <v>282</v>
      </c>
      <c r="G1115" s="43">
        <v>77.2</v>
      </c>
      <c r="H1115" s="43">
        <v>29.8</v>
      </c>
      <c r="I1115">
        <f>表1_4[[#This Row],[主队2]]-表1_4[[#This Row],[客队2]]</f>
        <v>47.4</v>
      </c>
      <c r="J1115" s="34">
        <v>5</v>
      </c>
      <c r="K1115" s="35" t="s">
        <v>59</v>
      </c>
      <c r="L111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15" s="11"/>
      <c r="N1115" s="10" t="s">
        <v>404</v>
      </c>
      <c r="O1115" s="10" t="s">
        <v>40</v>
      </c>
      <c r="R1115" t="s">
        <v>852</v>
      </c>
      <c r="T1115" s="3"/>
      <c r="U1115" s="246" t="s">
        <v>1112</v>
      </c>
      <c r="V1115" s="231" t="s">
        <v>1759</v>
      </c>
      <c r="W1115" s="48"/>
      <c r="X1115" s="45"/>
    </row>
    <row r="1116" spans="1:24">
      <c r="A1116" s="58" t="s">
        <v>188</v>
      </c>
      <c r="B1116" s="146">
        <v>44513.916666666701</v>
      </c>
      <c r="C1116" s="140">
        <v>9</v>
      </c>
      <c r="D1116" s="134" t="s">
        <v>255</v>
      </c>
      <c r="E1116" s="7" t="s">
        <v>74</v>
      </c>
      <c r="F1116" s="139" t="s">
        <v>191</v>
      </c>
      <c r="G1116" s="43">
        <v>81</v>
      </c>
      <c r="H1116" s="43">
        <v>77.7</v>
      </c>
      <c r="I1116">
        <f>表1_4[[#This Row],[主队2]]-表1_4[[#This Row],[客队2]]</f>
        <v>3.3</v>
      </c>
      <c r="J111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116" s="35" t="s">
        <v>289</v>
      </c>
      <c r="L111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16" s="11"/>
      <c r="N1116" s="10" t="s">
        <v>119</v>
      </c>
      <c r="O1116" s="10" t="s">
        <v>143</v>
      </c>
      <c r="R1116" t="s">
        <v>855</v>
      </c>
      <c r="T1116" s="3" t="s">
        <v>1066</v>
      </c>
      <c r="U1116" s="246"/>
      <c r="V1116" s="55" t="s">
        <v>1049</v>
      </c>
      <c r="W1116" s="56"/>
      <c r="X1116" s="45"/>
    </row>
    <row r="1117" spans="1:24">
      <c r="A1117" s="58" t="s">
        <v>188</v>
      </c>
      <c r="B1117" s="146">
        <v>44514.15625</v>
      </c>
      <c r="C1117" s="138">
        <v>9</v>
      </c>
      <c r="D1117" s="134" t="s">
        <v>267</v>
      </c>
      <c r="E1117" s="42" t="s">
        <v>700</v>
      </c>
      <c r="F1117" s="139" t="s">
        <v>288</v>
      </c>
      <c r="G1117" s="43">
        <v>95.7</v>
      </c>
      <c r="H1117" s="43">
        <v>65.599999999999994</v>
      </c>
      <c r="I1117">
        <f>表1_4[[#This Row],[主队2]]-表1_4[[#This Row],[客队2]]</f>
        <v>30.1</v>
      </c>
      <c r="J1117" s="34">
        <v>3.25</v>
      </c>
      <c r="K1117" s="35" t="s">
        <v>34</v>
      </c>
      <c r="L111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17" s="11"/>
      <c r="N1117" s="10" t="s">
        <v>895</v>
      </c>
      <c r="O1117" s="10" t="s">
        <v>24</v>
      </c>
      <c r="T1117" s="3"/>
      <c r="U1117" s="246"/>
      <c r="V1117" s="231" t="s">
        <v>1760</v>
      </c>
      <c r="W1117" s="52"/>
      <c r="X1117" s="45"/>
    </row>
    <row r="1118" spans="1:24">
      <c r="A1118" s="58" t="s">
        <v>188</v>
      </c>
      <c r="B1118" s="146">
        <v>44514.15625</v>
      </c>
      <c r="C1118" s="140">
        <v>9</v>
      </c>
      <c r="D1118" s="134" t="s">
        <v>274</v>
      </c>
      <c r="E1118" s="7" t="s">
        <v>41</v>
      </c>
      <c r="F1118" s="139" t="s">
        <v>403</v>
      </c>
      <c r="G1118" s="43">
        <v>96.6</v>
      </c>
      <c r="H1118" s="43">
        <v>67</v>
      </c>
      <c r="I1118">
        <f>表1_4[[#This Row],[主队2]]-表1_4[[#This Row],[客队2]]</f>
        <v>29.6</v>
      </c>
      <c r="J1118" s="34">
        <v>3.25</v>
      </c>
      <c r="K1118" s="35" t="s">
        <v>38</v>
      </c>
      <c r="L111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18" s="63" t="s">
        <v>1761</v>
      </c>
      <c r="N1118" s="10" t="s">
        <v>112</v>
      </c>
      <c r="O1118" s="10" t="s">
        <v>35</v>
      </c>
      <c r="T1118" s="3"/>
      <c r="U1118" s="246" t="s">
        <v>1762</v>
      </c>
      <c r="V1118" s="231" t="s">
        <v>1763</v>
      </c>
      <c r="W1118" s="51"/>
      <c r="X1118" s="45"/>
    </row>
    <row r="1119" spans="1:24">
      <c r="A1119" s="58" t="s">
        <v>188</v>
      </c>
      <c r="B1119" s="146">
        <v>44514.15625</v>
      </c>
      <c r="C1119" s="140">
        <v>9</v>
      </c>
      <c r="D1119" s="134" t="s">
        <v>200</v>
      </c>
      <c r="E1119" s="7" t="s">
        <v>82</v>
      </c>
      <c r="F1119" s="139" t="s">
        <v>240</v>
      </c>
      <c r="G1119" s="43">
        <v>82.9</v>
      </c>
      <c r="H1119" s="43">
        <v>70.599999999999994</v>
      </c>
      <c r="I1119">
        <f>表1_4[[#This Row],[主队2]]-表1_4[[#This Row],[客队2]]</f>
        <v>12.3</v>
      </c>
      <c r="J111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119" s="35" t="s">
        <v>63</v>
      </c>
      <c r="L111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119" s="11"/>
      <c r="N1119" s="10" t="s">
        <v>119</v>
      </c>
      <c r="O1119" s="10" t="s">
        <v>35</v>
      </c>
      <c r="R1119" t="s">
        <v>855</v>
      </c>
      <c r="T1119" s="3"/>
      <c r="U1119" s="246" t="s">
        <v>1764</v>
      </c>
      <c r="V1119" s="231" t="s">
        <v>1765</v>
      </c>
      <c r="W1119" s="48"/>
      <c r="X1119" s="45"/>
    </row>
    <row r="1120" spans="1:24">
      <c r="A1120" s="58" t="s">
        <v>188</v>
      </c>
      <c r="B1120" s="146">
        <v>44514.041666666701</v>
      </c>
      <c r="C1120" s="140">
        <v>9</v>
      </c>
      <c r="D1120" s="134" t="s">
        <v>297</v>
      </c>
      <c r="E1120" s="7" t="s">
        <v>42</v>
      </c>
      <c r="F1120" s="139" t="s">
        <v>251</v>
      </c>
      <c r="G1120" s="43">
        <v>81.3</v>
      </c>
      <c r="H1120" s="43">
        <v>63.3</v>
      </c>
      <c r="I1120">
        <f>表1_4[[#This Row],[主队2]]-表1_4[[#This Row],[客队2]]</f>
        <v>18</v>
      </c>
      <c r="J112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120" s="35" t="s">
        <v>26</v>
      </c>
      <c r="L112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120" s="11"/>
      <c r="N1120" s="10" t="s">
        <v>133</v>
      </c>
      <c r="O1120" s="10" t="s">
        <v>65</v>
      </c>
      <c r="R1120" t="s">
        <v>855</v>
      </c>
      <c r="T1120" s="3"/>
      <c r="U1120" s="246"/>
      <c r="V1120" s="231" t="s">
        <v>1766</v>
      </c>
      <c r="W1120" s="48"/>
      <c r="X1120" s="45"/>
    </row>
    <row r="1121" spans="1:24">
      <c r="A1121" s="58" t="s">
        <v>188</v>
      </c>
      <c r="B1121" s="146">
        <v>44514.041666666701</v>
      </c>
      <c r="C1121" s="140">
        <v>9</v>
      </c>
      <c r="D1121" s="134" t="s">
        <v>190</v>
      </c>
      <c r="E1121" s="7" t="s">
        <v>55</v>
      </c>
      <c r="F1121" s="139" t="s">
        <v>256</v>
      </c>
      <c r="G1121" s="43">
        <v>78.400000000000006</v>
      </c>
      <c r="H1121" s="43">
        <v>39.5</v>
      </c>
      <c r="I1121">
        <f>表1_4[[#This Row],[主队2]]-表1_4[[#This Row],[客队2]]</f>
        <v>38.9</v>
      </c>
      <c r="J1121" s="34">
        <v>4.25</v>
      </c>
      <c r="K1121" s="35" t="s">
        <v>257</v>
      </c>
      <c r="L112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121" s="11"/>
      <c r="N1121" s="10" t="s">
        <v>133</v>
      </c>
      <c r="O1121" s="10" t="s">
        <v>40</v>
      </c>
      <c r="T1121" s="3"/>
      <c r="U1121" s="25" t="s">
        <v>1767</v>
      </c>
      <c r="V1121" s="54" t="s">
        <v>1768</v>
      </c>
      <c r="W1121" s="52"/>
      <c r="X1121" s="45"/>
    </row>
    <row r="1122" spans="1:24">
      <c r="A1122" s="58" t="s">
        <v>188</v>
      </c>
      <c r="B1122" s="146">
        <v>44514.15625</v>
      </c>
      <c r="C1122" s="138">
        <v>9</v>
      </c>
      <c r="D1122" s="134" t="s">
        <v>301</v>
      </c>
      <c r="E1122" s="7" t="s">
        <v>25</v>
      </c>
      <c r="F1122" s="139" t="s">
        <v>262</v>
      </c>
      <c r="G1122" s="43">
        <v>72</v>
      </c>
      <c r="H1122" s="43">
        <v>91.9</v>
      </c>
      <c r="I1122">
        <f>表1_4[[#This Row],[主队2]]-表1_4[[#This Row],[客队2]]</f>
        <v>-19.899999999999999</v>
      </c>
      <c r="J112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122" s="35" t="s">
        <v>706</v>
      </c>
      <c r="L112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22" s="63" t="s">
        <v>383</v>
      </c>
      <c r="N1122" s="46" t="s">
        <v>160</v>
      </c>
      <c r="O1122" s="10" t="s">
        <v>40</v>
      </c>
      <c r="R1122" t="s">
        <v>855</v>
      </c>
      <c r="T1122" s="3"/>
      <c r="U1122" s="25" t="s">
        <v>1769</v>
      </c>
      <c r="V1122" s="242" t="s">
        <v>1770</v>
      </c>
      <c r="W1122" s="52"/>
      <c r="X1122" s="45"/>
    </row>
    <row r="1123" spans="1:24">
      <c r="A1123" s="58" t="s">
        <v>156</v>
      </c>
      <c r="B1123" s="146">
        <v>44512.208333333299</v>
      </c>
      <c r="C1123" s="138">
        <v>13</v>
      </c>
      <c r="D1123" s="134" t="s">
        <v>165</v>
      </c>
      <c r="E1123" s="7" t="s">
        <v>31</v>
      </c>
      <c r="F1123" s="71" t="s">
        <v>180</v>
      </c>
      <c r="G1123" s="43">
        <v>86.5</v>
      </c>
      <c r="H1123" s="43">
        <v>81.400000000000006</v>
      </c>
      <c r="I1123">
        <f>表1_4[[#This Row],[主队2]]-表1_4[[#This Row],[客队2]]</f>
        <v>5.0999999999999899</v>
      </c>
      <c r="J112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123" s="35" t="s">
        <v>176</v>
      </c>
      <c r="L112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123" s="63" t="s">
        <v>383</v>
      </c>
      <c r="N1123" s="46" t="s">
        <v>160</v>
      </c>
      <c r="O1123" s="10" t="s">
        <v>35</v>
      </c>
      <c r="R1123" t="s">
        <v>852</v>
      </c>
      <c r="T1123" s="3"/>
      <c r="U1123" s="25" t="s">
        <v>791</v>
      </c>
      <c r="V1123" s="80" t="s">
        <v>1771</v>
      </c>
      <c r="W1123" s="44"/>
      <c r="X1123" s="45"/>
    </row>
    <row r="1124" spans="1:24">
      <c r="A1124" s="58" t="s">
        <v>156</v>
      </c>
      <c r="B1124" s="146">
        <v>44512.291666666701</v>
      </c>
      <c r="C1124" s="140">
        <v>13</v>
      </c>
      <c r="D1124" s="134" t="s">
        <v>164</v>
      </c>
      <c r="E1124" s="7" t="s">
        <v>53</v>
      </c>
      <c r="F1124" s="139" t="s">
        <v>175</v>
      </c>
      <c r="G1124" s="43">
        <v>83.3</v>
      </c>
      <c r="H1124" s="43">
        <v>86.8</v>
      </c>
      <c r="I1124">
        <f>表1_4[[#This Row],[主队2]]-表1_4[[#This Row],[客队2]]</f>
        <v>-3.5</v>
      </c>
      <c r="J112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124" s="35" t="s">
        <v>166</v>
      </c>
      <c r="L112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24" s="11"/>
      <c r="N1124" s="10" t="s">
        <v>112</v>
      </c>
      <c r="O1124" s="10" t="s">
        <v>65</v>
      </c>
      <c r="R1124" t="s">
        <v>855</v>
      </c>
      <c r="T1124" s="3"/>
      <c r="U1124" s="25"/>
      <c r="V1124" s="54" t="s">
        <v>1772</v>
      </c>
      <c r="W1124" s="52"/>
      <c r="X1124" s="45"/>
    </row>
    <row r="1125" spans="1:24">
      <c r="A1125" s="58" t="s">
        <v>156</v>
      </c>
      <c r="B1125" s="146">
        <v>44512.354166666701</v>
      </c>
      <c r="C1125" s="140">
        <v>13</v>
      </c>
      <c r="D1125" s="134" t="s">
        <v>171</v>
      </c>
      <c r="E1125" s="7" t="s">
        <v>31</v>
      </c>
      <c r="F1125" s="139" t="s">
        <v>158</v>
      </c>
      <c r="G1125" s="43">
        <v>102.4</v>
      </c>
      <c r="H1125" s="43">
        <v>91.6</v>
      </c>
      <c r="I1125">
        <f>表1_4[[#This Row],[主队2]]-表1_4[[#This Row],[客队2]]</f>
        <v>10.8</v>
      </c>
      <c r="J112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125" s="35" t="s">
        <v>125</v>
      </c>
      <c r="L112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25" s="11"/>
      <c r="N1125" s="10" t="s">
        <v>119</v>
      </c>
      <c r="O1125" s="46" t="s">
        <v>35</v>
      </c>
      <c r="R1125" t="s">
        <v>852</v>
      </c>
      <c r="T1125" s="3"/>
      <c r="U1125" s="83" t="s">
        <v>791</v>
      </c>
      <c r="V1125" s="55" t="s">
        <v>1773</v>
      </c>
      <c r="W1125" s="241"/>
      <c r="X1125" s="45"/>
    </row>
    <row r="1126" spans="1:24">
      <c r="A1126" s="58" t="s">
        <v>156</v>
      </c>
      <c r="B1126" s="146">
        <v>44512.416666666701</v>
      </c>
      <c r="C1126" s="140">
        <v>13</v>
      </c>
      <c r="D1126" s="134" t="s">
        <v>181</v>
      </c>
      <c r="E1126" s="7" t="s">
        <v>44</v>
      </c>
      <c r="F1126" s="139" t="s">
        <v>159</v>
      </c>
      <c r="G1126" s="43">
        <v>84.8</v>
      </c>
      <c r="H1126" s="43">
        <v>76.3</v>
      </c>
      <c r="I1126">
        <f>表1_4[[#This Row],[主队2]]-表1_4[[#This Row],[客队2]]</f>
        <v>8.5</v>
      </c>
      <c r="J112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126" s="35" t="s">
        <v>125</v>
      </c>
      <c r="L112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126" s="11"/>
      <c r="N1126" s="10" t="s">
        <v>119</v>
      </c>
      <c r="O1126" s="10" t="s">
        <v>46</v>
      </c>
      <c r="R1126" t="s">
        <v>852</v>
      </c>
      <c r="T1126" s="3"/>
      <c r="U1126" s="83"/>
      <c r="V1126" s="54" t="s">
        <v>1774</v>
      </c>
      <c r="W1126" s="52"/>
      <c r="X1126" s="45"/>
    </row>
    <row r="1127" spans="1:24">
      <c r="A1127" s="58" t="s">
        <v>156</v>
      </c>
      <c r="B1127" s="146">
        <v>44513.291666666701</v>
      </c>
      <c r="C1127" s="140">
        <v>13</v>
      </c>
      <c r="D1127" s="134" t="s">
        <v>170</v>
      </c>
      <c r="E1127" s="7" t="s">
        <v>53</v>
      </c>
      <c r="F1127" s="139" t="s">
        <v>174</v>
      </c>
      <c r="G1127" s="43">
        <v>87.7</v>
      </c>
      <c r="H1127" s="43">
        <v>96.1</v>
      </c>
      <c r="I1127">
        <f>表1_4[[#This Row],[主队2]]-表1_4[[#This Row],[客队2]]</f>
        <v>-8.3999999999999897</v>
      </c>
      <c r="J112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127" s="35" t="s">
        <v>152</v>
      </c>
      <c r="L112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27" s="11"/>
      <c r="N1127" s="10" t="s">
        <v>112</v>
      </c>
      <c r="O1127" s="10" t="s">
        <v>35</v>
      </c>
      <c r="R1127" t="s">
        <v>852</v>
      </c>
      <c r="T1127" s="3"/>
      <c r="U1127" s="83" t="s">
        <v>1018</v>
      </c>
      <c r="V1127" s="231" t="s">
        <v>1775</v>
      </c>
      <c r="W1127" s="44"/>
      <c r="X1127" s="45"/>
    </row>
    <row r="1128" spans="1:24">
      <c r="A1128" s="58" t="s">
        <v>222</v>
      </c>
      <c r="B1128" s="146">
        <v>44513.378472222197</v>
      </c>
      <c r="C1128" s="138">
        <v>14</v>
      </c>
      <c r="D1128" s="134" t="s">
        <v>235</v>
      </c>
      <c r="E1128" s="7" t="s">
        <v>62</v>
      </c>
      <c r="F1128" s="139" t="s">
        <v>225</v>
      </c>
      <c r="G1128" s="43">
        <v>72.099999999999994</v>
      </c>
      <c r="H1128" s="43">
        <v>72.900000000000006</v>
      </c>
      <c r="I1128">
        <f>表1_4[[#This Row],[主队2]]-表1_4[[#This Row],[客队2]]</f>
        <v>-0.80000000000001104</v>
      </c>
      <c r="J112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128" s="35" t="s">
        <v>182</v>
      </c>
      <c r="L112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28" s="63" t="s">
        <v>1750</v>
      </c>
      <c r="N1128" s="10" t="s">
        <v>112</v>
      </c>
      <c r="O1128" s="10" t="s">
        <v>35</v>
      </c>
      <c r="R1128" t="s">
        <v>855</v>
      </c>
      <c r="T1128" s="3"/>
      <c r="U1128" s="83" t="s">
        <v>1122</v>
      </c>
      <c r="V1128" s="55" t="s">
        <v>1776</v>
      </c>
      <c r="W1128" s="52"/>
      <c r="X1128" s="45"/>
    </row>
    <row r="1129" spans="1:24">
      <c r="A1129" s="58" t="s">
        <v>222</v>
      </c>
      <c r="B1129" s="146">
        <v>44513.420138888898</v>
      </c>
      <c r="C1129" s="138">
        <v>14</v>
      </c>
      <c r="D1129" s="134" t="s">
        <v>124</v>
      </c>
      <c r="E1129" s="7" t="s">
        <v>31</v>
      </c>
      <c r="F1129" s="139" t="s">
        <v>230</v>
      </c>
      <c r="G1129" s="43">
        <v>83.5</v>
      </c>
      <c r="H1129" s="43">
        <v>76.099999999999994</v>
      </c>
      <c r="I1129">
        <f>表1_4[[#This Row],[主队2]]-表1_4[[#This Row],[客队2]]</f>
        <v>7.4000000000000101</v>
      </c>
      <c r="J112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129" s="35" t="s">
        <v>176</v>
      </c>
      <c r="L112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29" s="11"/>
      <c r="N1129" s="10" t="s">
        <v>112</v>
      </c>
      <c r="O1129" s="10" t="s">
        <v>48</v>
      </c>
      <c r="R1129" t="s">
        <v>852</v>
      </c>
      <c r="T1129" s="3"/>
      <c r="U1129" s="83"/>
      <c r="V1129" s="55" t="s">
        <v>1777</v>
      </c>
      <c r="W1129" s="52"/>
      <c r="X1129" s="45"/>
    </row>
    <row r="1130" spans="1:24">
      <c r="A1130" s="58" t="s">
        <v>222</v>
      </c>
      <c r="B1130" s="146">
        <v>44513.423611111102</v>
      </c>
      <c r="C1130" s="140">
        <v>14</v>
      </c>
      <c r="D1130" s="134" t="s">
        <v>234</v>
      </c>
      <c r="E1130" s="7" t="s">
        <v>22</v>
      </c>
      <c r="F1130" s="139" t="s">
        <v>229</v>
      </c>
      <c r="G1130" s="43">
        <v>85.3</v>
      </c>
      <c r="H1130" s="43">
        <v>88.3</v>
      </c>
      <c r="I1130">
        <f>表1_4[[#This Row],[主队2]]-表1_4[[#This Row],[客队2]]</f>
        <v>-3</v>
      </c>
      <c r="J113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130" s="35" t="s">
        <v>166</v>
      </c>
      <c r="L113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30" s="11"/>
      <c r="N1130" s="10" t="s">
        <v>119</v>
      </c>
      <c r="O1130" s="10" t="s">
        <v>24</v>
      </c>
      <c r="T1130" s="3"/>
      <c r="U1130" s="83"/>
      <c r="V1130" s="55" t="s">
        <v>1778</v>
      </c>
      <c r="W1130" s="241"/>
      <c r="X1130" s="45"/>
    </row>
    <row r="1131" spans="1:24">
      <c r="A1131" s="58" t="s">
        <v>222</v>
      </c>
      <c r="B1131" s="146">
        <v>44513.458333333299</v>
      </c>
      <c r="C1131" s="140">
        <v>14</v>
      </c>
      <c r="D1131" s="134" t="s">
        <v>1606</v>
      </c>
      <c r="E1131" s="7" t="s">
        <v>36</v>
      </c>
      <c r="F1131" s="139" t="s">
        <v>1604</v>
      </c>
      <c r="G1131" s="43">
        <v>67.900000000000006</v>
      </c>
      <c r="H1131" s="43">
        <v>74.8</v>
      </c>
      <c r="I1131">
        <f>表1_4[[#This Row],[主队2]]-表1_4[[#This Row],[客队2]]</f>
        <v>-6.8999999999999897</v>
      </c>
      <c r="J113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131" s="35" t="s">
        <v>182</v>
      </c>
      <c r="L113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31" s="11"/>
      <c r="N1131" s="10" t="s">
        <v>133</v>
      </c>
      <c r="O1131" s="10" t="s">
        <v>40</v>
      </c>
      <c r="T1131" s="3"/>
      <c r="U1131" s="83" t="s">
        <v>1779</v>
      </c>
      <c r="V1131" s="55" t="s">
        <v>1780</v>
      </c>
      <c r="W1131" s="56"/>
      <c r="X1131" s="45"/>
    </row>
    <row r="1132" spans="1:24">
      <c r="A1132" s="58" t="s">
        <v>188</v>
      </c>
      <c r="B1132" s="146">
        <v>44514.916666666701</v>
      </c>
      <c r="C1132" s="138">
        <v>10</v>
      </c>
      <c r="D1132" s="134" t="s">
        <v>110</v>
      </c>
      <c r="E1132" s="7" t="s">
        <v>31</v>
      </c>
      <c r="F1132" s="139" t="s">
        <v>353</v>
      </c>
      <c r="G1132" s="43">
        <v>88.9</v>
      </c>
      <c r="H1132" s="43">
        <v>83.8</v>
      </c>
      <c r="I1132">
        <f>表1_4[[#This Row],[主队2]]-表1_4[[#This Row],[客队2]]</f>
        <v>5.1000000000000103</v>
      </c>
      <c r="J113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132" s="35" t="s">
        <v>176</v>
      </c>
      <c r="L113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132" s="11"/>
      <c r="N1132" s="10" t="s">
        <v>133</v>
      </c>
      <c r="O1132" s="10" t="s">
        <v>40</v>
      </c>
      <c r="R1132" t="s">
        <v>852</v>
      </c>
      <c r="T1132" s="3"/>
      <c r="U1132" s="83" t="s">
        <v>196</v>
      </c>
      <c r="V1132" s="55" t="s">
        <v>980</v>
      </c>
      <c r="W1132" s="44"/>
      <c r="X1132" s="45"/>
    </row>
    <row r="1133" spans="1:24">
      <c r="A1133" s="58" t="s">
        <v>188</v>
      </c>
      <c r="B1133" s="146">
        <v>44514.916666666701</v>
      </c>
      <c r="C1133" s="138">
        <v>10</v>
      </c>
      <c r="D1133" s="134" t="s">
        <v>929</v>
      </c>
      <c r="E1133" s="49" t="s">
        <v>283</v>
      </c>
      <c r="F1133" s="139" t="s">
        <v>425</v>
      </c>
      <c r="G1133" s="43">
        <v>56.6</v>
      </c>
      <c r="H1133" s="43">
        <v>78.400000000000006</v>
      </c>
      <c r="I1133">
        <f>表1_4[[#This Row],[主队2]]-表1_4[[#This Row],[客队2]]</f>
        <v>-21.8</v>
      </c>
      <c r="J1133" s="34">
        <v>-2</v>
      </c>
      <c r="K1133" s="35" t="s">
        <v>245</v>
      </c>
      <c r="L113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33" s="11"/>
      <c r="N1133" s="10" t="s">
        <v>112</v>
      </c>
      <c r="O1133" s="10" t="s">
        <v>28</v>
      </c>
      <c r="R1133" t="s">
        <v>852</v>
      </c>
      <c r="T1133" s="3"/>
      <c r="U1133" s="25"/>
      <c r="V1133" s="54" t="s">
        <v>671</v>
      </c>
      <c r="W1133" s="44"/>
      <c r="X1133" s="45"/>
    </row>
    <row r="1134" spans="1:24">
      <c r="A1134" s="58" t="s">
        <v>188</v>
      </c>
      <c r="B1134" s="146">
        <v>44514.916666666701</v>
      </c>
      <c r="C1134" s="140">
        <v>10</v>
      </c>
      <c r="D1134" s="134" t="s">
        <v>309</v>
      </c>
      <c r="E1134" s="7" t="s">
        <v>33</v>
      </c>
      <c r="F1134" s="139" t="s">
        <v>407</v>
      </c>
      <c r="G1134" s="43">
        <v>77.3</v>
      </c>
      <c r="H1134" s="43">
        <v>61.1</v>
      </c>
      <c r="I1134">
        <f>表1_4[[#This Row],[主队2]]-表1_4[[#This Row],[客队2]]</f>
        <v>16.2</v>
      </c>
      <c r="J113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134" s="35" t="s">
        <v>81</v>
      </c>
      <c r="L113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34" s="11"/>
      <c r="N1134" s="10" t="s">
        <v>119</v>
      </c>
      <c r="O1134" s="10" t="s">
        <v>35</v>
      </c>
      <c r="R1134" t="s">
        <v>855</v>
      </c>
      <c r="T1134" s="3"/>
      <c r="U1134" s="83" t="s">
        <v>1174</v>
      </c>
      <c r="V1134" s="55" t="s">
        <v>799</v>
      </c>
      <c r="W1134" s="44"/>
      <c r="X1134" s="45"/>
    </row>
    <row r="1135" spans="1:24">
      <c r="A1135" s="58" t="s">
        <v>188</v>
      </c>
      <c r="B1135" s="146">
        <v>44515.041666666701</v>
      </c>
      <c r="C1135" s="140">
        <v>10</v>
      </c>
      <c r="D1135" s="134" t="s">
        <v>287</v>
      </c>
      <c r="E1135" s="7" t="s">
        <v>75</v>
      </c>
      <c r="F1135" s="139" t="s">
        <v>116</v>
      </c>
      <c r="G1135" s="43">
        <v>69.2</v>
      </c>
      <c r="H1135" s="43">
        <v>96.2</v>
      </c>
      <c r="I1135">
        <f>表1_4[[#This Row],[主队2]]-表1_4[[#This Row],[客队2]]</f>
        <v>-27</v>
      </c>
      <c r="J1135" s="34">
        <v>-2.5</v>
      </c>
      <c r="K1135" s="34">
        <v>-2.5</v>
      </c>
      <c r="L113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35" s="11"/>
      <c r="N1135" s="10" t="s">
        <v>133</v>
      </c>
      <c r="O1135" s="10" t="s">
        <v>51</v>
      </c>
      <c r="T1135" s="3"/>
      <c r="U1135" s="246"/>
      <c r="V1135" s="231" t="s">
        <v>1042</v>
      </c>
      <c r="W1135" s="44"/>
      <c r="X1135" s="45"/>
    </row>
    <row r="1136" spans="1:24">
      <c r="A1136" s="58" t="s">
        <v>188</v>
      </c>
      <c r="B1136" s="146">
        <v>44515.041666666701</v>
      </c>
      <c r="C1136" s="140">
        <v>10</v>
      </c>
      <c r="D1136" s="134" t="s">
        <v>437</v>
      </c>
      <c r="E1136" s="7" t="s">
        <v>47</v>
      </c>
      <c r="F1136" s="139" t="s">
        <v>305</v>
      </c>
      <c r="G1136" s="43">
        <v>45.4</v>
      </c>
      <c r="H1136" s="43">
        <v>79.900000000000006</v>
      </c>
      <c r="I1136">
        <f>表1_4[[#This Row],[主队2]]-表1_4[[#This Row],[客队2]]</f>
        <v>-34.5</v>
      </c>
      <c r="J1136" s="34">
        <v>-3.25</v>
      </c>
      <c r="K1136" s="34">
        <v>-2.5</v>
      </c>
      <c r="L113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36" s="11"/>
      <c r="N1136" s="10" t="s">
        <v>119</v>
      </c>
      <c r="O1136" s="10" t="s">
        <v>40</v>
      </c>
      <c r="T1136" s="3"/>
      <c r="U1136" s="246" t="s">
        <v>196</v>
      </c>
      <c r="V1136" s="231" t="s">
        <v>1781</v>
      </c>
      <c r="W1136" s="44"/>
      <c r="X1136" s="45"/>
    </row>
    <row r="1137" spans="1:24">
      <c r="A1137" s="58" t="s">
        <v>188</v>
      </c>
      <c r="B1137" s="146">
        <v>44515.041666666701</v>
      </c>
      <c r="C1137" s="140">
        <v>10</v>
      </c>
      <c r="D1137" s="134" t="s">
        <v>440</v>
      </c>
      <c r="E1137" s="7" t="s">
        <v>41</v>
      </c>
      <c r="F1137" s="139" t="s">
        <v>218</v>
      </c>
      <c r="G1137" s="43">
        <v>74.099999999999994</v>
      </c>
      <c r="H1137" s="43">
        <v>75.3</v>
      </c>
      <c r="I1137">
        <f>表1_4[[#This Row],[主队2]]-表1_4[[#This Row],[客队2]]</f>
        <v>-1.2</v>
      </c>
      <c r="J113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137" s="35" t="s">
        <v>176</v>
      </c>
      <c r="L113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1137" s="11"/>
      <c r="N1137" s="10" t="s">
        <v>133</v>
      </c>
      <c r="O1137" s="10" t="s">
        <v>51</v>
      </c>
      <c r="T1137" s="3"/>
      <c r="U1137" s="83"/>
      <c r="V1137" s="55" t="s">
        <v>902</v>
      </c>
      <c r="W1137" s="44"/>
      <c r="X1137" s="45"/>
    </row>
    <row r="1138" spans="1:24">
      <c r="A1138" s="58" t="s">
        <v>188</v>
      </c>
      <c r="B1138" s="146">
        <v>44515.15625</v>
      </c>
      <c r="C1138" s="140">
        <v>10</v>
      </c>
      <c r="D1138" s="134" t="s">
        <v>275</v>
      </c>
      <c r="E1138" s="7" t="s">
        <v>36</v>
      </c>
      <c r="F1138" s="139" t="s">
        <v>217</v>
      </c>
      <c r="G1138" s="43">
        <v>80</v>
      </c>
      <c r="H1138" s="43">
        <v>67.599999999999994</v>
      </c>
      <c r="I1138">
        <f>表1_4[[#This Row],[主队2]]-表1_4[[#This Row],[客队2]]</f>
        <v>12.4</v>
      </c>
      <c r="J113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138" s="35" t="s">
        <v>118</v>
      </c>
      <c r="L113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38" s="11"/>
      <c r="N1138" s="10" t="s">
        <v>119</v>
      </c>
      <c r="O1138" s="10" t="s">
        <v>28</v>
      </c>
      <c r="T1138" s="3"/>
      <c r="U1138" s="25"/>
      <c r="V1138" s="54" t="s">
        <v>640</v>
      </c>
      <c r="W1138" s="44"/>
      <c r="X1138" s="45"/>
    </row>
    <row r="1139" spans="1:24">
      <c r="A1139" s="58" t="s">
        <v>188</v>
      </c>
      <c r="B1139" s="146">
        <v>44515.15625</v>
      </c>
      <c r="C1139" s="140">
        <v>10</v>
      </c>
      <c r="D1139" s="134" t="s">
        <v>209</v>
      </c>
      <c r="E1139" s="7" t="s">
        <v>31</v>
      </c>
      <c r="F1139" s="139" t="s">
        <v>239</v>
      </c>
      <c r="G1139" s="43">
        <v>95.7</v>
      </c>
      <c r="H1139" s="43">
        <v>86.9</v>
      </c>
      <c r="I1139">
        <f>表1_4[[#This Row],[主队2]]-表1_4[[#This Row],[客队2]]</f>
        <v>8.8000000000000007</v>
      </c>
      <c r="J113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139" s="35" t="s">
        <v>125</v>
      </c>
      <c r="L113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39" s="11"/>
      <c r="N1139" s="10" t="s">
        <v>112</v>
      </c>
      <c r="O1139" s="10" t="s">
        <v>35</v>
      </c>
      <c r="R1139" t="s">
        <v>852</v>
      </c>
      <c r="T1139" s="3"/>
      <c r="U1139" s="246" t="s">
        <v>1472</v>
      </c>
      <c r="V1139" s="234" t="s">
        <v>454</v>
      </c>
      <c r="W1139" s="44"/>
      <c r="X1139" s="45"/>
    </row>
    <row r="1140" spans="1:24">
      <c r="A1140" s="58" t="s">
        <v>188</v>
      </c>
      <c r="B1140" s="146">
        <v>44515.15625</v>
      </c>
      <c r="C1140" s="140">
        <v>10</v>
      </c>
      <c r="D1140" s="134" t="s">
        <v>266</v>
      </c>
      <c r="E1140" s="7" t="s">
        <v>64</v>
      </c>
      <c r="F1140" s="139" t="s">
        <v>199</v>
      </c>
      <c r="G1140" s="43">
        <v>64</v>
      </c>
      <c r="H1140" s="43">
        <v>80.400000000000006</v>
      </c>
      <c r="I1140">
        <f>表1_4[[#This Row],[主队2]]-表1_4[[#This Row],[客队2]]</f>
        <v>-16.399999999999999</v>
      </c>
      <c r="J114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140" s="35" t="s">
        <v>152</v>
      </c>
      <c r="L114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40" s="11"/>
      <c r="N1140" s="10" t="s">
        <v>112</v>
      </c>
      <c r="O1140" s="10" t="s">
        <v>40</v>
      </c>
      <c r="T1140" s="3"/>
      <c r="U1140" s="246" t="s">
        <v>405</v>
      </c>
      <c r="V1140" s="231" t="s">
        <v>920</v>
      </c>
      <c r="W1140" s="44"/>
      <c r="X1140" s="45"/>
    </row>
    <row r="1141" spans="1:24">
      <c r="A1141" s="58" t="s">
        <v>188</v>
      </c>
      <c r="B1141" s="146">
        <v>44515.15625</v>
      </c>
      <c r="C1141" s="140">
        <v>10</v>
      </c>
      <c r="D1141" s="134" t="s">
        <v>270</v>
      </c>
      <c r="E1141" s="7" t="s">
        <v>60</v>
      </c>
      <c r="F1141" s="139" t="s">
        <v>434</v>
      </c>
      <c r="G1141" s="43">
        <v>93.9</v>
      </c>
      <c r="H1141" s="43">
        <v>84.2</v>
      </c>
      <c r="I1141">
        <f>表1_4[[#This Row],[主队2]]-表1_4[[#This Row],[客队2]]</f>
        <v>9.6999999999999993</v>
      </c>
      <c r="J114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141" s="35" t="s">
        <v>176</v>
      </c>
      <c r="L114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41" s="11"/>
      <c r="N1141" s="57" t="s">
        <v>133</v>
      </c>
      <c r="O1141" s="10" t="s">
        <v>24</v>
      </c>
      <c r="T1141" s="3"/>
      <c r="U1141" s="25"/>
      <c r="V1141" s="54" t="s">
        <v>640</v>
      </c>
      <c r="W1141" s="44"/>
      <c r="X1141" s="45"/>
    </row>
    <row r="1142" spans="1:24">
      <c r="A1142" s="58" t="s">
        <v>188</v>
      </c>
      <c r="B1142" s="146">
        <v>44516.15625</v>
      </c>
      <c r="C1142" s="140">
        <v>10</v>
      </c>
      <c r="D1142" s="134" t="s">
        <v>205</v>
      </c>
      <c r="E1142" s="7" t="s">
        <v>31</v>
      </c>
      <c r="F1142" s="139" t="s">
        <v>243</v>
      </c>
      <c r="G1142" s="43">
        <v>72.3</v>
      </c>
      <c r="H1142" s="43">
        <v>47</v>
      </c>
      <c r="I1142">
        <f>表1_4[[#This Row],[主队2]]-表1_4[[#This Row],[客队2]]</f>
        <v>25.3</v>
      </c>
      <c r="J1142" s="34">
        <v>2.75</v>
      </c>
      <c r="K1142" s="34">
        <v>2</v>
      </c>
      <c r="L114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42" s="11"/>
      <c r="N1142" s="10" t="s">
        <v>404</v>
      </c>
      <c r="O1142" s="10" t="s">
        <v>24</v>
      </c>
      <c r="R1142" t="s">
        <v>852</v>
      </c>
      <c r="T1142" s="3"/>
      <c r="U1142" s="83"/>
      <c r="V1142" s="55" t="s">
        <v>1782</v>
      </c>
      <c r="W1142" s="48"/>
      <c r="X1142" s="45"/>
    </row>
    <row r="1143" spans="1:24">
      <c r="A1143" s="58" t="s">
        <v>188</v>
      </c>
      <c r="B1143" s="146">
        <v>44516.15625</v>
      </c>
      <c r="C1143" s="140">
        <v>10</v>
      </c>
      <c r="D1143" s="134" t="s">
        <v>302</v>
      </c>
      <c r="E1143" s="7" t="s">
        <v>60</v>
      </c>
      <c r="F1143" s="273" t="s">
        <v>271</v>
      </c>
      <c r="G1143" s="43">
        <v>86.6</v>
      </c>
      <c r="H1143" s="43">
        <v>77</v>
      </c>
      <c r="I1143">
        <f>表1_4[[#This Row],[主队2]]-表1_4[[#This Row],[客队2]]</f>
        <v>9.5999999999999908</v>
      </c>
      <c r="J114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143" s="35" t="s">
        <v>176</v>
      </c>
      <c r="L114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43" s="63" t="s">
        <v>1345</v>
      </c>
      <c r="N1143" s="10" t="s">
        <v>119</v>
      </c>
      <c r="O1143" s="10" t="s">
        <v>48</v>
      </c>
      <c r="R1143" t="s">
        <v>852</v>
      </c>
      <c r="T1143" s="3"/>
      <c r="U1143" s="246"/>
      <c r="V1143" s="55" t="s">
        <v>1783</v>
      </c>
      <c r="W1143" s="48"/>
      <c r="X1143" s="45"/>
    </row>
    <row r="1144" spans="1:24">
      <c r="A1144" s="58" t="s">
        <v>188</v>
      </c>
      <c r="B1144" s="146">
        <v>44516.15625</v>
      </c>
      <c r="C1144" s="140">
        <v>10</v>
      </c>
      <c r="D1144" s="134" t="s">
        <v>282</v>
      </c>
      <c r="E1144" s="7" t="s">
        <v>1784</v>
      </c>
      <c r="F1144" s="139" t="s">
        <v>117</v>
      </c>
      <c r="G1144" s="43">
        <v>30</v>
      </c>
      <c r="H1144" s="43">
        <v>96.2</v>
      </c>
      <c r="I1144">
        <f>表1_4[[#This Row],[主队2]]-表1_4[[#This Row],[客队2]]</f>
        <v>-66.2</v>
      </c>
      <c r="J1144" s="34">
        <v>-6.25</v>
      </c>
      <c r="K1144" s="34">
        <v>-5.75</v>
      </c>
      <c r="L114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144" s="11"/>
      <c r="N1144" s="10" t="s">
        <v>112</v>
      </c>
      <c r="O1144" s="10" t="s">
        <v>35</v>
      </c>
      <c r="T1144" s="3"/>
      <c r="U1144" s="246" t="s">
        <v>697</v>
      </c>
      <c r="V1144" s="55" t="s">
        <v>1785</v>
      </c>
      <c r="W1144" s="44"/>
      <c r="X1144" s="45"/>
    </row>
    <row r="1145" spans="1:24">
      <c r="A1145" s="58" t="s">
        <v>188</v>
      </c>
      <c r="B1145" s="146">
        <v>44516.15625</v>
      </c>
      <c r="C1145" s="138">
        <v>10</v>
      </c>
      <c r="D1145" s="134" t="s">
        <v>194</v>
      </c>
      <c r="E1145" s="7" t="s">
        <v>43</v>
      </c>
      <c r="F1145" s="139" t="s">
        <v>195</v>
      </c>
      <c r="G1145" s="43">
        <v>82.9</v>
      </c>
      <c r="H1145" s="43">
        <v>58.6</v>
      </c>
      <c r="I1145">
        <f>表1_4[[#This Row],[主队2]]-表1_4[[#This Row],[客队2]]</f>
        <v>24.3</v>
      </c>
      <c r="J1145" s="34">
        <v>2.75</v>
      </c>
      <c r="K1145" s="34">
        <v>2.5</v>
      </c>
      <c r="L114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45" s="11"/>
      <c r="N1145" s="10" t="s">
        <v>112</v>
      </c>
      <c r="O1145" s="10" t="s">
        <v>51</v>
      </c>
      <c r="R1145" t="s">
        <v>852</v>
      </c>
      <c r="T1145" s="3"/>
      <c r="U1145" s="54"/>
      <c r="V1145" s="54" t="s">
        <v>1786</v>
      </c>
      <c r="W1145" s="52"/>
      <c r="X1145" s="45"/>
    </row>
    <row r="1146" spans="1:24">
      <c r="A1146" s="58" t="s">
        <v>188</v>
      </c>
      <c r="B1146" s="146">
        <v>44516.15625</v>
      </c>
      <c r="C1146" s="140">
        <v>10</v>
      </c>
      <c r="D1146" s="134" t="s">
        <v>210</v>
      </c>
      <c r="E1146" s="7" t="s">
        <v>29</v>
      </c>
      <c r="F1146" s="260" t="s">
        <v>244</v>
      </c>
      <c r="G1146" s="43">
        <v>74.400000000000006</v>
      </c>
      <c r="H1146" s="43">
        <v>58.9</v>
      </c>
      <c r="I1146">
        <f>表1_4[[#This Row],[主队2]]-表1_4[[#This Row],[客队2]]</f>
        <v>15.5</v>
      </c>
      <c r="J114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146" s="34">
        <v>1.75</v>
      </c>
      <c r="L114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46" s="11"/>
      <c r="N1146" s="10" t="s">
        <v>133</v>
      </c>
      <c r="O1146" s="10" t="s">
        <v>28</v>
      </c>
      <c r="R1146" t="s">
        <v>852</v>
      </c>
      <c r="T1146" s="3"/>
      <c r="U1146" s="246"/>
      <c r="V1146" s="231" t="s">
        <v>1787</v>
      </c>
      <c r="W1146" s="241"/>
      <c r="X1146" s="45"/>
    </row>
    <row r="1147" spans="1:24">
      <c r="A1147" s="58" t="s">
        <v>188</v>
      </c>
      <c r="B1147" s="146">
        <v>44516.15625</v>
      </c>
      <c r="C1147" s="140">
        <v>10</v>
      </c>
      <c r="D1147" s="134" t="s">
        <v>123</v>
      </c>
      <c r="E1147" s="7" t="s">
        <v>22</v>
      </c>
      <c r="F1147" s="139" t="s">
        <v>306</v>
      </c>
      <c r="G1147" s="43">
        <v>78.900000000000006</v>
      </c>
      <c r="H1147" s="43">
        <v>92.3</v>
      </c>
      <c r="I1147">
        <f>表1_4[[#This Row],[主队2]]-表1_4[[#This Row],[客队2]]</f>
        <v>-13.4</v>
      </c>
      <c r="J114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147" s="35" t="s">
        <v>152</v>
      </c>
      <c r="L114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47" s="11"/>
      <c r="N1147" s="10" t="s">
        <v>133</v>
      </c>
      <c r="O1147" s="10" t="s">
        <v>51</v>
      </c>
      <c r="T1147" s="3"/>
      <c r="U1147" s="246"/>
      <c r="V1147" s="231" t="s">
        <v>454</v>
      </c>
      <c r="W1147" s="44"/>
      <c r="X1147" s="45"/>
    </row>
    <row r="1148" spans="1:24">
      <c r="A1148" s="58" t="s">
        <v>188</v>
      </c>
      <c r="B1148" s="146">
        <v>44516.15625</v>
      </c>
      <c r="C1148" s="138">
        <v>10</v>
      </c>
      <c r="D1148" s="134" t="s">
        <v>296</v>
      </c>
      <c r="E1148" s="7" t="s">
        <v>42</v>
      </c>
      <c r="F1148" s="260" t="s">
        <v>204</v>
      </c>
      <c r="G1148" s="43">
        <v>76.2</v>
      </c>
      <c r="H1148" s="43">
        <v>94.3</v>
      </c>
      <c r="I1148">
        <f>表1_4[[#This Row],[主队2]]-表1_4[[#This Row],[客队2]]</f>
        <v>-18.100000000000001</v>
      </c>
      <c r="J114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148" s="34">
        <v>-1.75</v>
      </c>
      <c r="L114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148" s="63" t="s">
        <v>1737</v>
      </c>
      <c r="N1148" s="10" t="s">
        <v>119</v>
      </c>
      <c r="O1148" s="57" t="s">
        <v>35</v>
      </c>
      <c r="R1148" t="s">
        <v>855</v>
      </c>
      <c r="T1148" s="3"/>
      <c r="U1148" s="246" t="s">
        <v>938</v>
      </c>
      <c r="V1148" s="231" t="s">
        <v>1788</v>
      </c>
      <c r="W1148" s="44"/>
      <c r="X1148" s="45"/>
    </row>
    <row r="1149" spans="1:24">
      <c r="A1149" s="58" t="s">
        <v>188</v>
      </c>
      <c r="B1149" s="146">
        <v>44516.15625</v>
      </c>
      <c r="C1149" s="138">
        <v>10</v>
      </c>
      <c r="D1149" s="134" t="s">
        <v>250</v>
      </c>
      <c r="E1149" s="7" t="s">
        <v>37</v>
      </c>
      <c r="F1149" s="139" t="s">
        <v>261</v>
      </c>
      <c r="G1149" s="43">
        <v>90.8</v>
      </c>
      <c r="H1149" s="43">
        <v>74.099999999999994</v>
      </c>
      <c r="I1149">
        <f>表1_4[[#This Row],[主队2]]-表1_4[[#This Row],[客队2]]</f>
        <v>16.7</v>
      </c>
      <c r="J114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149" s="34">
        <v>2.5</v>
      </c>
      <c r="L114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149" s="11"/>
      <c r="N1149" s="10" t="s">
        <v>112</v>
      </c>
      <c r="O1149" s="10" t="s">
        <v>143</v>
      </c>
      <c r="R1149" t="s">
        <v>855</v>
      </c>
      <c r="T1149" s="3"/>
      <c r="U1149" s="246"/>
      <c r="V1149" s="54" t="s">
        <v>1789</v>
      </c>
      <c r="W1149" s="48"/>
      <c r="X1149" s="45"/>
    </row>
    <row r="1150" spans="1:24">
      <c r="A1150" s="58" t="s">
        <v>188</v>
      </c>
      <c r="B1150" s="146">
        <v>44517.15625</v>
      </c>
      <c r="C1150" s="138">
        <v>10</v>
      </c>
      <c r="D1150" s="134" t="s">
        <v>301</v>
      </c>
      <c r="E1150" s="7" t="s">
        <v>60</v>
      </c>
      <c r="F1150" s="139" t="s">
        <v>190</v>
      </c>
      <c r="G1150" s="43">
        <v>73</v>
      </c>
      <c r="H1150" s="43">
        <v>79.099999999999994</v>
      </c>
      <c r="I1150">
        <f>表1_4[[#This Row],[主队2]]-表1_4[[#This Row],[客队2]]</f>
        <v>-6.0999999999999899</v>
      </c>
      <c r="J115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150" s="35" t="s">
        <v>111</v>
      </c>
      <c r="L115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150" s="11"/>
      <c r="N1150" s="10" t="s">
        <v>133</v>
      </c>
      <c r="O1150" s="10" t="s">
        <v>143</v>
      </c>
      <c r="R1150" t="s">
        <v>855</v>
      </c>
      <c r="T1150" s="3"/>
      <c r="U1150" s="25"/>
      <c r="V1150" s="54" t="s">
        <v>522</v>
      </c>
      <c r="W1150" s="44"/>
      <c r="X1150" s="45"/>
    </row>
    <row r="1151" spans="1:24">
      <c r="A1151" s="58" t="s">
        <v>188</v>
      </c>
      <c r="B1151" s="146">
        <v>44517.15625</v>
      </c>
      <c r="C1151" s="138">
        <v>10</v>
      </c>
      <c r="D1151" s="134" t="s">
        <v>256</v>
      </c>
      <c r="E1151" s="7" t="s">
        <v>74</v>
      </c>
      <c r="F1151" s="139" t="s">
        <v>251</v>
      </c>
      <c r="G1151" s="43">
        <v>38.799999999999997</v>
      </c>
      <c r="H1151" s="43">
        <v>64.099999999999994</v>
      </c>
      <c r="I1151">
        <f>表1_4[[#This Row],[主队2]]-表1_4[[#This Row],[客队2]]</f>
        <v>-25.3</v>
      </c>
      <c r="J1151" s="34">
        <v>-2.25</v>
      </c>
      <c r="K1151" s="35" t="s">
        <v>219</v>
      </c>
      <c r="L115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51" s="11"/>
      <c r="N1151" s="10" t="s">
        <v>133</v>
      </c>
      <c r="O1151" s="10" t="s">
        <v>51</v>
      </c>
      <c r="R1151" t="s">
        <v>852</v>
      </c>
      <c r="T1151" s="3"/>
      <c r="U1151" s="246"/>
      <c r="V1151" s="54" t="s">
        <v>1790</v>
      </c>
      <c r="W1151" s="44"/>
      <c r="X1151" s="45"/>
    </row>
    <row r="1152" spans="1:24">
      <c r="A1152" s="58" t="s">
        <v>188</v>
      </c>
      <c r="B1152" s="146">
        <v>44517.15625</v>
      </c>
      <c r="C1152" s="138">
        <v>10</v>
      </c>
      <c r="D1152" s="134" t="s">
        <v>262</v>
      </c>
      <c r="E1152" s="7" t="s">
        <v>22</v>
      </c>
      <c r="F1152" s="139" t="s">
        <v>297</v>
      </c>
      <c r="G1152" s="43">
        <v>90.9</v>
      </c>
      <c r="H1152" s="43">
        <v>80.599999999999994</v>
      </c>
      <c r="I1152">
        <f>表1_4[[#This Row],[主队2]]-表1_4[[#This Row],[客队2]]</f>
        <v>10.3</v>
      </c>
      <c r="J115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152" s="35" t="s">
        <v>81</v>
      </c>
      <c r="L115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152" s="11"/>
      <c r="N1152" s="10" t="s">
        <v>404</v>
      </c>
      <c r="O1152" s="10" t="s">
        <v>46</v>
      </c>
      <c r="R1152" t="s">
        <v>852</v>
      </c>
      <c r="T1152" s="3"/>
      <c r="U1152" s="83"/>
      <c r="V1152" s="62" t="s">
        <v>1791</v>
      </c>
      <c r="W1152" s="48"/>
      <c r="X1152" s="45"/>
    </row>
    <row r="1153" spans="1:24">
      <c r="A1153" s="58" t="s">
        <v>188</v>
      </c>
      <c r="B1153" s="146">
        <v>44517.15625</v>
      </c>
      <c r="C1153" s="140">
        <v>10</v>
      </c>
      <c r="D1153" s="134" t="s">
        <v>255</v>
      </c>
      <c r="E1153" s="7" t="s">
        <v>47</v>
      </c>
      <c r="F1153" s="139" t="s">
        <v>214</v>
      </c>
      <c r="G1153" s="43">
        <v>79.5</v>
      </c>
      <c r="H1153" s="43">
        <v>81</v>
      </c>
      <c r="I1153">
        <f>表1_4[[#This Row],[主队2]]-表1_4[[#This Row],[客队2]]</f>
        <v>-1.5</v>
      </c>
      <c r="J115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153" s="35" t="s">
        <v>132</v>
      </c>
      <c r="L115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153" s="11"/>
      <c r="N1153" s="10" t="s">
        <v>112</v>
      </c>
      <c r="O1153" s="10" t="s">
        <v>51</v>
      </c>
      <c r="T1153" s="3"/>
      <c r="U1153" s="25"/>
      <c r="V1153" s="54" t="s">
        <v>1052</v>
      </c>
      <c r="W1153" s="44"/>
      <c r="X1153" s="45"/>
    </row>
    <row r="1154" spans="1:24">
      <c r="A1154" s="58" t="s">
        <v>188</v>
      </c>
      <c r="B1154" s="146">
        <v>44517.15625</v>
      </c>
      <c r="C1154" s="138">
        <v>10</v>
      </c>
      <c r="D1154" s="134" t="s">
        <v>191</v>
      </c>
      <c r="E1154" s="7" t="s">
        <v>47</v>
      </c>
      <c r="F1154" s="139" t="s">
        <v>267</v>
      </c>
      <c r="G1154" s="43">
        <v>79.099999999999994</v>
      </c>
      <c r="H1154" s="43">
        <v>96.5</v>
      </c>
      <c r="I1154">
        <f>表1_4[[#This Row],[主队2]]-表1_4[[#This Row],[客队2]]</f>
        <v>-17.399999999999999</v>
      </c>
      <c r="J115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154" s="35" t="s">
        <v>245</v>
      </c>
      <c r="L115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154" s="11"/>
      <c r="N1154" s="10" t="s">
        <v>112</v>
      </c>
      <c r="O1154" s="10" t="s">
        <v>35</v>
      </c>
      <c r="T1154" s="3"/>
      <c r="U1154" s="83" t="s">
        <v>1126</v>
      </c>
      <c r="V1154" s="62" t="s">
        <v>1792</v>
      </c>
      <c r="W1154" s="44"/>
      <c r="X1154" s="45"/>
    </row>
    <row r="1155" spans="1:24">
      <c r="A1155" s="58" t="s">
        <v>188</v>
      </c>
      <c r="B1155" s="127">
        <v>44517.15625</v>
      </c>
      <c r="C1155" s="141">
        <v>10</v>
      </c>
      <c r="D1155" s="134" t="s">
        <v>200</v>
      </c>
      <c r="E1155" s="7" t="s">
        <v>36</v>
      </c>
      <c r="F1155" s="139" t="s">
        <v>274</v>
      </c>
      <c r="G1155" s="43">
        <v>83.9</v>
      </c>
      <c r="H1155" s="43">
        <v>96.3</v>
      </c>
      <c r="I1155">
        <f>表1_4[[#This Row],[主队2]]-表1_4[[#This Row],[客队2]]</f>
        <v>-12.4</v>
      </c>
      <c r="J115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155" s="35" t="s">
        <v>132</v>
      </c>
      <c r="L115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155" s="63" t="s">
        <v>787</v>
      </c>
      <c r="N1155" s="10" t="s">
        <v>119</v>
      </c>
      <c r="O1155" s="57" t="s">
        <v>35</v>
      </c>
      <c r="T1155" s="3"/>
      <c r="U1155" s="83" t="s">
        <v>1126</v>
      </c>
      <c r="V1155" s="62" t="s">
        <v>1793</v>
      </c>
      <c r="W1155" s="44"/>
      <c r="X1155" s="45"/>
    </row>
    <row r="1156" spans="1:24">
      <c r="A1156" s="58" t="s">
        <v>188</v>
      </c>
      <c r="B1156" s="146">
        <v>44517.15625</v>
      </c>
      <c r="C1156" s="140">
        <v>10</v>
      </c>
      <c r="D1156" s="134" t="s">
        <v>284</v>
      </c>
      <c r="E1156" s="7" t="s">
        <v>22</v>
      </c>
      <c r="F1156" s="139" t="s">
        <v>403</v>
      </c>
      <c r="G1156" s="43">
        <v>84.6</v>
      </c>
      <c r="H1156" s="43">
        <v>67.3</v>
      </c>
      <c r="I1156">
        <f>表1_4[[#This Row],[主队2]]-表1_4[[#This Row],[客队2]]</f>
        <v>17.3</v>
      </c>
      <c r="J115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156" s="34">
        <v>2.75</v>
      </c>
      <c r="L115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1156" s="11"/>
      <c r="N1156" s="10" t="s">
        <v>1139</v>
      </c>
      <c r="O1156" s="10" t="s">
        <v>46</v>
      </c>
      <c r="R1156" t="s">
        <v>852</v>
      </c>
      <c r="T1156" s="3"/>
      <c r="U1156" s="83"/>
      <c r="V1156" s="62" t="s">
        <v>1794</v>
      </c>
      <c r="W1156" s="48"/>
      <c r="X1156" s="45"/>
    </row>
    <row r="1157" spans="1:24">
      <c r="A1157" s="58" t="s">
        <v>156</v>
      </c>
      <c r="B1157" s="146">
        <v>44517.166666666701</v>
      </c>
      <c r="C1157" s="140">
        <v>14</v>
      </c>
      <c r="D1157" s="134" t="s">
        <v>159</v>
      </c>
      <c r="E1157" s="7" t="s">
        <v>44</v>
      </c>
      <c r="F1157" s="139" t="s">
        <v>170</v>
      </c>
      <c r="G1157" s="43">
        <v>75.3</v>
      </c>
      <c r="H1157" s="43">
        <v>87.2</v>
      </c>
      <c r="I1157">
        <f>表1_4[[#This Row],[主队2]]-表1_4[[#This Row],[客队2]]</f>
        <v>-11.9</v>
      </c>
      <c r="J115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157" s="35" t="s">
        <v>152</v>
      </c>
      <c r="L115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57" s="63" t="s">
        <v>331</v>
      </c>
      <c r="N1157" s="10" t="s">
        <v>133</v>
      </c>
      <c r="O1157" s="10" t="s">
        <v>46</v>
      </c>
      <c r="R1157" t="s">
        <v>852</v>
      </c>
      <c r="T1157" s="3"/>
      <c r="U1157" s="246"/>
      <c r="V1157" s="231" t="s">
        <v>1795</v>
      </c>
      <c r="W1157" s="44"/>
      <c r="X1157" s="45"/>
    </row>
    <row r="1158" spans="1:24">
      <c r="A1158" s="58" t="s">
        <v>156</v>
      </c>
      <c r="B1158" s="146">
        <v>44517.208333333299</v>
      </c>
      <c r="C1158" s="141">
        <v>14</v>
      </c>
      <c r="D1158" s="134" t="s">
        <v>180</v>
      </c>
      <c r="E1158" s="7" t="s">
        <v>60</v>
      </c>
      <c r="F1158" s="139" t="s">
        <v>181</v>
      </c>
      <c r="G1158" s="43">
        <v>81.7</v>
      </c>
      <c r="H1158" s="43">
        <v>85.8</v>
      </c>
      <c r="I1158">
        <f>表1_4[[#This Row],[主队2]]-表1_4[[#This Row],[客队2]]</f>
        <v>-4.0999999999999899</v>
      </c>
      <c r="J115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158" s="35" t="s">
        <v>152</v>
      </c>
      <c r="L115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58" s="11"/>
      <c r="N1158" s="10" t="s">
        <v>119</v>
      </c>
      <c r="O1158" s="10" t="s">
        <v>65</v>
      </c>
      <c r="T1158" s="3"/>
      <c r="U1158" s="83"/>
      <c r="V1158" s="55" t="s">
        <v>1796</v>
      </c>
      <c r="W1158" s="48"/>
      <c r="X1158" s="45"/>
    </row>
    <row r="1159" spans="1:24">
      <c r="A1159" s="58" t="s">
        <v>156</v>
      </c>
      <c r="B1159" s="146">
        <v>44517.291666666701</v>
      </c>
      <c r="C1159" s="145">
        <v>14</v>
      </c>
      <c r="D1159" s="134" t="s">
        <v>158</v>
      </c>
      <c r="E1159" s="7" t="s">
        <v>42</v>
      </c>
      <c r="F1159" s="139" t="s">
        <v>164</v>
      </c>
      <c r="G1159" s="43">
        <v>92</v>
      </c>
      <c r="H1159" s="43">
        <v>82.6</v>
      </c>
      <c r="I1159">
        <f>表1_4[[#This Row],[主队2]]-表1_4[[#This Row],[客队2]]</f>
        <v>9.4000000000000092</v>
      </c>
      <c r="J115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159" s="35" t="s">
        <v>176</v>
      </c>
      <c r="L115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59" s="11"/>
      <c r="N1159" s="10" t="s">
        <v>112</v>
      </c>
      <c r="O1159" s="10" t="s">
        <v>35</v>
      </c>
      <c r="R1159" t="s">
        <v>852</v>
      </c>
      <c r="T1159" s="3"/>
      <c r="U1159" s="83" t="s">
        <v>988</v>
      </c>
      <c r="V1159" s="55" t="s">
        <v>930</v>
      </c>
      <c r="W1159" s="44"/>
      <c r="X1159" s="45"/>
    </row>
    <row r="1160" spans="1:24">
      <c r="A1160" s="58" t="s">
        <v>156</v>
      </c>
      <c r="B1160" s="146">
        <v>44517.3125</v>
      </c>
      <c r="C1160" s="140">
        <v>14</v>
      </c>
      <c r="D1160" s="134" t="s">
        <v>174</v>
      </c>
      <c r="E1160" s="7" t="s">
        <v>42</v>
      </c>
      <c r="F1160" s="139" t="s">
        <v>171</v>
      </c>
      <c r="G1160" s="43">
        <v>96.6</v>
      </c>
      <c r="H1160" s="43">
        <v>102.1</v>
      </c>
      <c r="I1160">
        <f>表1_4[[#This Row],[主队2]]-表1_4[[#This Row],[客队2]]</f>
        <v>-5.5</v>
      </c>
      <c r="J116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160" s="35" t="s">
        <v>182</v>
      </c>
      <c r="L116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60" s="11"/>
      <c r="N1160" s="10" t="s">
        <v>119</v>
      </c>
      <c r="O1160" s="10" t="s">
        <v>48</v>
      </c>
      <c r="T1160" s="3"/>
      <c r="U1160" s="246"/>
      <c r="V1160" s="231" t="s">
        <v>1795</v>
      </c>
      <c r="W1160" s="44"/>
      <c r="X1160" s="45"/>
    </row>
    <row r="1161" spans="1:24">
      <c r="A1161" s="58" t="s">
        <v>156</v>
      </c>
      <c r="B1161" s="146">
        <v>44517.34375</v>
      </c>
      <c r="C1161" s="140">
        <v>14</v>
      </c>
      <c r="D1161" s="134" t="s">
        <v>175</v>
      </c>
      <c r="E1161" s="7" t="s">
        <v>47</v>
      </c>
      <c r="F1161" s="139" t="s">
        <v>165</v>
      </c>
      <c r="G1161" s="43">
        <v>87.5</v>
      </c>
      <c r="H1161" s="43">
        <v>86.2</v>
      </c>
      <c r="I1161">
        <f>表1_4[[#This Row],[主队2]]-表1_4[[#This Row],[客队2]]</f>
        <v>1.3</v>
      </c>
      <c r="J116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161" s="35" t="s">
        <v>289</v>
      </c>
      <c r="L116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161" s="11"/>
      <c r="N1161" s="10" t="s">
        <v>119</v>
      </c>
      <c r="O1161" s="10" t="s">
        <v>143</v>
      </c>
      <c r="R1161" t="s">
        <v>855</v>
      </c>
      <c r="T1161" s="3"/>
      <c r="U1161" s="25"/>
      <c r="V1161" s="54" t="s">
        <v>1559</v>
      </c>
      <c r="W1161" s="44"/>
      <c r="X1161" s="45"/>
    </row>
    <row r="1162" spans="1:24">
      <c r="A1162" s="58" t="s">
        <v>222</v>
      </c>
      <c r="B1162" s="146">
        <v>44517.25</v>
      </c>
      <c r="C1162" s="138">
        <v>8</v>
      </c>
      <c r="D1162" s="134" t="s">
        <v>1604</v>
      </c>
      <c r="E1162" s="7" t="s">
        <v>36</v>
      </c>
      <c r="F1162" s="139" t="s">
        <v>234</v>
      </c>
      <c r="G1162" s="43">
        <v>74.8</v>
      </c>
      <c r="H1162" s="43">
        <v>86.3</v>
      </c>
      <c r="I1162">
        <f>表1_4[[#This Row],[主队2]]-表1_4[[#This Row],[客队2]]</f>
        <v>-11.5</v>
      </c>
      <c r="J116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162" s="35" t="s">
        <v>111</v>
      </c>
      <c r="L116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62" s="11" t="s">
        <v>1474</v>
      </c>
      <c r="N1162" s="57" t="s">
        <v>133</v>
      </c>
      <c r="O1162" s="10" t="s">
        <v>24</v>
      </c>
      <c r="T1162" s="3"/>
      <c r="U1162" s="25"/>
      <c r="V1162" s="234" t="s">
        <v>1797</v>
      </c>
      <c r="W1162" s="44"/>
      <c r="X1162" s="45"/>
    </row>
    <row r="1163" spans="1:24">
      <c r="A1163" s="58" t="s">
        <v>222</v>
      </c>
      <c r="B1163" s="146">
        <v>44517.378472222197</v>
      </c>
      <c r="C1163" s="140">
        <v>8</v>
      </c>
      <c r="D1163" s="134" t="s">
        <v>230</v>
      </c>
      <c r="E1163" s="7" t="s">
        <v>33</v>
      </c>
      <c r="F1163" s="139" t="s">
        <v>235</v>
      </c>
      <c r="G1163" s="43">
        <v>76.5</v>
      </c>
      <c r="H1163" s="43">
        <v>71.400000000000006</v>
      </c>
      <c r="I1163">
        <f>表1_4[[#This Row],[主队2]]-表1_4[[#This Row],[客队2]]</f>
        <v>5.0999999999999899</v>
      </c>
      <c r="J116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163" s="35" t="s">
        <v>289</v>
      </c>
      <c r="L116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63" s="11"/>
      <c r="N1163" s="10" t="s">
        <v>119</v>
      </c>
      <c r="O1163" s="10" t="s">
        <v>65</v>
      </c>
      <c r="T1163" s="3"/>
      <c r="U1163" s="246"/>
      <c r="V1163" s="231" t="s">
        <v>997</v>
      </c>
      <c r="W1163" s="44"/>
      <c r="X1163" s="45"/>
    </row>
    <row r="1164" spans="1:24">
      <c r="A1164" s="58" t="s">
        <v>222</v>
      </c>
      <c r="B1164" s="146">
        <v>44517.420138888898</v>
      </c>
      <c r="C1164" s="141">
        <v>8</v>
      </c>
      <c r="D1164" s="134" t="s">
        <v>124</v>
      </c>
      <c r="E1164" s="7" t="s">
        <v>33</v>
      </c>
      <c r="F1164" s="139" t="s">
        <v>229</v>
      </c>
      <c r="G1164" s="43">
        <v>83.1</v>
      </c>
      <c r="H1164" s="43">
        <v>87.3</v>
      </c>
      <c r="I1164">
        <f>表1_4[[#This Row],[主队2]]-表1_4[[#This Row],[客队2]]</f>
        <v>-4.2</v>
      </c>
      <c r="J116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164" s="35" t="s">
        <v>152</v>
      </c>
      <c r="L116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64" s="11"/>
      <c r="N1164" s="10" t="s">
        <v>404</v>
      </c>
      <c r="O1164" s="10" t="s">
        <v>65</v>
      </c>
      <c r="T1164" s="3"/>
      <c r="U1164" s="83"/>
      <c r="V1164" s="55" t="s">
        <v>1375</v>
      </c>
      <c r="W1164" s="44"/>
      <c r="X1164" s="45"/>
    </row>
    <row r="1165" spans="1:24">
      <c r="A1165" s="58" t="s">
        <v>222</v>
      </c>
      <c r="B1165" s="146">
        <v>44517.420138888898</v>
      </c>
      <c r="C1165" s="5">
        <v>8</v>
      </c>
      <c r="D1165" s="134" t="s">
        <v>225</v>
      </c>
      <c r="E1165" s="7" t="s">
        <v>33</v>
      </c>
      <c r="F1165" s="139" t="s">
        <v>1606</v>
      </c>
      <c r="G1165" s="43">
        <v>73.5</v>
      </c>
      <c r="H1165" s="43">
        <v>68</v>
      </c>
      <c r="I1165">
        <f>表1_4[[#This Row],[主队2]]-表1_4[[#This Row],[客队2]]</f>
        <v>5.5</v>
      </c>
      <c r="J116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165" s="35" t="s">
        <v>118</v>
      </c>
      <c r="L116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65" s="11"/>
      <c r="N1165" s="10" t="s">
        <v>119</v>
      </c>
      <c r="O1165" s="10" t="s">
        <v>24</v>
      </c>
      <c r="R1165" t="s">
        <v>852</v>
      </c>
      <c r="T1165" s="3"/>
      <c r="U1165" s="83"/>
      <c r="V1165" s="62" t="s">
        <v>1798</v>
      </c>
      <c r="W1165" s="44"/>
      <c r="X1165" s="45"/>
    </row>
    <row r="1166" spans="1:24">
      <c r="A1166" s="58" t="s">
        <v>128</v>
      </c>
      <c r="B1166" s="146">
        <v>44516.833333333299</v>
      </c>
      <c r="C1166" s="138">
        <v>6</v>
      </c>
      <c r="D1166" s="134" t="s">
        <v>1002</v>
      </c>
      <c r="E1166" s="7" t="s">
        <v>53</v>
      </c>
      <c r="F1166" s="139" t="s">
        <v>138</v>
      </c>
      <c r="G1166" s="43">
        <v>59.6</v>
      </c>
      <c r="H1166" s="43">
        <v>76.099999999999994</v>
      </c>
      <c r="I1166">
        <f>表1_4[[#This Row],[主队2]]-表1_4[[#This Row],[客队2]]</f>
        <v>-16.5</v>
      </c>
      <c r="J116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166" s="35" t="s">
        <v>245</v>
      </c>
      <c r="L116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166" s="11"/>
      <c r="N1166" s="10" t="s">
        <v>119</v>
      </c>
      <c r="O1166" s="10" t="s">
        <v>46</v>
      </c>
      <c r="R1166" t="s">
        <v>852</v>
      </c>
      <c r="T1166" s="3"/>
      <c r="U1166" s="25"/>
      <c r="V1166" s="54" t="s">
        <v>1799</v>
      </c>
      <c r="W1166" s="241"/>
      <c r="X1166" s="45"/>
    </row>
    <row r="1167" spans="1:24">
      <c r="A1167" s="58" t="s">
        <v>128</v>
      </c>
      <c r="B1167" s="146">
        <v>44516.958333333299</v>
      </c>
      <c r="C1167" s="140">
        <v>6</v>
      </c>
      <c r="D1167" s="134" t="s">
        <v>142</v>
      </c>
      <c r="E1167" s="7" t="s">
        <v>36</v>
      </c>
      <c r="F1167" s="139" t="s">
        <v>109</v>
      </c>
      <c r="G1167" s="43">
        <v>81.2</v>
      </c>
      <c r="H1167" s="43">
        <v>69.2</v>
      </c>
      <c r="I1167">
        <f>表1_4[[#This Row],[主队2]]-表1_4[[#This Row],[客队2]]</f>
        <v>12</v>
      </c>
      <c r="J1167" s="34">
        <v>1.25</v>
      </c>
      <c r="K1167" s="35" t="s">
        <v>125</v>
      </c>
      <c r="L116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67" s="11"/>
      <c r="N1167" s="10" t="s">
        <v>133</v>
      </c>
      <c r="O1167" s="10" t="s">
        <v>35</v>
      </c>
      <c r="R1167" t="s">
        <v>855</v>
      </c>
      <c r="T1167" s="3"/>
      <c r="U1167" s="83" t="s">
        <v>1548</v>
      </c>
      <c r="V1167" s="55" t="s">
        <v>1800</v>
      </c>
      <c r="W1167" s="44"/>
      <c r="X1167" s="45"/>
    </row>
    <row r="1168" spans="1:24">
      <c r="A1168" s="58" t="s">
        <v>128</v>
      </c>
      <c r="B1168" s="146">
        <v>44517</v>
      </c>
      <c r="C1168" s="138">
        <v>6</v>
      </c>
      <c r="D1168" s="134" t="s">
        <v>1093</v>
      </c>
      <c r="E1168" s="7" t="s">
        <v>53</v>
      </c>
      <c r="F1168" s="139" t="s">
        <v>147</v>
      </c>
      <c r="G1168" s="43">
        <v>65.3</v>
      </c>
      <c r="H1168" s="43">
        <v>82.5</v>
      </c>
      <c r="I1168">
        <f>表1_4[[#This Row],[主队2]]-表1_4[[#This Row],[客队2]]</f>
        <v>-17.2</v>
      </c>
      <c r="J116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168" s="35" t="s">
        <v>245</v>
      </c>
      <c r="L116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168" s="11"/>
      <c r="N1168" s="10" t="s">
        <v>119</v>
      </c>
      <c r="O1168" s="10" t="s">
        <v>28</v>
      </c>
      <c r="R1168" t="s">
        <v>852</v>
      </c>
      <c r="T1168" s="3"/>
      <c r="U1168" s="25"/>
      <c r="V1168" s="54" t="s">
        <v>1801</v>
      </c>
      <c r="W1168" s="52"/>
      <c r="X1168" s="45"/>
    </row>
    <row r="1169" spans="1:24">
      <c r="A1169" s="58" t="s">
        <v>128</v>
      </c>
      <c r="B1169" s="146">
        <v>44516.833333333299</v>
      </c>
      <c r="C1169" s="141">
        <v>6</v>
      </c>
      <c r="D1169" s="134" t="s">
        <v>1005</v>
      </c>
      <c r="E1169" s="7" t="s">
        <v>53</v>
      </c>
      <c r="F1169" s="139" t="s">
        <v>146</v>
      </c>
      <c r="G1169" s="43">
        <v>62.6</v>
      </c>
      <c r="H1169" s="43">
        <v>67.7</v>
      </c>
      <c r="I1169">
        <f>表1_4[[#This Row],[主队2]]-表1_4[[#This Row],[客队2]]</f>
        <v>-5.0999999999999996</v>
      </c>
      <c r="J116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169" s="35" t="s">
        <v>152</v>
      </c>
      <c r="L116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69" s="63" t="s">
        <v>1189</v>
      </c>
      <c r="N1169" s="10" t="s">
        <v>133</v>
      </c>
      <c r="O1169" s="10" t="s">
        <v>46</v>
      </c>
      <c r="R1169" t="s">
        <v>855</v>
      </c>
      <c r="T1169" s="3"/>
      <c r="U1169" s="246"/>
      <c r="V1169" s="231" t="s">
        <v>1042</v>
      </c>
      <c r="W1169" s="44"/>
      <c r="X1169" s="45"/>
    </row>
    <row r="1170" spans="1:24">
      <c r="A1170" s="58" t="s">
        <v>128</v>
      </c>
      <c r="B1170" s="146">
        <v>44516.958333333299</v>
      </c>
      <c r="C1170" s="138">
        <v>6</v>
      </c>
      <c r="D1170" s="134" t="s">
        <v>185</v>
      </c>
      <c r="E1170" s="7" t="s">
        <v>44</v>
      </c>
      <c r="F1170" s="139" t="s">
        <v>141</v>
      </c>
      <c r="G1170" s="43">
        <v>76.8</v>
      </c>
      <c r="H1170" s="43">
        <v>70.7</v>
      </c>
      <c r="I1170">
        <f>表1_4[[#This Row],[主队2]]-表1_4[[#This Row],[客队2]]</f>
        <v>6.0999999999999899</v>
      </c>
      <c r="J1170" s="34">
        <v>0.5</v>
      </c>
      <c r="K1170" s="35" t="s">
        <v>118</v>
      </c>
      <c r="L117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170" s="11"/>
      <c r="N1170" s="10" t="s">
        <v>112</v>
      </c>
      <c r="O1170" s="10" t="s">
        <v>48</v>
      </c>
      <c r="R1170" t="s">
        <v>855</v>
      </c>
      <c r="T1170" s="3"/>
      <c r="U1170" s="246" t="s">
        <v>776</v>
      </c>
      <c r="V1170" s="231" t="s">
        <v>1802</v>
      </c>
      <c r="W1170" s="44"/>
      <c r="X1170" s="45"/>
    </row>
    <row r="1171" spans="1:24">
      <c r="A1171" s="58" t="s">
        <v>128</v>
      </c>
      <c r="B1171" s="146">
        <v>44517</v>
      </c>
      <c r="C1171" s="138">
        <v>6</v>
      </c>
      <c r="D1171" s="134" t="s">
        <v>151</v>
      </c>
      <c r="E1171" s="7" t="s">
        <v>44</v>
      </c>
      <c r="F1171" s="139" t="s">
        <v>130</v>
      </c>
      <c r="G1171" s="43">
        <v>83.4</v>
      </c>
      <c r="H1171" s="43">
        <v>68.8</v>
      </c>
      <c r="I1171">
        <f>表1_4[[#This Row],[主队2]]-表1_4[[#This Row],[客队2]]</f>
        <v>14.6</v>
      </c>
      <c r="J1171" s="34">
        <v>1.5</v>
      </c>
      <c r="K1171" s="35" t="s">
        <v>176</v>
      </c>
      <c r="L117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171" s="11"/>
      <c r="N1171" s="10" t="s">
        <v>119</v>
      </c>
      <c r="O1171" s="10" t="s">
        <v>24</v>
      </c>
      <c r="R1171" t="s">
        <v>852</v>
      </c>
      <c r="T1171" s="3"/>
      <c r="U1171" s="246" t="s">
        <v>776</v>
      </c>
      <c r="V1171" s="231" t="s">
        <v>997</v>
      </c>
      <c r="W1171" s="44"/>
      <c r="X1171" s="45"/>
    </row>
    <row r="1172" spans="1:24">
      <c r="A1172" s="58" t="s">
        <v>128</v>
      </c>
      <c r="B1172" s="146">
        <v>44588.715277777803</v>
      </c>
      <c r="C1172" s="140">
        <v>7</v>
      </c>
      <c r="D1172" s="134" t="s">
        <v>142</v>
      </c>
      <c r="E1172" s="7" t="s">
        <v>37</v>
      </c>
      <c r="F1172" s="139" t="s">
        <v>1002</v>
      </c>
      <c r="G1172" s="43">
        <v>80.5</v>
      </c>
      <c r="H1172" s="43">
        <v>58.8</v>
      </c>
      <c r="I1172">
        <f>表1_4[[#This Row],[主队2]]-表1_4[[#This Row],[客队2]]</f>
        <v>21.7</v>
      </c>
      <c r="J1172" s="34">
        <v>2.5</v>
      </c>
      <c r="K1172" s="35" t="s">
        <v>45</v>
      </c>
      <c r="L117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172" s="11"/>
      <c r="N1172" s="10" t="s">
        <v>112</v>
      </c>
      <c r="O1172" s="10" t="s">
        <v>28</v>
      </c>
      <c r="T1172" s="3"/>
      <c r="U1172" s="246"/>
      <c r="V1172" s="25" t="s">
        <v>1803</v>
      </c>
      <c r="W1172" s="44"/>
      <c r="X1172" s="45"/>
    </row>
    <row r="1173" spans="1:24">
      <c r="A1173" s="58" t="s">
        <v>128</v>
      </c>
      <c r="B1173" s="146">
        <v>44588.75</v>
      </c>
      <c r="C1173" s="140">
        <v>7</v>
      </c>
      <c r="D1173" s="134" t="s">
        <v>147</v>
      </c>
      <c r="E1173" s="7" t="s">
        <v>22</v>
      </c>
      <c r="F1173" s="139" t="s">
        <v>109</v>
      </c>
      <c r="G1173" s="43">
        <v>82.5</v>
      </c>
      <c r="H1173" s="43">
        <v>69.900000000000006</v>
      </c>
      <c r="I1173">
        <f>表1_4[[#This Row],[主队2]]-表1_4[[#This Row],[客队2]]</f>
        <v>12.6</v>
      </c>
      <c r="J117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173" s="35" t="s">
        <v>63</v>
      </c>
      <c r="L117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173" s="11"/>
      <c r="N1173" s="10" t="s">
        <v>133</v>
      </c>
      <c r="O1173" s="10" t="s">
        <v>28</v>
      </c>
      <c r="T1173" s="3"/>
      <c r="U1173" s="83"/>
      <c r="V1173" s="231" t="s">
        <v>1804</v>
      </c>
      <c r="W1173" s="48"/>
      <c r="X1173" s="45"/>
    </row>
    <row r="1174" spans="1:24">
      <c r="A1174" s="58" t="s">
        <v>128</v>
      </c>
      <c r="B1174" s="146">
        <v>44589.052083333299</v>
      </c>
      <c r="C1174" s="140">
        <v>7</v>
      </c>
      <c r="D1174" s="134" t="s">
        <v>138</v>
      </c>
      <c r="E1174" s="7" t="s">
        <v>31</v>
      </c>
      <c r="F1174" s="139" t="s">
        <v>1093</v>
      </c>
      <c r="G1174" s="43">
        <v>76.400000000000006</v>
      </c>
      <c r="H1174" s="43">
        <v>65.2</v>
      </c>
      <c r="I1174">
        <f>表1_4[[#This Row],[主队2]]-表1_4[[#This Row],[客队2]]</f>
        <v>11.2</v>
      </c>
      <c r="J117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174" s="35" t="s">
        <v>125</v>
      </c>
      <c r="L117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74" s="63" t="s">
        <v>1805</v>
      </c>
      <c r="N1174" s="10" t="s">
        <v>133</v>
      </c>
      <c r="O1174" s="10" t="s">
        <v>24</v>
      </c>
      <c r="T1174" s="3"/>
      <c r="U1174" s="25"/>
      <c r="V1174" s="257" t="s">
        <v>1806</v>
      </c>
      <c r="W1174" s="44"/>
      <c r="X1174" s="45"/>
    </row>
    <row r="1175" spans="1:24">
      <c r="A1175" s="58" t="s">
        <v>128</v>
      </c>
      <c r="B1175" s="146">
        <v>44588.833333333299</v>
      </c>
      <c r="C1175" s="138">
        <v>7</v>
      </c>
      <c r="D1175" s="134" t="s">
        <v>1005</v>
      </c>
      <c r="E1175" s="7" t="s">
        <v>53</v>
      </c>
      <c r="F1175" s="139" t="s">
        <v>185</v>
      </c>
      <c r="G1175" s="43">
        <v>61.4</v>
      </c>
      <c r="H1175" s="43">
        <v>78.7</v>
      </c>
      <c r="I1175">
        <f>表1_4[[#This Row],[主队2]]-表1_4[[#This Row],[客队2]]</f>
        <v>-17.3</v>
      </c>
      <c r="J117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175" s="35" t="s">
        <v>111</v>
      </c>
      <c r="L117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75" s="11"/>
      <c r="N1175" s="10" t="s">
        <v>112</v>
      </c>
      <c r="T1175" s="3"/>
      <c r="U1175" s="25"/>
      <c r="V1175" s="80" t="s">
        <v>1807</v>
      </c>
      <c r="W1175" s="44"/>
      <c r="X1175" s="45"/>
    </row>
    <row r="1176" spans="1:24">
      <c r="A1176" s="58" t="s">
        <v>128</v>
      </c>
      <c r="B1176" s="146">
        <v>44588.9375</v>
      </c>
      <c r="C1176" s="138">
        <v>7</v>
      </c>
      <c r="D1176" s="134" t="s">
        <v>151</v>
      </c>
      <c r="E1176" s="7" t="s">
        <v>31</v>
      </c>
      <c r="F1176" s="139" t="s">
        <v>141</v>
      </c>
      <c r="G1176" s="43">
        <v>84.1</v>
      </c>
      <c r="H1176" s="43">
        <v>69.8</v>
      </c>
      <c r="I1176">
        <f>表1_4[[#This Row],[主队2]]-表1_4[[#This Row],[客队2]]</f>
        <v>14.3</v>
      </c>
      <c r="J117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176" s="35" t="s">
        <v>176</v>
      </c>
      <c r="L117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76" s="11"/>
      <c r="N1176" s="10" t="s">
        <v>112</v>
      </c>
      <c r="O1176" s="10" t="s">
        <v>28</v>
      </c>
      <c r="R1176" t="s">
        <v>852</v>
      </c>
      <c r="T1176" s="3"/>
      <c r="U1176" s="25"/>
      <c r="V1176" s="80" t="s">
        <v>1808</v>
      </c>
      <c r="W1176" s="44"/>
      <c r="X1176" s="45"/>
    </row>
    <row r="1177" spans="1:24">
      <c r="A1177" s="58" t="s">
        <v>128</v>
      </c>
      <c r="B1177" s="146">
        <v>44588.958333333299</v>
      </c>
      <c r="C1177" s="140">
        <v>7</v>
      </c>
      <c r="D1177" s="134" t="s">
        <v>146</v>
      </c>
      <c r="E1177" s="7" t="s">
        <v>22</v>
      </c>
      <c r="F1177" s="139" t="s">
        <v>130</v>
      </c>
      <c r="G1177" s="43">
        <v>68.8</v>
      </c>
      <c r="H1177" s="43">
        <v>68</v>
      </c>
      <c r="I1177">
        <f>表1_4[[#This Row],[主队2]]-表1_4[[#This Row],[客队2]]</f>
        <v>0.79999999999999705</v>
      </c>
      <c r="J117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177" s="35" t="s">
        <v>289</v>
      </c>
      <c r="L117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177" s="11"/>
      <c r="T1177" s="3"/>
      <c r="U1177" s="246"/>
      <c r="V1177" s="55" t="s">
        <v>1809</v>
      </c>
      <c r="W1177" s="44"/>
      <c r="X1177" s="45"/>
    </row>
    <row r="1178" spans="1:24">
      <c r="A1178" s="58" t="s">
        <v>222</v>
      </c>
      <c r="B1178" s="146">
        <v>44589.333333333299</v>
      </c>
      <c r="C1178" s="138">
        <v>9</v>
      </c>
      <c r="D1178" s="134" t="s">
        <v>234</v>
      </c>
      <c r="E1178" s="7" t="s">
        <v>31</v>
      </c>
      <c r="F1178" s="139" t="s">
        <v>1606</v>
      </c>
      <c r="G1178" s="43">
        <v>85.4</v>
      </c>
      <c r="H1178" s="43">
        <v>68.5</v>
      </c>
      <c r="I1178">
        <f>表1_4[[#This Row],[主队2]]-表1_4[[#This Row],[客队2]]</f>
        <v>16.899999999999999</v>
      </c>
      <c r="J117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178" s="35" t="s">
        <v>81</v>
      </c>
      <c r="L117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178" s="11" t="s">
        <v>1810</v>
      </c>
      <c r="N1178" s="46" t="s">
        <v>160</v>
      </c>
      <c r="O1178" s="10" t="s">
        <v>40</v>
      </c>
      <c r="R1178" t="s">
        <v>855</v>
      </c>
      <c r="T1178" s="3"/>
      <c r="U1178" s="25" t="s">
        <v>688</v>
      </c>
      <c r="V1178" s="80" t="s">
        <v>1811</v>
      </c>
      <c r="W1178" s="44"/>
      <c r="X1178" s="45"/>
    </row>
    <row r="1179" spans="1:24">
      <c r="A1179" s="58" t="s">
        <v>222</v>
      </c>
      <c r="B1179" s="146">
        <v>44589.333333333299</v>
      </c>
      <c r="C1179" s="138">
        <v>9</v>
      </c>
      <c r="D1179" s="134" t="s">
        <v>1604</v>
      </c>
      <c r="E1179" s="7" t="s">
        <v>60</v>
      </c>
      <c r="F1179" s="139" t="s">
        <v>229</v>
      </c>
      <c r="G1179" s="43">
        <v>74.8</v>
      </c>
      <c r="H1179" s="43">
        <v>86.8</v>
      </c>
      <c r="I1179">
        <f>表1_4[[#This Row],[主队2]]-表1_4[[#This Row],[客队2]]</f>
        <v>-12</v>
      </c>
      <c r="J117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179" s="35" t="s">
        <v>111</v>
      </c>
      <c r="L117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79" s="11"/>
      <c r="N1179" s="10" t="s">
        <v>119</v>
      </c>
      <c r="O1179" s="10" t="s">
        <v>65</v>
      </c>
      <c r="T1179" s="3"/>
      <c r="U1179" s="246"/>
      <c r="V1179" s="231" t="s">
        <v>1812</v>
      </c>
      <c r="W1179" s="56"/>
      <c r="X1179" s="45"/>
    </row>
    <row r="1180" spans="1:24">
      <c r="A1180" s="58" t="s">
        <v>222</v>
      </c>
      <c r="B1180" s="146">
        <v>44589.378472222197</v>
      </c>
      <c r="C1180" s="140">
        <v>9</v>
      </c>
      <c r="D1180" s="134" t="s">
        <v>235</v>
      </c>
      <c r="E1180" s="7" t="s">
        <v>47</v>
      </c>
      <c r="F1180" s="139" t="s">
        <v>124</v>
      </c>
      <c r="G1180" s="43">
        <v>71.599999999999994</v>
      </c>
      <c r="H1180" s="43">
        <v>83.6</v>
      </c>
      <c r="I1180">
        <f>表1_4[[#This Row],[主队2]]-表1_4[[#This Row],[客队2]]</f>
        <v>-12</v>
      </c>
      <c r="J118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180" s="35" t="s">
        <v>152</v>
      </c>
      <c r="L118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80" s="11"/>
      <c r="N1180" s="10" t="s">
        <v>119</v>
      </c>
      <c r="O1180" s="10" t="s">
        <v>27</v>
      </c>
      <c r="T1180" s="3"/>
      <c r="U1180" s="246"/>
      <c r="V1180" s="80" t="s">
        <v>1813</v>
      </c>
      <c r="W1180" s="44"/>
      <c r="X1180" s="45"/>
    </row>
    <row r="1181" spans="1:24">
      <c r="A1181" s="58" t="s">
        <v>222</v>
      </c>
      <c r="B1181" s="146">
        <v>44589.420138888898</v>
      </c>
      <c r="C1181" s="140">
        <v>9</v>
      </c>
      <c r="D1181" s="134" t="s">
        <v>230</v>
      </c>
      <c r="E1181" s="7" t="s">
        <v>31</v>
      </c>
      <c r="F1181" s="139" t="s">
        <v>225</v>
      </c>
      <c r="G1181" s="43">
        <v>76.5</v>
      </c>
      <c r="H1181" s="43">
        <v>74.099999999999994</v>
      </c>
      <c r="I1181">
        <f>表1_4[[#This Row],[主队2]]-表1_4[[#This Row],[客队2]]</f>
        <v>2.4000000000000101</v>
      </c>
      <c r="J118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181" s="35" t="s">
        <v>289</v>
      </c>
      <c r="L118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81" s="11"/>
      <c r="T1181" s="3"/>
      <c r="U1181" s="55"/>
      <c r="V1181" s="55" t="s">
        <v>930</v>
      </c>
      <c r="W1181" s="44"/>
      <c r="X1181" s="45"/>
    </row>
    <row r="1182" spans="1:24">
      <c r="A1182" s="58" t="s">
        <v>156</v>
      </c>
      <c r="B1182" s="146">
        <v>44589.208333333299</v>
      </c>
      <c r="C1182" s="140">
        <v>15</v>
      </c>
      <c r="D1182" s="134" t="s">
        <v>165</v>
      </c>
      <c r="E1182" s="7" t="s">
        <v>36</v>
      </c>
      <c r="F1182" s="139" t="s">
        <v>171</v>
      </c>
      <c r="G1182" s="43">
        <v>87</v>
      </c>
      <c r="H1182" s="43">
        <v>102.1</v>
      </c>
      <c r="I1182">
        <f>表1_4[[#This Row],[主队2]]-表1_4[[#This Row],[客队2]]</f>
        <v>-15.1</v>
      </c>
      <c r="J118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182" s="35" t="s">
        <v>152</v>
      </c>
      <c r="L118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82" s="11"/>
      <c r="T1182" s="3"/>
      <c r="U1182" s="246"/>
      <c r="V1182" s="231" t="s">
        <v>454</v>
      </c>
      <c r="W1182" s="44"/>
      <c r="X1182" s="45"/>
    </row>
    <row r="1183" spans="1:24">
      <c r="A1183" s="58" t="s">
        <v>156</v>
      </c>
      <c r="B1183" s="146">
        <v>44589.291666666701</v>
      </c>
      <c r="C1183" s="141">
        <v>15</v>
      </c>
      <c r="D1183" s="134" t="s">
        <v>164</v>
      </c>
      <c r="E1183" s="7" t="s">
        <v>53</v>
      </c>
      <c r="F1183" s="139" t="s">
        <v>170</v>
      </c>
      <c r="G1183" s="43">
        <v>83.6</v>
      </c>
      <c r="H1183" s="43">
        <v>86.3</v>
      </c>
      <c r="I1183">
        <f>表1_4[[#This Row],[主队2]]-表1_4[[#This Row],[客队2]]</f>
        <v>-2.7</v>
      </c>
      <c r="J118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183" s="35" t="s">
        <v>152</v>
      </c>
      <c r="L118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183" s="11"/>
      <c r="T1183" s="3"/>
      <c r="U1183" s="55"/>
      <c r="V1183" s="62" t="s">
        <v>1814</v>
      </c>
      <c r="W1183" s="44"/>
      <c r="X1183" s="45"/>
    </row>
    <row r="1184" spans="1:24">
      <c r="A1184" s="58" t="s">
        <v>156</v>
      </c>
      <c r="B1184" s="146">
        <v>44589.34375</v>
      </c>
      <c r="C1184" s="140">
        <v>15</v>
      </c>
      <c r="D1184" s="134" t="s">
        <v>175</v>
      </c>
      <c r="E1184" s="7" t="s">
        <v>60</v>
      </c>
      <c r="F1184" s="139" t="s">
        <v>174</v>
      </c>
      <c r="G1184" s="43">
        <v>86.3</v>
      </c>
      <c r="H1184" s="43">
        <v>96.6</v>
      </c>
      <c r="I1184">
        <f>表1_4[[#This Row],[主队2]]-表1_4[[#This Row],[客队2]]</f>
        <v>-10.3</v>
      </c>
      <c r="J118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184" s="35" t="s">
        <v>166</v>
      </c>
      <c r="L118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84" s="11"/>
      <c r="N1184" s="10" t="s">
        <v>119</v>
      </c>
      <c r="O1184" s="46" t="s">
        <v>40</v>
      </c>
      <c r="R1184" t="s">
        <v>855</v>
      </c>
      <c r="T1184" s="3"/>
      <c r="U1184" s="55" t="s">
        <v>617</v>
      </c>
      <c r="V1184" s="62" t="s">
        <v>1815</v>
      </c>
      <c r="W1184" s="44"/>
      <c r="X1184" s="45"/>
    </row>
    <row r="1185" spans="1:25">
      <c r="A1185" s="58" t="s">
        <v>156</v>
      </c>
      <c r="B1185" s="146">
        <v>44590.208333333299</v>
      </c>
      <c r="C1185" s="138">
        <v>15</v>
      </c>
      <c r="D1185" s="134" t="s">
        <v>158</v>
      </c>
      <c r="E1185" s="7" t="s">
        <v>53</v>
      </c>
      <c r="F1185" s="139" t="s">
        <v>181</v>
      </c>
      <c r="G1185" s="43">
        <v>90.7</v>
      </c>
      <c r="H1185" s="43">
        <v>86.3</v>
      </c>
      <c r="I1185">
        <f>表1_4[[#This Row],[主队2]]-表1_4[[#This Row],[客队2]]</f>
        <v>4.4000000000000101</v>
      </c>
      <c r="J118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185" s="35" t="s">
        <v>118</v>
      </c>
      <c r="L118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85" s="11"/>
      <c r="N1185" s="10" t="s">
        <v>112</v>
      </c>
      <c r="O1185" s="10" t="s">
        <v>35</v>
      </c>
      <c r="T1185" s="3"/>
      <c r="U1185" s="246" t="s">
        <v>791</v>
      </c>
      <c r="V1185" s="242" t="s">
        <v>1816</v>
      </c>
      <c r="W1185" s="52"/>
      <c r="X1185" s="69" t="s">
        <v>1817</v>
      </c>
      <c r="Y1185" s="70">
        <v>100</v>
      </c>
    </row>
    <row r="1186" spans="1:25">
      <c r="A1186" s="58" t="s">
        <v>156</v>
      </c>
      <c r="B1186" s="146">
        <v>44590.25</v>
      </c>
      <c r="C1186" s="140">
        <v>15</v>
      </c>
      <c r="D1186" s="134" t="s">
        <v>180</v>
      </c>
      <c r="E1186" s="7" t="s">
        <v>43</v>
      </c>
      <c r="F1186" s="139" t="s">
        <v>159</v>
      </c>
      <c r="G1186" s="43">
        <v>81</v>
      </c>
      <c r="H1186" s="43">
        <v>76.599999999999994</v>
      </c>
      <c r="I1186">
        <f>表1_4[[#This Row],[主队2]]-表1_4[[#This Row],[客队2]]</f>
        <v>4.4000000000000101</v>
      </c>
      <c r="J118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186" s="35" t="s">
        <v>289</v>
      </c>
      <c r="L118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86" s="11"/>
      <c r="N1186" s="10" t="s">
        <v>112</v>
      </c>
      <c r="O1186" s="10" t="s">
        <v>27</v>
      </c>
      <c r="R1186" t="s">
        <v>852</v>
      </c>
      <c r="T1186" s="3"/>
      <c r="U1186" s="25"/>
      <c r="V1186" s="80" t="s">
        <v>1818</v>
      </c>
      <c r="W1186" s="44"/>
      <c r="X1186" s="45"/>
    </row>
    <row r="1187" spans="1:25">
      <c r="A1187" s="58" t="s">
        <v>128</v>
      </c>
      <c r="B1187" s="146">
        <v>44593.756944444402</v>
      </c>
      <c r="C1187" s="138">
        <v>8</v>
      </c>
      <c r="D1187" s="134" t="s">
        <v>147</v>
      </c>
      <c r="E1187" s="7" t="s">
        <v>22</v>
      </c>
      <c r="F1187" s="139" t="s">
        <v>138</v>
      </c>
      <c r="G1187" s="43">
        <v>82.6</v>
      </c>
      <c r="H1187" s="43">
        <v>75.8</v>
      </c>
      <c r="I1187">
        <f>表1_4[[#This Row],[主队2]]-表1_4[[#This Row],[客队2]]</f>
        <v>6.8</v>
      </c>
      <c r="J118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187" s="35" t="s">
        <v>176</v>
      </c>
      <c r="L118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87" s="11"/>
      <c r="N1187" s="10" t="s">
        <v>119</v>
      </c>
      <c r="O1187" s="10" t="s">
        <v>35</v>
      </c>
      <c r="T1187" s="3"/>
      <c r="U1187" s="246" t="s">
        <v>1047</v>
      </c>
      <c r="V1187" s="231" t="s">
        <v>1819</v>
      </c>
      <c r="W1187" s="48"/>
      <c r="X1187" s="45"/>
    </row>
    <row r="1188" spans="1:25">
      <c r="A1188" s="58" t="s">
        <v>128</v>
      </c>
      <c r="B1188" s="146">
        <v>44593.833333333299</v>
      </c>
      <c r="C1188" s="145">
        <v>8</v>
      </c>
      <c r="D1188" s="134" t="s">
        <v>1002</v>
      </c>
      <c r="E1188" s="7" t="s">
        <v>41</v>
      </c>
      <c r="F1188" s="139" t="s">
        <v>109</v>
      </c>
      <c r="G1188" s="43">
        <v>58.4</v>
      </c>
      <c r="H1188" s="43">
        <v>69.8</v>
      </c>
      <c r="I1188">
        <f>表1_4[[#This Row],[主队2]]-表1_4[[#This Row],[客队2]]</f>
        <v>-11.4</v>
      </c>
      <c r="J118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188" s="35" t="s">
        <v>132</v>
      </c>
      <c r="L118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188" s="11"/>
      <c r="N1188" s="10" t="s">
        <v>119</v>
      </c>
      <c r="O1188" s="10" t="s">
        <v>46</v>
      </c>
      <c r="T1188" s="3"/>
      <c r="U1188" s="83"/>
      <c r="V1188" s="55" t="s">
        <v>1820</v>
      </c>
      <c r="W1188" s="51"/>
      <c r="X1188" s="45"/>
    </row>
    <row r="1189" spans="1:25">
      <c r="A1189" s="58" t="s">
        <v>128</v>
      </c>
      <c r="B1189" s="146">
        <v>44593.833333333299</v>
      </c>
      <c r="C1189" s="141">
        <v>8</v>
      </c>
      <c r="D1189" s="134" t="s">
        <v>1005</v>
      </c>
      <c r="E1189" s="7" t="s">
        <v>36</v>
      </c>
      <c r="F1189" s="139" t="s">
        <v>141</v>
      </c>
      <c r="G1189" s="43">
        <v>61.3</v>
      </c>
      <c r="H1189" s="43">
        <v>70.5</v>
      </c>
      <c r="I1189">
        <f>表1_4[[#This Row],[主队2]]-表1_4[[#This Row],[客队2]]</f>
        <v>-9.1999999999999993</v>
      </c>
      <c r="J118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189" s="35" t="s">
        <v>166</v>
      </c>
      <c r="L118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89" s="11"/>
      <c r="N1189" s="10" t="s">
        <v>119</v>
      </c>
      <c r="O1189" s="10" t="s">
        <v>51</v>
      </c>
      <c r="T1189" s="3"/>
      <c r="U1189" s="83"/>
      <c r="V1189" s="55" t="s">
        <v>1038</v>
      </c>
      <c r="W1189" s="56"/>
      <c r="X1189" s="45"/>
    </row>
    <row r="1190" spans="1:25">
      <c r="A1190" s="58" t="s">
        <v>128</v>
      </c>
      <c r="B1190" s="146">
        <v>44593.916666666701</v>
      </c>
      <c r="C1190" s="138">
        <v>8</v>
      </c>
      <c r="D1190" s="134" t="s">
        <v>130</v>
      </c>
      <c r="E1190" s="7" t="s">
        <v>47</v>
      </c>
      <c r="F1190" s="139" t="s">
        <v>185</v>
      </c>
      <c r="G1190" s="43">
        <v>67.3</v>
      </c>
      <c r="H1190" s="43">
        <v>78.8</v>
      </c>
      <c r="I1190">
        <f>表1_4[[#This Row],[主队2]]-表1_4[[#This Row],[客队2]]</f>
        <v>-11.5</v>
      </c>
      <c r="J119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190" s="73" t="s">
        <v>111</v>
      </c>
      <c r="L119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90" s="11"/>
      <c r="T1190" s="3"/>
      <c r="U1190" s="246"/>
      <c r="V1190" s="231" t="s">
        <v>1821</v>
      </c>
      <c r="W1190" s="52"/>
      <c r="X1190" s="45"/>
    </row>
    <row r="1191" spans="1:25">
      <c r="A1191" s="58" t="s">
        <v>128</v>
      </c>
      <c r="B1191" s="146">
        <v>44593.9375</v>
      </c>
      <c r="C1191" s="140">
        <v>8</v>
      </c>
      <c r="D1191" s="134" t="s">
        <v>151</v>
      </c>
      <c r="E1191" s="7" t="s">
        <v>31</v>
      </c>
      <c r="F1191" s="139" t="s">
        <v>146</v>
      </c>
      <c r="G1191" s="43">
        <v>83.5</v>
      </c>
      <c r="H1191" s="43">
        <v>69.599999999999994</v>
      </c>
      <c r="I1191">
        <f>表1_4[[#This Row],[主队2]]-表1_4[[#This Row],[客队2]]</f>
        <v>13.9</v>
      </c>
      <c r="J119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191" s="35" t="s">
        <v>118</v>
      </c>
      <c r="L119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91" s="11"/>
      <c r="T1191" s="3"/>
      <c r="U1191" s="25"/>
      <c r="V1191" s="54" t="s">
        <v>1822</v>
      </c>
      <c r="W1191" s="52"/>
      <c r="X1191" s="45"/>
    </row>
    <row r="1192" spans="1:25">
      <c r="A1192" s="58" t="s">
        <v>128</v>
      </c>
      <c r="B1192" s="127">
        <v>44594</v>
      </c>
      <c r="C1192" s="138">
        <v>8</v>
      </c>
      <c r="D1192" s="134" t="s">
        <v>1093</v>
      </c>
      <c r="E1192" s="7" t="s">
        <v>25</v>
      </c>
      <c r="F1192" s="139" t="s">
        <v>142</v>
      </c>
      <c r="G1192" s="43">
        <v>65.8</v>
      </c>
      <c r="H1192" s="43">
        <v>80.900000000000006</v>
      </c>
      <c r="I1192">
        <f>表1_4[[#This Row],[主队2]]-表1_4[[#This Row],[客队2]]</f>
        <v>-15.1</v>
      </c>
      <c r="J119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192" s="35" t="s">
        <v>245</v>
      </c>
      <c r="L119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192" s="63" t="s">
        <v>455</v>
      </c>
      <c r="T1192" s="3"/>
      <c r="U1192" s="83"/>
      <c r="V1192" s="231" t="s">
        <v>1823</v>
      </c>
      <c r="W1192" s="51"/>
      <c r="X1192" s="45"/>
    </row>
    <row r="1193" spans="1:25">
      <c r="A1193" s="58" t="s">
        <v>156</v>
      </c>
      <c r="B1193" s="146">
        <v>44594.166666666701</v>
      </c>
      <c r="C1193" s="140">
        <v>16</v>
      </c>
      <c r="D1193" s="134" t="s">
        <v>159</v>
      </c>
      <c r="E1193" s="7" t="s">
        <v>62</v>
      </c>
      <c r="F1193" s="139" t="s">
        <v>175</v>
      </c>
      <c r="G1193" s="43">
        <v>75.3</v>
      </c>
      <c r="H1193" s="43">
        <v>85.8</v>
      </c>
      <c r="I1193">
        <f>表1_4[[#This Row],[主队2]]-表1_4[[#This Row],[客队2]]</f>
        <v>-10.5</v>
      </c>
      <c r="J119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193" s="35" t="s">
        <v>166</v>
      </c>
      <c r="L119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93" s="63" t="s">
        <v>331</v>
      </c>
      <c r="N1193" s="10" t="s">
        <v>119</v>
      </c>
      <c r="O1193" s="57" t="s">
        <v>39</v>
      </c>
      <c r="R1193" t="s">
        <v>855</v>
      </c>
      <c r="T1193" s="3"/>
      <c r="U1193" s="83"/>
      <c r="V1193" s="55" t="s">
        <v>1824</v>
      </c>
      <c r="W1193" s="44"/>
      <c r="X1193" s="45"/>
    </row>
    <row r="1194" spans="1:25">
      <c r="A1194" s="58" t="s">
        <v>156</v>
      </c>
      <c r="B1194" s="146">
        <v>44594.291666666701</v>
      </c>
      <c r="C1194" s="140">
        <v>16</v>
      </c>
      <c r="D1194" s="134" t="s">
        <v>170</v>
      </c>
      <c r="E1194" s="7" t="s">
        <v>43</v>
      </c>
      <c r="F1194" s="71" t="s">
        <v>180</v>
      </c>
      <c r="G1194" s="43">
        <v>87.2</v>
      </c>
      <c r="H1194" s="43">
        <v>82.3</v>
      </c>
      <c r="I1194">
        <f>表1_4[[#This Row],[主队2]]-表1_4[[#This Row],[客队2]]</f>
        <v>4.9000000000000101</v>
      </c>
      <c r="J119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194" s="35" t="s">
        <v>125</v>
      </c>
      <c r="L119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194" s="11"/>
      <c r="N1194" s="10" t="s">
        <v>112</v>
      </c>
      <c r="O1194" s="10" t="s">
        <v>35</v>
      </c>
      <c r="R1194" t="s">
        <v>855</v>
      </c>
      <c r="T1194" s="3"/>
      <c r="U1194" s="270" t="s">
        <v>1825</v>
      </c>
      <c r="V1194" s="54" t="s">
        <v>1826</v>
      </c>
      <c r="W1194" s="52"/>
      <c r="X1194" s="45"/>
    </row>
    <row r="1195" spans="1:25">
      <c r="A1195" s="58" t="s">
        <v>156</v>
      </c>
      <c r="B1195" s="146">
        <v>44594.3125</v>
      </c>
      <c r="C1195" s="140">
        <v>16</v>
      </c>
      <c r="D1195" s="134" t="s">
        <v>174</v>
      </c>
      <c r="E1195" s="7" t="s">
        <v>31</v>
      </c>
      <c r="F1195" s="139" t="s">
        <v>158</v>
      </c>
      <c r="G1195" s="43">
        <v>97.2</v>
      </c>
      <c r="H1195" s="43">
        <v>89.8</v>
      </c>
      <c r="I1195">
        <f>表1_4[[#This Row],[主队2]]-表1_4[[#This Row],[客队2]]</f>
        <v>7.4000000000000101</v>
      </c>
      <c r="J119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195" s="35" t="s">
        <v>289</v>
      </c>
      <c r="L119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195" s="11"/>
      <c r="T1195" s="3"/>
      <c r="U1195" s="246"/>
      <c r="V1195" s="231" t="s">
        <v>1031</v>
      </c>
      <c r="W1195" s="44"/>
      <c r="X1195" s="45"/>
    </row>
    <row r="1196" spans="1:25">
      <c r="A1196" s="58" t="s">
        <v>156</v>
      </c>
      <c r="B1196" s="146">
        <v>44594.354166666701</v>
      </c>
      <c r="C1196" s="138">
        <v>16</v>
      </c>
      <c r="D1196" s="134" t="s">
        <v>171</v>
      </c>
      <c r="E1196" s="7" t="s">
        <v>37</v>
      </c>
      <c r="F1196" s="139" t="s">
        <v>164</v>
      </c>
      <c r="G1196" s="43">
        <v>101.5</v>
      </c>
      <c r="H1196" s="43">
        <v>82.6</v>
      </c>
      <c r="I1196">
        <f>表1_4[[#This Row],[主队2]]-表1_4[[#This Row],[客队2]]</f>
        <v>18.899999999999999</v>
      </c>
      <c r="J119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1196" s="35" t="s">
        <v>125</v>
      </c>
      <c r="L119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196" s="11"/>
      <c r="N1196" s="10" t="s">
        <v>112</v>
      </c>
      <c r="O1196" s="10" t="s">
        <v>39</v>
      </c>
      <c r="T1196" s="3"/>
      <c r="U1196" s="25"/>
      <c r="V1196" s="80" t="s">
        <v>1827</v>
      </c>
      <c r="W1196" s="44"/>
      <c r="X1196" s="45"/>
    </row>
    <row r="1197" spans="1:25">
      <c r="A1197" s="58" t="s">
        <v>156</v>
      </c>
      <c r="B1197" s="146">
        <v>44594.416666666701</v>
      </c>
      <c r="C1197" s="140">
        <v>16</v>
      </c>
      <c r="D1197" s="134" t="s">
        <v>181</v>
      </c>
      <c r="E1197" s="7" t="s">
        <v>36</v>
      </c>
      <c r="F1197" s="139" t="s">
        <v>165</v>
      </c>
      <c r="G1197" s="43">
        <v>87.2</v>
      </c>
      <c r="H1197" s="43">
        <v>87.5</v>
      </c>
      <c r="I1197">
        <f>表1_4[[#This Row],[主队2]]-表1_4[[#This Row],[客队2]]</f>
        <v>-0.29999999999999699</v>
      </c>
      <c r="J119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197" s="35" t="s">
        <v>182</v>
      </c>
      <c r="L119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97" s="11"/>
      <c r="N1197" s="10" t="s">
        <v>119</v>
      </c>
      <c r="O1197" s="10" t="s">
        <v>65</v>
      </c>
      <c r="T1197" s="3"/>
      <c r="U1197" s="246"/>
      <c r="V1197" s="231" t="s">
        <v>454</v>
      </c>
      <c r="W1197" s="44"/>
      <c r="X1197" s="45"/>
    </row>
    <row r="1198" spans="1:25">
      <c r="A1198" s="58" t="s">
        <v>222</v>
      </c>
      <c r="B1198" s="146">
        <v>44595.333333333299</v>
      </c>
      <c r="C1198" s="140">
        <v>14</v>
      </c>
      <c r="D1198" s="134" t="s">
        <v>1604</v>
      </c>
      <c r="E1198" s="7" t="s">
        <v>53</v>
      </c>
      <c r="F1198" s="139" t="s">
        <v>230</v>
      </c>
      <c r="G1198" s="43">
        <v>74.2</v>
      </c>
      <c r="H1198" s="43">
        <v>77.400000000000006</v>
      </c>
      <c r="I1198">
        <f>表1_4[[#This Row],[主队2]]-表1_4[[#This Row],[客队2]]</f>
        <v>-3.2</v>
      </c>
      <c r="J119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198" s="35" t="s">
        <v>166</v>
      </c>
      <c r="L119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98" s="11"/>
      <c r="N1198" s="10" t="s">
        <v>119</v>
      </c>
      <c r="O1198" s="10" t="s">
        <v>24</v>
      </c>
      <c r="R1198" t="s">
        <v>855</v>
      </c>
      <c r="T1198" s="3"/>
      <c r="U1198" s="280"/>
      <c r="V1198" s="283" t="s">
        <v>1828</v>
      </c>
      <c r="W1198" s="156"/>
      <c r="X1198" s="157"/>
    </row>
    <row r="1199" spans="1:25">
      <c r="A1199" s="58" t="s">
        <v>222</v>
      </c>
      <c r="B1199" s="146">
        <v>44595.354166666701</v>
      </c>
      <c r="C1199" s="140">
        <v>14</v>
      </c>
      <c r="D1199" s="134" t="s">
        <v>234</v>
      </c>
      <c r="E1199" s="7" t="s">
        <v>44</v>
      </c>
      <c r="F1199" s="139" t="s">
        <v>235</v>
      </c>
      <c r="G1199" s="43">
        <v>84.2</v>
      </c>
      <c r="H1199" s="43">
        <v>70.2</v>
      </c>
      <c r="I1199">
        <f>表1_4[[#This Row],[主队2]]-表1_4[[#This Row],[客队2]]</f>
        <v>14</v>
      </c>
      <c r="J119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199" s="35" t="s">
        <v>63</v>
      </c>
      <c r="L119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199" s="11"/>
      <c r="N1199" s="10" t="s">
        <v>119</v>
      </c>
      <c r="O1199" s="10" t="s">
        <v>40</v>
      </c>
      <c r="T1199" s="3"/>
      <c r="U1199" s="156" t="s">
        <v>405</v>
      </c>
      <c r="V1199" s="286" t="s">
        <v>1829</v>
      </c>
      <c r="W1199" s="44"/>
      <c r="X1199" s="45"/>
    </row>
    <row r="1200" spans="1:25">
      <c r="A1200" s="58" t="s">
        <v>222</v>
      </c>
      <c r="B1200" s="146">
        <v>44595.416666666701</v>
      </c>
      <c r="C1200" s="140">
        <v>11</v>
      </c>
      <c r="D1200" s="134" t="s">
        <v>1606</v>
      </c>
      <c r="E1200" s="7" t="s">
        <v>47</v>
      </c>
      <c r="F1200" s="139" t="s">
        <v>124</v>
      </c>
      <c r="G1200" s="43">
        <v>69.8</v>
      </c>
      <c r="H1200" s="43">
        <v>84.9</v>
      </c>
      <c r="I1200">
        <f>表1_4[[#This Row],[主队2]]-表1_4[[#This Row],[客队2]]</f>
        <v>-15.1</v>
      </c>
      <c r="J120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200" s="35" t="s">
        <v>152</v>
      </c>
      <c r="L120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200" s="11"/>
      <c r="N1200" s="10" t="s">
        <v>160</v>
      </c>
      <c r="O1200" s="10" t="s">
        <v>27</v>
      </c>
      <c r="T1200" s="3"/>
      <c r="U1200" s="158"/>
      <c r="V1200" s="159" t="s">
        <v>1830</v>
      </c>
      <c r="W1200" s="52"/>
      <c r="X1200" s="238" t="s">
        <v>187</v>
      </c>
      <c r="Y1200" s="250">
        <v>90</v>
      </c>
    </row>
    <row r="1201" spans="1:25">
      <c r="A1201" s="58" t="s">
        <v>222</v>
      </c>
      <c r="B1201" s="146">
        <v>44595.458333333299</v>
      </c>
      <c r="C1201" s="138">
        <v>11</v>
      </c>
      <c r="D1201" s="134" t="s">
        <v>229</v>
      </c>
      <c r="E1201" s="7" t="s">
        <v>31</v>
      </c>
      <c r="F1201" s="139" t="s">
        <v>225</v>
      </c>
      <c r="G1201" s="43">
        <v>86.3</v>
      </c>
      <c r="H1201" s="43">
        <v>74.3</v>
      </c>
      <c r="I1201">
        <f>表1_4[[#This Row],[主队2]]-表1_4[[#This Row],[客队2]]</f>
        <v>12</v>
      </c>
      <c r="J120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201" s="35" t="s">
        <v>81</v>
      </c>
      <c r="L120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01" s="11"/>
      <c r="N1201" s="10" t="s">
        <v>133</v>
      </c>
      <c r="O1201" s="10" t="s">
        <v>28</v>
      </c>
      <c r="T1201" s="3"/>
      <c r="U1201" s="287"/>
      <c r="V1201" s="156" t="s">
        <v>1831</v>
      </c>
      <c r="W1201" s="48"/>
      <c r="X1201" s="238" t="s">
        <v>433</v>
      </c>
      <c r="Y1201" s="250">
        <v>80</v>
      </c>
    </row>
    <row r="1202" spans="1:25">
      <c r="A1202" s="58" t="s">
        <v>128</v>
      </c>
      <c r="B1202" s="146">
        <v>44644.833333333299</v>
      </c>
      <c r="C1202" s="141">
        <v>9</v>
      </c>
      <c r="D1202" s="134" t="s">
        <v>1002</v>
      </c>
      <c r="E1202" s="7" t="s">
        <v>53</v>
      </c>
      <c r="F1202" s="139" t="s">
        <v>1093</v>
      </c>
      <c r="G1202" s="43">
        <v>59.7</v>
      </c>
      <c r="H1202" s="43">
        <v>66.2</v>
      </c>
      <c r="I1202">
        <f>表1_4[[#This Row],[主队2]]-表1_4[[#This Row],[客队2]]</f>
        <v>-6.5</v>
      </c>
      <c r="J120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202" s="35" t="s">
        <v>152</v>
      </c>
      <c r="L120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02" s="63" t="s">
        <v>1189</v>
      </c>
      <c r="T1202" s="3"/>
      <c r="U1202" s="83"/>
      <c r="V1202" s="55" t="s">
        <v>1832</v>
      </c>
      <c r="W1202" s="241"/>
      <c r="X1202" s="45"/>
    </row>
    <row r="1203" spans="1:25">
      <c r="A1203" s="58" t="s">
        <v>128</v>
      </c>
      <c r="B1203" s="146">
        <v>44644.958333333299</v>
      </c>
      <c r="C1203" s="140">
        <v>9</v>
      </c>
      <c r="D1203" s="134" t="s">
        <v>138</v>
      </c>
      <c r="E1203" s="7" t="s">
        <v>36</v>
      </c>
      <c r="F1203" s="139" t="s">
        <v>109</v>
      </c>
      <c r="G1203" s="43">
        <v>75.099999999999994</v>
      </c>
      <c r="H1203" s="43">
        <v>68.599999999999994</v>
      </c>
      <c r="I1203">
        <f>表1_4[[#This Row],[主队2]]-表1_4[[#This Row],[客队2]]</f>
        <v>6.5</v>
      </c>
      <c r="J1203" s="34">
        <v>0.75</v>
      </c>
      <c r="K1203" s="35" t="s">
        <v>125</v>
      </c>
      <c r="L120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203" s="11"/>
      <c r="N1203" s="10" t="s">
        <v>133</v>
      </c>
      <c r="O1203" s="10" t="s">
        <v>46</v>
      </c>
      <c r="R1203" t="s">
        <v>852</v>
      </c>
      <c r="T1203" s="3"/>
      <c r="U1203" s="83" t="s">
        <v>776</v>
      </c>
      <c r="V1203" s="55" t="s">
        <v>963</v>
      </c>
      <c r="W1203" s="44"/>
      <c r="X1203" s="45"/>
    </row>
    <row r="1204" spans="1:25">
      <c r="A1204" s="58" t="s">
        <v>128</v>
      </c>
      <c r="B1204" s="146">
        <v>44644.791666666701</v>
      </c>
      <c r="C1204" s="140">
        <v>9</v>
      </c>
      <c r="D1204" s="134" t="s">
        <v>185</v>
      </c>
      <c r="E1204" s="7" t="s">
        <v>22</v>
      </c>
      <c r="F1204" s="139" t="s">
        <v>151</v>
      </c>
      <c r="G1204" s="43">
        <v>79.3</v>
      </c>
      <c r="H1204" s="43">
        <v>83.2</v>
      </c>
      <c r="I1204">
        <f>表1_4[[#This Row],[主队2]]-表1_4[[#This Row],[客队2]]</f>
        <v>-3.9000000000000101</v>
      </c>
      <c r="J120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204" s="35" t="s">
        <v>182</v>
      </c>
      <c r="L120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04" s="11"/>
      <c r="N1204" s="10" t="s">
        <v>112</v>
      </c>
      <c r="O1204" s="10" t="s">
        <v>35</v>
      </c>
      <c r="T1204" s="3"/>
      <c r="U1204" s="246" t="s">
        <v>1437</v>
      </c>
      <c r="V1204" s="54" t="s">
        <v>1833</v>
      </c>
      <c r="W1204" s="52"/>
      <c r="X1204" s="45"/>
    </row>
    <row r="1205" spans="1:25">
      <c r="A1205" s="58" t="s">
        <v>128</v>
      </c>
      <c r="B1205" s="146">
        <v>44644.833333333299</v>
      </c>
      <c r="C1205" s="140">
        <v>9</v>
      </c>
      <c r="D1205" s="134" t="s">
        <v>1005</v>
      </c>
      <c r="E1205" s="7" t="s">
        <v>64</v>
      </c>
      <c r="F1205" s="139" t="s">
        <v>130</v>
      </c>
      <c r="G1205" s="43">
        <v>61.4</v>
      </c>
      <c r="H1205" s="43">
        <v>66.7</v>
      </c>
      <c r="I1205">
        <f>表1_4[[#This Row],[主队2]]-表1_4[[#This Row],[客队2]]</f>
        <v>-5.3</v>
      </c>
      <c r="J120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205" s="35" t="s">
        <v>182</v>
      </c>
      <c r="L120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05" s="11"/>
      <c r="T1205" s="3"/>
      <c r="U1205" s="83"/>
      <c r="V1205" s="80" t="s">
        <v>1834</v>
      </c>
      <c r="W1205" s="48"/>
      <c r="X1205" s="45"/>
    </row>
    <row r="1206" spans="1:25">
      <c r="A1206" s="58" t="s">
        <v>128</v>
      </c>
      <c r="B1206" s="146">
        <v>44645.041666666701</v>
      </c>
      <c r="C1206" s="279">
        <v>9</v>
      </c>
      <c r="D1206" s="134" t="s">
        <v>141</v>
      </c>
      <c r="E1206" s="7" t="s">
        <v>31</v>
      </c>
      <c r="F1206" s="139" t="s">
        <v>146</v>
      </c>
      <c r="G1206" s="43">
        <v>70.8</v>
      </c>
      <c r="H1206" s="43">
        <v>69.900000000000006</v>
      </c>
      <c r="I1206">
        <f>表1_4[[#This Row],[主队2]]-表1_4[[#This Row],[客队2]]</f>
        <v>0.89999999999999103</v>
      </c>
      <c r="J1206" s="34">
        <v>0</v>
      </c>
      <c r="K1206" s="35" t="s">
        <v>182</v>
      </c>
      <c r="L120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206" s="11"/>
      <c r="N1206" s="10" t="s">
        <v>133</v>
      </c>
      <c r="O1206" s="10" t="s">
        <v>27</v>
      </c>
      <c r="T1206" s="3"/>
      <c r="U1206" s="246" t="s">
        <v>776</v>
      </c>
      <c r="V1206" s="62" t="s">
        <v>1835</v>
      </c>
      <c r="W1206" s="241"/>
      <c r="X1206" s="238" t="s">
        <v>433</v>
      </c>
      <c r="Y1206" s="250">
        <v>82</v>
      </c>
    </row>
    <row r="1207" spans="1:25">
      <c r="A1207" s="58" t="s">
        <v>188</v>
      </c>
      <c r="B1207" s="146">
        <v>44645.15625</v>
      </c>
      <c r="C1207" s="140" t="s">
        <v>1296</v>
      </c>
      <c r="D1207" s="134" t="s">
        <v>200</v>
      </c>
      <c r="E1207" s="7" t="s">
        <v>33</v>
      </c>
      <c r="F1207" s="139" t="s">
        <v>194</v>
      </c>
      <c r="G1207" s="43">
        <v>84.3</v>
      </c>
      <c r="H1207" s="43">
        <v>82.8</v>
      </c>
      <c r="I1207">
        <f>表1_4[[#This Row],[主队2]]-表1_4[[#This Row],[客队2]]</f>
        <v>1.5</v>
      </c>
      <c r="J120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207" s="35" t="s">
        <v>166</v>
      </c>
      <c r="L120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207" s="11"/>
      <c r="N1207" s="10" t="s">
        <v>119</v>
      </c>
      <c r="O1207" s="10" t="s">
        <v>46</v>
      </c>
      <c r="T1207" s="3"/>
      <c r="U1207" s="246"/>
      <c r="V1207" s="231" t="s">
        <v>639</v>
      </c>
      <c r="W1207" s="44"/>
      <c r="X1207" s="45"/>
    </row>
    <row r="1208" spans="1:25">
      <c r="A1208" s="58" t="s">
        <v>188</v>
      </c>
      <c r="B1208" s="146">
        <v>44645.15625</v>
      </c>
      <c r="C1208" s="138" t="s">
        <v>1296</v>
      </c>
      <c r="D1208" s="134" t="s">
        <v>270</v>
      </c>
      <c r="E1208" s="7" t="s">
        <v>41</v>
      </c>
      <c r="F1208" s="139" t="s">
        <v>190</v>
      </c>
      <c r="G1208" s="43">
        <v>93</v>
      </c>
      <c r="H1208" s="43">
        <v>79.7</v>
      </c>
      <c r="I1208">
        <f>表1_4[[#This Row],[主队2]]-表1_4[[#This Row],[客队2]]</f>
        <v>13.3</v>
      </c>
      <c r="J120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208" s="35" t="s">
        <v>125</v>
      </c>
      <c r="L120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08" s="11"/>
      <c r="N1208" s="10" t="s">
        <v>112</v>
      </c>
      <c r="O1208" s="10" t="s">
        <v>51</v>
      </c>
      <c r="T1208" s="3"/>
      <c r="U1208" s="246"/>
      <c r="V1208" s="54" t="s">
        <v>1836</v>
      </c>
      <c r="W1208" s="52"/>
      <c r="X1208" s="45"/>
    </row>
    <row r="1209" spans="1:25">
      <c r="A1209" s="58" t="s">
        <v>188</v>
      </c>
      <c r="B1209" s="146">
        <v>44645.15625</v>
      </c>
      <c r="C1209" s="141" t="s">
        <v>1296</v>
      </c>
      <c r="D1209" s="134" t="s">
        <v>239</v>
      </c>
      <c r="E1209" s="7" t="s">
        <v>42</v>
      </c>
      <c r="F1209" s="139" t="s">
        <v>284</v>
      </c>
      <c r="G1209" s="43">
        <v>87.2</v>
      </c>
      <c r="H1209" s="43">
        <v>84.6</v>
      </c>
      <c r="I1209">
        <f>表1_4[[#This Row],[主队2]]-表1_4[[#This Row],[客队2]]</f>
        <v>2.6000000000000099</v>
      </c>
      <c r="J120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209" s="35" t="s">
        <v>289</v>
      </c>
      <c r="L120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09" s="11"/>
      <c r="N1209" s="10" t="s">
        <v>119</v>
      </c>
      <c r="O1209" s="10" t="s">
        <v>35</v>
      </c>
      <c r="R1209" t="s">
        <v>852</v>
      </c>
      <c r="T1209" s="3"/>
      <c r="U1209" s="83" t="s">
        <v>310</v>
      </c>
      <c r="V1209" s="55" t="s">
        <v>1837</v>
      </c>
      <c r="W1209" s="241"/>
      <c r="X1209" s="45"/>
    </row>
    <row r="1210" spans="1:25">
      <c r="A1210" s="58" t="s">
        <v>188</v>
      </c>
      <c r="B1210" s="146">
        <v>44645.15625</v>
      </c>
      <c r="C1210" s="140" t="s">
        <v>1296</v>
      </c>
      <c r="D1210" s="275" t="s">
        <v>204</v>
      </c>
      <c r="E1210" s="7" t="s">
        <v>53</v>
      </c>
      <c r="F1210" s="139" t="s">
        <v>572</v>
      </c>
      <c r="G1210" s="43">
        <v>93.7</v>
      </c>
      <c r="H1210" s="43">
        <v>74.7</v>
      </c>
      <c r="I1210">
        <f>表1_4[[#This Row],[主队2]]-表1_4[[#This Row],[客队2]]</f>
        <v>19</v>
      </c>
      <c r="J121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1210" s="35" t="s">
        <v>63</v>
      </c>
      <c r="L121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210" s="11"/>
      <c r="T1210" s="3"/>
      <c r="U1210" s="246"/>
      <c r="V1210" s="80" t="s">
        <v>1838</v>
      </c>
      <c r="W1210" s="44"/>
      <c r="X1210" s="45"/>
    </row>
    <row r="1211" spans="1:25">
      <c r="A1211" s="58" t="s">
        <v>222</v>
      </c>
      <c r="B1211" s="146">
        <v>44645.295138888898</v>
      </c>
      <c r="C1211" s="141">
        <v>12</v>
      </c>
      <c r="D1211" s="134" t="s">
        <v>1604</v>
      </c>
      <c r="E1211" s="7" t="s">
        <v>36</v>
      </c>
      <c r="F1211" s="139" t="s">
        <v>1606</v>
      </c>
      <c r="G1211" s="43">
        <v>73.5</v>
      </c>
      <c r="H1211" s="43">
        <v>69.2</v>
      </c>
      <c r="I1211">
        <f>表1_4[[#This Row],[主队2]]-表1_4[[#This Row],[客队2]]</f>
        <v>4.3</v>
      </c>
      <c r="J121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211" s="35" t="s">
        <v>182</v>
      </c>
      <c r="L121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211" s="11"/>
      <c r="N1211" s="10" t="s">
        <v>112</v>
      </c>
      <c r="O1211" s="10" t="s">
        <v>35</v>
      </c>
      <c r="T1211" s="3"/>
      <c r="U1211" s="25" t="s">
        <v>1738</v>
      </c>
      <c r="V1211" s="80" t="s">
        <v>1839</v>
      </c>
      <c r="W1211" s="241"/>
      <c r="X1211" s="238" t="s">
        <v>187</v>
      </c>
      <c r="Y1211" s="250">
        <v>90</v>
      </c>
    </row>
    <row r="1212" spans="1:25">
      <c r="A1212" s="58" t="s">
        <v>222</v>
      </c>
      <c r="B1212" s="146">
        <v>44645.378472222197</v>
      </c>
      <c r="C1212" s="140">
        <v>12</v>
      </c>
      <c r="D1212" s="134" t="s">
        <v>225</v>
      </c>
      <c r="E1212" s="7" t="s">
        <v>36</v>
      </c>
      <c r="F1212" s="139" t="s">
        <v>235</v>
      </c>
      <c r="G1212" s="43">
        <v>74.599999999999994</v>
      </c>
      <c r="H1212" s="43">
        <v>69.5</v>
      </c>
      <c r="I1212">
        <f>表1_4[[#This Row],[主队2]]-表1_4[[#This Row],[客队2]]</f>
        <v>5.0999999999999899</v>
      </c>
      <c r="J121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212" s="35" t="s">
        <v>176</v>
      </c>
      <c r="L121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212" s="63" t="s">
        <v>326</v>
      </c>
      <c r="T1212" s="3"/>
      <c r="U1212" s="246"/>
      <c r="V1212" s="231" t="s">
        <v>1840</v>
      </c>
      <c r="W1212" s="44"/>
      <c r="X1212" s="45"/>
    </row>
    <row r="1213" spans="1:25">
      <c r="A1213" s="58" t="s">
        <v>222</v>
      </c>
      <c r="B1213" s="146">
        <v>44645.416666666701</v>
      </c>
      <c r="C1213" s="141">
        <v>12</v>
      </c>
      <c r="D1213" s="134" t="s">
        <v>229</v>
      </c>
      <c r="E1213" s="7" t="s">
        <v>42</v>
      </c>
      <c r="F1213" s="139" t="s">
        <v>234</v>
      </c>
      <c r="G1213" s="43">
        <v>86</v>
      </c>
      <c r="H1213" s="43">
        <v>84.9</v>
      </c>
      <c r="I1213">
        <f>表1_4[[#This Row],[主队2]]-表1_4[[#This Row],[客队2]]</f>
        <v>1.0999999999999901</v>
      </c>
      <c r="J121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213" s="35" t="s">
        <v>182</v>
      </c>
      <c r="L121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13" s="11"/>
      <c r="N1213" s="10" t="s">
        <v>160</v>
      </c>
      <c r="O1213" s="10" t="s">
        <v>32</v>
      </c>
      <c r="T1213" s="3"/>
      <c r="U1213" s="25"/>
      <c r="V1213" s="80" t="s">
        <v>1841</v>
      </c>
      <c r="W1213" s="241"/>
      <c r="X1213" s="238" t="s">
        <v>921</v>
      </c>
      <c r="Y1213" s="160" t="s">
        <v>1842</v>
      </c>
    </row>
    <row r="1214" spans="1:25">
      <c r="A1214" s="58" t="s">
        <v>222</v>
      </c>
      <c r="B1214" s="146">
        <v>44645.420138888898</v>
      </c>
      <c r="C1214" s="140">
        <v>12</v>
      </c>
      <c r="D1214" s="134" t="s">
        <v>230</v>
      </c>
      <c r="E1214" s="7" t="s">
        <v>31</v>
      </c>
      <c r="F1214" s="139" t="s">
        <v>124</v>
      </c>
      <c r="G1214" s="43">
        <v>78.099999999999994</v>
      </c>
      <c r="H1214" s="43">
        <v>85.5</v>
      </c>
      <c r="I1214">
        <f>表1_4[[#This Row],[主队2]]-表1_4[[#This Row],[客队2]]</f>
        <v>-7.4000000000000101</v>
      </c>
      <c r="J121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214" s="35" t="s">
        <v>166</v>
      </c>
      <c r="L121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214" s="11"/>
      <c r="N1214" s="10" t="s">
        <v>112</v>
      </c>
      <c r="O1214" s="10" t="s">
        <v>35</v>
      </c>
      <c r="T1214" s="3"/>
      <c r="U1214" s="25" t="s">
        <v>1047</v>
      </c>
      <c r="V1214" s="80" t="s">
        <v>1843</v>
      </c>
      <c r="W1214" s="44"/>
      <c r="X1214" s="45"/>
    </row>
    <row r="1215" spans="1:25">
      <c r="A1215" s="58" t="s">
        <v>156</v>
      </c>
      <c r="B1215" s="146">
        <v>44645.3125</v>
      </c>
      <c r="C1215" s="141">
        <v>17</v>
      </c>
      <c r="D1215" s="134" t="s">
        <v>164</v>
      </c>
      <c r="E1215" s="7" t="s">
        <v>41</v>
      </c>
      <c r="F1215" s="139" t="s">
        <v>165</v>
      </c>
      <c r="G1215" s="43">
        <v>81.900000000000006</v>
      </c>
      <c r="H1215" s="43">
        <v>88</v>
      </c>
      <c r="I1215">
        <f>表1_4[[#This Row],[主队2]]-表1_4[[#This Row],[客队2]]</f>
        <v>-6.0999999999999899</v>
      </c>
      <c r="J121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215" s="35" t="s">
        <v>152</v>
      </c>
      <c r="L121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15" s="11"/>
      <c r="T1215" s="3"/>
      <c r="U1215" s="83"/>
      <c r="V1215" s="55" t="s">
        <v>1844</v>
      </c>
      <c r="W1215" s="44"/>
      <c r="X1215" s="45"/>
    </row>
    <row r="1216" spans="1:25">
      <c r="A1216" s="58" t="s">
        <v>156</v>
      </c>
      <c r="B1216" s="146">
        <v>44645.3125</v>
      </c>
      <c r="C1216" s="138">
        <v>17</v>
      </c>
      <c r="D1216" s="134" t="s">
        <v>171</v>
      </c>
      <c r="E1216" s="7" t="s">
        <v>37</v>
      </c>
      <c r="F1216" s="139" t="s">
        <v>175</v>
      </c>
      <c r="G1216" s="43">
        <v>102.3</v>
      </c>
      <c r="H1216" s="43">
        <v>86.7</v>
      </c>
      <c r="I1216">
        <f>表1_4[[#This Row],[主队2]]-表1_4[[#This Row],[客队2]]</f>
        <v>15.6</v>
      </c>
      <c r="J121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216" s="35" t="s">
        <v>125</v>
      </c>
      <c r="L121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216" s="11"/>
      <c r="T1216" s="3"/>
      <c r="U1216" s="246"/>
      <c r="V1216" s="55" t="s">
        <v>1845</v>
      </c>
      <c r="W1216" s="44"/>
      <c r="X1216" s="45"/>
    </row>
    <row r="1217" spans="1:25">
      <c r="A1217" s="58" t="s">
        <v>156</v>
      </c>
      <c r="B1217" s="146">
        <v>44645.3125</v>
      </c>
      <c r="C1217" s="138">
        <v>17</v>
      </c>
      <c r="D1217" s="134" t="s">
        <v>158</v>
      </c>
      <c r="E1217" s="7" t="s">
        <v>44</v>
      </c>
      <c r="F1217" s="139" t="s">
        <v>159</v>
      </c>
      <c r="G1217" s="43">
        <v>89.9</v>
      </c>
      <c r="H1217" s="43">
        <v>74.5</v>
      </c>
      <c r="I1217">
        <f>表1_4[[#This Row],[主队2]]-表1_4[[#This Row],[客队2]]</f>
        <v>15.4</v>
      </c>
      <c r="J121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217" s="35" t="s">
        <v>26</v>
      </c>
      <c r="L121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217" s="11"/>
      <c r="T1217" s="3"/>
      <c r="U1217" s="83"/>
      <c r="V1217" s="80" t="s">
        <v>1846</v>
      </c>
      <c r="W1217" s="44"/>
      <c r="X1217" s="45"/>
    </row>
    <row r="1218" spans="1:25">
      <c r="A1218" s="58" t="s">
        <v>156</v>
      </c>
      <c r="B1218" s="146">
        <v>44645.3125</v>
      </c>
      <c r="C1218" s="138">
        <v>17</v>
      </c>
      <c r="D1218" s="134" t="s">
        <v>170</v>
      </c>
      <c r="E1218" s="7" t="s">
        <v>31</v>
      </c>
      <c r="F1218" s="139" t="s">
        <v>181</v>
      </c>
      <c r="G1218" s="43">
        <v>88.7</v>
      </c>
      <c r="H1218" s="43">
        <v>86.7</v>
      </c>
      <c r="I1218">
        <f>表1_4[[#This Row],[主队2]]-表1_4[[#This Row],[客队2]]</f>
        <v>2</v>
      </c>
      <c r="J121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218" s="35" t="s">
        <v>118</v>
      </c>
      <c r="L121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218" s="11"/>
      <c r="N1218" s="10" t="s">
        <v>112</v>
      </c>
      <c r="O1218" s="10" t="s">
        <v>24</v>
      </c>
      <c r="T1218" s="3"/>
      <c r="U1218" s="25"/>
      <c r="V1218" s="54" t="s">
        <v>1847</v>
      </c>
      <c r="W1218" s="52"/>
      <c r="X1218" s="45"/>
    </row>
    <row r="1219" spans="1:25">
      <c r="A1219" s="58" t="s">
        <v>156</v>
      </c>
      <c r="B1219" s="146">
        <v>44646.3125</v>
      </c>
      <c r="C1219" s="140">
        <v>17</v>
      </c>
      <c r="D1219" s="134" t="s">
        <v>174</v>
      </c>
      <c r="E1219" s="7" t="s">
        <v>44</v>
      </c>
      <c r="F1219" s="71" t="s">
        <v>180</v>
      </c>
      <c r="G1219" s="43">
        <v>97.1</v>
      </c>
      <c r="H1219" s="43">
        <v>80.8</v>
      </c>
      <c r="I1219">
        <f>表1_4[[#This Row],[主队2]]-表1_4[[#This Row],[客队2]]</f>
        <v>16.3</v>
      </c>
      <c r="J121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219" s="35" t="s">
        <v>63</v>
      </c>
      <c r="L121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19" s="11"/>
      <c r="T1219" s="3"/>
      <c r="U1219" s="246"/>
      <c r="V1219" s="80" t="s">
        <v>1848</v>
      </c>
      <c r="W1219" s="44"/>
      <c r="X1219" s="45"/>
    </row>
    <row r="1220" spans="1:25">
      <c r="A1220" s="58" t="s">
        <v>128</v>
      </c>
      <c r="B1220" s="146">
        <v>44649.774305555598</v>
      </c>
      <c r="C1220" s="140">
        <v>10</v>
      </c>
      <c r="D1220" s="134" t="s">
        <v>147</v>
      </c>
      <c r="E1220" s="7" t="s">
        <v>36</v>
      </c>
      <c r="F1220" s="139" t="s">
        <v>1002</v>
      </c>
      <c r="G1220" s="43">
        <v>84.1</v>
      </c>
      <c r="H1220" s="43">
        <v>59</v>
      </c>
      <c r="I1220">
        <f>表1_4[[#This Row],[主队2]]-表1_4[[#This Row],[客队2]]</f>
        <v>25.1</v>
      </c>
      <c r="J1220" s="34">
        <v>2.75</v>
      </c>
      <c r="K1220" s="35" t="s">
        <v>45</v>
      </c>
      <c r="L122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220" s="11"/>
      <c r="N1220" s="10" t="s">
        <v>112</v>
      </c>
      <c r="O1220" s="10" t="s">
        <v>28</v>
      </c>
      <c r="T1220" s="3"/>
      <c r="U1220" s="246"/>
      <c r="V1220" s="54" t="s">
        <v>1849</v>
      </c>
      <c r="W1220" s="52"/>
      <c r="X1220" s="45"/>
    </row>
    <row r="1221" spans="1:25">
      <c r="A1221" s="58" t="s">
        <v>128</v>
      </c>
      <c r="B1221" s="146">
        <v>44649.8125</v>
      </c>
      <c r="C1221" s="138">
        <v>10</v>
      </c>
      <c r="D1221" s="134" t="s">
        <v>151</v>
      </c>
      <c r="E1221" s="7" t="s">
        <v>22</v>
      </c>
      <c r="F1221" s="139" t="s">
        <v>1005</v>
      </c>
      <c r="G1221" s="43">
        <v>82.3</v>
      </c>
      <c r="H1221" s="43">
        <v>59.9</v>
      </c>
      <c r="I1221">
        <f>表1_4[[#This Row],[主队2]]-表1_4[[#This Row],[客队2]]</f>
        <v>22.4</v>
      </c>
      <c r="J1221" s="34">
        <v>2.5</v>
      </c>
      <c r="K1221" s="35" t="s">
        <v>125</v>
      </c>
      <c r="L122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221" s="11"/>
      <c r="N1221" s="10" t="s">
        <v>160</v>
      </c>
      <c r="O1221" s="10" t="s">
        <v>48</v>
      </c>
      <c r="T1221" s="3"/>
      <c r="U1221" s="25"/>
      <c r="V1221" s="80" t="s">
        <v>1850</v>
      </c>
      <c r="W1221" s="44"/>
      <c r="X1221" s="45"/>
    </row>
    <row r="1222" spans="1:25">
      <c r="A1222" s="58" t="s">
        <v>128</v>
      </c>
      <c r="B1222" s="146">
        <v>44649.90625</v>
      </c>
      <c r="C1222" s="141">
        <v>10</v>
      </c>
      <c r="D1222" s="134" t="s">
        <v>130</v>
      </c>
      <c r="E1222" s="7" t="s">
        <v>36</v>
      </c>
      <c r="F1222" s="139" t="s">
        <v>141</v>
      </c>
      <c r="G1222" s="43">
        <v>68.3</v>
      </c>
      <c r="H1222" s="43">
        <v>71.7</v>
      </c>
      <c r="I1222">
        <f>表1_4[[#This Row],[主队2]]-表1_4[[#This Row],[客队2]]</f>
        <v>-3.4000000000000101</v>
      </c>
      <c r="J1222" s="34">
        <v>-0.25</v>
      </c>
      <c r="K1222" s="35" t="s">
        <v>152</v>
      </c>
      <c r="L122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22" s="11"/>
      <c r="N1222" s="10" t="s">
        <v>112</v>
      </c>
      <c r="O1222" s="10" t="s">
        <v>48</v>
      </c>
      <c r="T1222" s="3"/>
      <c r="U1222" s="246" t="s">
        <v>776</v>
      </c>
      <c r="V1222" s="54" t="s">
        <v>847</v>
      </c>
      <c r="W1222" s="44"/>
      <c r="X1222" s="45"/>
    </row>
    <row r="1223" spans="1:25">
      <c r="A1223" s="58" t="s">
        <v>128</v>
      </c>
      <c r="B1223" s="146">
        <v>44649.90625</v>
      </c>
      <c r="C1223" s="145">
        <v>10</v>
      </c>
      <c r="D1223" s="134" t="s">
        <v>146</v>
      </c>
      <c r="E1223" s="7" t="s">
        <v>31</v>
      </c>
      <c r="F1223" s="139" t="s">
        <v>185</v>
      </c>
      <c r="G1223" s="43">
        <v>69</v>
      </c>
      <c r="H1223" s="43">
        <v>80.2</v>
      </c>
      <c r="I1223">
        <f>表1_4[[#This Row],[主队2]]-表1_4[[#This Row],[客队2]]</f>
        <v>-11.2</v>
      </c>
      <c r="J122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223" s="35" t="s">
        <v>132</v>
      </c>
      <c r="L122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23" s="11"/>
      <c r="T1223" s="3"/>
      <c r="U1223" s="246"/>
      <c r="V1223" s="231" t="s">
        <v>645</v>
      </c>
      <c r="W1223" s="44"/>
      <c r="X1223" s="45"/>
    </row>
    <row r="1224" spans="1:25">
      <c r="A1224" s="58" t="s">
        <v>128</v>
      </c>
      <c r="B1224" s="146">
        <v>44650</v>
      </c>
      <c r="C1224" s="141">
        <v>10</v>
      </c>
      <c r="D1224" s="134" t="s">
        <v>1093</v>
      </c>
      <c r="E1224" s="7" t="s">
        <v>22</v>
      </c>
      <c r="F1224" s="139" t="s">
        <v>109</v>
      </c>
      <c r="G1224" s="43">
        <v>66.900000000000006</v>
      </c>
      <c r="H1224" s="43">
        <v>69.2</v>
      </c>
      <c r="I1224">
        <f>表1_4[[#This Row],[主队2]]-表1_4[[#This Row],[客队2]]</f>
        <v>-2.2999999999999998</v>
      </c>
      <c r="J122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224" s="35" t="s">
        <v>289</v>
      </c>
      <c r="L122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224" s="11"/>
      <c r="N1224" s="10" t="s">
        <v>119</v>
      </c>
      <c r="O1224" s="10" t="s">
        <v>24</v>
      </c>
      <c r="R1224" t="s">
        <v>855</v>
      </c>
      <c r="T1224" s="3"/>
      <c r="U1224" s="25"/>
      <c r="V1224" s="54" t="s">
        <v>671</v>
      </c>
      <c r="W1224" s="44"/>
      <c r="X1224" s="45"/>
    </row>
    <row r="1225" spans="1:25">
      <c r="A1225" s="58" t="s">
        <v>128</v>
      </c>
      <c r="B1225" s="146">
        <v>44650.083333333299</v>
      </c>
      <c r="C1225" s="141">
        <v>10</v>
      </c>
      <c r="D1225" s="134" t="s">
        <v>138</v>
      </c>
      <c r="E1225" s="7" t="s">
        <v>31</v>
      </c>
      <c r="F1225" s="139" t="s">
        <v>142</v>
      </c>
      <c r="G1225" s="43">
        <v>74.5</v>
      </c>
      <c r="H1225" s="43">
        <v>79.599999999999994</v>
      </c>
      <c r="I1225" s="33">
        <f>表1_4[[#This Row],[主队2]]-表1_4[[#This Row],[客队2]]</f>
        <v>-5.0999999999999899</v>
      </c>
      <c r="J122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225" s="35" t="s">
        <v>166</v>
      </c>
      <c r="L122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25" s="11"/>
      <c r="N1225" s="10" t="s">
        <v>112</v>
      </c>
      <c r="O1225" s="10" t="s">
        <v>24</v>
      </c>
      <c r="R1225" t="s">
        <v>852</v>
      </c>
      <c r="T1225" s="3"/>
      <c r="U1225" s="83"/>
      <c r="V1225" s="62" t="s">
        <v>1851</v>
      </c>
      <c r="W1225" s="44"/>
      <c r="X1225" s="45"/>
    </row>
    <row r="1226" spans="1:25">
      <c r="A1226" s="58" t="s">
        <v>188</v>
      </c>
      <c r="B1226" s="146">
        <v>44650.114583333299</v>
      </c>
      <c r="C1226" s="140" t="s">
        <v>1687</v>
      </c>
      <c r="D1226" s="134" t="s">
        <v>270</v>
      </c>
      <c r="E1226" s="7" t="s">
        <v>22</v>
      </c>
      <c r="F1226" s="139" t="s">
        <v>572</v>
      </c>
      <c r="G1226" s="43">
        <v>93.2</v>
      </c>
      <c r="H1226" s="43">
        <v>75.3</v>
      </c>
      <c r="I1226" s="33">
        <f>表1_4[[#This Row],[主队2]]-表1_4[[#This Row],[客队2]]</f>
        <v>17.899999999999999</v>
      </c>
      <c r="J122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226" s="35" t="s">
        <v>63</v>
      </c>
      <c r="L122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26" s="11"/>
      <c r="T1226" s="3"/>
      <c r="U1226" s="246"/>
      <c r="V1226" s="54" t="s">
        <v>1551</v>
      </c>
      <c r="W1226" s="44"/>
      <c r="X1226" s="45"/>
    </row>
    <row r="1227" spans="1:25">
      <c r="A1227" s="58" t="s">
        <v>188</v>
      </c>
      <c r="B1227" s="146">
        <v>44650.114583333299</v>
      </c>
      <c r="C1227" s="138" t="s">
        <v>1687</v>
      </c>
      <c r="D1227" s="134" t="s">
        <v>302</v>
      </c>
      <c r="E1227" s="7" t="s">
        <v>22</v>
      </c>
      <c r="F1227" s="139" t="s">
        <v>239</v>
      </c>
      <c r="G1227" s="43">
        <v>85.7</v>
      </c>
      <c r="H1227" s="43">
        <v>86.8</v>
      </c>
      <c r="I1227" s="33">
        <f>表1_4[[#This Row],[主队2]]-表1_4[[#This Row],[客队2]]</f>
        <v>-1.0999999999999901</v>
      </c>
      <c r="J122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227" s="35" t="s">
        <v>182</v>
      </c>
      <c r="L122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27" s="11"/>
      <c r="N1227" s="10" t="s">
        <v>119</v>
      </c>
      <c r="O1227" s="10" t="s">
        <v>27</v>
      </c>
      <c r="T1227" s="3"/>
      <c r="U1227" s="83"/>
      <c r="V1227" s="55" t="s">
        <v>930</v>
      </c>
      <c r="W1227" s="56"/>
      <c r="X1227" s="69" t="s">
        <v>1817</v>
      </c>
      <c r="Y1227" s="250">
        <v>88</v>
      </c>
    </row>
    <row r="1228" spans="1:25">
      <c r="A1228" s="58" t="s">
        <v>156</v>
      </c>
      <c r="B1228" s="146">
        <v>44650.3125</v>
      </c>
      <c r="C1228" s="140">
        <v>18</v>
      </c>
      <c r="D1228" s="134" t="s">
        <v>165</v>
      </c>
      <c r="E1228" s="7" t="s">
        <v>36</v>
      </c>
      <c r="F1228" s="139" t="s">
        <v>174</v>
      </c>
      <c r="G1228" s="43">
        <v>86.7</v>
      </c>
      <c r="H1228" s="43">
        <v>97.7</v>
      </c>
      <c r="I1228" s="33">
        <f>表1_4[[#This Row],[主队2]]-表1_4[[#This Row],[客队2]]</f>
        <v>-11</v>
      </c>
      <c r="J122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228" s="35" t="s">
        <v>152</v>
      </c>
      <c r="L122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228" s="11"/>
      <c r="N1228" s="10" t="s">
        <v>119</v>
      </c>
      <c r="O1228" s="10" t="s">
        <v>27</v>
      </c>
      <c r="T1228" s="3"/>
      <c r="U1228" s="246"/>
      <c r="V1228" s="80" t="s">
        <v>1852</v>
      </c>
      <c r="W1228" s="44"/>
      <c r="X1228" s="45"/>
    </row>
    <row r="1229" spans="1:25">
      <c r="A1229" s="58" t="s">
        <v>156</v>
      </c>
      <c r="B1229" s="146">
        <v>44650.3125</v>
      </c>
      <c r="C1229" s="138">
        <v>18</v>
      </c>
      <c r="D1229" s="134" t="s">
        <v>181</v>
      </c>
      <c r="E1229" s="7" t="s">
        <v>22</v>
      </c>
      <c r="F1229" s="139" t="s">
        <v>164</v>
      </c>
      <c r="G1229" s="43">
        <v>86.3</v>
      </c>
      <c r="H1229" s="43">
        <v>83.2</v>
      </c>
      <c r="I1229" s="33">
        <f>表1_4[[#This Row],[主队2]]-表1_4[[#This Row],[客队2]]</f>
        <v>3.0999999999999899</v>
      </c>
      <c r="J122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229" s="35" t="s">
        <v>176</v>
      </c>
      <c r="L122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229" s="11"/>
      <c r="T1229" s="3"/>
      <c r="U1229" s="83"/>
      <c r="V1229" s="231" t="s">
        <v>1853</v>
      </c>
      <c r="W1229" s="44"/>
      <c r="X1229" s="45"/>
    </row>
    <row r="1230" spans="1:25">
      <c r="A1230" s="58" t="s">
        <v>156</v>
      </c>
      <c r="B1230" s="146">
        <v>44650.3125</v>
      </c>
      <c r="C1230" s="145">
        <v>18</v>
      </c>
      <c r="D1230" s="134" t="s">
        <v>180</v>
      </c>
      <c r="E1230" s="7" t="s">
        <v>53</v>
      </c>
      <c r="F1230" s="139" t="s">
        <v>158</v>
      </c>
      <c r="G1230" s="43">
        <v>80.3</v>
      </c>
      <c r="H1230" s="43">
        <v>90.5</v>
      </c>
      <c r="I1230" s="33">
        <f>表1_4[[#This Row],[主队2]]-表1_4[[#This Row],[客队2]]</f>
        <v>-10.199999999999999</v>
      </c>
      <c r="J123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230" s="35" t="s">
        <v>132</v>
      </c>
      <c r="L123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30" s="11"/>
      <c r="T1230" s="3"/>
      <c r="U1230" s="25"/>
      <c r="V1230" s="80" t="s">
        <v>965</v>
      </c>
      <c r="W1230" s="44"/>
      <c r="X1230" s="45"/>
    </row>
    <row r="1231" spans="1:25">
      <c r="A1231" s="58" t="s">
        <v>156</v>
      </c>
      <c r="B1231" s="146">
        <v>44650.3125</v>
      </c>
      <c r="C1231" s="138">
        <v>18</v>
      </c>
      <c r="D1231" s="134" t="s">
        <v>159</v>
      </c>
      <c r="E1231" s="7" t="s">
        <v>61</v>
      </c>
      <c r="F1231" s="139" t="s">
        <v>171</v>
      </c>
      <c r="G1231" s="43">
        <v>73.900000000000006</v>
      </c>
      <c r="H1231" s="43">
        <v>103.2</v>
      </c>
      <c r="I1231" s="33">
        <f>表1_4[[#This Row],[主队2]]-表1_4[[#This Row],[客队2]]</f>
        <v>-29.3</v>
      </c>
      <c r="J1231" s="34">
        <v>-2.75</v>
      </c>
      <c r="K1231" s="155" t="s">
        <v>219</v>
      </c>
      <c r="L123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231" s="63" t="s">
        <v>331</v>
      </c>
      <c r="N1231" s="10" t="s">
        <v>133</v>
      </c>
      <c r="O1231" s="10" t="s">
        <v>24</v>
      </c>
      <c r="T1231" s="3"/>
      <c r="U1231" s="83"/>
      <c r="V1231" s="62" t="s">
        <v>1854</v>
      </c>
      <c r="W1231" s="48"/>
      <c r="X1231" s="77" t="s">
        <v>1855</v>
      </c>
      <c r="Y1231" s="160" t="s">
        <v>1856</v>
      </c>
    </row>
    <row r="1232" spans="1:25">
      <c r="A1232" s="58" t="s">
        <v>156</v>
      </c>
      <c r="B1232" s="146">
        <v>44650.3125</v>
      </c>
      <c r="C1232" s="140">
        <v>18</v>
      </c>
      <c r="D1232" s="134" t="s">
        <v>175</v>
      </c>
      <c r="E1232" s="7" t="s">
        <v>47</v>
      </c>
      <c r="F1232" s="139" t="s">
        <v>170</v>
      </c>
      <c r="G1232" s="43">
        <v>85.8</v>
      </c>
      <c r="H1232" s="43">
        <v>89</v>
      </c>
      <c r="I1232" s="33">
        <f>表1_4[[#This Row],[主队2]]-表1_4[[#This Row],[客队2]]</f>
        <v>-3.2</v>
      </c>
      <c r="J123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232" s="35" t="s">
        <v>166</v>
      </c>
      <c r="L123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32" s="11"/>
      <c r="T1232" s="3"/>
      <c r="U1232" s="25"/>
      <c r="V1232" s="80" t="s">
        <v>1857</v>
      </c>
      <c r="W1232" s="44"/>
      <c r="X1232" s="45"/>
    </row>
    <row r="1233" spans="1:25">
      <c r="A1233" s="58" t="s">
        <v>222</v>
      </c>
      <c r="B1233" s="146">
        <v>44651.378472222197</v>
      </c>
      <c r="C1233" s="140">
        <v>14</v>
      </c>
      <c r="D1233" s="134" t="s">
        <v>225</v>
      </c>
      <c r="E1233" s="7" t="s">
        <v>31</v>
      </c>
      <c r="F1233" s="139" t="s">
        <v>124</v>
      </c>
      <c r="G1233" s="43">
        <v>72.3</v>
      </c>
      <c r="H1233" s="43">
        <v>85.5</v>
      </c>
      <c r="I1233" s="33">
        <f>表1_4[[#This Row],[主队2]]-表1_4[[#This Row],[客队2]]</f>
        <v>-13.2</v>
      </c>
      <c r="J123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233" s="35" t="s">
        <v>152</v>
      </c>
      <c r="L123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233" s="11"/>
      <c r="N1233" s="10" t="s">
        <v>112</v>
      </c>
      <c r="O1233" s="10" t="s">
        <v>46</v>
      </c>
      <c r="T1233" s="3"/>
      <c r="U1233" s="257" t="s">
        <v>1376</v>
      </c>
      <c r="V1233" s="231" t="s">
        <v>1858</v>
      </c>
      <c r="W1233" s="44"/>
      <c r="X1233" s="45"/>
    </row>
    <row r="1234" spans="1:25">
      <c r="A1234" s="58" t="s">
        <v>222</v>
      </c>
      <c r="B1234" s="146">
        <v>44651.378472222197</v>
      </c>
      <c r="C1234" s="140">
        <v>14</v>
      </c>
      <c r="D1234" s="134" t="s">
        <v>1604</v>
      </c>
      <c r="E1234" s="7" t="s">
        <v>33</v>
      </c>
      <c r="F1234" s="139" t="s">
        <v>235</v>
      </c>
      <c r="G1234" s="43">
        <v>72.3</v>
      </c>
      <c r="H1234" s="43">
        <v>70.400000000000006</v>
      </c>
      <c r="I1234" s="33">
        <f>表1_4[[#This Row],[主队2]]-表1_4[[#This Row],[客队2]]</f>
        <v>1.8999999999999899</v>
      </c>
      <c r="J123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234" s="35" t="s">
        <v>289</v>
      </c>
      <c r="L123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34" s="11"/>
      <c r="T1234" s="3"/>
      <c r="U1234" s="246"/>
      <c r="V1234" s="231" t="s">
        <v>1859</v>
      </c>
      <c r="W1234" s="44"/>
      <c r="X1234" s="45"/>
    </row>
    <row r="1235" spans="1:25">
      <c r="A1235" s="58" t="s">
        <v>222</v>
      </c>
      <c r="B1235" s="146">
        <v>44651.378472222197</v>
      </c>
      <c r="C1235" s="138">
        <v>14</v>
      </c>
      <c r="D1235" s="134" t="s">
        <v>229</v>
      </c>
      <c r="E1235" s="7" t="s">
        <v>22</v>
      </c>
      <c r="F1235" s="139" t="s">
        <v>1606</v>
      </c>
      <c r="G1235" s="43">
        <v>85.7</v>
      </c>
      <c r="H1235" s="43">
        <v>69.2</v>
      </c>
      <c r="I1235" s="33">
        <f>表1_4[[#This Row],[主队2]]-表1_4[[#This Row],[客队2]]</f>
        <v>16.5</v>
      </c>
      <c r="J123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235" s="35" t="s">
        <v>26</v>
      </c>
      <c r="L123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235" s="11"/>
      <c r="T1235" s="3"/>
      <c r="U1235" s="83"/>
      <c r="V1235" s="55" t="s">
        <v>1860</v>
      </c>
      <c r="W1235" s="44"/>
      <c r="X1235" s="45"/>
    </row>
    <row r="1236" spans="1:25">
      <c r="A1236" s="58" t="s">
        <v>222</v>
      </c>
      <c r="B1236" s="146">
        <v>44651.378472222197</v>
      </c>
      <c r="C1236" s="140">
        <v>14</v>
      </c>
      <c r="D1236" s="134" t="s">
        <v>230</v>
      </c>
      <c r="E1236" s="7" t="s">
        <v>22</v>
      </c>
      <c r="F1236" s="139" t="s">
        <v>234</v>
      </c>
      <c r="G1236" s="43">
        <v>79.3</v>
      </c>
      <c r="H1236" s="43">
        <v>86.7</v>
      </c>
      <c r="I1236" s="33">
        <f>表1_4[[#This Row],[主队2]]-表1_4[[#This Row],[客队2]]</f>
        <v>-7.4000000000000101</v>
      </c>
      <c r="J123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236" s="35" t="s">
        <v>152</v>
      </c>
      <c r="L123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36" s="11"/>
      <c r="T1236" s="3"/>
      <c r="U1236" s="25"/>
      <c r="V1236" s="54" t="s">
        <v>1861</v>
      </c>
      <c r="W1236" s="44"/>
      <c r="X1236" s="45"/>
    </row>
    <row r="1237" spans="1:25">
      <c r="A1237" s="58" t="s">
        <v>948</v>
      </c>
      <c r="B1237" s="146">
        <v>44714</v>
      </c>
      <c r="C1237" s="138">
        <v>1</v>
      </c>
      <c r="D1237" s="161" t="s">
        <v>302</v>
      </c>
      <c r="E1237" s="7" t="s">
        <v>33</v>
      </c>
      <c r="F1237" s="139" t="s">
        <v>200</v>
      </c>
      <c r="G1237" s="43">
        <v>86.9</v>
      </c>
      <c r="H1237" s="43">
        <v>84.3</v>
      </c>
      <c r="I1237" s="33">
        <f>表1_4[[#This Row],[主队2]]-表1_4[[#This Row],[客队2]]</f>
        <v>2.6000000000000099</v>
      </c>
      <c r="J123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237" s="35" t="s">
        <v>118</v>
      </c>
      <c r="L123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237" s="11"/>
      <c r="N1237" s="10" t="s">
        <v>112</v>
      </c>
      <c r="R1237" t="s">
        <v>852</v>
      </c>
      <c r="T1237" s="3"/>
      <c r="U1237" s="83"/>
      <c r="V1237" s="62" t="s">
        <v>1862</v>
      </c>
      <c r="W1237" s="52"/>
      <c r="X1237" s="45"/>
    </row>
    <row r="1238" spans="1:25">
      <c r="A1238" s="58" t="s">
        <v>188</v>
      </c>
      <c r="B1238" s="127">
        <v>44714.114583333299</v>
      </c>
      <c r="C1238" s="279" t="s">
        <v>1296</v>
      </c>
      <c r="D1238" s="134" t="s">
        <v>123</v>
      </c>
      <c r="E1238" s="7" t="s">
        <v>74</v>
      </c>
      <c r="F1238" s="139" t="s">
        <v>214</v>
      </c>
      <c r="G1238" s="43">
        <v>79.8</v>
      </c>
      <c r="H1238" s="43">
        <v>81.900000000000006</v>
      </c>
      <c r="I1238" s="33">
        <f>表1_4[[#This Row],[主队2]]-表1_4[[#This Row],[客队2]]</f>
        <v>-2.1000000000000099</v>
      </c>
      <c r="J123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238" s="35" t="s">
        <v>182</v>
      </c>
      <c r="L123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238" s="63" t="s">
        <v>1723</v>
      </c>
      <c r="N1238" s="10" t="s">
        <v>119</v>
      </c>
      <c r="O1238" s="57" t="s">
        <v>65</v>
      </c>
      <c r="R1238" t="s">
        <v>855</v>
      </c>
      <c r="T1238" s="3"/>
      <c r="U1238" s="246"/>
      <c r="V1238" s="231" t="s">
        <v>1863</v>
      </c>
      <c r="W1238" s="241"/>
      <c r="X1238" s="69" t="s">
        <v>1817</v>
      </c>
      <c r="Y1238" s="70">
        <v>102</v>
      </c>
    </row>
    <row r="1239" spans="1:25">
      <c r="A1239" s="58" t="s">
        <v>948</v>
      </c>
      <c r="B1239" s="146">
        <v>44715</v>
      </c>
      <c r="C1239" s="145">
        <v>1</v>
      </c>
      <c r="D1239" s="134" t="s">
        <v>403</v>
      </c>
      <c r="E1239" s="7" t="s">
        <v>22</v>
      </c>
      <c r="F1239" s="44" t="s">
        <v>282</v>
      </c>
      <c r="G1239" s="43">
        <v>65.599999999999994</v>
      </c>
      <c r="H1239" s="43">
        <v>29.6</v>
      </c>
      <c r="I1239" s="33">
        <f>表1_4[[#This Row],[主队2]]-表1_4[[#This Row],[客队2]]</f>
        <v>36</v>
      </c>
      <c r="J1239" s="34">
        <v>3.75</v>
      </c>
      <c r="K1239" s="34">
        <v>2.5</v>
      </c>
      <c r="L123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239" s="11" t="s">
        <v>1864</v>
      </c>
      <c r="R1239" t="s">
        <v>855</v>
      </c>
      <c r="T1239" s="3"/>
      <c r="U1239" s="246"/>
      <c r="V1239" s="231" t="s">
        <v>1865</v>
      </c>
      <c r="W1239" s="241"/>
      <c r="X1239" s="45"/>
    </row>
    <row r="1240" spans="1:25">
      <c r="A1240" s="58" t="s">
        <v>948</v>
      </c>
      <c r="B1240" s="146">
        <v>44715</v>
      </c>
      <c r="C1240" s="138">
        <v>1</v>
      </c>
      <c r="D1240" s="134" t="s">
        <v>430</v>
      </c>
      <c r="E1240" s="7" t="s">
        <v>37</v>
      </c>
      <c r="F1240" s="139" t="s">
        <v>256</v>
      </c>
      <c r="G1240" s="43">
        <v>73.8</v>
      </c>
      <c r="H1240" s="43">
        <v>39.299999999999997</v>
      </c>
      <c r="I1240" s="33">
        <f>表1_4[[#This Row],[主队2]]-表1_4[[#This Row],[客队2]]</f>
        <v>34.5</v>
      </c>
      <c r="J1240" s="34">
        <v>3.75</v>
      </c>
      <c r="K1240" s="34">
        <v>2.5</v>
      </c>
      <c r="L124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240" s="11"/>
      <c r="R1240" t="s">
        <v>852</v>
      </c>
      <c r="T1240" s="3"/>
      <c r="U1240" s="246"/>
      <c r="V1240" s="80" t="s">
        <v>1866</v>
      </c>
      <c r="W1240" s="44"/>
      <c r="X1240" s="45"/>
    </row>
    <row r="1241" spans="1:25">
      <c r="A1241" s="58" t="s">
        <v>948</v>
      </c>
      <c r="B1241" s="146">
        <v>44715</v>
      </c>
      <c r="C1241" s="140">
        <v>1</v>
      </c>
      <c r="D1241" s="134" t="s">
        <v>261</v>
      </c>
      <c r="E1241" s="7" t="s">
        <v>36</v>
      </c>
      <c r="F1241" s="139" t="s">
        <v>440</v>
      </c>
      <c r="G1241" s="43">
        <v>72.900000000000006</v>
      </c>
      <c r="H1241" s="43">
        <v>75.400000000000006</v>
      </c>
      <c r="I1241" s="33">
        <f>表1_4[[#This Row],[主队2]]-表1_4[[#This Row],[客队2]]</f>
        <v>-2.5</v>
      </c>
      <c r="J124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241" s="35" t="s">
        <v>166</v>
      </c>
      <c r="L124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41" s="11"/>
      <c r="T1241" s="3"/>
      <c r="U1241" s="54"/>
      <c r="V1241" s="231" t="s">
        <v>1867</v>
      </c>
      <c r="W1241" s="44"/>
      <c r="X1241" s="45"/>
    </row>
    <row r="1242" spans="1:25">
      <c r="A1242" s="58" t="s">
        <v>948</v>
      </c>
      <c r="B1242" s="146">
        <v>44715</v>
      </c>
      <c r="C1242" s="140">
        <v>1</v>
      </c>
      <c r="D1242" s="134" t="s">
        <v>407</v>
      </c>
      <c r="E1242" s="7" t="s">
        <v>47</v>
      </c>
      <c r="F1242" s="139" t="s">
        <v>217</v>
      </c>
      <c r="G1242" s="43">
        <v>63.3</v>
      </c>
      <c r="H1242" s="43">
        <v>69.7</v>
      </c>
      <c r="I1242" s="33">
        <f>表1_4[[#This Row],[主队2]]-表1_4[[#This Row],[客队2]]</f>
        <v>-6.4000000000000101</v>
      </c>
      <c r="J124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242" s="35" t="s">
        <v>152</v>
      </c>
      <c r="L124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42" s="11"/>
      <c r="N1242" s="10" t="s">
        <v>119</v>
      </c>
      <c r="O1242" s="10" t="s">
        <v>40</v>
      </c>
      <c r="T1242" s="3"/>
      <c r="U1242" s="54" t="s">
        <v>484</v>
      </c>
      <c r="V1242" s="54" t="s">
        <v>1868</v>
      </c>
      <c r="W1242" s="44"/>
      <c r="X1242" s="45"/>
    </row>
    <row r="1243" spans="1:25">
      <c r="A1243" s="58" t="s">
        <v>948</v>
      </c>
      <c r="B1243" s="146">
        <v>44715.114583333299</v>
      </c>
      <c r="C1243" s="140">
        <v>1</v>
      </c>
      <c r="D1243" s="134" t="s">
        <v>296</v>
      </c>
      <c r="E1243" s="7" t="s">
        <v>53</v>
      </c>
      <c r="F1243" s="139" t="s">
        <v>275</v>
      </c>
      <c r="G1243" s="43">
        <v>76.7</v>
      </c>
      <c r="H1243" s="43">
        <v>79.099999999999994</v>
      </c>
      <c r="I1243" s="33">
        <f>表1_4[[#This Row],[主队2]]-表1_4[[#This Row],[客队2]]</f>
        <v>-2.3999999999999901</v>
      </c>
      <c r="J124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243" s="35" t="s">
        <v>166</v>
      </c>
      <c r="L124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43" s="11"/>
      <c r="N1243" s="10" t="s">
        <v>112</v>
      </c>
      <c r="R1243" t="s">
        <v>855</v>
      </c>
      <c r="T1243" s="3"/>
      <c r="U1243" s="83"/>
      <c r="V1243" s="83" t="s">
        <v>1869</v>
      </c>
      <c r="W1243" s="44"/>
      <c r="X1243" s="45"/>
    </row>
    <row r="1244" spans="1:25">
      <c r="A1244" s="58" t="s">
        <v>948</v>
      </c>
      <c r="B1244" s="146">
        <v>44715.114583333299</v>
      </c>
      <c r="C1244" s="140">
        <v>1</v>
      </c>
      <c r="D1244" s="134" t="s">
        <v>434</v>
      </c>
      <c r="E1244" s="7" t="s">
        <v>53</v>
      </c>
      <c r="F1244" s="139" t="s">
        <v>297</v>
      </c>
      <c r="G1244" s="43">
        <v>84.9</v>
      </c>
      <c r="H1244" s="43">
        <v>81.2</v>
      </c>
      <c r="I1244" s="33">
        <f>表1_4[[#This Row],[主队2]]-表1_4[[#This Row],[客队2]]</f>
        <v>3.7</v>
      </c>
      <c r="J124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244" s="35" t="s">
        <v>182</v>
      </c>
      <c r="L124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44" s="11"/>
      <c r="T1244" s="3"/>
      <c r="U1244" s="246"/>
      <c r="V1244" s="54" t="s">
        <v>1870</v>
      </c>
      <c r="W1244" s="52"/>
      <c r="X1244" s="45"/>
    </row>
    <row r="1245" spans="1:25">
      <c r="A1245" s="58" t="s">
        <v>948</v>
      </c>
      <c r="B1245" s="146">
        <v>44715.114583333299</v>
      </c>
      <c r="C1245" s="140">
        <v>1</v>
      </c>
      <c r="D1245" s="134" t="s">
        <v>309</v>
      </c>
      <c r="E1245" s="7" t="s">
        <v>47</v>
      </c>
      <c r="F1245" s="139" t="s">
        <v>239</v>
      </c>
      <c r="G1245" s="43">
        <v>77</v>
      </c>
      <c r="H1245" s="43">
        <v>85.6</v>
      </c>
      <c r="I1245" s="33">
        <f>表1_4[[#This Row],[主队2]]-表1_4[[#This Row],[客队2]]</f>
        <v>-8.5999999999999908</v>
      </c>
      <c r="J124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245" s="35" t="s">
        <v>152</v>
      </c>
      <c r="L124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45" s="11"/>
      <c r="T1245" s="3"/>
      <c r="U1245" s="246"/>
      <c r="V1245" s="231" t="s">
        <v>1871</v>
      </c>
      <c r="W1245" s="44"/>
      <c r="X1245" s="45"/>
    </row>
    <row r="1246" spans="1:25">
      <c r="A1246" s="58" t="s">
        <v>948</v>
      </c>
      <c r="B1246" s="146">
        <v>44715.114583333299</v>
      </c>
      <c r="C1246" s="140">
        <v>1</v>
      </c>
      <c r="D1246" s="134" t="s">
        <v>210</v>
      </c>
      <c r="E1246" s="7" t="s">
        <v>25</v>
      </c>
      <c r="F1246" s="139" t="s">
        <v>218</v>
      </c>
      <c r="G1246" s="43">
        <v>74.099999999999994</v>
      </c>
      <c r="H1246" s="43">
        <v>73.8</v>
      </c>
      <c r="I1246" s="33">
        <f>表1_4[[#This Row],[主队2]]-表1_4[[#This Row],[客队2]]</f>
        <v>0.29999999999999699</v>
      </c>
      <c r="J124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246" s="35" t="s">
        <v>289</v>
      </c>
      <c r="L124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246" s="11"/>
      <c r="N1246" s="10" t="s">
        <v>112</v>
      </c>
      <c r="O1246" s="10" t="s">
        <v>35</v>
      </c>
      <c r="R1246" t="s">
        <v>852</v>
      </c>
      <c r="T1246" s="3"/>
      <c r="U1246" s="54" t="s">
        <v>120</v>
      </c>
      <c r="V1246" s="54" t="s">
        <v>1872</v>
      </c>
      <c r="W1246" s="241"/>
      <c r="X1246" s="45"/>
    </row>
    <row r="1247" spans="1:25">
      <c r="A1247" s="58" t="s">
        <v>948</v>
      </c>
      <c r="B1247" s="146">
        <v>44715.114583333299</v>
      </c>
      <c r="C1247" s="141">
        <v>1</v>
      </c>
      <c r="D1247" s="134" t="s">
        <v>284</v>
      </c>
      <c r="E1247" s="7" t="s">
        <v>33</v>
      </c>
      <c r="F1247" s="139" t="s">
        <v>250</v>
      </c>
      <c r="G1247" s="43">
        <v>85.2</v>
      </c>
      <c r="H1247" s="43">
        <v>91.4</v>
      </c>
      <c r="I1247" s="33">
        <f>表1_4[[#This Row],[主队2]]-表1_4[[#This Row],[客队2]]</f>
        <v>-6.2</v>
      </c>
      <c r="J124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247" s="35" t="s">
        <v>152</v>
      </c>
      <c r="L124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47" s="11"/>
      <c r="R1247" t="s">
        <v>852</v>
      </c>
      <c r="T1247" s="3"/>
      <c r="U1247" s="83"/>
      <c r="V1247" s="83" t="s">
        <v>1873</v>
      </c>
      <c r="W1247" s="288"/>
      <c r="X1247" s="235"/>
    </row>
    <row r="1248" spans="1:25">
      <c r="A1248" s="58" t="s">
        <v>948</v>
      </c>
      <c r="B1248" s="146">
        <v>44715.114583333299</v>
      </c>
      <c r="C1248" s="140">
        <v>1</v>
      </c>
      <c r="D1248" s="134" t="s">
        <v>209</v>
      </c>
      <c r="E1248" s="7" t="s">
        <v>36</v>
      </c>
      <c r="F1248" s="139" t="s">
        <v>270</v>
      </c>
      <c r="G1248" s="43">
        <v>95.5</v>
      </c>
      <c r="H1248" s="43">
        <v>93.1</v>
      </c>
      <c r="I1248" s="33">
        <f>表1_4[[#This Row],[主队2]]-表1_4[[#This Row],[客队2]]</f>
        <v>2.4000000000000101</v>
      </c>
      <c r="J124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248" s="35" t="s">
        <v>182</v>
      </c>
      <c r="L124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48" s="11"/>
      <c r="N1248" s="10" t="s">
        <v>112</v>
      </c>
      <c r="R1248" t="s">
        <v>852</v>
      </c>
      <c r="T1248" s="3"/>
      <c r="U1248" s="246"/>
      <c r="V1248" s="80" t="s">
        <v>1874</v>
      </c>
      <c r="W1248" s="44"/>
      <c r="X1248" s="45"/>
    </row>
    <row r="1249" spans="1:24">
      <c r="A1249" s="58" t="s">
        <v>948</v>
      </c>
      <c r="B1249" s="125">
        <v>44715.916666666701</v>
      </c>
      <c r="C1249" s="140">
        <v>1</v>
      </c>
      <c r="D1249" s="134" t="s">
        <v>288</v>
      </c>
      <c r="E1249" s="7" t="s">
        <v>22</v>
      </c>
      <c r="F1249" s="139" t="s">
        <v>278</v>
      </c>
      <c r="G1249" s="43">
        <v>64.3</v>
      </c>
      <c r="H1249" s="43">
        <v>62.8</v>
      </c>
      <c r="I1249" s="33">
        <f>表1_4[[#This Row],[主队2]]-表1_4[[#This Row],[客队2]]</f>
        <v>1.5</v>
      </c>
      <c r="J124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249" s="35" t="s">
        <v>166</v>
      </c>
      <c r="L124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249" s="11"/>
      <c r="N1249" s="10" t="s">
        <v>133</v>
      </c>
      <c r="O1249" s="10" t="s">
        <v>48</v>
      </c>
      <c r="R1249" t="s">
        <v>852</v>
      </c>
      <c r="T1249" s="3"/>
      <c r="U1249" s="54"/>
      <c r="V1249" s="54" t="s">
        <v>1875</v>
      </c>
      <c r="W1249" s="48"/>
      <c r="X1249" s="45"/>
    </row>
    <row r="1250" spans="1:24">
      <c r="A1250" s="58" t="s">
        <v>948</v>
      </c>
      <c r="B1250" s="146">
        <v>44716.114583333299</v>
      </c>
      <c r="C1250" s="141">
        <v>1</v>
      </c>
      <c r="D1250" s="134" t="s">
        <v>110</v>
      </c>
      <c r="E1250" s="7" t="s">
        <v>64</v>
      </c>
      <c r="F1250" s="139" t="s">
        <v>194</v>
      </c>
      <c r="G1250" s="43">
        <v>88.4</v>
      </c>
      <c r="H1250" s="43">
        <v>82.2</v>
      </c>
      <c r="I1250" s="33">
        <f>表1_4[[#This Row],[主队2]]-表1_4[[#This Row],[客队2]]</f>
        <v>6.2</v>
      </c>
      <c r="J125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250" s="35" t="s">
        <v>289</v>
      </c>
      <c r="L125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50" s="11"/>
      <c r="N1250" s="10" t="s">
        <v>133</v>
      </c>
      <c r="O1250" s="57" t="s">
        <v>51</v>
      </c>
      <c r="R1250" t="s">
        <v>855</v>
      </c>
      <c r="T1250" s="3"/>
      <c r="U1250" s="83"/>
      <c r="V1250" s="289" t="s">
        <v>1876</v>
      </c>
      <c r="W1250" s="52"/>
      <c r="X1250" s="45"/>
    </row>
    <row r="1251" spans="1:24">
      <c r="A1251" s="58" t="s">
        <v>948</v>
      </c>
      <c r="B1251" s="146">
        <v>44716.114583333299</v>
      </c>
      <c r="C1251" s="138">
        <v>1</v>
      </c>
      <c r="D1251" s="134" t="s">
        <v>267</v>
      </c>
      <c r="E1251" s="7" t="s">
        <v>60</v>
      </c>
      <c r="F1251" s="139" t="s">
        <v>306</v>
      </c>
      <c r="G1251" s="43">
        <v>97.1</v>
      </c>
      <c r="H1251" s="43">
        <v>91.8</v>
      </c>
      <c r="I1251" s="33">
        <f>表1_4[[#This Row],[主队2]]-表1_4[[#This Row],[客队2]]</f>
        <v>5.3</v>
      </c>
      <c r="J125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251" s="35" t="s">
        <v>118</v>
      </c>
      <c r="L125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51" s="11"/>
      <c r="N1251" s="10" t="s">
        <v>112</v>
      </c>
      <c r="O1251" s="57" t="s">
        <v>46</v>
      </c>
      <c r="R1251" t="s">
        <v>852</v>
      </c>
      <c r="T1251" s="3"/>
      <c r="U1251" s="246"/>
      <c r="V1251" s="242" t="s">
        <v>1877</v>
      </c>
      <c r="W1251" s="51"/>
      <c r="X1251" s="45"/>
    </row>
    <row r="1252" spans="1:24">
      <c r="A1252" s="58" t="s">
        <v>948</v>
      </c>
      <c r="B1252" s="146">
        <v>44716.114583333299</v>
      </c>
      <c r="C1252" s="141">
        <v>1</v>
      </c>
      <c r="D1252" s="134" t="s">
        <v>274</v>
      </c>
      <c r="E1252" s="7" t="s">
        <v>75</v>
      </c>
      <c r="F1252" s="139" t="s">
        <v>262</v>
      </c>
      <c r="G1252" s="43">
        <v>95.7</v>
      </c>
      <c r="H1252" s="43">
        <v>91.5</v>
      </c>
      <c r="I1252" s="33">
        <f>表1_4[[#This Row],[主队2]]-表1_4[[#This Row],[客队2]]</f>
        <v>4.2</v>
      </c>
      <c r="J125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252" s="35" t="s">
        <v>182</v>
      </c>
      <c r="L125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252" s="11"/>
      <c r="N1252" s="10" t="s">
        <v>133</v>
      </c>
      <c r="O1252" s="10" t="s">
        <v>46</v>
      </c>
      <c r="R1252" t="s">
        <v>852</v>
      </c>
      <c r="T1252" s="3"/>
      <c r="U1252" s="246"/>
      <c r="V1252" s="231" t="s">
        <v>1878</v>
      </c>
      <c r="W1252" s="56"/>
      <c r="X1252" s="45"/>
    </row>
    <row r="1253" spans="1:24">
      <c r="A1253" s="58" t="s">
        <v>948</v>
      </c>
      <c r="B1253" s="146">
        <v>44716.114583333299</v>
      </c>
      <c r="C1253" s="138">
        <v>1</v>
      </c>
      <c r="D1253" s="134" t="s">
        <v>425</v>
      </c>
      <c r="E1253" s="7" t="s">
        <v>31</v>
      </c>
      <c r="F1253" s="139" t="s">
        <v>240</v>
      </c>
      <c r="G1253" s="43">
        <v>79.599999999999994</v>
      </c>
      <c r="H1253" s="43">
        <v>70.599999999999994</v>
      </c>
      <c r="I1253" s="33">
        <f>表1_4[[#This Row],[主队2]]-表1_4[[#This Row],[客队2]]</f>
        <v>9</v>
      </c>
      <c r="J1253" s="34">
        <v>1</v>
      </c>
      <c r="K1253" s="35" t="s">
        <v>118</v>
      </c>
      <c r="L125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53" s="11"/>
      <c r="N1253" s="10" t="s">
        <v>119</v>
      </c>
      <c r="O1253" s="10" t="s">
        <v>40</v>
      </c>
      <c r="R1253" t="s">
        <v>852</v>
      </c>
      <c r="T1253" s="3"/>
      <c r="U1253" s="54" t="s">
        <v>1879</v>
      </c>
      <c r="V1253" s="54" t="s">
        <v>1880</v>
      </c>
      <c r="W1253" s="51"/>
      <c r="X1253" s="45"/>
    </row>
    <row r="1254" spans="1:24">
      <c r="A1254" s="58" t="s">
        <v>948</v>
      </c>
      <c r="B1254" s="146">
        <v>44716</v>
      </c>
      <c r="C1254" s="138">
        <v>1</v>
      </c>
      <c r="D1254" s="134" t="s">
        <v>251</v>
      </c>
      <c r="E1254" s="7" t="s">
        <v>44</v>
      </c>
      <c r="F1254" s="139" t="s">
        <v>243</v>
      </c>
      <c r="G1254" s="43">
        <v>64.099999999999994</v>
      </c>
      <c r="H1254" s="43">
        <v>47.5</v>
      </c>
      <c r="I1254" s="33">
        <f>表1_4[[#This Row],[主队2]]-表1_4[[#This Row],[客队2]]</f>
        <v>16.600000000000001</v>
      </c>
      <c r="J125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254" s="35" t="s">
        <v>176</v>
      </c>
      <c r="L125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254" s="11"/>
      <c r="N1254" s="10" t="s">
        <v>112</v>
      </c>
      <c r="O1254" s="10" t="s">
        <v>35</v>
      </c>
      <c r="R1254" t="s">
        <v>852</v>
      </c>
      <c r="T1254" s="3"/>
      <c r="U1254" s="246" t="s">
        <v>1330</v>
      </c>
      <c r="V1254" s="231" t="s">
        <v>920</v>
      </c>
      <c r="W1254" s="241"/>
      <c r="X1254" s="45"/>
    </row>
    <row r="1255" spans="1:24">
      <c r="A1255" s="58" t="s">
        <v>948</v>
      </c>
      <c r="B1255" s="127">
        <v>44716.114583333299</v>
      </c>
      <c r="C1255" s="141">
        <v>1</v>
      </c>
      <c r="D1255" s="134" t="s">
        <v>437</v>
      </c>
      <c r="E1255" s="7" t="s">
        <v>47</v>
      </c>
      <c r="F1255" s="139" t="s">
        <v>195</v>
      </c>
      <c r="G1255" s="43">
        <v>45.2</v>
      </c>
      <c r="H1255" s="43">
        <v>58.5</v>
      </c>
      <c r="I1255" s="33">
        <f>表1_4[[#This Row],[主队2]]-表1_4[[#This Row],[客队2]]</f>
        <v>-13.3</v>
      </c>
      <c r="J125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255" s="35" t="s">
        <v>111</v>
      </c>
      <c r="L125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55" s="63" t="s">
        <v>1189</v>
      </c>
      <c r="N1255" s="10" t="s">
        <v>112</v>
      </c>
      <c r="O1255" s="10" t="s">
        <v>35</v>
      </c>
      <c r="T1255" s="3"/>
      <c r="U1255" s="83" t="s">
        <v>791</v>
      </c>
      <c r="V1255" s="55" t="s">
        <v>1881</v>
      </c>
      <c r="W1255" s="51"/>
      <c r="X1255" s="45"/>
    </row>
    <row r="1256" spans="1:24">
      <c r="A1256" s="58" t="s">
        <v>948</v>
      </c>
      <c r="B1256" s="146">
        <v>44716.875</v>
      </c>
      <c r="C1256" s="141">
        <v>2</v>
      </c>
      <c r="D1256" s="134" t="s">
        <v>287</v>
      </c>
      <c r="E1256" s="7" t="s">
        <v>31</v>
      </c>
      <c r="F1256" s="139" t="s">
        <v>199</v>
      </c>
      <c r="G1256" s="43">
        <v>68.599999999999994</v>
      </c>
      <c r="H1256" s="43">
        <v>80.900000000000006</v>
      </c>
      <c r="I1256" s="33">
        <f>表1_4[[#This Row],[主队2]]-表1_4[[#This Row],[客队2]]</f>
        <v>-12.3</v>
      </c>
      <c r="J125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256" s="35" t="s">
        <v>132</v>
      </c>
      <c r="L125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256" s="11"/>
      <c r="N1256" s="10" t="s">
        <v>112</v>
      </c>
      <c r="O1256" s="10" t="s">
        <v>28</v>
      </c>
      <c r="R1256" t="s">
        <v>852</v>
      </c>
      <c r="T1256" s="3"/>
      <c r="U1256" s="83"/>
      <c r="V1256" s="54" t="s">
        <v>1882</v>
      </c>
      <c r="W1256" s="51"/>
      <c r="X1256" s="45"/>
    </row>
    <row r="1257" spans="1:24">
      <c r="A1257" s="58" t="s">
        <v>948</v>
      </c>
      <c r="B1257" s="146">
        <v>44717</v>
      </c>
      <c r="C1257" s="140">
        <v>1</v>
      </c>
      <c r="D1257" s="134" t="s">
        <v>191</v>
      </c>
      <c r="E1257" s="7" t="s">
        <v>36</v>
      </c>
      <c r="F1257" s="139" t="s">
        <v>255</v>
      </c>
      <c r="G1257" s="43">
        <v>77.8</v>
      </c>
      <c r="H1257" s="43">
        <v>78.400000000000006</v>
      </c>
      <c r="I1257" s="33">
        <f>表1_4[[#This Row],[主队2]]-表1_4[[#This Row],[客队2]]</f>
        <v>-0.60000000000000897</v>
      </c>
      <c r="J125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257" s="35" t="s">
        <v>166</v>
      </c>
      <c r="L125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57" s="11"/>
      <c r="N1257" s="10" t="s">
        <v>119</v>
      </c>
      <c r="O1257" s="10" t="s">
        <v>28</v>
      </c>
      <c r="R1257" t="s">
        <v>852</v>
      </c>
      <c r="T1257" s="3"/>
      <c r="U1257" s="231"/>
      <c r="V1257" s="231" t="s">
        <v>1883</v>
      </c>
      <c r="W1257" s="51"/>
      <c r="X1257" s="45"/>
    </row>
    <row r="1258" spans="1:24">
      <c r="A1258" s="58" t="s">
        <v>948</v>
      </c>
      <c r="B1258" s="146">
        <v>44717.114583333299</v>
      </c>
      <c r="C1258" s="141">
        <v>1</v>
      </c>
      <c r="D1258" s="134" t="s">
        <v>301</v>
      </c>
      <c r="E1258" s="7" t="s">
        <v>22</v>
      </c>
      <c r="F1258" s="139" t="s">
        <v>305</v>
      </c>
      <c r="G1258" s="43">
        <v>72.400000000000006</v>
      </c>
      <c r="H1258" s="43">
        <v>79.3</v>
      </c>
      <c r="I1258" s="33">
        <f>表1_4[[#This Row],[主队2]]-表1_4[[#This Row],[客队2]]</f>
        <v>-6.8999999999999897</v>
      </c>
      <c r="J125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258" s="35" t="s">
        <v>152</v>
      </c>
      <c r="L125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58" s="11"/>
      <c r="N1258" s="10" t="s">
        <v>119</v>
      </c>
      <c r="O1258" s="10" t="s">
        <v>35</v>
      </c>
      <c r="T1258" s="3"/>
      <c r="U1258" s="83" t="s">
        <v>177</v>
      </c>
      <c r="V1258" s="55" t="s">
        <v>1884</v>
      </c>
      <c r="W1258" s="56"/>
      <c r="X1258" s="45"/>
    </row>
    <row r="1259" spans="1:24">
      <c r="A1259" s="58" t="s">
        <v>948</v>
      </c>
      <c r="B1259" s="146">
        <v>44717</v>
      </c>
      <c r="C1259" s="138">
        <v>1</v>
      </c>
      <c r="D1259" s="134" t="s">
        <v>271</v>
      </c>
      <c r="E1259" s="7" t="s">
        <v>31</v>
      </c>
      <c r="F1259" s="139" t="s">
        <v>117</v>
      </c>
      <c r="G1259" s="43">
        <v>78.3</v>
      </c>
      <c r="H1259" s="43">
        <v>96.8</v>
      </c>
      <c r="I1259" s="33">
        <f>表1_4[[#This Row],[主队2]]-表1_4[[#This Row],[客队2]]</f>
        <v>-18.5</v>
      </c>
      <c r="J125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259" s="35" t="s">
        <v>219</v>
      </c>
      <c r="L125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59" s="11"/>
      <c r="N1259" s="10" t="s">
        <v>133</v>
      </c>
      <c r="O1259" s="10" t="s">
        <v>46</v>
      </c>
      <c r="R1259" t="s">
        <v>855</v>
      </c>
      <c r="T1259" s="3"/>
      <c r="U1259" s="83"/>
      <c r="V1259" s="231" t="s">
        <v>1885</v>
      </c>
      <c r="W1259" s="241"/>
      <c r="X1259" s="45"/>
    </row>
    <row r="1260" spans="1:24">
      <c r="A1260" s="58" t="s">
        <v>948</v>
      </c>
      <c r="B1260" s="146">
        <v>44717.114583333299</v>
      </c>
      <c r="C1260" s="140">
        <v>1</v>
      </c>
      <c r="D1260" s="275" t="s">
        <v>204</v>
      </c>
      <c r="E1260" s="7" t="s">
        <v>36</v>
      </c>
      <c r="F1260" s="139" t="s">
        <v>116</v>
      </c>
      <c r="G1260" s="43">
        <v>93.3</v>
      </c>
      <c r="H1260" s="43">
        <v>96.6</v>
      </c>
      <c r="I1260" s="33">
        <f>表1_4[[#This Row],[主队2]]-表1_4[[#This Row],[客队2]]</f>
        <v>-3.3</v>
      </c>
      <c r="J126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260" s="35" t="s">
        <v>166</v>
      </c>
      <c r="L126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60" s="11"/>
      <c r="N1260" s="10" t="s">
        <v>404</v>
      </c>
      <c r="O1260" s="10" t="s">
        <v>24</v>
      </c>
      <c r="R1260" t="s">
        <v>855</v>
      </c>
      <c r="T1260" s="3"/>
      <c r="U1260" s="54"/>
      <c r="V1260" s="55" t="s">
        <v>1886</v>
      </c>
      <c r="W1260" s="48"/>
      <c r="X1260" s="45"/>
    </row>
    <row r="1261" spans="1:24">
      <c r="A1261" s="58" t="s">
        <v>948</v>
      </c>
      <c r="B1261" s="146">
        <v>44717</v>
      </c>
      <c r="C1261" s="140">
        <v>1</v>
      </c>
      <c r="D1261" s="134" t="s">
        <v>292</v>
      </c>
      <c r="E1261" s="7" t="s">
        <v>47</v>
      </c>
      <c r="F1261" s="139" t="s">
        <v>266</v>
      </c>
      <c r="G1261" s="43">
        <v>62.1</v>
      </c>
      <c r="H1261" s="43">
        <v>63.2</v>
      </c>
      <c r="I1261" s="33">
        <f>表1_4[[#This Row],[主队2]]-表1_4[[#This Row],[客队2]]</f>
        <v>-1.1000000000000001</v>
      </c>
      <c r="J126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261" s="35" t="s">
        <v>152</v>
      </c>
      <c r="L126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61" s="11"/>
      <c r="N1261" s="10" t="s">
        <v>119</v>
      </c>
      <c r="O1261" s="10" t="s">
        <v>32</v>
      </c>
      <c r="R1261" t="s">
        <v>855</v>
      </c>
      <c r="T1261" s="3"/>
      <c r="U1261" s="83"/>
      <c r="V1261" s="55" t="s">
        <v>1887</v>
      </c>
      <c r="W1261" s="241"/>
      <c r="X1261" s="45"/>
    </row>
    <row r="1262" spans="1:24">
      <c r="A1262" s="58" t="s">
        <v>948</v>
      </c>
      <c r="B1262" s="146">
        <v>44717.114583333299</v>
      </c>
      <c r="C1262" s="138">
        <v>1</v>
      </c>
      <c r="D1262" s="134" t="s">
        <v>190</v>
      </c>
      <c r="E1262" s="7" t="s">
        <v>37</v>
      </c>
      <c r="F1262" s="139" t="s">
        <v>244</v>
      </c>
      <c r="G1262" s="43">
        <v>79.2</v>
      </c>
      <c r="H1262" s="43">
        <v>58.8</v>
      </c>
      <c r="I1262" s="33">
        <f>表1_4[[#This Row],[主队2]]-表1_4[[#This Row],[客队2]]</f>
        <v>20.399999999999999</v>
      </c>
      <c r="J126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1262" s="34">
        <v>2.5</v>
      </c>
      <c r="L126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262" s="11"/>
      <c r="N1262" s="10" t="s">
        <v>133</v>
      </c>
      <c r="O1262" s="10" t="s">
        <v>40</v>
      </c>
      <c r="R1262" t="s">
        <v>855</v>
      </c>
      <c r="T1262" s="3"/>
      <c r="U1262" s="83" t="s">
        <v>469</v>
      </c>
      <c r="V1262" s="62" t="s">
        <v>1888</v>
      </c>
      <c r="W1262" s="44"/>
      <c r="X1262" s="45"/>
    </row>
    <row r="1263" spans="1:24">
      <c r="A1263" s="58" t="s">
        <v>948</v>
      </c>
      <c r="B1263" s="146">
        <v>44717.875</v>
      </c>
      <c r="C1263" s="138">
        <v>2</v>
      </c>
      <c r="D1263" s="134" t="s">
        <v>282</v>
      </c>
      <c r="E1263" s="7" t="s">
        <v>47</v>
      </c>
      <c r="F1263" s="139" t="s">
        <v>929</v>
      </c>
      <c r="G1263" s="43">
        <v>29.9</v>
      </c>
      <c r="H1263" s="43">
        <v>56.2</v>
      </c>
      <c r="I1263" s="33">
        <f>表1_4[[#This Row],[主队2]]-表1_4[[#This Row],[客队2]]</f>
        <v>-26.3</v>
      </c>
      <c r="J1263" s="34">
        <v>-2.5</v>
      </c>
      <c r="K1263" s="34">
        <v>-1.5</v>
      </c>
      <c r="L126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263" s="11"/>
      <c r="N1263" s="10" t="s">
        <v>119</v>
      </c>
      <c r="O1263" s="10" t="s">
        <v>28</v>
      </c>
      <c r="R1263" t="s">
        <v>852</v>
      </c>
      <c r="T1263" s="3"/>
      <c r="U1263" s="25"/>
      <c r="V1263" s="231" t="s">
        <v>1889</v>
      </c>
      <c r="W1263" s="44"/>
      <c r="X1263" s="45"/>
    </row>
    <row r="1264" spans="1:24">
      <c r="A1264" s="58" t="s">
        <v>948</v>
      </c>
      <c r="B1264" s="125">
        <v>44718</v>
      </c>
      <c r="C1264" s="140" t="s">
        <v>1687</v>
      </c>
      <c r="D1264" s="134" t="s">
        <v>200</v>
      </c>
      <c r="E1264" s="7" t="s">
        <v>31</v>
      </c>
      <c r="F1264" s="139" t="s">
        <v>214</v>
      </c>
      <c r="G1264" s="43">
        <v>83.9</v>
      </c>
      <c r="H1264" s="43">
        <v>83</v>
      </c>
      <c r="I1264" s="33">
        <f>表1_4[[#This Row],[主队2]]-表1_4[[#This Row],[客队2]]</f>
        <v>0.90000000000000602</v>
      </c>
      <c r="J126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264" s="35" t="s">
        <v>166</v>
      </c>
      <c r="L126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64" s="11"/>
      <c r="N1264" s="10" t="s">
        <v>119</v>
      </c>
      <c r="O1264" s="10" t="s">
        <v>40</v>
      </c>
      <c r="R1264" t="s">
        <v>852</v>
      </c>
      <c r="T1264" s="3"/>
      <c r="U1264" s="25" t="s">
        <v>1890</v>
      </c>
      <c r="V1264" s="231" t="s">
        <v>1891</v>
      </c>
      <c r="W1264" s="51"/>
      <c r="X1264" s="45"/>
    </row>
    <row r="1265" spans="1:24">
      <c r="A1265" s="58" t="s">
        <v>948</v>
      </c>
      <c r="B1265" s="146">
        <v>44718</v>
      </c>
      <c r="C1265" s="140">
        <v>2</v>
      </c>
      <c r="D1265" s="134" t="s">
        <v>256</v>
      </c>
      <c r="E1265" s="7" t="s">
        <v>47</v>
      </c>
      <c r="F1265" s="139" t="s">
        <v>440</v>
      </c>
      <c r="G1265" s="43">
        <v>39.299999999999997</v>
      </c>
      <c r="H1265" s="43">
        <v>75.2</v>
      </c>
      <c r="I1265" s="33">
        <f>表1_4[[#This Row],[主队2]]-表1_4[[#This Row],[客队2]]</f>
        <v>-35.9</v>
      </c>
      <c r="J1265" s="34">
        <v>-3.25</v>
      </c>
      <c r="K1265" s="34">
        <v>-2</v>
      </c>
      <c r="L126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265" s="11"/>
      <c r="N1265" s="10" t="s">
        <v>160</v>
      </c>
      <c r="O1265" s="10" t="s">
        <v>35</v>
      </c>
      <c r="R1265" t="s">
        <v>852</v>
      </c>
      <c r="T1265" s="3"/>
      <c r="U1265" s="25" t="s">
        <v>791</v>
      </c>
      <c r="V1265" s="80" t="s">
        <v>1892</v>
      </c>
      <c r="W1265" s="44"/>
      <c r="X1265" s="45"/>
    </row>
    <row r="1266" spans="1:24">
      <c r="A1266" s="58" t="s">
        <v>948</v>
      </c>
      <c r="B1266" s="127">
        <v>44718.114583333299</v>
      </c>
      <c r="C1266" s="279">
        <v>2</v>
      </c>
      <c r="D1266" s="134" t="s">
        <v>261</v>
      </c>
      <c r="E1266" s="49" t="s">
        <v>996</v>
      </c>
      <c r="F1266" s="139" t="s">
        <v>430</v>
      </c>
      <c r="G1266" s="43">
        <v>73.099999999999994</v>
      </c>
      <c r="H1266" s="43">
        <v>73.8</v>
      </c>
      <c r="I1266" s="33">
        <f>表1_4[[#This Row],[主队2]]-表1_4[[#This Row],[客队2]]</f>
        <v>-0.70000000000000295</v>
      </c>
      <c r="J126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266" s="35" t="s">
        <v>182</v>
      </c>
      <c r="L126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66" s="63" t="s">
        <v>1723</v>
      </c>
      <c r="N1266" s="10" t="s">
        <v>133</v>
      </c>
      <c r="O1266" s="10" t="s">
        <v>28</v>
      </c>
      <c r="R1266" t="s">
        <v>852</v>
      </c>
      <c r="T1266" s="3"/>
      <c r="U1266" s="255"/>
      <c r="V1266" s="234" t="s">
        <v>1893</v>
      </c>
      <c r="W1266" s="162"/>
      <c r="X1266" s="45"/>
    </row>
    <row r="1267" spans="1:24">
      <c r="A1267" s="58" t="s">
        <v>948</v>
      </c>
      <c r="B1267" s="146">
        <v>44718</v>
      </c>
      <c r="C1267" s="141">
        <v>2</v>
      </c>
      <c r="D1267" s="134" t="s">
        <v>407</v>
      </c>
      <c r="E1267" s="7" t="s">
        <v>42</v>
      </c>
      <c r="F1267" s="139" t="s">
        <v>296</v>
      </c>
      <c r="G1267" s="43">
        <v>62.5</v>
      </c>
      <c r="H1267" s="43">
        <v>76.2</v>
      </c>
      <c r="I1267" s="33">
        <f>表1_4[[#This Row],[主队2]]-表1_4[[#This Row],[客队2]]</f>
        <v>-13.7</v>
      </c>
      <c r="J126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267" s="35" t="s">
        <v>132</v>
      </c>
      <c r="L126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267" s="11"/>
      <c r="N1267" s="10" t="s">
        <v>119</v>
      </c>
      <c r="O1267" s="10" t="s">
        <v>35</v>
      </c>
      <c r="R1267" t="s">
        <v>852</v>
      </c>
      <c r="T1267" s="3"/>
      <c r="U1267" s="83" t="s">
        <v>938</v>
      </c>
      <c r="V1267" s="83" t="s">
        <v>1894</v>
      </c>
      <c r="W1267" s="44"/>
      <c r="X1267" s="45"/>
    </row>
    <row r="1268" spans="1:24">
      <c r="A1268" s="58" t="s">
        <v>948</v>
      </c>
      <c r="B1268" s="146">
        <v>44718.114583333299</v>
      </c>
      <c r="C1268" s="140">
        <v>2</v>
      </c>
      <c r="D1268" s="134" t="s">
        <v>217</v>
      </c>
      <c r="E1268" s="7" t="s">
        <v>53</v>
      </c>
      <c r="F1268" s="139" t="s">
        <v>275</v>
      </c>
      <c r="G1268" s="43">
        <v>70.599999999999994</v>
      </c>
      <c r="H1268" s="43">
        <v>79.7</v>
      </c>
      <c r="I1268" s="33">
        <f>表1_4[[#This Row],[主队2]]-表1_4[[#This Row],[客队2]]</f>
        <v>-9.1000000000000103</v>
      </c>
      <c r="J126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268" s="35" t="s">
        <v>152</v>
      </c>
      <c r="L126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268" s="11"/>
      <c r="N1268" s="10" t="s">
        <v>119</v>
      </c>
      <c r="O1268" s="10" t="s">
        <v>48</v>
      </c>
      <c r="R1268" t="s">
        <v>855</v>
      </c>
      <c r="T1268" s="3"/>
      <c r="U1268" s="246"/>
      <c r="V1268" s="231" t="s">
        <v>1895</v>
      </c>
      <c r="W1268" s="56"/>
      <c r="X1268" s="45"/>
    </row>
    <row r="1269" spans="1:24">
      <c r="A1269" s="58" t="s">
        <v>948</v>
      </c>
      <c r="B1269" s="146">
        <v>44718.114583333299</v>
      </c>
      <c r="C1269" s="138">
        <v>2</v>
      </c>
      <c r="D1269" s="134" t="s">
        <v>434</v>
      </c>
      <c r="E1269" s="7" t="s">
        <v>43</v>
      </c>
      <c r="F1269" s="139" t="s">
        <v>309</v>
      </c>
      <c r="G1269" s="43">
        <v>84</v>
      </c>
      <c r="H1269" s="43">
        <v>76.2</v>
      </c>
      <c r="I1269" s="33">
        <f>表1_4[[#This Row],[主队2]]-表1_4[[#This Row],[客队2]]</f>
        <v>7.8</v>
      </c>
      <c r="J126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269" s="35" t="s">
        <v>176</v>
      </c>
      <c r="L126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69" s="11"/>
      <c r="N1269" s="10" t="s">
        <v>133</v>
      </c>
      <c r="O1269" s="10" t="s">
        <v>40</v>
      </c>
      <c r="R1269" t="s">
        <v>852</v>
      </c>
      <c r="T1269" s="3"/>
      <c r="U1269" s="25" t="s">
        <v>1896</v>
      </c>
      <c r="V1269" s="80" t="s">
        <v>1897</v>
      </c>
      <c r="W1269" s="44"/>
      <c r="X1269" s="45"/>
    </row>
    <row r="1270" spans="1:24">
      <c r="A1270" s="58" t="s">
        <v>948</v>
      </c>
      <c r="B1270" s="146">
        <v>44718.114583333299</v>
      </c>
      <c r="C1270" s="141">
        <v>2</v>
      </c>
      <c r="D1270" s="134" t="s">
        <v>239</v>
      </c>
      <c r="E1270" s="7" t="s">
        <v>60</v>
      </c>
      <c r="F1270" s="139" t="s">
        <v>297</v>
      </c>
      <c r="G1270" s="43">
        <v>86.4</v>
      </c>
      <c r="H1270" s="43">
        <v>82</v>
      </c>
      <c r="I1270" s="33">
        <f>表1_4[[#This Row],[主队2]]-表1_4[[#This Row],[客队2]]</f>
        <v>4.4000000000000101</v>
      </c>
      <c r="J127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270" s="35" t="s">
        <v>289</v>
      </c>
      <c r="L127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70" s="11"/>
      <c r="N1270" s="57" t="s">
        <v>404</v>
      </c>
      <c r="O1270" s="10" t="s">
        <v>28</v>
      </c>
      <c r="R1270" t="s">
        <v>852</v>
      </c>
      <c r="T1270" s="3"/>
      <c r="U1270" s="83"/>
      <c r="V1270" s="62" t="s">
        <v>1898</v>
      </c>
      <c r="W1270" s="48"/>
      <c r="X1270" s="45"/>
    </row>
    <row r="1271" spans="1:24">
      <c r="A1271" s="58" t="s">
        <v>948</v>
      </c>
      <c r="B1271" s="146">
        <v>44718.114583333299</v>
      </c>
      <c r="C1271" s="145">
        <v>2</v>
      </c>
      <c r="D1271" s="134" t="s">
        <v>284</v>
      </c>
      <c r="E1271" s="7" t="s">
        <v>25</v>
      </c>
      <c r="F1271" s="139" t="s">
        <v>209</v>
      </c>
      <c r="G1271" s="43">
        <v>86</v>
      </c>
      <c r="H1271" s="43">
        <v>94.9</v>
      </c>
      <c r="I1271" s="33">
        <f>表1_4[[#This Row],[主队2]]-表1_4[[#This Row],[客队2]]</f>
        <v>-8.9000000000000092</v>
      </c>
      <c r="J127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271" s="35" t="s">
        <v>132</v>
      </c>
      <c r="L127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71" s="11"/>
      <c r="N1271" s="10" t="s">
        <v>112</v>
      </c>
      <c r="O1271" s="10" t="s">
        <v>46</v>
      </c>
      <c r="R1271" t="s">
        <v>852</v>
      </c>
      <c r="T1271" s="3"/>
      <c r="U1271" s="25"/>
      <c r="V1271" s="80" t="s">
        <v>1899</v>
      </c>
      <c r="W1271" s="44"/>
      <c r="X1271" s="45"/>
    </row>
    <row r="1272" spans="1:24">
      <c r="A1272" s="58" t="s">
        <v>948</v>
      </c>
      <c r="B1272" s="146">
        <v>44718.114583333299</v>
      </c>
      <c r="C1272" s="138">
        <v>2</v>
      </c>
      <c r="D1272" s="134" t="s">
        <v>270</v>
      </c>
      <c r="E1272" s="7" t="s">
        <v>37</v>
      </c>
      <c r="F1272" s="139" t="s">
        <v>250</v>
      </c>
      <c r="G1272" s="43">
        <v>93.7</v>
      </c>
      <c r="H1272" s="43">
        <v>90.7</v>
      </c>
      <c r="I1272" s="33">
        <f>表1_4[[#This Row],[主队2]]-表1_4[[#This Row],[客队2]]</f>
        <v>3</v>
      </c>
      <c r="J127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272" s="35" t="s">
        <v>118</v>
      </c>
      <c r="L127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272" s="11"/>
      <c r="N1272" s="10" t="s">
        <v>112</v>
      </c>
      <c r="O1272" s="10" t="s">
        <v>28</v>
      </c>
      <c r="R1272" t="s">
        <v>852</v>
      </c>
      <c r="T1272" s="3"/>
      <c r="U1272" s="246"/>
      <c r="V1272" s="231" t="s">
        <v>1900</v>
      </c>
      <c r="W1272" s="241"/>
      <c r="X1272" s="45"/>
    </row>
    <row r="1273" spans="1:24">
      <c r="A1273" s="58" t="s">
        <v>948</v>
      </c>
      <c r="B1273" s="146">
        <v>44719.114583333299</v>
      </c>
      <c r="C1273" s="140">
        <v>2</v>
      </c>
      <c r="D1273" s="134" t="s">
        <v>194</v>
      </c>
      <c r="E1273" s="7" t="s">
        <v>60</v>
      </c>
      <c r="F1273" s="139" t="s">
        <v>306</v>
      </c>
      <c r="G1273" s="43">
        <v>83.2</v>
      </c>
      <c r="H1273" s="43">
        <v>92.9</v>
      </c>
      <c r="I1273" s="33">
        <f>表1_4[[#This Row],[主队2]]-表1_4[[#This Row],[客队2]]</f>
        <v>-9.6999999999999993</v>
      </c>
      <c r="J127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273" s="35" t="s">
        <v>166</v>
      </c>
      <c r="L127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273" s="11"/>
      <c r="N1273" s="46" t="s">
        <v>112</v>
      </c>
      <c r="O1273" s="10" t="s">
        <v>65</v>
      </c>
      <c r="R1273" t="s">
        <v>855</v>
      </c>
      <c r="T1273" s="3"/>
      <c r="U1273" s="25"/>
      <c r="V1273" s="54" t="s">
        <v>1901</v>
      </c>
      <c r="W1273" s="56"/>
      <c r="X1273" s="45"/>
    </row>
    <row r="1274" spans="1:24">
      <c r="A1274" s="58" t="s">
        <v>948</v>
      </c>
      <c r="B1274" s="146">
        <v>44719.114583333299</v>
      </c>
      <c r="C1274" s="140">
        <v>2</v>
      </c>
      <c r="D1274" s="134" t="s">
        <v>110</v>
      </c>
      <c r="E1274" s="7" t="s">
        <v>36</v>
      </c>
      <c r="F1274" s="139" t="s">
        <v>267</v>
      </c>
      <c r="G1274" s="43">
        <v>87.4</v>
      </c>
      <c r="H1274" s="43">
        <v>96</v>
      </c>
      <c r="I1274" s="33">
        <f>表1_4[[#This Row],[主队2]]-表1_4[[#This Row],[客队2]]</f>
        <v>-8.5999999999999908</v>
      </c>
      <c r="J127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274" s="35" t="s">
        <v>132</v>
      </c>
      <c r="L127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74" s="11"/>
      <c r="N1274" s="57" t="s">
        <v>133</v>
      </c>
      <c r="O1274" s="10" t="s">
        <v>46</v>
      </c>
      <c r="R1274" t="s">
        <v>855</v>
      </c>
      <c r="T1274" s="3"/>
      <c r="U1274" s="83"/>
      <c r="V1274" s="55" t="s">
        <v>731</v>
      </c>
      <c r="W1274" s="44"/>
      <c r="X1274" s="45"/>
    </row>
    <row r="1275" spans="1:24">
      <c r="A1275" s="58" t="s">
        <v>948</v>
      </c>
      <c r="B1275" s="146">
        <v>44719</v>
      </c>
      <c r="C1275" s="140">
        <v>2</v>
      </c>
      <c r="D1275" s="134" t="s">
        <v>251</v>
      </c>
      <c r="E1275" s="7" t="s">
        <v>31</v>
      </c>
      <c r="F1275" s="139" t="s">
        <v>437</v>
      </c>
      <c r="G1275" s="43">
        <v>64.599999999999994</v>
      </c>
      <c r="H1275" s="43">
        <v>44.7</v>
      </c>
      <c r="I1275" s="33">
        <f>表1_4[[#This Row],[主队2]]-表1_4[[#This Row],[客队2]]</f>
        <v>19.899999999999999</v>
      </c>
      <c r="J127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1275" s="34">
        <v>1.75</v>
      </c>
      <c r="L127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275" s="11"/>
      <c r="N1275" s="46" t="s">
        <v>112</v>
      </c>
      <c r="O1275" s="46" t="s">
        <v>40</v>
      </c>
      <c r="R1275" t="s">
        <v>852</v>
      </c>
      <c r="T1275" s="3"/>
      <c r="U1275" s="83" t="s">
        <v>688</v>
      </c>
      <c r="V1275" s="231" t="s">
        <v>1902</v>
      </c>
      <c r="W1275" s="51"/>
      <c r="X1275" s="45"/>
    </row>
    <row r="1276" spans="1:24" ht="28.9">
      <c r="A1276" s="58" t="s">
        <v>948</v>
      </c>
      <c r="B1276" s="146">
        <v>44719.114583333299</v>
      </c>
      <c r="C1276" s="140">
        <v>2</v>
      </c>
      <c r="D1276" s="134" t="s">
        <v>243</v>
      </c>
      <c r="E1276" s="7" t="s">
        <v>42</v>
      </c>
      <c r="F1276" s="139" t="s">
        <v>195</v>
      </c>
      <c r="G1276" s="43">
        <v>47</v>
      </c>
      <c r="H1276" s="43">
        <v>58.9</v>
      </c>
      <c r="I1276" s="33">
        <f>表1_4[[#This Row],[主队2]]-表1_4[[#This Row],[客队2]]</f>
        <v>-11.9</v>
      </c>
      <c r="J127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276" s="35" t="s">
        <v>152</v>
      </c>
      <c r="L127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276" s="11"/>
      <c r="N1276" s="10" t="s">
        <v>119</v>
      </c>
      <c r="O1276" s="10" t="s">
        <v>27</v>
      </c>
      <c r="R1276" t="s">
        <v>855</v>
      </c>
      <c r="T1276" s="3"/>
      <c r="U1276" s="246"/>
      <c r="V1276" s="25" t="s">
        <v>1903</v>
      </c>
      <c r="W1276" s="52"/>
      <c r="X1276" s="45"/>
    </row>
    <row r="1277" spans="1:24">
      <c r="A1277" s="58" t="s">
        <v>948</v>
      </c>
      <c r="B1277" s="125">
        <v>44719.114583333299</v>
      </c>
      <c r="C1277" s="140">
        <v>2</v>
      </c>
      <c r="D1277" s="134" t="s">
        <v>240</v>
      </c>
      <c r="E1277" s="7" t="s">
        <v>42</v>
      </c>
      <c r="F1277" s="139" t="s">
        <v>278</v>
      </c>
      <c r="G1277" s="43">
        <v>70.400000000000006</v>
      </c>
      <c r="H1277" s="43">
        <v>61.9</v>
      </c>
      <c r="I1277" s="33">
        <f>表1_4[[#This Row],[主队2]]-表1_4[[#This Row],[客队2]]</f>
        <v>8.5000000000000107</v>
      </c>
      <c r="J1277" s="34">
        <v>0.75</v>
      </c>
      <c r="K1277" s="35" t="s">
        <v>166</v>
      </c>
      <c r="L127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277" s="11"/>
      <c r="N1277" s="10" t="s">
        <v>119</v>
      </c>
      <c r="O1277" s="10" t="s">
        <v>51</v>
      </c>
      <c r="R1277" t="s">
        <v>852</v>
      </c>
      <c r="T1277" s="3"/>
      <c r="U1277" s="25" t="s">
        <v>776</v>
      </c>
      <c r="V1277" s="231" t="s">
        <v>1904</v>
      </c>
      <c r="W1277" s="48"/>
      <c r="X1277" s="45"/>
    </row>
    <row r="1278" spans="1:24">
      <c r="A1278" s="58" t="s">
        <v>948</v>
      </c>
      <c r="B1278" s="146">
        <v>44719.114583333299</v>
      </c>
      <c r="C1278" s="145">
        <v>2</v>
      </c>
      <c r="D1278" s="134" t="s">
        <v>425</v>
      </c>
      <c r="E1278" s="7" t="s">
        <v>53</v>
      </c>
      <c r="F1278" s="139" t="s">
        <v>288</v>
      </c>
      <c r="G1278" s="43">
        <v>79.7</v>
      </c>
      <c r="H1278" s="43">
        <v>65.2</v>
      </c>
      <c r="I1278" s="33">
        <f>表1_4[[#This Row],[主队2]]-表1_4[[#This Row],[客队2]]</f>
        <v>14.5</v>
      </c>
      <c r="J127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278" s="35" t="s">
        <v>81</v>
      </c>
      <c r="L127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78" s="63" t="s">
        <v>1142</v>
      </c>
      <c r="N1278" s="10" t="s">
        <v>133</v>
      </c>
      <c r="O1278" s="10" t="s">
        <v>40</v>
      </c>
      <c r="R1278" t="s">
        <v>852</v>
      </c>
      <c r="T1278" s="3"/>
      <c r="U1278" s="246" t="s">
        <v>196</v>
      </c>
      <c r="V1278" s="231" t="s">
        <v>1042</v>
      </c>
      <c r="W1278" s="241"/>
      <c r="X1278" s="45"/>
    </row>
    <row r="1279" spans="1:24">
      <c r="A1279" s="58" t="s">
        <v>948</v>
      </c>
      <c r="B1279" s="146">
        <v>44719.114583333299</v>
      </c>
      <c r="C1279" s="141">
        <v>2</v>
      </c>
      <c r="D1279" s="134" t="s">
        <v>218</v>
      </c>
      <c r="E1279" s="7" t="s">
        <v>36</v>
      </c>
      <c r="F1279" s="139" t="s">
        <v>205</v>
      </c>
      <c r="G1279" s="43">
        <v>74.099999999999994</v>
      </c>
      <c r="H1279" s="43">
        <v>71.900000000000006</v>
      </c>
      <c r="I1279" s="33">
        <f>表1_4[[#This Row],[主队2]]-表1_4[[#This Row],[客队2]]</f>
        <v>2.19999999999999</v>
      </c>
      <c r="J127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279" s="35" t="s">
        <v>182</v>
      </c>
      <c r="L127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79" s="11"/>
      <c r="N1279" s="10" t="s">
        <v>133</v>
      </c>
      <c r="O1279" s="10" t="s">
        <v>40</v>
      </c>
      <c r="R1279" t="s">
        <v>852</v>
      </c>
      <c r="T1279" s="3"/>
      <c r="U1279" s="83" t="s">
        <v>362</v>
      </c>
      <c r="V1279" s="55" t="s">
        <v>1905</v>
      </c>
      <c r="W1279" s="48"/>
      <c r="X1279" s="45"/>
    </row>
    <row r="1280" spans="1:24">
      <c r="A1280" s="58" t="s">
        <v>948</v>
      </c>
      <c r="B1280" s="146">
        <v>44720</v>
      </c>
      <c r="C1280" s="141">
        <v>2</v>
      </c>
      <c r="D1280" s="134" t="s">
        <v>191</v>
      </c>
      <c r="E1280" s="7" t="s">
        <v>22</v>
      </c>
      <c r="F1280" s="139" t="s">
        <v>301</v>
      </c>
      <c r="G1280" s="43">
        <v>77.5</v>
      </c>
      <c r="H1280" s="43">
        <v>73.099999999999994</v>
      </c>
      <c r="I1280" s="33">
        <f>表1_4[[#This Row],[主队2]]-表1_4[[#This Row],[客队2]]</f>
        <v>4.4000000000000101</v>
      </c>
      <c r="J128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280" s="35" t="s">
        <v>289</v>
      </c>
      <c r="L128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80" s="11"/>
      <c r="N1280" s="10" t="s">
        <v>119</v>
      </c>
      <c r="O1280" s="10" t="s">
        <v>46</v>
      </c>
      <c r="R1280" t="s">
        <v>852</v>
      </c>
      <c r="T1280" s="3"/>
      <c r="U1280" s="83"/>
      <c r="V1280" s="55" t="s">
        <v>1906</v>
      </c>
      <c r="W1280" s="241"/>
      <c r="X1280" s="45"/>
    </row>
    <row r="1281" spans="1:24">
      <c r="A1281" s="58" t="s">
        <v>948</v>
      </c>
      <c r="B1281" s="146">
        <v>44720.114583333299</v>
      </c>
      <c r="C1281" s="140">
        <v>2</v>
      </c>
      <c r="D1281" s="134" t="s">
        <v>255</v>
      </c>
      <c r="E1281" s="7" t="s">
        <v>31</v>
      </c>
      <c r="F1281" s="139" t="s">
        <v>305</v>
      </c>
      <c r="G1281" s="43">
        <v>78.7</v>
      </c>
      <c r="H1281" s="43">
        <v>78.599999999999994</v>
      </c>
      <c r="I1281" s="33">
        <f>表1_4[[#This Row],[主队2]]-表1_4[[#This Row],[客队2]]</f>
        <v>0.100000000000009</v>
      </c>
      <c r="J128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281" s="35" t="s">
        <v>182</v>
      </c>
      <c r="L128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81" s="11"/>
      <c r="N1281" s="10" t="s">
        <v>112</v>
      </c>
      <c r="O1281" s="10" t="s">
        <v>28</v>
      </c>
      <c r="R1281" t="s">
        <v>855</v>
      </c>
      <c r="T1281" s="3"/>
      <c r="U1281" s="246"/>
      <c r="V1281" s="231" t="s">
        <v>1907</v>
      </c>
      <c r="W1281" s="52"/>
      <c r="X1281" s="45"/>
    </row>
    <row r="1282" spans="1:24">
      <c r="A1282" s="58" t="s">
        <v>948</v>
      </c>
      <c r="B1282" s="146">
        <v>44720.114583333299</v>
      </c>
      <c r="C1282" s="141">
        <v>2</v>
      </c>
      <c r="D1282" s="134" t="s">
        <v>244</v>
      </c>
      <c r="E1282" s="7" t="s">
        <v>53</v>
      </c>
      <c r="F1282" s="139" t="s">
        <v>266</v>
      </c>
      <c r="G1282" s="43">
        <v>58.2</v>
      </c>
      <c r="H1282" s="43">
        <v>64.099999999999994</v>
      </c>
      <c r="I1282" s="33">
        <f>表1_4[[#This Row],[主队2]]-表1_4[[#This Row],[客队2]]</f>
        <v>-5.8999999999999897</v>
      </c>
      <c r="J128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282" s="35" t="s">
        <v>152</v>
      </c>
      <c r="L128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82" s="63" t="s">
        <v>1189</v>
      </c>
      <c r="N1282" s="10" t="s">
        <v>112</v>
      </c>
      <c r="O1282" s="10" t="s">
        <v>28</v>
      </c>
      <c r="R1282" t="s">
        <v>855</v>
      </c>
      <c r="T1282" s="3"/>
      <c r="U1282" s="246"/>
      <c r="V1282" s="54" t="s">
        <v>1908</v>
      </c>
      <c r="W1282" s="51"/>
      <c r="X1282" s="45"/>
    </row>
    <row r="1283" spans="1:24">
      <c r="A1283" s="58" t="s">
        <v>948</v>
      </c>
      <c r="B1283" s="146">
        <v>44720.114583333299</v>
      </c>
      <c r="C1283" s="138">
        <v>2</v>
      </c>
      <c r="D1283" s="134" t="s">
        <v>292</v>
      </c>
      <c r="E1283" s="49" t="s">
        <v>283</v>
      </c>
      <c r="F1283" s="139" t="s">
        <v>190</v>
      </c>
      <c r="G1283" s="43">
        <v>61.3</v>
      </c>
      <c r="H1283" s="43">
        <v>79.900000000000006</v>
      </c>
      <c r="I1283" s="33">
        <f>表1_4[[#This Row],[主队2]]-表1_4[[#This Row],[客队2]]</f>
        <v>-18.600000000000001</v>
      </c>
      <c r="J128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283" s="34">
        <v>-1.75</v>
      </c>
      <c r="L128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283" s="11"/>
      <c r="N1283" s="10" t="s">
        <v>119</v>
      </c>
      <c r="O1283" s="10" t="s">
        <v>35</v>
      </c>
      <c r="R1283" t="s">
        <v>852</v>
      </c>
      <c r="T1283" s="3"/>
      <c r="U1283" s="83" t="s">
        <v>1174</v>
      </c>
      <c r="V1283" s="55" t="s">
        <v>1384</v>
      </c>
      <c r="W1283" s="56"/>
      <c r="X1283" s="45"/>
    </row>
    <row r="1284" spans="1:24">
      <c r="A1284" s="58" t="s">
        <v>948</v>
      </c>
      <c r="B1284" s="146">
        <v>44720.114583333299</v>
      </c>
      <c r="C1284" s="141">
        <v>2</v>
      </c>
      <c r="D1284" s="134" t="s">
        <v>116</v>
      </c>
      <c r="E1284" s="7" t="s">
        <v>36</v>
      </c>
      <c r="F1284" s="56" t="s">
        <v>117</v>
      </c>
      <c r="G1284" s="43">
        <v>96.7</v>
      </c>
      <c r="H1284" s="43">
        <v>96.2</v>
      </c>
      <c r="I1284" s="33">
        <f>表1_4[[#This Row],[主队2]]-表1_4[[#This Row],[客队2]]</f>
        <v>0.5</v>
      </c>
      <c r="J128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284" s="35" t="s">
        <v>182</v>
      </c>
      <c r="L128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84" s="11"/>
      <c r="N1284" s="10" t="s">
        <v>119</v>
      </c>
      <c r="O1284" s="10" t="s">
        <v>28</v>
      </c>
      <c r="R1284" t="s">
        <v>852</v>
      </c>
      <c r="T1284" s="3"/>
      <c r="U1284" s="83"/>
      <c r="V1284" s="231" t="s">
        <v>1909</v>
      </c>
      <c r="W1284" s="241"/>
      <c r="X1284" s="45"/>
    </row>
    <row r="1285" spans="1:24">
      <c r="A1285" s="58" t="s">
        <v>948</v>
      </c>
      <c r="B1285" s="146">
        <v>44720.114583333299</v>
      </c>
      <c r="C1285" s="138">
        <v>2</v>
      </c>
      <c r="D1285" s="275" t="s">
        <v>204</v>
      </c>
      <c r="E1285" s="7" t="s">
        <v>33</v>
      </c>
      <c r="F1285" s="273" t="s">
        <v>271</v>
      </c>
      <c r="G1285" s="43">
        <v>93.3</v>
      </c>
      <c r="H1285" s="43">
        <v>78.900000000000006</v>
      </c>
      <c r="I1285" s="33">
        <f>表1_4[[#This Row],[主队2]]-表1_4[[#This Row],[客队2]]</f>
        <v>14.4</v>
      </c>
      <c r="J128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285" s="35" t="s">
        <v>125</v>
      </c>
      <c r="L128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285" s="11"/>
      <c r="N1285" s="10" t="s">
        <v>119</v>
      </c>
      <c r="O1285" s="10" t="s">
        <v>65</v>
      </c>
      <c r="R1285" t="s">
        <v>852</v>
      </c>
      <c r="T1285" s="3"/>
      <c r="U1285" s="83"/>
      <c r="V1285" s="231" t="s">
        <v>1910</v>
      </c>
      <c r="W1285" s="48"/>
      <c r="X1285" s="45"/>
    </row>
    <row r="1286" spans="1:24">
      <c r="A1286" s="58" t="s">
        <v>948</v>
      </c>
      <c r="B1286" s="146">
        <v>44721.114583333299</v>
      </c>
      <c r="C1286" s="140">
        <v>1</v>
      </c>
      <c r="D1286" s="134" t="s">
        <v>123</v>
      </c>
      <c r="E1286" s="7" t="s">
        <v>22</v>
      </c>
      <c r="F1286" s="139" t="s">
        <v>287</v>
      </c>
      <c r="G1286" s="43">
        <v>78.599999999999994</v>
      </c>
      <c r="H1286" s="43">
        <v>69.599999999999994</v>
      </c>
      <c r="I1286" s="33">
        <f>表1_4[[#This Row],[主队2]]-表1_4[[#This Row],[客队2]]</f>
        <v>9</v>
      </c>
      <c r="J128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286" s="35" t="s">
        <v>125</v>
      </c>
      <c r="L128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86" s="11"/>
      <c r="N1286" s="46" t="s">
        <v>112</v>
      </c>
      <c r="O1286" s="10" t="s">
        <v>48</v>
      </c>
      <c r="R1286" t="s">
        <v>855</v>
      </c>
      <c r="T1286" s="3"/>
      <c r="U1286" s="257" t="s">
        <v>1911</v>
      </c>
      <c r="V1286" s="231" t="s">
        <v>1912</v>
      </c>
      <c r="W1286" s="51"/>
      <c r="X1286" s="45"/>
    </row>
    <row r="1287" spans="1:24">
      <c r="A1287" s="58" t="s">
        <v>948</v>
      </c>
      <c r="B1287" s="146">
        <v>44721.114583333299</v>
      </c>
      <c r="C1287" s="140">
        <v>1</v>
      </c>
      <c r="D1287" s="134" t="s">
        <v>199</v>
      </c>
      <c r="E1287" s="7" t="s">
        <v>53</v>
      </c>
      <c r="F1287" s="139" t="s">
        <v>214</v>
      </c>
      <c r="G1287" s="43">
        <v>79.900000000000006</v>
      </c>
      <c r="H1287" s="43">
        <v>82.3</v>
      </c>
      <c r="I1287" s="33">
        <f>表1_4[[#This Row],[主队2]]-表1_4[[#This Row],[客队2]]</f>
        <v>-2.3999999999999901</v>
      </c>
      <c r="J128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287" s="35" t="s">
        <v>182</v>
      </c>
      <c r="L128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287" s="11"/>
      <c r="N1287" s="10" t="s">
        <v>119</v>
      </c>
      <c r="O1287" s="10" t="s">
        <v>32</v>
      </c>
      <c r="R1287" t="s">
        <v>852</v>
      </c>
      <c r="T1287" s="3"/>
      <c r="U1287" s="83"/>
      <c r="V1287" s="55" t="s">
        <v>1913</v>
      </c>
      <c r="W1287" s="56"/>
      <c r="X1287" s="45"/>
    </row>
    <row r="1288" spans="1:24">
      <c r="A1288" s="58" t="s">
        <v>948</v>
      </c>
      <c r="B1288" s="146">
        <v>44721.114583333299</v>
      </c>
      <c r="C1288" s="138">
        <v>2</v>
      </c>
      <c r="D1288" s="134" t="s">
        <v>274</v>
      </c>
      <c r="E1288" s="42" t="s">
        <v>68</v>
      </c>
      <c r="F1288" s="139" t="s">
        <v>302</v>
      </c>
      <c r="G1288" s="43">
        <v>94.9</v>
      </c>
      <c r="H1288" s="43">
        <v>87.3</v>
      </c>
      <c r="I1288" s="33">
        <f>表1_4[[#This Row],[主队2]]-表1_4[[#This Row],[客队2]]</f>
        <v>7.6000000000000103</v>
      </c>
      <c r="J128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288" s="35" t="s">
        <v>118</v>
      </c>
      <c r="L128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88" s="11"/>
      <c r="N1288" s="10" t="s">
        <v>112</v>
      </c>
      <c r="O1288" s="10" t="s">
        <v>65</v>
      </c>
      <c r="R1288" t="s">
        <v>852</v>
      </c>
      <c r="T1288" s="3"/>
      <c r="U1288" s="246"/>
      <c r="V1288" s="54" t="s">
        <v>1914</v>
      </c>
      <c r="W1288" s="52"/>
      <c r="X1288" s="45"/>
    </row>
    <row r="1289" spans="1:24">
      <c r="A1289" s="58" t="s">
        <v>948</v>
      </c>
      <c r="B1289" s="146">
        <v>44721.114583333299</v>
      </c>
      <c r="C1289" s="141">
        <v>2</v>
      </c>
      <c r="D1289" s="134" t="s">
        <v>200</v>
      </c>
      <c r="E1289" s="7" t="s">
        <v>60</v>
      </c>
      <c r="F1289" s="139" t="s">
        <v>262</v>
      </c>
      <c r="G1289" s="43">
        <v>84.6</v>
      </c>
      <c r="H1289" s="43">
        <v>92.3</v>
      </c>
      <c r="I1289" s="33">
        <f>表1_4[[#This Row],[主队2]]-表1_4[[#This Row],[客队2]]</f>
        <v>-7.7</v>
      </c>
      <c r="J128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289" s="35" t="s">
        <v>111</v>
      </c>
      <c r="L128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289" s="63" t="s">
        <v>1915</v>
      </c>
      <c r="N1289" s="10" t="s">
        <v>119</v>
      </c>
      <c r="O1289" s="10" t="s">
        <v>46</v>
      </c>
      <c r="R1289" t="s">
        <v>855</v>
      </c>
      <c r="T1289" s="3"/>
      <c r="U1289" s="246"/>
      <c r="V1289" s="80" t="s">
        <v>1916</v>
      </c>
      <c r="W1289" s="51"/>
      <c r="X1289" s="45"/>
    </row>
    <row r="1290" spans="1:24">
      <c r="A1290" s="58" t="s">
        <v>107</v>
      </c>
      <c r="B1290" s="146">
        <v>44718.763888888898</v>
      </c>
      <c r="C1290" s="26" t="s">
        <v>906</v>
      </c>
      <c r="D1290" s="134" t="s">
        <v>147</v>
      </c>
      <c r="E1290" s="7" t="s">
        <v>53</v>
      </c>
      <c r="F1290" s="139" t="s">
        <v>171</v>
      </c>
      <c r="G1290" s="43">
        <v>83.8</v>
      </c>
      <c r="H1290" s="43">
        <v>104.2</v>
      </c>
      <c r="I1290" s="33">
        <f>表1_4[[#This Row],[主队2]]-表1_4[[#This Row],[客队2]]</f>
        <v>-20.399999999999999</v>
      </c>
      <c r="J129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290" s="34">
        <v>-1.5</v>
      </c>
      <c r="L129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90" s="11"/>
      <c r="N1290" s="10" t="s">
        <v>133</v>
      </c>
      <c r="O1290" s="10" t="s">
        <v>32</v>
      </c>
      <c r="R1290" t="s">
        <v>852</v>
      </c>
      <c r="T1290" s="3"/>
      <c r="U1290" s="83"/>
      <c r="V1290" s="55" t="s">
        <v>1917</v>
      </c>
      <c r="W1290" s="56"/>
      <c r="X1290" s="45"/>
    </row>
    <row r="1291" spans="1:24">
      <c r="A1291" s="58" t="s">
        <v>107</v>
      </c>
      <c r="B1291" s="146">
        <v>44718.791666666701</v>
      </c>
      <c r="C1291" s="140" t="s">
        <v>906</v>
      </c>
      <c r="D1291" s="134" t="s">
        <v>185</v>
      </c>
      <c r="E1291" s="7" t="s">
        <v>22</v>
      </c>
      <c r="F1291" s="139" t="s">
        <v>175</v>
      </c>
      <c r="G1291" s="43">
        <v>78.8</v>
      </c>
      <c r="H1291" s="43">
        <v>84.8</v>
      </c>
      <c r="I1291" s="33">
        <f>表1_4[[#This Row],[主队2]]-表1_4[[#This Row],[客队2]]</f>
        <v>-6</v>
      </c>
      <c r="J129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291" s="35" t="s">
        <v>182</v>
      </c>
      <c r="L129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291" s="11"/>
      <c r="N1291" s="10" t="s">
        <v>119</v>
      </c>
      <c r="O1291" s="10" t="s">
        <v>65</v>
      </c>
      <c r="T1291" s="3"/>
      <c r="U1291" s="246"/>
      <c r="V1291" s="231" t="s">
        <v>1918</v>
      </c>
      <c r="W1291" s="52"/>
      <c r="X1291" s="45"/>
    </row>
    <row r="1292" spans="1:24">
      <c r="A1292" s="58" t="s">
        <v>128</v>
      </c>
      <c r="B1292" s="146">
        <v>44720.083333333299</v>
      </c>
      <c r="C1292" s="140" t="s">
        <v>1919</v>
      </c>
      <c r="D1292" s="134" t="s">
        <v>142</v>
      </c>
      <c r="E1292" s="7" t="s">
        <v>33</v>
      </c>
      <c r="F1292" s="139" t="s">
        <v>146</v>
      </c>
      <c r="G1292" s="43">
        <v>79.099999999999994</v>
      </c>
      <c r="H1292" s="43">
        <v>69.5</v>
      </c>
      <c r="I1292" s="33">
        <f>表1_4[[#This Row],[主队2]]-表1_4[[#This Row],[客队2]]</f>
        <v>9.5999999999999908</v>
      </c>
      <c r="J1292" s="34">
        <v>1</v>
      </c>
      <c r="K1292" s="35" t="s">
        <v>289</v>
      </c>
      <c r="L129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292" s="11"/>
      <c r="N1292" s="10" t="s">
        <v>112</v>
      </c>
      <c r="O1292" s="10" t="s">
        <v>65</v>
      </c>
      <c r="R1292" t="s">
        <v>855</v>
      </c>
      <c r="T1292" s="3"/>
      <c r="U1292" s="25" t="s">
        <v>776</v>
      </c>
      <c r="V1292" s="80" t="s">
        <v>1920</v>
      </c>
      <c r="W1292" s="241" t="s">
        <v>1921</v>
      </c>
      <c r="X1292" s="45"/>
    </row>
    <row r="1293" spans="1:24">
      <c r="A1293" s="58" t="s">
        <v>948</v>
      </c>
      <c r="B1293" s="146">
        <v>44722.114583333299</v>
      </c>
      <c r="C1293" s="279">
        <v>3</v>
      </c>
      <c r="D1293" s="134" t="s">
        <v>217</v>
      </c>
      <c r="E1293" s="7" t="s">
        <v>29</v>
      </c>
      <c r="F1293" s="139" t="s">
        <v>296</v>
      </c>
      <c r="G1293" s="43">
        <v>70.599999999999994</v>
      </c>
      <c r="H1293" s="43">
        <v>75.8</v>
      </c>
      <c r="I1293" s="33">
        <f>表1_4[[#This Row],[主队2]]-表1_4[[#This Row],[客队2]]</f>
        <v>-5.2</v>
      </c>
      <c r="J129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293" s="35" t="s">
        <v>182</v>
      </c>
      <c r="L1293" s="36" t="s">
        <v>183</v>
      </c>
      <c r="M1293" s="11"/>
      <c r="N1293" s="10" t="s">
        <v>119</v>
      </c>
      <c r="O1293" s="10" t="s">
        <v>40</v>
      </c>
      <c r="R1293" t="s">
        <v>852</v>
      </c>
      <c r="T1293" s="3"/>
      <c r="U1293" s="25" t="s">
        <v>1896</v>
      </c>
      <c r="V1293" s="54" t="s">
        <v>1922</v>
      </c>
      <c r="W1293" s="51"/>
      <c r="X1293" s="45"/>
    </row>
    <row r="1294" spans="1:24">
      <c r="A1294" s="58" t="s">
        <v>948</v>
      </c>
      <c r="B1294" s="146">
        <v>44722.114583333299</v>
      </c>
      <c r="C1294" s="140">
        <v>3</v>
      </c>
      <c r="D1294" s="134" t="s">
        <v>275</v>
      </c>
      <c r="E1294" s="7" t="s">
        <v>44</v>
      </c>
      <c r="F1294" s="139" t="s">
        <v>407</v>
      </c>
      <c r="G1294" s="43">
        <v>79.599999999999994</v>
      </c>
      <c r="H1294" s="43">
        <v>62.9</v>
      </c>
      <c r="I1294" s="33">
        <f>表1_4[[#This Row],[主队2]]-表1_4[[#This Row],[客队2]]</f>
        <v>16.7</v>
      </c>
      <c r="J129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294" s="35" t="s">
        <v>63</v>
      </c>
      <c r="L129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94" s="11"/>
      <c r="N1294" s="10" t="s">
        <v>119</v>
      </c>
      <c r="O1294" s="10" t="s">
        <v>48</v>
      </c>
      <c r="R1294" t="s">
        <v>852</v>
      </c>
      <c r="T1294" s="3"/>
      <c r="U1294" s="83"/>
      <c r="V1294" s="55" t="s">
        <v>731</v>
      </c>
      <c r="W1294" s="56"/>
      <c r="X1294" s="45"/>
    </row>
    <row r="1295" spans="1:24">
      <c r="A1295" s="58" t="s">
        <v>948</v>
      </c>
      <c r="B1295" s="146">
        <v>44722.114583333299</v>
      </c>
      <c r="C1295" s="140">
        <v>3</v>
      </c>
      <c r="D1295" s="134" t="s">
        <v>270</v>
      </c>
      <c r="E1295" s="7" t="s">
        <v>22</v>
      </c>
      <c r="F1295" s="139" t="s">
        <v>284</v>
      </c>
      <c r="G1295" s="43">
        <v>94.7</v>
      </c>
      <c r="H1295" s="43">
        <v>86.2</v>
      </c>
      <c r="I1295" s="33">
        <f>表1_4[[#This Row],[主队2]]-表1_4[[#This Row],[客队2]]</f>
        <v>8.5</v>
      </c>
      <c r="J129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295" s="35" t="s">
        <v>125</v>
      </c>
      <c r="L129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295" s="11"/>
      <c r="N1295" s="10" t="s">
        <v>112</v>
      </c>
      <c r="O1295" s="10" t="s">
        <v>40</v>
      </c>
      <c r="R1295" t="s">
        <v>855</v>
      </c>
      <c r="T1295" s="3"/>
      <c r="U1295" s="246" t="s">
        <v>1923</v>
      </c>
      <c r="V1295" s="231" t="s">
        <v>1924</v>
      </c>
      <c r="W1295" s="52"/>
      <c r="X1295" s="45"/>
    </row>
    <row r="1296" spans="1:24">
      <c r="A1296" s="58" t="s">
        <v>948</v>
      </c>
      <c r="B1296" s="146">
        <v>44722.114583333299</v>
      </c>
      <c r="C1296" s="140">
        <v>3</v>
      </c>
      <c r="D1296" s="134" t="s">
        <v>250</v>
      </c>
      <c r="E1296" s="7" t="s">
        <v>53</v>
      </c>
      <c r="F1296" s="139" t="s">
        <v>209</v>
      </c>
      <c r="G1296" s="43">
        <v>89.7</v>
      </c>
      <c r="H1296" s="43">
        <v>94.6</v>
      </c>
      <c r="I1296" s="33">
        <f>表1_4[[#This Row],[主队2]]-表1_4[[#This Row],[客队2]]</f>
        <v>-4.8999999999999897</v>
      </c>
      <c r="J129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296" s="35" t="s">
        <v>132</v>
      </c>
      <c r="L129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296" s="11"/>
      <c r="N1296" s="10" t="s">
        <v>119</v>
      </c>
      <c r="O1296" s="10" t="s">
        <v>65</v>
      </c>
      <c r="R1296" t="s">
        <v>855</v>
      </c>
      <c r="T1296" s="3"/>
      <c r="U1296" s="246"/>
      <c r="V1296" s="231" t="s">
        <v>1925</v>
      </c>
      <c r="W1296" s="44"/>
      <c r="X1296" s="45"/>
    </row>
    <row r="1297" spans="1:24">
      <c r="A1297" s="58" t="s">
        <v>948</v>
      </c>
      <c r="B1297" s="146">
        <v>44722.114583333299</v>
      </c>
      <c r="C1297" s="140">
        <v>3</v>
      </c>
      <c r="D1297" s="134" t="s">
        <v>297</v>
      </c>
      <c r="E1297" s="7" t="s">
        <v>42</v>
      </c>
      <c r="F1297" s="139" t="s">
        <v>309</v>
      </c>
      <c r="G1297" s="43">
        <v>82.7</v>
      </c>
      <c r="H1297" s="43">
        <v>75.3</v>
      </c>
      <c r="I1297" s="33">
        <f>表1_4[[#This Row],[主队2]]-表1_4[[#This Row],[客队2]]</f>
        <v>7.4000000000000101</v>
      </c>
      <c r="J129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297" s="35" t="s">
        <v>125</v>
      </c>
      <c r="L129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297" s="11"/>
      <c r="N1297" s="10" t="s">
        <v>119</v>
      </c>
      <c r="O1297" s="10" t="s">
        <v>24</v>
      </c>
      <c r="R1297" t="s">
        <v>855</v>
      </c>
      <c r="T1297" s="3"/>
      <c r="U1297" s="83"/>
      <c r="V1297" s="55" t="s">
        <v>1926</v>
      </c>
      <c r="W1297" s="51"/>
      <c r="X1297" s="45"/>
    </row>
    <row r="1298" spans="1:24">
      <c r="A1298" s="58" t="s">
        <v>948</v>
      </c>
      <c r="B1298" s="146">
        <v>44722.114583333299</v>
      </c>
      <c r="C1298" s="140">
        <v>3</v>
      </c>
      <c r="D1298" s="134" t="s">
        <v>239</v>
      </c>
      <c r="E1298" s="7" t="s">
        <v>53</v>
      </c>
      <c r="F1298" s="139" t="s">
        <v>434</v>
      </c>
      <c r="G1298" s="43">
        <v>85.7</v>
      </c>
      <c r="H1298" s="43">
        <v>84.9</v>
      </c>
      <c r="I1298" s="33">
        <f>表1_4[[#This Row],[主队2]]-表1_4[[#This Row],[客队2]]</f>
        <v>0.79999999999999705</v>
      </c>
      <c r="J129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298" s="35" t="s">
        <v>166</v>
      </c>
      <c r="L129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298" s="11"/>
      <c r="N1298" s="10" t="s">
        <v>133</v>
      </c>
      <c r="O1298" s="10" t="s">
        <v>35</v>
      </c>
      <c r="R1298" t="s">
        <v>855</v>
      </c>
      <c r="T1298" s="3"/>
      <c r="U1298" s="246" t="s">
        <v>177</v>
      </c>
      <c r="V1298" s="231" t="s">
        <v>1927</v>
      </c>
      <c r="W1298" s="48"/>
      <c r="X1298" s="45"/>
    </row>
    <row r="1299" spans="1:24">
      <c r="A1299" s="58" t="s">
        <v>948</v>
      </c>
      <c r="B1299" s="146">
        <v>44722.114583333299</v>
      </c>
      <c r="C1299" s="140">
        <v>3</v>
      </c>
      <c r="D1299" s="134" t="s">
        <v>256</v>
      </c>
      <c r="E1299" s="7" t="s">
        <v>36</v>
      </c>
      <c r="F1299" s="139" t="s">
        <v>261</v>
      </c>
      <c r="G1299" s="43">
        <v>39.5</v>
      </c>
      <c r="H1299" s="43">
        <v>72.3</v>
      </c>
      <c r="I1299" s="33">
        <f>表1_4[[#This Row],[主队2]]-表1_4[[#This Row],[客队2]]</f>
        <v>-32.799999999999997</v>
      </c>
      <c r="J1299" s="34">
        <v>-3</v>
      </c>
      <c r="K1299" s="34">
        <v>-2</v>
      </c>
      <c r="L129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299" s="11"/>
      <c r="N1299" s="57" t="s">
        <v>404</v>
      </c>
      <c r="O1299" s="10" t="s">
        <v>28</v>
      </c>
      <c r="R1299" t="s">
        <v>855</v>
      </c>
      <c r="T1299" s="3"/>
      <c r="U1299" s="246"/>
      <c r="V1299" s="55" t="s">
        <v>1928</v>
      </c>
      <c r="W1299" s="48"/>
      <c r="X1299" s="45"/>
    </row>
    <row r="1300" spans="1:24">
      <c r="A1300" s="58" t="s">
        <v>948</v>
      </c>
      <c r="B1300" s="146">
        <v>44722.114583333299</v>
      </c>
      <c r="C1300" s="141">
        <v>3</v>
      </c>
      <c r="D1300" s="134" t="s">
        <v>440</v>
      </c>
      <c r="E1300" s="7" t="s">
        <v>64</v>
      </c>
      <c r="F1300" s="139" t="s">
        <v>430</v>
      </c>
      <c r="G1300" s="43">
        <v>75</v>
      </c>
      <c r="H1300" s="43">
        <v>74.599999999999994</v>
      </c>
      <c r="I1300" s="33">
        <f>表1_4[[#This Row],[主队2]]-表1_4[[#This Row],[客队2]]</f>
        <v>0.40000000000000602</v>
      </c>
      <c r="J130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300" s="35" t="s">
        <v>182</v>
      </c>
      <c r="L130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00" s="11"/>
      <c r="N1300" s="10" t="s">
        <v>119</v>
      </c>
      <c r="O1300" s="10" t="s">
        <v>28</v>
      </c>
      <c r="R1300" t="s">
        <v>852</v>
      </c>
      <c r="T1300" s="3"/>
      <c r="U1300" s="25"/>
      <c r="V1300" s="231" t="s">
        <v>1929</v>
      </c>
      <c r="W1300" s="48"/>
      <c r="X1300" s="45"/>
    </row>
    <row r="1301" spans="1:24">
      <c r="A1301" s="58" t="s">
        <v>948</v>
      </c>
      <c r="B1301" s="146">
        <v>44722.114583333299</v>
      </c>
      <c r="C1301" s="140">
        <v>3</v>
      </c>
      <c r="D1301" s="134" t="s">
        <v>929</v>
      </c>
      <c r="E1301" s="7" t="s">
        <v>60</v>
      </c>
      <c r="F1301" s="139" t="s">
        <v>403</v>
      </c>
      <c r="G1301" s="43">
        <v>56.1</v>
      </c>
      <c r="H1301" s="43">
        <v>65.099999999999994</v>
      </c>
      <c r="I1301" s="33">
        <f>表1_4[[#This Row],[主队2]]-表1_4[[#This Row],[客队2]]</f>
        <v>-8.9999999999999893</v>
      </c>
      <c r="J130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301" s="35" t="s">
        <v>166</v>
      </c>
      <c r="L130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301" s="11"/>
      <c r="N1301" s="10" t="s">
        <v>119</v>
      </c>
      <c r="O1301" s="10" t="s">
        <v>65</v>
      </c>
      <c r="R1301" t="s">
        <v>855</v>
      </c>
      <c r="T1301" s="3"/>
      <c r="U1301" s="246"/>
      <c r="V1301" s="55" t="s">
        <v>1930</v>
      </c>
      <c r="W1301" s="44"/>
      <c r="X1301" s="45"/>
    </row>
    <row r="1302" spans="1:24">
      <c r="A1302" s="58" t="s">
        <v>948</v>
      </c>
      <c r="B1302" s="146">
        <v>44723</v>
      </c>
      <c r="C1302" s="145">
        <v>3</v>
      </c>
      <c r="D1302" s="134" t="s">
        <v>195</v>
      </c>
      <c r="E1302" s="7" t="s">
        <v>78</v>
      </c>
      <c r="F1302" s="139" t="s">
        <v>251</v>
      </c>
      <c r="G1302" s="43">
        <v>58.7</v>
      </c>
      <c r="H1302" s="43">
        <v>64.099999999999994</v>
      </c>
      <c r="I1302" s="33">
        <f>表1_4[[#This Row],[主队2]]-表1_4[[#This Row],[客队2]]</f>
        <v>-5.3999999999999897</v>
      </c>
      <c r="J130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302" s="35" t="s">
        <v>166</v>
      </c>
      <c r="L130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02" s="11"/>
      <c r="N1302" s="57" t="s">
        <v>133</v>
      </c>
      <c r="O1302" s="10" t="s">
        <v>65</v>
      </c>
      <c r="R1302" t="s">
        <v>855</v>
      </c>
      <c r="T1302" s="3"/>
      <c r="U1302" s="83"/>
      <c r="V1302" s="231" t="s">
        <v>1931</v>
      </c>
      <c r="W1302" s="52"/>
      <c r="X1302" s="45"/>
    </row>
    <row r="1303" spans="1:24">
      <c r="A1303" s="58" t="s">
        <v>948</v>
      </c>
      <c r="B1303" s="146">
        <v>44723</v>
      </c>
      <c r="C1303" s="138">
        <v>3</v>
      </c>
      <c r="D1303" s="134" t="s">
        <v>278</v>
      </c>
      <c r="E1303" s="7" t="s">
        <v>53</v>
      </c>
      <c r="F1303" s="139" t="s">
        <v>425</v>
      </c>
      <c r="G1303" s="43">
        <v>62.4</v>
      </c>
      <c r="H1303" s="43">
        <v>78.8</v>
      </c>
      <c r="I1303" s="33">
        <f>表1_4[[#This Row],[主队2]]-表1_4[[#This Row],[客队2]]</f>
        <v>-16.399999999999999</v>
      </c>
      <c r="J130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303" s="73" t="s">
        <v>111</v>
      </c>
      <c r="L130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303" s="11"/>
      <c r="N1303" s="10" t="s">
        <v>133</v>
      </c>
      <c r="O1303" s="10" t="s">
        <v>65</v>
      </c>
      <c r="R1303" t="s">
        <v>852</v>
      </c>
      <c r="T1303" s="3"/>
      <c r="U1303" s="246"/>
      <c r="V1303" s="62" t="s">
        <v>1932</v>
      </c>
      <c r="W1303" s="241"/>
      <c r="X1303" s="45"/>
    </row>
    <row r="1304" spans="1:24">
      <c r="A1304" s="58" t="s">
        <v>948</v>
      </c>
      <c r="B1304" s="146">
        <v>44723.114583333299</v>
      </c>
      <c r="C1304" s="140">
        <v>3</v>
      </c>
      <c r="D1304" s="134" t="s">
        <v>240</v>
      </c>
      <c r="E1304" s="7" t="s">
        <v>36</v>
      </c>
      <c r="F1304" s="139" t="s">
        <v>288</v>
      </c>
      <c r="G1304" s="43">
        <v>69.8</v>
      </c>
      <c r="H1304" s="43">
        <v>66.099999999999994</v>
      </c>
      <c r="I1304" s="33">
        <f>表1_4[[#This Row],[主队2]]-表1_4[[#This Row],[客队2]]</f>
        <v>3.7</v>
      </c>
      <c r="J1304" s="34">
        <v>0.25</v>
      </c>
      <c r="K1304" s="35" t="s">
        <v>182</v>
      </c>
      <c r="L130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04" s="11"/>
      <c r="N1304" s="10" t="s">
        <v>119</v>
      </c>
      <c r="O1304" s="10" t="s">
        <v>65</v>
      </c>
      <c r="T1304" s="3"/>
      <c r="U1304" s="246" t="s">
        <v>776</v>
      </c>
      <c r="V1304" s="55" t="s">
        <v>1933</v>
      </c>
      <c r="W1304" s="56"/>
      <c r="X1304" s="45"/>
    </row>
    <row r="1305" spans="1:24">
      <c r="A1305" s="58" t="s">
        <v>948</v>
      </c>
      <c r="B1305" s="146">
        <v>44723.114583333299</v>
      </c>
      <c r="C1305" s="140">
        <v>3</v>
      </c>
      <c r="D1305" s="134" t="s">
        <v>205</v>
      </c>
      <c r="E1305" s="7" t="s">
        <v>60</v>
      </c>
      <c r="F1305" s="139" t="s">
        <v>210</v>
      </c>
      <c r="G1305" s="43">
        <v>72.3</v>
      </c>
      <c r="H1305" s="43">
        <v>73.8</v>
      </c>
      <c r="I1305" s="33">
        <f>表1_4[[#This Row],[主队2]]-表1_4[[#This Row],[客队2]]</f>
        <v>-1.5</v>
      </c>
      <c r="J130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305" s="35" t="s">
        <v>182</v>
      </c>
      <c r="L130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05" s="11"/>
      <c r="N1305" s="10" t="s">
        <v>119</v>
      </c>
      <c r="O1305" s="10" t="s">
        <v>24</v>
      </c>
      <c r="R1305" t="s">
        <v>855</v>
      </c>
      <c r="T1305" s="3"/>
      <c r="U1305" s="83"/>
      <c r="V1305" s="55" t="s">
        <v>1934</v>
      </c>
      <c r="W1305" s="56"/>
      <c r="X1305" s="45"/>
    </row>
    <row r="1306" spans="1:24">
      <c r="A1306" s="58" t="s">
        <v>948</v>
      </c>
      <c r="B1306" s="146">
        <v>44723.114583333299</v>
      </c>
      <c r="C1306" s="141">
        <v>3</v>
      </c>
      <c r="D1306" s="134" t="s">
        <v>194</v>
      </c>
      <c r="E1306" s="7" t="s">
        <v>36</v>
      </c>
      <c r="F1306" s="139" t="s">
        <v>267</v>
      </c>
      <c r="G1306" s="43">
        <v>82.9</v>
      </c>
      <c r="H1306" s="43">
        <v>95.5</v>
      </c>
      <c r="I1306" s="33">
        <f>表1_4[[#This Row],[主队2]]-表1_4[[#This Row],[客队2]]</f>
        <v>-12.6</v>
      </c>
      <c r="J130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306" s="35" t="s">
        <v>111</v>
      </c>
      <c r="L130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06" s="11"/>
      <c r="N1306" s="10" t="s">
        <v>119</v>
      </c>
      <c r="O1306" s="10" t="s">
        <v>46</v>
      </c>
      <c r="R1306" t="s">
        <v>852</v>
      </c>
      <c r="T1306" s="3"/>
      <c r="U1306" s="83"/>
      <c r="V1306" s="62" t="s">
        <v>1935</v>
      </c>
      <c r="W1306" s="52"/>
      <c r="X1306" s="45"/>
    </row>
    <row r="1307" spans="1:24">
      <c r="A1307" s="58" t="s">
        <v>948</v>
      </c>
      <c r="B1307" s="146">
        <v>44723.114583333299</v>
      </c>
      <c r="C1307" s="141">
        <v>3</v>
      </c>
      <c r="D1307" s="134" t="s">
        <v>306</v>
      </c>
      <c r="E1307" s="7" t="s">
        <v>53</v>
      </c>
      <c r="F1307" s="139" t="s">
        <v>110</v>
      </c>
      <c r="G1307" s="43">
        <v>93.2</v>
      </c>
      <c r="H1307" s="43">
        <v>87.8</v>
      </c>
      <c r="I1307" s="33">
        <f>表1_4[[#This Row],[主队2]]-表1_4[[#This Row],[客队2]]</f>
        <v>5.4000000000000101</v>
      </c>
      <c r="J130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307" s="35" t="s">
        <v>289</v>
      </c>
      <c r="L130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07" s="11"/>
      <c r="N1307" s="10" t="s">
        <v>112</v>
      </c>
      <c r="O1307" s="10" t="s">
        <v>48</v>
      </c>
      <c r="R1307" t="s">
        <v>852</v>
      </c>
      <c r="T1307" s="3"/>
      <c r="U1307" s="83"/>
      <c r="V1307" s="234" t="s">
        <v>1936</v>
      </c>
      <c r="W1307" s="241"/>
      <c r="X1307" s="45"/>
    </row>
    <row r="1308" spans="1:24">
      <c r="A1308" s="58" t="s">
        <v>948</v>
      </c>
      <c r="B1308" s="146">
        <v>44723.114583333299</v>
      </c>
      <c r="C1308" s="140">
        <v>3</v>
      </c>
      <c r="D1308" s="134" t="s">
        <v>243</v>
      </c>
      <c r="E1308" s="7" t="s">
        <v>33</v>
      </c>
      <c r="F1308" s="139" t="s">
        <v>437</v>
      </c>
      <c r="G1308" s="43">
        <v>47.2</v>
      </c>
      <c r="H1308" s="43">
        <v>45.2</v>
      </c>
      <c r="I1308" s="33">
        <f>表1_4[[#This Row],[主队2]]-表1_4[[#This Row],[客队2]]</f>
        <v>2</v>
      </c>
      <c r="J130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308" s="35" t="s">
        <v>289</v>
      </c>
      <c r="L130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08" s="11"/>
      <c r="N1308" s="10" t="s">
        <v>112</v>
      </c>
      <c r="O1308" s="10" t="s">
        <v>46</v>
      </c>
      <c r="R1308" t="s">
        <v>852</v>
      </c>
      <c r="T1308" s="3"/>
      <c r="U1308" s="83"/>
      <c r="V1308" s="80" t="s">
        <v>1937</v>
      </c>
      <c r="W1308" s="44"/>
      <c r="X1308" s="45"/>
    </row>
    <row r="1309" spans="1:24">
      <c r="A1309" s="58" t="s">
        <v>948</v>
      </c>
      <c r="B1309" s="146">
        <v>44723.875</v>
      </c>
      <c r="C1309" s="140">
        <v>3</v>
      </c>
      <c r="D1309" s="134" t="s">
        <v>214</v>
      </c>
      <c r="E1309" s="7" t="s">
        <v>44</v>
      </c>
      <c r="F1309" s="139" t="s">
        <v>287</v>
      </c>
      <c r="G1309" s="43">
        <v>83</v>
      </c>
      <c r="H1309" s="43">
        <v>69.099999999999994</v>
      </c>
      <c r="I1309" s="33">
        <f>表1_4[[#This Row],[主队2]]-表1_4[[#This Row],[客队2]]</f>
        <v>13.9</v>
      </c>
      <c r="J1309" s="34">
        <v>1.5</v>
      </c>
      <c r="K1309" s="34">
        <v>1.75</v>
      </c>
      <c r="L130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09" s="11"/>
      <c r="N1309" s="10" t="s">
        <v>160</v>
      </c>
      <c r="O1309" s="10" t="s">
        <v>35</v>
      </c>
      <c r="R1309" t="s">
        <v>852</v>
      </c>
      <c r="T1309" s="3"/>
      <c r="U1309" s="83" t="s">
        <v>776</v>
      </c>
      <c r="V1309" s="231" t="s">
        <v>1938</v>
      </c>
      <c r="W1309" s="52"/>
      <c r="X1309" s="45"/>
    </row>
    <row r="1310" spans="1:24">
      <c r="A1310" s="58" t="s">
        <v>948</v>
      </c>
      <c r="B1310" s="146">
        <v>44724</v>
      </c>
      <c r="C1310" s="138">
        <v>3</v>
      </c>
      <c r="D1310" s="134" t="s">
        <v>244</v>
      </c>
      <c r="E1310" s="7" t="s">
        <v>33</v>
      </c>
      <c r="F1310" s="139" t="s">
        <v>292</v>
      </c>
      <c r="G1310" s="43">
        <v>58.1</v>
      </c>
      <c r="H1310" s="43">
        <v>60.6</v>
      </c>
      <c r="I1310" s="33">
        <f>表1_4[[#This Row],[主队2]]-表1_4[[#This Row],[客队2]]</f>
        <v>-2.5</v>
      </c>
      <c r="J131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310" s="35" t="s">
        <v>182</v>
      </c>
      <c r="L131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10" s="11"/>
      <c r="N1310" s="10" t="s">
        <v>119</v>
      </c>
      <c r="O1310" s="10" t="s">
        <v>48</v>
      </c>
      <c r="R1310" t="s">
        <v>852</v>
      </c>
      <c r="T1310" s="3"/>
      <c r="U1310" s="83"/>
      <c r="V1310" s="55" t="s">
        <v>1939</v>
      </c>
      <c r="W1310" s="56"/>
      <c r="X1310" s="45"/>
    </row>
    <row r="1311" spans="1:24">
      <c r="A1311" s="58" t="s">
        <v>948</v>
      </c>
      <c r="B1311" s="146">
        <v>44724.114583333299</v>
      </c>
      <c r="C1311" s="138">
        <v>3</v>
      </c>
      <c r="D1311" s="134" t="s">
        <v>266</v>
      </c>
      <c r="E1311" s="7" t="s">
        <v>47</v>
      </c>
      <c r="F1311" s="139" t="s">
        <v>190</v>
      </c>
      <c r="G1311" s="43">
        <v>64.2</v>
      </c>
      <c r="H1311" s="43">
        <v>80.599999999999994</v>
      </c>
      <c r="I1311" s="33">
        <f>表1_4[[#This Row],[主队2]]-表1_4[[#This Row],[客队2]]</f>
        <v>-16.399999999999999</v>
      </c>
      <c r="J131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311" s="35" t="s">
        <v>219</v>
      </c>
      <c r="L131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11" s="11"/>
      <c r="N1311" s="10" t="s">
        <v>133</v>
      </c>
      <c r="O1311" s="10" t="s">
        <v>28</v>
      </c>
      <c r="T1311" s="3"/>
      <c r="U1311" s="231"/>
      <c r="V1311" s="55" t="s">
        <v>1940</v>
      </c>
      <c r="W1311" s="62"/>
      <c r="X1311" s="137"/>
    </row>
    <row r="1312" spans="1:24">
      <c r="A1312" s="58" t="s">
        <v>948</v>
      </c>
      <c r="B1312" s="146">
        <v>44724</v>
      </c>
      <c r="C1312" s="138">
        <v>3</v>
      </c>
      <c r="D1312" s="134" t="s">
        <v>199</v>
      </c>
      <c r="E1312" s="7" t="s">
        <v>44</v>
      </c>
      <c r="F1312" s="139" t="s">
        <v>123</v>
      </c>
      <c r="G1312" s="43">
        <v>79.2</v>
      </c>
      <c r="H1312" s="43">
        <v>79.2</v>
      </c>
      <c r="I1312" s="33">
        <f>表1_4[[#This Row],[主队2]]-表1_4[[#This Row],[客队2]]</f>
        <v>0</v>
      </c>
      <c r="J131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312" s="35" t="s">
        <v>182</v>
      </c>
      <c r="L131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12" s="11"/>
      <c r="N1312" s="10" t="s">
        <v>133</v>
      </c>
      <c r="O1312" s="10" t="s">
        <v>48</v>
      </c>
      <c r="R1312" t="s">
        <v>855</v>
      </c>
      <c r="T1312" s="3"/>
      <c r="U1312" s="83"/>
      <c r="V1312" s="62" t="s">
        <v>1941</v>
      </c>
      <c r="W1312" s="241"/>
      <c r="X1312" s="45"/>
    </row>
    <row r="1313" spans="1:25">
      <c r="A1313" s="58" t="s">
        <v>948</v>
      </c>
      <c r="B1313" s="146">
        <v>44724.114583333299</v>
      </c>
      <c r="C1313" s="138">
        <v>3</v>
      </c>
      <c r="D1313" s="134" t="s">
        <v>117</v>
      </c>
      <c r="E1313" s="7" t="s">
        <v>42</v>
      </c>
      <c r="F1313" s="139" t="s">
        <v>204</v>
      </c>
      <c r="G1313" s="43">
        <v>96.6</v>
      </c>
      <c r="H1313" s="43">
        <v>93.1</v>
      </c>
      <c r="I1313" s="33">
        <f>表1_4[[#This Row],[主队2]]-表1_4[[#This Row],[客队2]]</f>
        <v>3.5</v>
      </c>
      <c r="J131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313" s="35" t="s">
        <v>118</v>
      </c>
      <c r="L131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13" s="11"/>
      <c r="N1313" s="10" t="s">
        <v>133</v>
      </c>
      <c r="O1313" s="57" t="s">
        <v>46</v>
      </c>
      <c r="R1313" t="s">
        <v>852</v>
      </c>
      <c r="T1313" s="3"/>
      <c r="U1313" s="231"/>
      <c r="V1313" s="282" t="s">
        <v>1942</v>
      </c>
      <c r="W1313" s="241"/>
      <c r="X1313" s="45"/>
    </row>
    <row r="1314" spans="1:25">
      <c r="A1314" s="58" t="s">
        <v>948</v>
      </c>
      <c r="B1314" s="146">
        <v>44724.114583333299</v>
      </c>
      <c r="C1314" s="138">
        <v>3</v>
      </c>
      <c r="D1314" s="134" t="s">
        <v>271</v>
      </c>
      <c r="E1314" s="7" t="s">
        <v>36</v>
      </c>
      <c r="F1314" s="139" t="s">
        <v>116</v>
      </c>
      <c r="G1314" s="43">
        <v>79</v>
      </c>
      <c r="H1314" s="43">
        <v>96.2</v>
      </c>
      <c r="I1314" s="33">
        <f>表1_4[[#This Row],[主队2]]-表1_4[[#This Row],[客队2]]</f>
        <v>-17.2</v>
      </c>
      <c r="J131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314" s="35" t="s">
        <v>219</v>
      </c>
      <c r="L131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14" s="11"/>
      <c r="N1314" s="10" t="s">
        <v>119</v>
      </c>
      <c r="O1314" s="10" t="s">
        <v>65</v>
      </c>
      <c r="T1314" s="3"/>
      <c r="U1314" s="83"/>
      <c r="V1314" s="231" t="s">
        <v>1943</v>
      </c>
      <c r="W1314" s="44"/>
      <c r="X1314" s="45"/>
    </row>
    <row r="1315" spans="1:25">
      <c r="A1315" s="58" t="s">
        <v>948</v>
      </c>
      <c r="B1315" s="146">
        <v>44724.114583333299</v>
      </c>
      <c r="C1315" s="140">
        <v>3</v>
      </c>
      <c r="D1315" s="134" t="s">
        <v>262</v>
      </c>
      <c r="E1315" s="7" t="s">
        <v>25</v>
      </c>
      <c r="F1315" s="139" t="s">
        <v>302</v>
      </c>
      <c r="G1315" s="43">
        <v>92.9</v>
      </c>
      <c r="H1315" s="43">
        <v>86</v>
      </c>
      <c r="I1315" s="33">
        <f>表1_4[[#This Row],[主队2]]-表1_4[[#This Row],[客队2]]</f>
        <v>6.9000000000000101</v>
      </c>
      <c r="J131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315" s="35" t="s">
        <v>125</v>
      </c>
      <c r="L131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15" s="11"/>
      <c r="N1315" s="10" t="s">
        <v>112</v>
      </c>
      <c r="O1315" s="10" t="s">
        <v>27</v>
      </c>
      <c r="R1315" t="s">
        <v>855</v>
      </c>
      <c r="T1315" s="3"/>
      <c r="U1315" s="83"/>
      <c r="V1315" s="55" t="s">
        <v>1944</v>
      </c>
      <c r="W1315" s="52"/>
      <c r="X1315" s="45"/>
    </row>
    <row r="1316" spans="1:25">
      <c r="A1316" s="58" t="s">
        <v>948</v>
      </c>
      <c r="B1316" s="146">
        <v>44724.114583333299</v>
      </c>
      <c r="C1316" s="145">
        <v>3</v>
      </c>
      <c r="D1316" s="134" t="s">
        <v>200</v>
      </c>
      <c r="E1316" s="7" t="s">
        <v>36</v>
      </c>
      <c r="F1316" s="139" t="s">
        <v>274</v>
      </c>
      <c r="G1316" s="43">
        <v>84</v>
      </c>
      <c r="H1316" s="43">
        <v>96.2</v>
      </c>
      <c r="I1316" s="33">
        <f>表1_4[[#This Row],[主队2]]-表1_4[[#This Row],[客队2]]</f>
        <v>-12.2</v>
      </c>
      <c r="J131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316" s="35" t="s">
        <v>132</v>
      </c>
      <c r="L131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316" s="11"/>
      <c r="N1316" s="10" t="s">
        <v>119</v>
      </c>
      <c r="O1316" s="10" t="s">
        <v>28</v>
      </c>
      <c r="T1316" s="3"/>
      <c r="U1316" s="25"/>
      <c r="V1316" s="54" t="s">
        <v>1945</v>
      </c>
      <c r="W1316" s="51"/>
      <c r="X1316" s="45"/>
    </row>
    <row r="1317" spans="1:25">
      <c r="A1317" s="58" t="s">
        <v>948</v>
      </c>
      <c r="B1317" s="146">
        <v>44724.114583333299</v>
      </c>
      <c r="C1317" s="140">
        <v>3</v>
      </c>
      <c r="D1317" s="134" t="s">
        <v>301</v>
      </c>
      <c r="E1317" s="7" t="s">
        <v>36</v>
      </c>
      <c r="F1317" s="139" t="s">
        <v>255</v>
      </c>
      <c r="G1317" s="43">
        <v>72.5</v>
      </c>
      <c r="H1317" s="43">
        <v>79.3</v>
      </c>
      <c r="I1317" s="33">
        <f>表1_4[[#This Row],[主队2]]-表1_4[[#This Row],[客队2]]</f>
        <v>-6.8</v>
      </c>
      <c r="J131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317" s="35" t="s">
        <v>166</v>
      </c>
      <c r="L131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317" s="11"/>
      <c r="N1317" s="46" t="s">
        <v>160</v>
      </c>
      <c r="O1317" s="10" t="s">
        <v>35</v>
      </c>
      <c r="R1317" t="s">
        <v>852</v>
      </c>
      <c r="T1317" s="3"/>
      <c r="U1317" s="25" t="s">
        <v>310</v>
      </c>
      <c r="V1317" s="80" t="s">
        <v>1946</v>
      </c>
      <c r="W1317" s="44"/>
      <c r="X1317" s="45"/>
    </row>
    <row r="1318" spans="1:25">
      <c r="A1318" s="58" t="s">
        <v>948</v>
      </c>
      <c r="B1318" s="146">
        <v>44724.114583333299</v>
      </c>
      <c r="C1318" s="140">
        <v>3</v>
      </c>
      <c r="D1318" s="69" t="s">
        <v>305</v>
      </c>
      <c r="E1318" s="7" t="s">
        <v>31</v>
      </c>
      <c r="F1318" s="139" t="s">
        <v>191</v>
      </c>
      <c r="G1318" s="43">
        <v>78</v>
      </c>
      <c r="H1318" s="43">
        <v>78.099999999999994</v>
      </c>
      <c r="I1318" s="33">
        <f>表1_4[[#This Row],[主队2]]-表1_4[[#This Row],[客队2]]</f>
        <v>-9.9999999999994302E-2</v>
      </c>
      <c r="J131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318" s="35" t="s">
        <v>289</v>
      </c>
      <c r="L131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18" s="11"/>
      <c r="N1318" s="57" t="s">
        <v>404</v>
      </c>
      <c r="O1318" s="10" t="s">
        <v>24</v>
      </c>
      <c r="R1318" t="s">
        <v>855</v>
      </c>
      <c r="T1318" s="3" t="s">
        <v>1066</v>
      </c>
      <c r="U1318" s="83"/>
      <c r="V1318" s="62" t="s">
        <v>1947</v>
      </c>
      <c r="W1318" s="48"/>
      <c r="X1318" s="45"/>
    </row>
    <row r="1319" spans="1:25">
      <c r="A1319" s="58" t="s">
        <v>948</v>
      </c>
      <c r="B1319" s="146" t="s">
        <v>1948</v>
      </c>
      <c r="C1319" s="138"/>
      <c r="D1319" s="134" t="s">
        <v>407</v>
      </c>
      <c r="E1319" s="7" t="s">
        <v>22</v>
      </c>
      <c r="F1319" s="139" t="s">
        <v>403</v>
      </c>
      <c r="G1319" s="43">
        <v>62.3</v>
      </c>
      <c r="H1319" s="43">
        <v>66.599999999999994</v>
      </c>
      <c r="I1319" s="33">
        <f>表1_4[[#This Row],[主队2]]-表1_4[[#This Row],[客队2]]</f>
        <v>-4.3</v>
      </c>
      <c r="J131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319" s="35" t="s">
        <v>182</v>
      </c>
      <c r="L131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19" s="11"/>
      <c r="N1319" s="10" t="s">
        <v>133</v>
      </c>
      <c r="O1319" s="10" t="s">
        <v>40</v>
      </c>
      <c r="T1319" s="3"/>
      <c r="U1319" s="83" t="s">
        <v>1949</v>
      </c>
      <c r="V1319" s="62" t="s">
        <v>1950</v>
      </c>
      <c r="W1319" s="44"/>
      <c r="X1319" s="45"/>
    </row>
    <row r="1320" spans="1:25">
      <c r="A1320" s="58" t="s">
        <v>107</v>
      </c>
      <c r="B1320" s="146" t="s">
        <v>1951</v>
      </c>
      <c r="C1320" s="138"/>
      <c r="D1320" s="134" t="s">
        <v>256</v>
      </c>
      <c r="E1320" s="7" t="s">
        <v>53</v>
      </c>
      <c r="F1320" s="139" t="s">
        <v>403</v>
      </c>
      <c r="G1320" s="43">
        <v>39.5</v>
      </c>
      <c r="H1320" s="43">
        <v>68.099999999999994</v>
      </c>
      <c r="I1320" s="33">
        <f>表1_4[[#This Row],[主队2]]-表1_4[[#This Row],[客队2]]</f>
        <v>-28.6</v>
      </c>
      <c r="J1320" s="35" t="s">
        <v>1062</v>
      </c>
      <c r="K1320" s="35" t="s">
        <v>219</v>
      </c>
      <c r="L132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320" s="11"/>
      <c r="N1320" s="10" t="s">
        <v>119</v>
      </c>
      <c r="O1320" s="10" t="s">
        <v>35</v>
      </c>
      <c r="T1320" s="3"/>
      <c r="U1320" s="83" t="s">
        <v>1952</v>
      </c>
      <c r="V1320" s="55" t="s">
        <v>314</v>
      </c>
      <c r="W1320" s="44"/>
      <c r="X1320" s="45"/>
    </row>
    <row r="1321" spans="1:25">
      <c r="A1321" s="58" t="s">
        <v>107</v>
      </c>
      <c r="B1321" s="146" t="s">
        <v>1953</v>
      </c>
      <c r="C1321" s="140"/>
      <c r="D1321" s="134" t="s">
        <v>929</v>
      </c>
      <c r="E1321" s="7" t="s">
        <v>64</v>
      </c>
      <c r="F1321" s="139" t="s">
        <v>403</v>
      </c>
      <c r="G1321" s="43">
        <v>57.7</v>
      </c>
      <c r="H1321" s="43">
        <v>67.099999999999994</v>
      </c>
      <c r="I1321" s="33">
        <f>表1_4[[#This Row],[主队2]]-表1_4[[#This Row],[客队2]]</f>
        <v>-9.3999999999999897</v>
      </c>
      <c r="J132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321" s="35" t="s">
        <v>166</v>
      </c>
      <c r="L132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321" s="11"/>
      <c r="N1321" s="10" t="s">
        <v>119</v>
      </c>
      <c r="O1321" s="46" t="s">
        <v>40</v>
      </c>
      <c r="T1321" s="3"/>
      <c r="U1321" s="25" t="s">
        <v>196</v>
      </c>
      <c r="V1321" s="54" t="s">
        <v>1954</v>
      </c>
      <c r="W1321" s="52"/>
      <c r="X1321" s="45"/>
    </row>
    <row r="1322" spans="1:25">
      <c r="A1322" s="58" t="s">
        <v>948</v>
      </c>
      <c r="B1322" s="146" t="s">
        <v>1955</v>
      </c>
      <c r="C1322" s="140"/>
      <c r="D1322" s="134" t="s">
        <v>929</v>
      </c>
      <c r="E1322" s="7" t="s">
        <v>36</v>
      </c>
      <c r="F1322" s="139" t="s">
        <v>251</v>
      </c>
      <c r="G1322" s="43">
        <v>55.1</v>
      </c>
      <c r="H1322" s="43">
        <v>61.6</v>
      </c>
      <c r="I1322" s="33">
        <f>表1_4[[#This Row],[主队2]]-表1_4[[#This Row],[客队2]]</f>
        <v>-6.5</v>
      </c>
      <c r="J132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322" s="35" t="s">
        <v>132</v>
      </c>
      <c r="L132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22" s="11"/>
      <c r="N1322" s="10" t="s">
        <v>119</v>
      </c>
      <c r="O1322" s="10" t="s">
        <v>35</v>
      </c>
      <c r="T1322" s="3"/>
      <c r="U1322" s="83" t="s">
        <v>396</v>
      </c>
      <c r="V1322" s="55" t="s">
        <v>1320</v>
      </c>
      <c r="W1322" s="44"/>
      <c r="X1322" s="45"/>
    </row>
    <row r="1323" spans="1:25">
      <c r="A1323" s="58" t="s">
        <v>948</v>
      </c>
      <c r="B1323" s="146" t="s">
        <v>1956</v>
      </c>
      <c r="C1323" s="138"/>
      <c r="D1323" s="134" t="s">
        <v>929</v>
      </c>
      <c r="E1323" s="7" t="s">
        <v>978</v>
      </c>
      <c r="F1323" s="139" t="s">
        <v>217</v>
      </c>
      <c r="G1323" s="43">
        <v>56.8</v>
      </c>
      <c r="H1323" s="43">
        <v>65</v>
      </c>
      <c r="I1323" s="33">
        <f>表1_4[[#This Row],[主队2]]-表1_4[[#This Row],[客队2]]</f>
        <v>-8.1999999999999993</v>
      </c>
      <c r="J132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323" s="73" t="s">
        <v>111</v>
      </c>
      <c r="L132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23" s="11"/>
      <c r="N1323" s="10" t="s">
        <v>160</v>
      </c>
      <c r="O1323" s="10" t="s">
        <v>39</v>
      </c>
      <c r="T1323" s="3"/>
      <c r="U1323" s="25"/>
      <c r="V1323" s="80" t="s">
        <v>1957</v>
      </c>
      <c r="W1323" s="44"/>
      <c r="X1323" s="45"/>
    </row>
    <row r="1324" spans="1:25">
      <c r="A1324" s="58" t="s">
        <v>948</v>
      </c>
      <c r="B1324" s="146" t="s">
        <v>1958</v>
      </c>
      <c r="C1324" s="140"/>
      <c r="D1324" s="134" t="s">
        <v>929</v>
      </c>
      <c r="E1324" s="7" t="s">
        <v>36</v>
      </c>
      <c r="F1324" s="139" t="s">
        <v>278</v>
      </c>
      <c r="G1324" s="43">
        <v>55.9</v>
      </c>
      <c r="H1324" s="43">
        <v>65.099999999999994</v>
      </c>
      <c r="I1324" s="33">
        <f>表1_4[[#This Row],[主队2]]-表1_4[[#This Row],[客队2]]</f>
        <v>-9.1999999999999993</v>
      </c>
      <c r="J132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324" s="35" t="s">
        <v>152</v>
      </c>
      <c r="L132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324" s="11"/>
      <c r="N1324" s="10" t="s">
        <v>112</v>
      </c>
      <c r="O1324" s="10" t="s">
        <v>40</v>
      </c>
      <c r="T1324" s="3"/>
      <c r="U1324" s="25" t="s">
        <v>450</v>
      </c>
      <c r="V1324" s="54" t="s">
        <v>1959</v>
      </c>
      <c r="W1324" s="52"/>
      <c r="X1324" s="77" t="s">
        <v>1960</v>
      </c>
      <c r="Y1324" s="61">
        <v>74</v>
      </c>
    </row>
    <row r="1325" spans="1:25">
      <c r="A1325" s="58" t="s">
        <v>188</v>
      </c>
      <c r="B1325" s="146" t="s">
        <v>1961</v>
      </c>
      <c r="C1325" s="140"/>
      <c r="D1325" s="134" t="s">
        <v>929</v>
      </c>
      <c r="E1325" s="7" t="s">
        <v>36</v>
      </c>
      <c r="F1325" s="139" t="s">
        <v>292</v>
      </c>
      <c r="G1325" s="43">
        <v>57.3</v>
      </c>
      <c r="H1325" s="43">
        <v>66.400000000000006</v>
      </c>
      <c r="I1325" s="33">
        <f>表1_4[[#This Row],[主队2]]-表1_4[[#This Row],[客队2]]</f>
        <v>-9.1000000000000103</v>
      </c>
      <c r="J132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325" s="35" t="s">
        <v>152</v>
      </c>
      <c r="L132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325" s="11"/>
      <c r="N1325" s="10" t="s">
        <v>112</v>
      </c>
      <c r="O1325" s="10" t="s">
        <v>32</v>
      </c>
      <c r="T1325" s="3"/>
      <c r="U1325" s="25"/>
      <c r="V1325" s="80" t="s">
        <v>1962</v>
      </c>
      <c r="W1325" s="56"/>
      <c r="X1325" s="69" t="s">
        <v>1817</v>
      </c>
      <c r="Y1325" s="70">
        <v>102</v>
      </c>
    </row>
    <row r="1326" spans="1:25">
      <c r="A1326" s="58" t="s">
        <v>908</v>
      </c>
      <c r="B1326" s="146" t="s">
        <v>1963</v>
      </c>
      <c r="C1326" s="140"/>
      <c r="D1326" s="134" t="s">
        <v>929</v>
      </c>
      <c r="E1326" s="7" t="s">
        <v>25</v>
      </c>
      <c r="F1326" s="139" t="s">
        <v>278</v>
      </c>
      <c r="G1326" s="43">
        <v>56.9</v>
      </c>
      <c r="H1326" s="43">
        <v>68.400000000000006</v>
      </c>
      <c r="I1326" s="33">
        <f>表1_4[[#This Row],[主队2]]-表1_4[[#This Row],[客队2]]</f>
        <v>-11.5</v>
      </c>
      <c r="J132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326" s="35" t="s">
        <v>152</v>
      </c>
      <c r="L132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326" s="11"/>
      <c r="N1326" s="10" t="s">
        <v>119</v>
      </c>
      <c r="O1326" s="10" t="s">
        <v>35</v>
      </c>
      <c r="T1326" s="3"/>
      <c r="U1326" s="83" t="s">
        <v>1964</v>
      </c>
      <c r="V1326" s="55" t="s">
        <v>940</v>
      </c>
      <c r="W1326" s="44"/>
      <c r="X1326" s="45"/>
    </row>
    <row r="1327" spans="1:25">
      <c r="A1327" s="58" t="s">
        <v>948</v>
      </c>
      <c r="B1327" s="146" t="s">
        <v>1965</v>
      </c>
      <c r="C1327" s="141"/>
      <c r="D1327" s="134" t="s">
        <v>194</v>
      </c>
      <c r="E1327" s="7" t="s">
        <v>42</v>
      </c>
      <c r="F1327" s="139" t="s">
        <v>255</v>
      </c>
      <c r="G1327" s="43">
        <v>80.3</v>
      </c>
      <c r="H1327" s="43">
        <v>84</v>
      </c>
      <c r="I1327" s="33">
        <f>表1_4[[#This Row],[主队2]]-表1_4[[#This Row],[客队2]]</f>
        <v>-3.7</v>
      </c>
      <c r="J132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327" s="35" t="s">
        <v>289</v>
      </c>
      <c r="L132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327" s="11"/>
      <c r="N1327" s="10" t="s">
        <v>119</v>
      </c>
      <c r="O1327" s="10" t="s">
        <v>24</v>
      </c>
      <c r="T1327" s="3"/>
      <c r="U1327" s="246"/>
      <c r="V1327" s="55" t="s">
        <v>1966</v>
      </c>
      <c r="W1327" s="44"/>
      <c r="X1327" s="45"/>
    </row>
    <row r="1328" spans="1:25">
      <c r="A1328" s="58" t="s">
        <v>948</v>
      </c>
      <c r="B1328" s="146" t="s">
        <v>1967</v>
      </c>
      <c r="C1328" s="140"/>
      <c r="D1328" s="134" t="s">
        <v>296</v>
      </c>
      <c r="E1328" s="7" t="s">
        <v>60</v>
      </c>
      <c r="F1328" s="139" t="s">
        <v>255</v>
      </c>
      <c r="G1328" s="43">
        <v>77.400000000000006</v>
      </c>
      <c r="H1328" s="43">
        <v>82.8</v>
      </c>
      <c r="I1328" s="33">
        <f>表1_4[[#This Row],[主队2]]-表1_4[[#This Row],[客队2]]</f>
        <v>-5.3999999999999897</v>
      </c>
      <c r="J132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328" s="35" t="s">
        <v>166</v>
      </c>
      <c r="L132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28" s="11"/>
      <c r="N1328" s="10" t="s">
        <v>112</v>
      </c>
      <c r="O1328" s="10" t="s">
        <v>24</v>
      </c>
      <c r="T1328" s="3"/>
      <c r="U1328" s="246"/>
      <c r="V1328" s="54" t="s">
        <v>1968</v>
      </c>
      <c r="W1328" s="52"/>
      <c r="X1328" s="45"/>
    </row>
    <row r="1329" spans="1:24">
      <c r="A1329" s="58" t="s">
        <v>948</v>
      </c>
      <c r="B1329" s="146" t="s">
        <v>1969</v>
      </c>
      <c r="C1329" s="138"/>
      <c r="D1329" s="134" t="s">
        <v>244</v>
      </c>
      <c r="E1329" s="7" t="s">
        <v>29</v>
      </c>
      <c r="F1329" s="139" t="s">
        <v>929</v>
      </c>
      <c r="G1329" s="43">
        <v>55.7</v>
      </c>
      <c r="H1329" s="43">
        <v>55.5</v>
      </c>
      <c r="I1329" s="33">
        <f>表1_4[[#This Row],[主队2]]-表1_4[[#This Row],[客队2]]</f>
        <v>0.20000000000000301</v>
      </c>
      <c r="J132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329" s="35" t="s">
        <v>118</v>
      </c>
      <c r="L132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329" s="11"/>
      <c r="N1329" s="10" t="s">
        <v>119</v>
      </c>
      <c r="O1329" s="10" t="s">
        <v>51</v>
      </c>
      <c r="T1329" s="3"/>
      <c r="U1329" s="25"/>
      <c r="V1329" s="55" t="s">
        <v>1970</v>
      </c>
      <c r="W1329" s="241"/>
      <c r="X1329" s="45"/>
    </row>
    <row r="1330" spans="1:24">
      <c r="A1330" s="58" t="s">
        <v>948</v>
      </c>
      <c r="B1330" s="146" t="s">
        <v>1971</v>
      </c>
      <c r="C1330" s="140"/>
      <c r="D1330" s="134" t="s">
        <v>244</v>
      </c>
      <c r="E1330" s="7" t="s">
        <v>36</v>
      </c>
      <c r="F1330" s="139" t="s">
        <v>217</v>
      </c>
      <c r="G1330" s="43">
        <v>57.8</v>
      </c>
      <c r="H1330" s="43">
        <v>64.900000000000006</v>
      </c>
      <c r="I1330" s="33">
        <f>表1_4[[#This Row],[主队2]]-表1_4[[#This Row],[客队2]]</f>
        <v>-7.1000000000000103</v>
      </c>
      <c r="J133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330" s="35" t="s">
        <v>152</v>
      </c>
      <c r="L133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30" s="11"/>
      <c r="N1330" s="10" t="s">
        <v>112</v>
      </c>
      <c r="O1330" s="10" t="s">
        <v>40</v>
      </c>
      <c r="T1330" s="3"/>
      <c r="U1330" s="25" t="s">
        <v>126</v>
      </c>
      <c r="V1330" s="54" t="s">
        <v>997</v>
      </c>
      <c r="W1330" s="44"/>
      <c r="X1330" s="45"/>
    </row>
    <row r="1331" spans="1:24">
      <c r="A1331" s="58" t="s">
        <v>948</v>
      </c>
      <c r="B1331" s="146" t="s">
        <v>1972</v>
      </c>
      <c r="C1331" s="140"/>
      <c r="D1331" s="134" t="s">
        <v>244</v>
      </c>
      <c r="E1331" s="7" t="s">
        <v>64</v>
      </c>
      <c r="F1331" s="139" t="s">
        <v>278</v>
      </c>
      <c r="G1331" s="43">
        <v>58.8</v>
      </c>
      <c r="H1331" s="43">
        <v>64.900000000000006</v>
      </c>
      <c r="I1331" s="33">
        <f>表1_4[[#This Row],[主队2]]-表1_4[[#This Row],[客队2]]</f>
        <v>-6.1000000000000103</v>
      </c>
      <c r="J133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331" s="35" t="s">
        <v>166</v>
      </c>
      <c r="L133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31" s="11"/>
      <c r="N1331" s="10" t="s">
        <v>119</v>
      </c>
      <c r="O1331" s="10" t="s">
        <v>46</v>
      </c>
      <c r="T1331" s="3"/>
      <c r="U1331" s="25"/>
      <c r="V1331" s="54" t="s">
        <v>1551</v>
      </c>
      <c r="W1331" s="44"/>
      <c r="X1331" s="45"/>
    </row>
    <row r="1332" spans="1:24">
      <c r="A1332" s="58" t="s">
        <v>948</v>
      </c>
      <c r="B1332" s="146" t="s">
        <v>1967</v>
      </c>
      <c r="C1332" s="26"/>
      <c r="D1332" s="134" t="s">
        <v>244</v>
      </c>
      <c r="E1332" s="7" t="s">
        <v>41</v>
      </c>
      <c r="F1332" s="139" t="s">
        <v>929</v>
      </c>
      <c r="G1332" s="43">
        <v>58.8</v>
      </c>
      <c r="H1332" s="43">
        <v>56.5</v>
      </c>
      <c r="I1332" s="33">
        <f>表1_4[[#This Row],[主队2]]-表1_4[[#This Row],[客队2]]</f>
        <v>2.2999999999999998</v>
      </c>
      <c r="J133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332" s="35" t="s">
        <v>118</v>
      </c>
      <c r="L133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32" s="11"/>
      <c r="N1332" s="10" t="s">
        <v>112</v>
      </c>
      <c r="O1332" s="10" t="s">
        <v>35</v>
      </c>
      <c r="T1332" s="3"/>
      <c r="U1332" s="83" t="s">
        <v>1973</v>
      </c>
      <c r="V1332" s="55" t="s">
        <v>799</v>
      </c>
      <c r="W1332" s="44"/>
      <c r="X1332" s="45"/>
    </row>
    <row r="1333" spans="1:24">
      <c r="A1333" s="58" t="s">
        <v>948</v>
      </c>
      <c r="B1333" s="146" t="s">
        <v>1974</v>
      </c>
      <c r="C1333" s="140"/>
      <c r="D1333" s="134" t="s">
        <v>205</v>
      </c>
      <c r="E1333" s="7" t="s">
        <v>53</v>
      </c>
      <c r="F1333" s="139" t="s">
        <v>292</v>
      </c>
      <c r="G1333" s="43">
        <v>73.2</v>
      </c>
      <c r="H1333" s="43">
        <v>61.9</v>
      </c>
      <c r="I1333" s="33">
        <f>表1_4[[#This Row],[主队2]]-表1_4[[#This Row],[客队2]]</f>
        <v>11.3</v>
      </c>
      <c r="J133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333" s="35" t="s">
        <v>176</v>
      </c>
      <c r="L133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333" s="11"/>
      <c r="N1333" s="10" t="s">
        <v>119</v>
      </c>
      <c r="O1333" s="10" t="s">
        <v>65</v>
      </c>
      <c r="T1333" s="3"/>
      <c r="U1333" s="25"/>
      <c r="V1333" s="243" t="s">
        <v>1975</v>
      </c>
      <c r="W1333" s="52"/>
      <c r="X1333" s="45"/>
    </row>
    <row r="1334" spans="1:24">
      <c r="A1334" s="58" t="s">
        <v>948</v>
      </c>
      <c r="B1334" s="146" t="s">
        <v>1958</v>
      </c>
      <c r="C1334" s="140"/>
      <c r="D1334" s="134" t="s">
        <v>301</v>
      </c>
      <c r="E1334" s="7" t="s">
        <v>22</v>
      </c>
      <c r="F1334" s="139" t="s">
        <v>292</v>
      </c>
      <c r="G1334" s="43">
        <v>76.7</v>
      </c>
      <c r="H1334" s="43">
        <v>65.5</v>
      </c>
      <c r="I1334" s="33">
        <f>表1_4[[#This Row],[主队2]]-表1_4[[#This Row],[客队2]]</f>
        <v>11.2</v>
      </c>
      <c r="J133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334" s="35" t="s">
        <v>125</v>
      </c>
      <c r="L133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34" s="11"/>
      <c r="N1334" s="10" t="s">
        <v>119</v>
      </c>
      <c r="O1334" s="10" t="s">
        <v>35</v>
      </c>
      <c r="T1334" s="3"/>
      <c r="U1334" s="246" t="s">
        <v>177</v>
      </c>
      <c r="V1334" s="231" t="s">
        <v>1470</v>
      </c>
      <c r="W1334" s="44"/>
      <c r="X1334" s="45"/>
    </row>
    <row r="1335" spans="1:24">
      <c r="A1335" s="58" t="s">
        <v>948</v>
      </c>
      <c r="B1335" s="146">
        <v>44724.875</v>
      </c>
      <c r="C1335" s="138">
        <v>4</v>
      </c>
      <c r="D1335" s="134" t="s">
        <v>296</v>
      </c>
      <c r="E1335" s="7" t="s">
        <v>25</v>
      </c>
      <c r="F1335" s="139" t="s">
        <v>407</v>
      </c>
      <c r="G1335" s="43">
        <v>75.3</v>
      </c>
      <c r="H1335" s="43">
        <v>62.2</v>
      </c>
      <c r="I1335" s="33">
        <f>表1_4[[#This Row],[主队2]]-表1_4[[#This Row],[客队2]]</f>
        <v>13.1</v>
      </c>
      <c r="J133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335" s="35" t="s">
        <v>176</v>
      </c>
      <c r="L133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335" s="11"/>
      <c r="N1335" s="10" t="s">
        <v>119</v>
      </c>
      <c r="O1335" s="10" t="s">
        <v>24</v>
      </c>
      <c r="R1335" t="s">
        <v>855</v>
      </c>
      <c r="T1335" s="3"/>
      <c r="U1335" s="83"/>
      <c r="V1335" s="55" t="s">
        <v>731</v>
      </c>
      <c r="W1335" s="56"/>
      <c r="X1335" s="45"/>
    </row>
    <row r="1336" spans="1:24">
      <c r="A1336" s="58" t="s">
        <v>948</v>
      </c>
      <c r="B1336" s="146">
        <v>44725</v>
      </c>
      <c r="C1336" s="140">
        <v>4</v>
      </c>
      <c r="D1336" s="134" t="s">
        <v>430</v>
      </c>
      <c r="E1336" s="7" t="s">
        <v>42</v>
      </c>
      <c r="F1336" s="139" t="s">
        <v>261</v>
      </c>
      <c r="G1336" s="43">
        <v>75.7</v>
      </c>
      <c r="H1336" s="43">
        <v>71.900000000000006</v>
      </c>
      <c r="I1336" s="33">
        <f>表1_4[[#This Row],[主队2]]-表1_4[[#This Row],[客队2]]</f>
        <v>3.8</v>
      </c>
      <c r="J133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336" s="35" t="s">
        <v>289</v>
      </c>
      <c r="L133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36" s="63" t="s">
        <v>1732</v>
      </c>
      <c r="N1336" s="46" t="s">
        <v>112</v>
      </c>
      <c r="O1336" s="46" t="s">
        <v>40</v>
      </c>
      <c r="R1336" t="s">
        <v>855</v>
      </c>
      <c r="T1336" s="3"/>
      <c r="U1336" s="25" t="s">
        <v>631</v>
      </c>
      <c r="V1336" s="80" t="s">
        <v>1976</v>
      </c>
      <c r="W1336" s="51"/>
      <c r="X1336" s="45"/>
    </row>
    <row r="1337" spans="1:24">
      <c r="A1337" s="58" t="s">
        <v>948</v>
      </c>
      <c r="B1337" s="146">
        <v>44725</v>
      </c>
      <c r="C1337" s="138">
        <v>4</v>
      </c>
      <c r="D1337" s="134" t="s">
        <v>440</v>
      </c>
      <c r="E1337" s="7" t="s">
        <v>37</v>
      </c>
      <c r="F1337" s="139" t="s">
        <v>256</v>
      </c>
      <c r="G1337" s="43">
        <v>73.900000000000006</v>
      </c>
      <c r="H1337" s="43">
        <v>40</v>
      </c>
      <c r="I1337" s="33">
        <f>表1_4[[#This Row],[主队2]]-表1_4[[#This Row],[客队2]]</f>
        <v>33.9</v>
      </c>
      <c r="J1337" s="34">
        <v>3.75</v>
      </c>
      <c r="K1337" s="34">
        <v>3</v>
      </c>
      <c r="L133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337" s="11"/>
      <c r="N1337" s="10" t="s">
        <v>404</v>
      </c>
      <c r="O1337" s="10" t="s">
        <v>24</v>
      </c>
      <c r="R1337" t="s">
        <v>852</v>
      </c>
      <c r="T1337" s="3"/>
      <c r="U1337" s="231"/>
      <c r="V1337" s="231" t="s">
        <v>1977</v>
      </c>
      <c r="W1337" s="48"/>
      <c r="X1337" s="45"/>
    </row>
    <row r="1338" spans="1:24">
      <c r="A1338" s="58" t="s">
        <v>948</v>
      </c>
      <c r="B1338" s="146">
        <v>44725</v>
      </c>
      <c r="C1338" s="141">
        <v>4</v>
      </c>
      <c r="D1338" s="134" t="s">
        <v>297</v>
      </c>
      <c r="E1338" s="7" t="s">
        <v>29</v>
      </c>
      <c r="F1338" s="139" t="s">
        <v>239</v>
      </c>
      <c r="G1338" s="43">
        <v>81.8</v>
      </c>
      <c r="H1338" s="43">
        <v>85.1</v>
      </c>
      <c r="I1338" s="33">
        <f>表1_4[[#This Row],[主队2]]-表1_4[[#This Row],[客队2]]</f>
        <v>-3.3</v>
      </c>
      <c r="J133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338" s="35" t="s">
        <v>289</v>
      </c>
      <c r="L133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338" s="11"/>
      <c r="N1338" s="10" t="s">
        <v>119</v>
      </c>
      <c r="O1338" s="10" t="s">
        <v>28</v>
      </c>
      <c r="R1338" t="s">
        <v>852</v>
      </c>
      <c r="T1338" s="3"/>
      <c r="U1338" s="83"/>
      <c r="V1338" s="64" t="s">
        <v>1978</v>
      </c>
      <c r="W1338" s="56"/>
      <c r="X1338" s="45"/>
    </row>
    <row r="1339" spans="1:24">
      <c r="A1339" s="58" t="s">
        <v>948</v>
      </c>
      <c r="B1339" s="146">
        <v>44725.114583333299</v>
      </c>
      <c r="C1339" s="140">
        <v>4</v>
      </c>
      <c r="D1339" s="134" t="s">
        <v>309</v>
      </c>
      <c r="E1339" s="7" t="s">
        <v>25</v>
      </c>
      <c r="F1339" s="139" t="s">
        <v>434</v>
      </c>
      <c r="G1339" s="43">
        <v>76.2</v>
      </c>
      <c r="H1339" s="43">
        <v>85.5</v>
      </c>
      <c r="I1339" s="33">
        <f>表1_4[[#This Row],[主队2]]-表1_4[[#This Row],[客队2]]</f>
        <v>-9.3000000000000007</v>
      </c>
      <c r="J133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339" s="35" t="s">
        <v>132</v>
      </c>
      <c r="L133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39" s="11"/>
      <c r="N1339" s="10" t="s">
        <v>119</v>
      </c>
      <c r="O1339" s="10" t="s">
        <v>24</v>
      </c>
      <c r="T1339" s="3"/>
      <c r="U1339" s="83"/>
      <c r="V1339" s="231" t="s">
        <v>1979</v>
      </c>
      <c r="W1339" s="44"/>
      <c r="X1339" s="45"/>
    </row>
    <row r="1340" spans="1:24">
      <c r="A1340" s="58" t="s">
        <v>948</v>
      </c>
      <c r="B1340" s="146">
        <v>44725.114583333299</v>
      </c>
      <c r="C1340" s="138">
        <v>4</v>
      </c>
      <c r="D1340" s="134" t="s">
        <v>275</v>
      </c>
      <c r="E1340" s="7" t="s">
        <v>31</v>
      </c>
      <c r="F1340" s="139" t="s">
        <v>217</v>
      </c>
      <c r="G1340" s="43">
        <v>80.2</v>
      </c>
      <c r="H1340" s="43">
        <v>71.2</v>
      </c>
      <c r="I1340" s="33">
        <f>表1_4[[#This Row],[主队2]]-表1_4[[#This Row],[客队2]]</f>
        <v>9</v>
      </c>
      <c r="J134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340" s="35" t="s">
        <v>118</v>
      </c>
      <c r="L134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340" s="11"/>
      <c r="N1340" s="10" t="s">
        <v>119</v>
      </c>
      <c r="O1340" s="10" t="s">
        <v>35</v>
      </c>
      <c r="T1340" s="3"/>
      <c r="U1340" s="231" t="s">
        <v>791</v>
      </c>
      <c r="V1340" s="231" t="s">
        <v>635</v>
      </c>
      <c r="W1340" s="241"/>
      <c r="X1340" s="45"/>
    </row>
    <row r="1341" spans="1:24">
      <c r="A1341" s="58" t="s">
        <v>948</v>
      </c>
      <c r="B1341" s="146">
        <v>44725.114583333299</v>
      </c>
      <c r="C1341" s="140">
        <v>4</v>
      </c>
      <c r="D1341" s="134" t="s">
        <v>929</v>
      </c>
      <c r="E1341" s="7" t="s">
        <v>31</v>
      </c>
      <c r="F1341" s="44" t="s">
        <v>282</v>
      </c>
      <c r="G1341" s="43">
        <v>55.7</v>
      </c>
      <c r="H1341" s="43">
        <v>30.2</v>
      </c>
      <c r="I1341" s="33">
        <f>表1_4[[#This Row],[主队2]]-表1_4[[#This Row],[客队2]]</f>
        <v>25.5</v>
      </c>
      <c r="J1341" s="34">
        <v>2.75</v>
      </c>
      <c r="K1341" s="34">
        <v>2</v>
      </c>
      <c r="L134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341" s="11"/>
      <c r="N1341" s="10" t="s">
        <v>119</v>
      </c>
      <c r="O1341" s="10" t="s">
        <v>51</v>
      </c>
      <c r="R1341" t="s">
        <v>852</v>
      </c>
      <c r="T1341" s="3"/>
      <c r="U1341" s="231"/>
      <c r="V1341" s="25" t="s">
        <v>1980</v>
      </c>
      <c r="W1341" s="241"/>
      <c r="X1341" s="45"/>
    </row>
    <row r="1342" spans="1:24">
      <c r="A1342" s="58" t="s">
        <v>948</v>
      </c>
      <c r="B1342" s="146">
        <v>44725.114583333299</v>
      </c>
      <c r="C1342" s="138">
        <v>4</v>
      </c>
      <c r="D1342" s="275" t="s">
        <v>209</v>
      </c>
      <c r="E1342" s="7" t="s">
        <v>22</v>
      </c>
      <c r="F1342" s="139" t="s">
        <v>284</v>
      </c>
      <c r="G1342" s="43">
        <v>95.3</v>
      </c>
      <c r="H1342" s="43">
        <v>85.6</v>
      </c>
      <c r="I1342" s="33">
        <f>表1_4[[#This Row],[主队2]]-表1_4[[#This Row],[客队2]]</f>
        <v>9.6999999999999993</v>
      </c>
      <c r="J134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342" s="35" t="s">
        <v>125</v>
      </c>
      <c r="L134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42" s="11"/>
      <c r="N1342" s="10" t="s">
        <v>112</v>
      </c>
      <c r="O1342" s="10" t="s">
        <v>35</v>
      </c>
      <c r="R1342" t="s">
        <v>852</v>
      </c>
      <c r="T1342" s="3"/>
      <c r="U1342" s="25" t="s">
        <v>1126</v>
      </c>
      <c r="V1342" s="25" t="s">
        <v>1981</v>
      </c>
      <c r="W1342" s="52"/>
      <c r="X1342" s="45"/>
    </row>
    <row r="1343" spans="1:24">
      <c r="A1343" s="58" t="s">
        <v>948</v>
      </c>
      <c r="B1343" s="146">
        <v>44725.114583333299</v>
      </c>
      <c r="C1343" s="140">
        <v>4</v>
      </c>
      <c r="D1343" s="134" t="s">
        <v>250</v>
      </c>
      <c r="E1343" s="7" t="s">
        <v>31</v>
      </c>
      <c r="F1343" s="139" t="s">
        <v>270</v>
      </c>
      <c r="G1343" s="43">
        <v>89</v>
      </c>
      <c r="H1343" s="43">
        <v>95.4</v>
      </c>
      <c r="I1343" s="33">
        <f>表1_4[[#This Row],[主队2]]-表1_4[[#This Row],[客队2]]</f>
        <v>-6.4000000000000101</v>
      </c>
      <c r="J134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343" s="35" t="s">
        <v>132</v>
      </c>
      <c r="L134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43" s="11"/>
      <c r="N1343" s="10" t="s">
        <v>133</v>
      </c>
      <c r="O1343" s="10" t="s">
        <v>46</v>
      </c>
      <c r="R1343" t="s">
        <v>852</v>
      </c>
      <c r="T1343" s="3"/>
      <c r="U1343" s="83"/>
      <c r="V1343" s="55" t="s">
        <v>930</v>
      </c>
      <c r="W1343" s="56"/>
      <c r="X1343" s="45"/>
    </row>
    <row r="1344" spans="1:24">
      <c r="A1344" s="58" t="s">
        <v>948</v>
      </c>
      <c r="B1344" s="146">
        <v>44725.916666666701</v>
      </c>
      <c r="C1344" s="141">
        <v>4</v>
      </c>
      <c r="D1344" s="134" t="s">
        <v>288</v>
      </c>
      <c r="E1344" s="7" t="s">
        <v>33</v>
      </c>
      <c r="F1344" s="139" t="s">
        <v>425</v>
      </c>
      <c r="G1344" s="43">
        <v>66.400000000000006</v>
      </c>
      <c r="H1344" s="43">
        <v>78.900000000000006</v>
      </c>
      <c r="I1344" s="33">
        <f>表1_4[[#This Row],[主队2]]-表1_4[[#This Row],[客队2]]</f>
        <v>-12.5</v>
      </c>
      <c r="J134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344" s="35" t="s">
        <v>132</v>
      </c>
      <c r="L134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344" s="11"/>
      <c r="N1344" s="10" t="s">
        <v>112</v>
      </c>
      <c r="O1344" s="10" t="s">
        <v>35</v>
      </c>
      <c r="R1344" t="s">
        <v>855</v>
      </c>
      <c r="T1344" s="3"/>
      <c r="U1344" s="25" t="s">
        <v>1982</v>
      </c>
      <c r="V1344" s="80" t="s">
        <v>1983</v>
      </c>
      <c r="W1344" s="241"/>
      <c r="X1344" s="45"/>
    </row>
    <row r="1345" spans="1:24">
      <c r="A1345" s="58" t="s">
        <v>948</v>
      </c>
      <c r="B1345" s="146">
        <v>44726</v>
      </c>
      <c r="C1345" s="138">
        <v>4</v>
      </c>
      <c r="D1345" s="134" t="s">
        <v>278</v>
      </c>
      <c r="E1345" s="7" t="s">
        <v>22</v>
      </c>
      <c r="F1345" s="139" t="s">
        <v>240</v>
      </c>
      <c r="G1345" s="43">
        <v>62.4</v>
      </c>
      <c r="H1345" s="43">
        <v>69.599999999999994</v>
      </c>
      <c r="I1345" s="33">
        <f>表1_4[[#This Row],[主队2]]-表1_4[[#This Row],[客队2]]</f>
        <v>-7.2</v>
      </c>
      <c r="J134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345" s="35" t="s">
        <v>182</v>
      </c>
      <c r="L1345" s="36" t="s">
        <v>636</v>
      </c>
      <c r="M1345" s="11"/>
      <c r="N1345" s="10" t="s">
        <v>133</v>
      </c>
      <c r="O1345" s="10" t="s">
        <v>40</v>
      </c>
      <c r="R1345" t="s">
        <v>855</v>
      </c>
      <c r="T1345" s="3"/>
      <c r="U1345" s="25" t="s">
        <v>1984</v>
      </c>
      <c r="V1345" s="231" t="s">
        <v>1985</v>
      </c>
      <c r="W1345" s="44"/>
      <c r="X1345" s="45"/>
    </row>
    <row r="1346" spans="1:24">
      <c r="A1346" s="58" t="s">
        <v>948</v>
      </c>
      <c r="B1346" s="146">
        <v>44726.114583333299</v>
      </c>
      <c r="C1346" s="140">
        <v>4</v>
      </c>
      <c r="D1346" s="134" t="s">
        <v>306</v>
      </c>
      <c r="E1346" s="7" t="s">
        <v>22</v>
      </c>
      <c r="F1346" s="139" t="s">
        <v>194</v>
      </c>
      <c r="G1346" s="43">
        <v>92.2</v>
      </c>
      <c r="H1346" s="43">
        <v>83.4</v>
      </c>
      <c r="I1346" s="33">
        <f>表1_4[[#This Row],[主队2]]-表1_4[[#This Row],[客队2]]</f>
        <v>8.8000000000000007</v>
      </c>
      <c r="J134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346" s="35" t="s">
        <v>289</v>
      </c>
      <c r="L134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346" s="11"/>
      <c r="N1346" s="10" t="s">
        <v>119</v>
      </c>
      <c r="O1346" s="10" t="s">
        <v>46</v>
      </c>
      <c r="R1346" t="s">
        <v>855</v>
      </c>
      <c r="T1346" s="3"/>
      <c r="U1346" s="231"/>
      <c r="V1346" s="231" t="s">
        <v>1986</v>
      </c>
      <c r="W1346" s="51"/>
      <c r="X1346" s="45"/>
    </row>
    <row r="1347" spans="1:24">
      <c r="A1347" s="58" t="s">
        <v>948</v>
      </c>
      <c r="B1347" s="146">
        <v>44726.114583333299</v>
      </c>
      <c r="C1347" s="145">
        <v>4</v>
      </c>
      <c r="D1347" s="134" t="s">
        <v>267</v>
      </c>
      <c r="E1347" s="7" t="s">
        <v>53</v>
      </c>
      <c r="F1347" s="139" t="s">
        <v>110</v>
      </c>
      <c r="G1347" s="43">
        <v>95.1</v>
      </c>
      <c r="H1347" s="43">
        <v>88.9</v>
      </c>
      <c r="I1347" s="33">
        <f>表1_4[[#This Row],[主队2]]-表1_4[[#This Row],[客队2]]</f>
        <v>6.1999999999999904</v>
      </c>
      <c r="J134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347" s="35" t="s">
        <v>118</v>
      </c>
      <c r="L134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47" s="63" t="s">
        <v>1354</v>
      </c>
      <c r="N1347" s="46" t="s">
        <v>160</v>
      </c>
      <c r="O1347" s="10" t="s">
        <v>32</v>
      </c>
      <c r="R1347" t="s">
        <v>855</v>
      </c>
      <c r="T1347" s="3"/>
      <c r="U1347" s="25"/>
      <c r="V1347" s="80" t="s">
        <v>1987</v>
      </c>
      <c r="W1347" s="44"/>
      <c r="X1347" s="45"/>
    </row>
    <row r="1348" spans="1:24">
      <c r="A1348" s="58" t="s">
        <v>948</v>
      </c>
      <c r="B1348" s="125">
        <v>44726.114583333299</v>
      </c>
      <c r="C1348" s="140">
        <v>4</v>
      </c>
      <c r="D1348" s="69" t="s">
        <v>218</v>
      </c>
      <c r="E1348" s="7" t="s">
        <v>25</v>
      </c>
      <c r="F1348" s="139" t="s">
        <v>210</v>
      </c>
      <c r="G1348" s="43">
        <v>73.400000000000006</v>
      </c>
      <c r="H1348" s="43">
        <v>74.5</v>
      </c>
      <c r="I1348" s="33">
        <f>表1_4[[#This Row],[主队2]]-表1_4[[#This Row],[客队2]]</f>
        <v>-1.0999999999999901</v>
      </c>
      <c r="J134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348" s="35" t="s">
        <v>166</v>
      </c>
      <c r="L134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48" s="11"/>
      <c r="N1348" s="10" t="s">
        <v>119</v>
      </c>
      <c r="O1348" s="10" t="s">
        <v>24</v>
      </c>
      <c r="R1348" t="s">
        <v>852</v>
      </c>
      <c r="T1348" s="3"/>
      <c r="U1348" s="25"/>
      <c r="V1348" s="54" t="s">
        <v>1988</v>
      </c>
      <c r="W1348" s="241"/>
      <c r="X1348" s="45"/>
    </row>
    <row r="1349" spans="1:24">
      <c r="A1349" s="58" t="s">
        <v>948</v>
      </c>
      <c r="B1349" s="146">
        <v>44727</v>
      </c>
      <c r="C1349" s="138">
        <v>4</v>
      </c>
      <c r="D1349" s="134" t="s">
        <v>287</v>
      </c>
      <c r="E1349" s="7" t="s">
        <v>75</v>
      </c>
      <c r="F1349" s="139" t="s">
        <v>123</v>
      </c>
      <c r="G1349" s="43">
        <v>68.599999999999994</v>
      </c>
      <c r="H1349" s="43">
        <v>77.900000000000006</v>
      </c>
      <c r="I1349" s="33">
        <f>表1_4[[#This Row],[主队2]]-表1_4[[#This Row],[客队2]]</f>
        <v>-9.3000000000000096</v>
      </c>
      <c r="J134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349" s="35" t="s">
        <v>245</v>
      </c>
      <c r="L134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49" s="11"/>
      <c r="N1349" s="10" t="s">
        <v>133</v>
      </c>
      <c r="O1349" s="10" t="s">
        <v>46</v>
      </c>
      <c r="R1349" t="s">
        <v>852</v>
      </c>
      <c r="T1349" s="3"/>
      <c r="U1349" s="83"/>
      <c r="V1349" s="55" t="s">
        <v>699</v>
      </c>
      <c r="W1349" s="56"/>
      <c r="X1349" s="45"/>
    </row>
    <row r="1350" spans="1:24">
      <c r="A1350" s="58" t="s">
        <v>948</v>
      </c>
      <c r="B1350" s="146">
        <v>44727</v>
      </c>
      <c r="C1350" s="138">
        <v>4</v>
      </c>
      <c r="D1350" s="134" t="s">
        <v>195</v>
      </c>
      <c r="E1350" s="7" t="s">
        <v>33</v>
      </c>
      <c r="F1350" s="139" t="s">
        <v>243</v>
      </c>
      <c r="G1350" s="43">
        <v>58.1</v>
      </c>
      <c r="H1350" s="43">
        <v>47.5</v>
      </c>
      <c r="I1350" s="33">
        <f>表1_4[[#This Row],[主队2]]-表1_4[[#This Row],[客队2]]</f>
        <v>10.6</v>
      </c>
      <c r="J135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350" s="35" t="s">
        <v>118</v>
      </c>
      <c r="L135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350" s="11"/>
      <c r="N1350" s="10" t="s">
        <v>119</v>
      </c>
      <c r="O1350" s="10" t="s">
        <v>24</v>
      </c>
      <c r="R1350" t="s">
        <v>852</v>
      </c>
      <c r="T1350" s="3"/>
      <c r="U1350" s="25"/>
      <c r="V1350" s="54" t="s">
        <v>1605</v>
      </c>
      <c r="W1350" s="51"/>
      <c r="X1350" s="45"/>
    </row>
    <row r="1351" spans="1:24">
      <c r="A1351" s="58" t="s">
        <v>948</v>
      </c>
      <c r="B1351" s="146">
        <v>44727.114583333299</v>
      </c>
      <c r="C1351" s="140">
        <v>4</v>
      </c>
      <c r="D1351" s="134" t="s">
        <v>214</v>
      </c>
      <c r="E1351" s="7" t="s">
        <v>36</v>
      </c>
      <c r="F1351" s="139" t="s">
        <v>199</v>
      </c>
      <c r="G1351" s="43">
        <v>83.5</v>
      </c>
      <c r="H1351" s="43">
        <v>80.400000000000006</v>
      </c>
      <c r="I1351" s="33">
        <f>表1_4[[#This Row],[主队2]]-表1_4[[#This Row],[客队2]]</f>
        <v>3.0999999999999899</v>
      </c>
      <c r="J1351" s="34">
        <v>0.25</v>
      </c>
      <c r="K1351" s="35" t="s">
        <v>118</v>
      </c>
      <c r="L135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351" s="11"/>
      <c r="N1351" s="57" t="s">
        <v>133</v>
      </c>
      <c r="O1351" s="10" t="s">
        <v>28</v>
      </c>
      <c r="T1351" s="3"/>
      <c r="U1351" s="83" t="s">
        <v>776</v>
      </c>
      <c r="V1351" s="163" t="s">
        <v>1989</v>
      </c>
      <c r="W1351" s="44"/>
      <c r="X1351" s="45"/>
    </row>
    <row r="1352" spans="1:24">
      <c r="A1352" s="58" t="s">
        <v>948</v>
      </c>
      <c r="B1352" s="146">
        <v>44727.114583333299</v>
      </c>
      <c r="C1352" s="138">
        <v>4</v>
      </c>
      <c r="D1352" s="134" t="s">
        <v>437</v>
      </c>
      <c r="E1352" s="7" t="s">
        <v>47</v>
      </c>
      <c r="F1352" s="139" t="s">
        <v>251</v>
      </c>
      <c r="G1352" s="43">
        <v>45</v>
      </c>
      <c r="H1352" s="43">
        <v>64.7</v>
      </c>
      <c r="I1352" s="33">
        <f>表1_4[[#This Row],[主队2]]-表1_4[[#This Row],[客队2]]</f>
        <v>-19.7</v>
      </c>
      <c r="J135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352" s="34">
        <v>-1.5</v>
      </c>
      <c r="L135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52" s="11"/>
      <c r="N1352" s="10" t="s">
        <v>119</v>
      </c>
      <c r="O1352" s="10" t="s">
        <v>39</v>
      </c>
      <c r="R1352" t="s">
        <v>852</v>
      </c>
      <c r="T1352" s="3"/>
      <c r="U1352" s="83"/>
      <c r="V1352" s="83" t="s">
        <v>762</v>
      </c>
      <c r="W1352" s="44"/>
      <c r="X1352" s="45"/>
    </row>
    <row r="1353" spans="1:24">
      <c r="A1353" s="58" t="s">
        <v>948</v>
      </c>
      <c r="B1353" s="146">
        <v>44727.114583333299</v>
      </c>
      <c r="C1353" s="140">
        <v>4</v>
      </c>
      <c r="D1353" s="134" t="s">
        <v>266</v>
      </c>
      <c r="E1353" s="7" t="s">
        <v>25</v>
      </c>
      <c r="F1353" s="260" t="s">
        <v>244</v>
      </c>
      <c r="G1353" s="43">
        <v>63.9</v>
      </c>
      <c r="H1353" s="43">
        <v>58.5</v>
      </c>
      <c r="I1353" s="33">
        <f>表1_4[[#This Row],[主队2]]-表1_4[[#This Row],[客队2]]</f>
        <v>5.4</v>
      </c>
      <c r="J135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353" s="35" t="s">
        <v>176</v>
      </c>
      <c r="L135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53" s="11"/>
      <c r="N1353" s="10" t="s">
        <v>119</v>
      </c>
      <c r="O1353" s="10" t="s">
        <v>40</v>
      </c>
      <c r="R1353" t="s">
        <v>855</v>
      </c>
      <c r="T1353" s="3"/>
      <c r="U1353" s="25" t="s">
        <v>405</v>
      </c>
      <c r="V1353" s="54" t="s">
        <v>1990</v>
      </c>
      <c r="W1353" s="51"/>
      <c r="X1353" s="45"/>
    </row>
    <row r="1354" spans="1:24">
      <c r="A1354" s="58" t="s">
        <v>948</v>
      </c>
      <c r="B1354" s="146">
        <v>44727.114583333299</v>
      </c>
      <c r="C1354" s="140">
        <v>4</v>
      </c>
      <c r="D1354" s="134" t="s">
        <v>190</v>
      </c>
      <c r="E1354" s="7" t="s">
        <v>22</v>
      </c>
      <c r="F1354" s="139" t="s">
        <v>292</v>
      </c>
      <c r="G1354" s="43">
        <v>80.900000000000006</v>
      </c>
      <c r="H1354" s="43">
        <v>60.1</v>
      </c>
      <c r="I1354" s="33">
        <f>表1_4[[#This Row],[主队2]]-表1_4[[#This Row],[客队2]]</f>
        <v>20.8</v>
      </c>
      <c r="J135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1354" s="35" t="s">
        <v>30</v>
      </c>
      <c r="L135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354" s="11"/>
      <c r="N1354" s="10" t="s">
        <v>133</v>
      </c>
      <c r="O1354" s="10" t="s">
        <v>40</v>
      </c>
      <c r="T1354" s="3"/>
      <c r="U1354" s="25" t="s">
        <v>1415</v>
      </c>
      <c r="V1354" s="62" t="s">
        <v>1991</v>
      </c>
      <c r="W1354" s="44"/>
      <c r="X1354" s="45"/>
    </row>
    <row r="1355" spans="1:24">
      <c r="A1355" s="58" t="s">
        <v>948</v>
      </c>
      <c r="B1355" s="146">
        <v>44727.114583333299</v>
      </c>
      <c r="C1355" s="138">
        <v>4</v>
      </c>
      <c r="D1355" s="134" t="s">
        <v>117</v>
      </c>
      <c r="E1355" s="7" t="s">
        <v>61</v>
      </c>
      <c r="F1355" s="273" t="s">
        <v>271</v>
      </c>
      <c r="G1355" s="43">
        <v>96</v>
      </c>
      <c r="H1355" s="43">
        <v>79.5</v>
      </c>
      <c r="I1355" s="33">
        <f>表1_4[[#This Row],[主队2]]-表1_4[[#This Row],[客队2]]</f>
        <v>16.5</v>
      </c>
      <c r="J135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355" s="35" t="s">
        <v>81</v>
      </c>
      <c r="L135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355" s="11"/>
      <c r="N1355" s="10" t="s">
        <v>119</v>
      </c>
      <c r="O1355" s="10" t="s">
        <v>65</v>
      </c>
      <c r="R1355" t="s">
        <v>855</v>
      </c>
      <c r="T1355" s="3"/>
      <c r="U1355" s="231"/>
      <c r="V1355" s="54" t="s">
        <v>1992</v>
      </c>
      <c r="W1355" s="51"/>
      <c r="X1355" s="45"/>
    </row>
    <row r="1356" spans="1:24">
      <c r="A1356" s="58" t="s">
        <v>948</v>
      </c>
      <c r="B1356" s="146">
        <v>44727.114583333299</v>
      </c>
      <c r="C1356" s="138">
        <v>4</v>
      </c>
      <c r="D1356" s="134" t="s">
        <v>116</v>
      </c>
      <c r="E1356" s="7" t="s">
        <v>44</v>
      </c>
      <c r="F1356" s="139" t="s">
        <v>204</v>
      </c>
      <c r="G1356" s="43">
        <v>95.7</v>
      </c>
      <c r="H1356" s="43">
        <v>93.7</v>
      </c>
      <c r="I1356" s="33">
        <f>表1_4[[#This Row],[主队2]]-表1_4[[#This Row],[客队2]]</f>
        <v>2</v>
      </c>
      <c r="J135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356" s="35" t="s">
        <v>118</v>
      </c>
      <c r="L135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56" s="11"/>
      <c r="N1356" s="10" t="s">
        <v>119</v>
      </c>
      <c r="O1356" s="10" t="s">
        <v>28</v>
      </c>
      <c r="R1356" t="s">
        <v>855</v>
      </c>
      <c r="T1356" s="3"/>
      <c r="U1356" s="231"/>
      <c r="V1356" s="231" t="s">
        <v>1993</v>
      </c>
      <c r="W1356" s="48"/>
      <c r="X1356" s="45"/>
    </row>
    <row r="1357" spans="1:24" ht="28.9">
      <c r="A1357" s="58" t="s">
        <v>948</v>
      </c>
      <c r="B1357" s="146">
        <v>44727.114583333299</v>
      </c>
      <c r="C1357" s="138">
        <v>4</v>
      </c>
      <c r="D1357" s="134" t="s">
        <v>262</v>
      </c>
      <c r="E1357" s="7" t="s">
        <v>29</v>
      </c>
      <c r="F1357" s="139" t="s">
        <v>200</v>
      </c>
      <c r="G1357" s="43">
        <v>92</v>
      </c>
      <c r="H1357" s="43">
        <v>84.4</v>
      </c>
      <c r="I1357" s="33">
        <f>表1_4[[#This Row],[主队2]]-表1_4[[#This Row],[客队2]]</f>
        <v>7.5999999999999899</v>
      </c>
      <c r="J135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357" s="35" t="s">
        <v>81</v>
      </c>
      <c r="L135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357" s="11"/>
      <c r="N1357" s="10" t="s">
        <v>404</v>
      </c>
      <c r="O1357" s="10" t="s">
        <v>24</v>
      </c>
      <c r="R1357" t="s">
        <v>852</v>
      </c>
      <c r="T1357" s="3"/>
      <c r="U1357" s="83"/>
      <c r="V1357" s="83" t="s">
        <v>1994</v>
      </c>
      <c r="W1357" s="290"/>
      <c r="X1357" s="291"/>
    </row>
    <row r="1358" spans="1:24">
      <c r="A1358" s="58" t="s">
        <v>948</v>
      </c>
      <c r="B1358" s="146">
        <v>44727.114583333299</v>
      </c>
      <c r="C1358" s="145">
        <v>4</v>
      </c>
      <c r="D1358" s="134" t="s">
        <v>302</v>
      </c>
      <c r="E1358" s="7" t="s">
        <v>53</v>
      </c>
      <c r="F1358" s="139" t="s">
        <v>274</v>
      </c>
      <c r="G1358" s="43">
        <v>86.9</v>
      </c>
      <c r="H1358" s="43">
        <v>95.8</v>
      </c>
      <c r="I1358" s="33">
        <f>表1_4[[#This Row],[主队2]]-表1_4[[#This Row],[客队2]]</f>
        <v>-8.8999999999999897</v>
      </c>
      <c r="J135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358" s="35" t="s">
        <v>132</v>
      </c>
      <c r="L135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58" s="11"/>
      <c r="N1358" s="10" t="s">
        <v>133</v>
      </c>
      <c r="O1358" s="10" t="s">
        <v>35</v>
      </c>
      <c r="T1358" s="3"/>
      <c r="U1358" s="231" t="s">
        <v>177</v>
      </c>
      <c r="V1358" s="55" t="s">
        <v>1995</v>
      </c>
      <c r="W1358" s="48"/>
      <c r="X1358" s="45"/>
    </row>
    <row r="1359" spans="1:24">
      <c r="A1359" s="58" t="s">
        <v>948</v>
      </c>
      <c r="B1359" s="146">
        <v>44727.114583333299</v>
      </c>
      <c r="C1359" s="140">
        <v>4</v>
      </c>
      <c r="D1359" s="134" t="s">
        <v>255</v>
      </c>
      <c r="E1359" s="7" t="s">
        <v>29</v>
      </c>
      <c r="F1359" s="139" t="s">
        <v>191</v>
      </c>
      <c r="G1359" s="43">
        <v>79</v>
      </c>
      <c r="H1359" s="43">
        <v>77.3</v>
      </c>
      <c r="I1359" s="33">
        <f>表1_4[[#This Row],[主队2]]-表1_4[[#This Row],[客队2]]</f>
        <v>1.7</v>
      </c>
      <c r="J135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359" s="35" t="s">
        <v>289</v>
      </c>
      <c r="L135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59" s="11"/>
      <c r="N1359" s="10" t="s">
        <v>119</v>
      </c>
      <c r="O1359" s="10" t="s">
        <v>40</v>
      </c>
      <c r="R1359" t="s">
        <v>855</v>
      </c>
      <c r="T1359" s="3" t="s">
        <v>1066</v>
      </c>
      <c r="U1359" s="83" t="s">
        <v>803</v>
      </c>
      <c r="V1359" s="83" t="s">
        <v>731</v>
      </c>
      <c r="W1359" s="56"/>
      <c r="X1359" s="45"/>
    </row>
    <row r="1360" spans="1:24">
      <c r="A1360" s="58" t="s">
        <v>948</v>
      </c>
      <c r="B1360" s="146">
        <v>44727.114583333299</v>
      </c>
      <c r="C1360" s="140">
        <v>4</v>
      </c>
      <c r="D1360" s="134" t="s">
        <v>305</v>
      </c>
      <c r="E1360" s="7" t="s">
        <v>64</v>
      </c>
      <c r="F1360" s="139" t="s">
        <v>301</v>
      </c>
      <c r="G1360" s="43">
        <v>78.8</v>
      </c>
      <c r="H1360" s="43">
        <v>72.8</v>
      </c>
      <c r="I1360" s="33">
        <f>表1_4[[#This Row],[主队2]]-表1_4[[#This Row],[客队2]]</f>
        <v>6</v>
      </c>
      <c r="J136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360" s="35" t="s">
        <v>289</v>
      </c>
      <c r="L136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60" s="11"/>
      <c r="N1360" s="10" t="s">
        <v>119</v>
      </c>
      <c r="O1360" s="10" t="s">
        <v>46</v>
      </c>
      <c r="R1360" t="s">
        <v>855</v>
      </c>
      <c r="T1360" s="3"/>
      <c r="U1360" s="25"/>
      <c r="V1360" s="54" t="s">
        <v>640</v>
      </c>
      <c r="W1360" s="51"/>
      <c r="X1360" s="45"/>
    </row>
    <row r="1361" spans="1:25">
      <c r="A1361" s="58" t="s">
        <v>948</v>
      </c>
      <c r="B1361" s="146">
        <v>44826.114583333299</v>
      </c>
      <c r="C1361" s="138">
        <v>2</v>
      </c>
      <c r="D1361" s="134" t="s">
        <v>123</v>
      </c>
      <c r="E1361" s="7" t="s">
        <v>44</v>
      </c>
      <c r="F1361" s="139" t="s">
        <v>214</v>
      </c>
      <c r="G1361" s="43">
        <v>78.599999999999994</v>
      </c>
      <c r="H1361" s="43">
        <v>83.2</v>
      </c>
      <c r="I1361" s="33">
        <f>表1_4[[#This Row],[主队2]]-表1_4[[#This Row],[客队2]]</f>
        <v>-4.6000000000000103</v>
      </c>
      <c r="J136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361" s="35" t="s">
        <v>182</v>
      </c>
      <c r="L136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61" s="11"/>
      <c r="N1361" s="10" t="s">
        <v>133</v>
      </c>
      <c r="O1361" s="10" t="s">
        <v>24</v>
      </c>
      <c r="T1361" s="3"/>
      <c r="U1361" s="83"/>
      <c r="V1361" s="62" t="s">
        <v>1996</v>
      </c>
      <c r="W1361" s="51"/>
      <c r="X1361" s="77" t="s">
        <v>921</v>
      </c>
      <c r="Y1361" s="250">
        <v>86</v>
      </c>
    </row>
    <row r="1362" spans="1:25">
      <c r="A1362" s="58" t="s">
        <v>948</v>
      </c>
      <c r="B1362" s="146">
        <v>44826.916666666701</v>
      </c>
      <c r="C1362" s="279">
        <v>5</v>
      </c>
      <c r="D1362" s="134" t="s">
        <v>288</v>
      </c>
      <c r="E1362" s="7" t="s">
        <v>33</v>
      </c>
      <c r="F1362" s="139" t="s">
        <v>240</v>
      </c>
      <c r="G1362" s="43">
        <v>66.8</v>
      </c>
      <c r="H1362" s="43">
        <v>68.7</v>
      </c>
      <c r="I1362" s="33">
        <f>表1_4[[#This Row],[主队2]]-表1_4[[#This Row],[客队2]]</f>
        <v>-1.9000000000000099</v>
      </c>
      <c r="J136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362" s="35" t="s">
        <v>182</v>
      </c>
      <c r="L136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62" s="11"/>
      <c r="N1362" s="10" t="s">
        <v>119</v>
      </c>
      <c r="O1362" s="10" t="s">
        <v>48</v>
      </c>
      <c r="R1362" t="s">
        <v>852</v>
      </c>
      <c r="T1362" s="3"/>
      <c r="U1362" s="246"/>
      <c r="V1362" s="231" t="s">
        <v>1997</v>
      </c>
      <c r="W1362" s="56"/>
      <c r="X1362" s="238" t="s">
        <v>830</v>
      </c>
      <c r="Y1362" s="70">
        <v>100</v>
      </c>
    </row>
    <row r="1363" spans="1:25">
      <c r="A1363" s="58" t="s">
        <v>948</v>
      </c>
      <c r="B1363" s="146">
        <v>44827.114583333299</v>
      </c>
      <c r="C1363" s="140">
        <v>5</v>
      </c>
      <c r="D1363" s="134" t="s">
        <v>425</v>
      </c>
      <c r="E1363" s="7" t="s">
        <v>60</v>
      </c>
      <c r="F1363" s="139" t="s">
        <v>278</v>
      </c>
      <c r="G1363" s="43">
        <v>78.400000000000006</v>
      </c>
      <c r="H1363" s="43">
        <v>63.3</v>
      </c>
      <c r="I1363" s="33">
        <f>表1_4[[#This Row],[主队2]]-表1_4[[#This Row],[客队2]]</f>
        <v>15.1</v>
      </c>
      <c r="J136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363" s="35" t="s">
        <v>125</v>
      </c>
      <c r="L136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363" s="63" t="s">
        <v>1805</v>
      </c>
      <c r="N1363" s="10" t="s">
        <v>133</v>
      </c>
      <c r="O1363" s="10" t="s">
        <v>48</v>
      </c>
      <c r="T1363" s="3"/>
      <c r="U1363" s="25"/>
      <c r="V1363" s="234" t="s">
        <v>1998</v>
      </c>
      <c r="W1363" s="44"/>
      <c r="X1363" s="45"/>
    </row>
    <row r="1364" spans="1:25">
      <c r="A1364" s="58" t="s">
        <v>948</v>
      </c>
      <c r="B1364" s="146">
        <v>44827</v>
      </c>
      <c r="C1364" s="138">
        <v>5</v>
      </c>
      <c r="D1364" s="134" t="s">
        <v>251</v>
      </c>
      <c r="E1364" s="7" t="s">
        <v>60</v>
      </c>
      <c r="F1364" s="139" t="s">
        <v>195</v>
      </c>
      <c r="G1364" s="43">
        <v>64.900000000000006</v>
      </c>
      <c r="H1364" s="43">
        <v>57.9</v>
      </c>
      <c r="I1364" s="33">
        <f>表1_4[[#This Row],[主队2]]-表1_4[[#This Row],[客队2]]</f>
        <v>7.0000000000000098</v>
      </c>
      <c r="J136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364" s="35" t="s">
        <v>118</v>
      </c>
      <c r="L136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64" s="11"/>
      <c r="N1364" s="10" t="s">
        <v>119</v>
      </c>
      <c r="O1364" s="57" t="s">
        <v>65</v>
      </c>
      <c r="T1364" s="3"/>
      <c r="U1364" s="246"/>
      <c r="V1364" s="231" t="s">
        <v>1999</v>
      </c>
      <c r="W1364" s="51"/>
      <c r="X1364" s="69" t="s">
        <v>772</v>
      </c>
      <c r="Y1364" s="70">
        <v>98</v>
      </c>
    </row>
    <row r="1365" spans="1:25">
      <c r="A1365" s="58" t="s">
        <v>948</v>
      </c>
      <c r="B1365" s="146">
        <v>44827.114583333299</v>
      </c>
      <c r="C1365" s="140">
        <v>5</v>
      </c>
      <c r="D1365" s="134" t="s">
        <v>437</v>
      </c>
      <c r="E1365" s="7" t="s">
        <v>47</v>
      </c>
      <c r="F1365" s="139" t="s">
        <v>243</v>
      </c>
      <c r="G1365" s="43">
        <v>44.7</v>
      </c>
      <c r="H1365" s="43">
        <v>47.7</v>
      </c>
      <c r="I1365" s="33">
        <f>表1_4[[#This Row],[主队2]]-表1_4[[#This Row],[客队2]]</f>
        <v>-3</v>
      </c>
      <c r="J136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365" s="35" t="s">
        <v>152</v>
      </c>
      <c r="L136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65" s="11"/>
      <c r="T1365" s="3"/>
      <c r="U1365" s="25"/>
      <c r="V1365" s="80" t="s">
        <v>1502</v>
      </c>
      <c r="W1365" s="44"/>
      <c r="X1365" s="45"/>
    </row>
    <row r="1366" spans="1:25">
      <c r="A1366" s="58" t="s">
        <v>948</v>
      </c>
      <c r="B1366" s="146">
        <v>44827.114583333299</v>
      </c>
      <c r="C1366" s="140">
        <v>5</v>
      </c>
      <c r="D1366" s="134" t="s">
        <v>292</v>
      </c>
      <c r="E1366" s="7" t="s">
        <v>36</v>
      </c>
      <c r="F1366" s="260" t="s">
        <v>244</v>
      </c>
      <c r="G1366" s="43">
        <v>60.3</v>
      </c>
      <c r="H1366" s="43">
        <v>59</v>
      </c>
      <c r="I1366" s="33">
        <f>表1_4[[#This Row],[主队2]]-表1_4[[#This Row],[客队2]]</f>
        <v>1.3</v>
      </c>
      <c r="J136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366" s="35" t="s">
        <v>289</v>
      </c>
      <c r="L136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66" s="11"/>
      <c r="T1366" s="3"/>
      <c r="U1366" s="83"/>
      <c r="V1366" s="62" t="s">
        <v>2000</v>
      </c>
      <c r="W1366" s="44"/>
      <c r="X1366" s="45"/>
    </row>
    <row r="1367" spans="1:25">
      <c r="A1367" s="58" t="s">
        <v>948</v>
      </c>
      <c r="B1367" s="146">
        <v>44827.114583333299</v>
      </c>
      <c r="C1367" s="140">
        <v>5</v>
      </c>
      <c r="D1367" s="134" t="s">
        <v>190</v>
      </c>
      <c r="E1367" s="7" t="s">
        <v>66</v>
      </c>
      <c r="F1367" s="139" t="s">
        <v>266</v>
      </c>
      <c r="G1367" s="43">
        <v>80.7</v>
      </c>
      <c r="H1367" s="43">
        <v>63.4</v>
      </c>
      <c r="I1367" s="33">
        <f>表1_4[[#This Row],[主队2]]-表1_4[[#This Row],[客队2]]</f>
        <v>17.3</v>
      </c>
      <c r="J136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367" s="35" t="s">
        <v>81</v>
      </c>
      <c r="L136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367" s="63" t="s">
        <v>784</v>
      </c>
      <c r="R1367" t="s">
        <v>855</v>
      </c>
      <c r="T1367" s="3"/>
      <c r="U1367" s="25"/>
      <c r="V1367" s="80" t="s">
        <v>2001</v>
      </c>
      <c r="W1367" s="44"/>
      <c r="X1367" s="45"/>
    </row>
    <row r="1368" spans="1:25">
      <c r="A1368" s="58" t="s">
        <v>948</v>
      </c>
      <c r="B1368" s="146">
        <v>44827.114583333299</v>
      </c>
      <c r="C1368" s="138">
        <v>5</v>
      </c>
      <c r="D1368" s="134" t="s">
        <v>274</v>
      </c>
      <c r="E1368" s="7" t="s">
        <v>33</v>
      </c>
      <c r="F1368" s="139" t="s">
        <v>200</v>
      </c>
      <c r="G1368" s="43">
        <v>96.1</v>
      </c>
      <c r="H1368" s="43">
        <v>84.5</v>
      </c>
      <c r="I1368" s="33">
        <f>表1_4[[#This Row],[主队2]]-表1_4[[#This Row],[客队2]]</f>
        <v>11.6</v>
      </c>
      <c r="J136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368" s="35" t="s">
        <v>125</v>
      </c>
      <c r="L136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68" s="11"/>
      <c r="R1368" t="s">
        <v>852</v>
      </c>
      <c r="T1368" s="3"/>
      <c r="U1368" s="246"/>
      <c r="V1368" s="25" t="s">
        <v>2002</v>
      </c>
      <c r="W1368" s="44"/>
      <c r="X1368" s="45"/>
    </row>
    <row r="1369" spans="1:25">
      <c r="A1369" s="58" t="s">
        <v>948</v>
      </c>
      <c r="B1369" s="146">
        <v>44827.114583333299</v>
      </c>
      <c r="C1369" s="140">
        <v>5</v>
      </c>
      <c r="D1369" s="134" t="s">
        <v>302</v>
      </c>
      <c r="E1369" s="7" t="s">
        <v>47</v>
      </c>
      <c r="F1369" s="139" t="s">
        <v>262</v>
      </c>
      <c r="G1369" s="43">
        <v>86.5</v>
      </c>
      <c r="H1369" s="43">
        <v>91.9</v>
      </c>
      <c r="I1369" s="33">
        <f>表1_4[[#This Row],[主队2]]-表1_4[[#This Row],[客队2]]</f>
        <v>-5.4000000000000101</v>
      </c>
      <c r="J136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369" s="35" t="s">
        <v>132</v>
      </c>
      <c r="L136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69" s="11"/>
      <c r="T1369" s="3"/>
      <c r="U1369" s="83"/>
      <c r="V1369" s="83" t="s">
        <v>726</v>
      </c>
      <c r="W1369" s="44"/>
      <c r="X1369" s="45"/>
    </row>
    <row r="1370" spans="1:25">
      <c r="A1370" s="58" t="s">
        <v>948</v>
      </c>
      <c r="B1370" s="146">
        <v>44827.114583333299</v>
      </c>
      <c r="C1370" s="138">
        <v>5</v>
      </c>
      <c r="D1370" s="134" t="s">
        <v>110</v>
      </c>
      <c r="E1370" s="7" t="s">
        <v>33</v>
      </c>
      <c r="F1370" s="139" t="s">
        <v>306</v>
      </c>
      <c r="G1370" s="43">
        <v>89.6</v>
      </c>
      <c r="H1370" s="43">
        <v>92.6</v>
      </c>
      <c r="I1370" s="33">
        <f>表1_4[[#This Row],[主队2]]-表1_4[[#This Row],[客队2]]</f>
        <v>-3</v>
      </c>
      <c r="J137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370" s="35" t="s">
        <v>182</v>
      </c>
      <c r="L137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70" s="11"/>
      <c r="N1370" s="10" t="s">
        <v>119</v>
      </c>
      <c r="O1370" s="10" t="s">
        <v>35</v>
      </c>
      <c r="R1370" t="s">
        <v>852</v>
      </c>
      <c r="T1370" s="3"/>
      <c r="U1370" s="83" t="s">
        <v>2003</v>
      </c>
      <c r="V1370" s="83" t="s">
        <v>950</v>
      </c>
      <c r="W1370" s="56"/>
      <c r="X1370" s="69" t="s">
        <v>536</v>
      </c>
      <c r="Y1370" s="70">
        <v>110</v>
      </c>
    </row>
    <row r="1371" spans="1:25">
      <c r="A1371" s="58" t="s">
        <v>948</v>
      </c>
      <c r="B1371" s="146">
        <v>44827.114583333299</v>
      </c>
      <c r="C1371" s="138">
        <v>5</v>
      </c>
      <c r="D1371" s="134" t="s">
        <v>267</v>
      </c>
      <c r="E1371" s="7" t="s">
        <v>22</v>
      </c>
      <c r="F1371" s="139" t="s">
        <v>194</v>
      </c>
      <c r="G1371" s="43">
        <v>94.4</v>
      </c>
      <c r="H1371" s="43">
        <v>82.9</v>
      </c>
      <c r="I1371" s="33">
        <f>表1_4[[#This Row],[主队2]]-表1_4[[#This Row],[客队2]]</f>
        <v>11.5</v>
      </c>
      <c r="J137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371" s="35" t="s">
        <v>125</v>
      </c>
      <c r="L137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71" s="11"/>
      <c r="N1371" s="10" t="s">
        <v>119</v>
      </c>
      <c r="O1371" s="10" t="s">
        <v>28</v>
      </c>
      <c r="R1371" t="s">
        <v>852</v>
      </c>
      <c r="T1371" s="3"/>
      <c r="U1371" s="25"/>
      <c r="V1371" s="25" t="s">
        <v>522</v>
      </c>
      <c r="W1371" s="44"/>
      <c r="X1371" s="45"/>
    </row>
    <row r="1372" spans="1:25">
      <c r="A1372" s="58" t="s">
        <v>948</v>
      </c>
      <c r="B1372" s="146">
        <v>44828</v>
      </c>
      <c r="C1372" s="138">
        <v>5</v>
      </c>
      <c r="D1372" s="134" t="s">
        <v>403</v>
      </c>
      <c r="E1372" s="7" t="s">
        <v>33</v>
      </c>
      <c r="F1372" s="139" t="s">
        <v>929</v>
      </c>
      <c r="G1372" s="43">
        <v>65.900000000000006</v>
      </c>
      <c r="H1372" s="43">
        <v>55.2</v>
      </c>
      <c r="I1372" s="33">
        <f>表1_4[[#This Row],[主队2]]-表1_4[[#This Row],[客队2]]</f>
        <v>10.7</v>
      </c>
      <c r="J137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372" s="35" t="s">
        <v>118</v>
      </c>
      <c r="L137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372" s="11"/>
      <c r="N1372" s="10" t="s">
        <v>133</v>
      </c>
      <c r="O1372" s="10" t="s">
        <v>32</v>
      </c>
      <c r="T1372" s="3"/>
      <c r="U1372" s="246"/>
      <c r="V1372" s="62" t="s">
        <v>2004</v>
      </c>
      <c r="W1372" s="56"/>
      <c r="X1372" s="69" t="s">
        <v>772</v>
      </c>
      <c r="Y1372" s="70">
        <v>98</v>
      </c>
    </row>
    <row r="1373" spans="1:25">
      <c r="A1373" s="58" t="s">
        <v>948</v>
      </c>
      <c r="B1373" s="146">
        <v>44828</v>
      </c>
      <c r="C1373" s="140">
        <v>5</v>
      </c>
      <c r="D1373" s="134" t="s">
        <v>430</v>
      </c>
      <c r="E1373" s="7" t="s">
        <v>22</v>
      </c>
      <c r="F1373" s="139" t="s">
        <v>440</v>
      </c>
      <c r="G1373" s="43">
        <v>75</v>
      </c>
      <c r="H1373" s="43">
        <v>73.900000000000006</v>
      </c>
      <c r="I1373" s="33">
        <f>表1_4[[#This Row],[主队2]]-表1_4[[#This Row],[客队2]]</f>
        <v>1.0999999999999901</v>
      </c>
      <c r="J137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373" s="35" t="s">
        <v>289</v>
      </c>
      <c r="L137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73" s="11"/>
      <c r="T1373" s="3"/>
      <c r="U1373" s="83"/>
      <c r="V1373" s="83" t="s">
        <v>930</v>
      </c>
      <c r="W1373" s="44"/>
      <c r="X1373" s="45"/>
    </row>
    <row r="1374" spans="1:25">
      <c r="A1374" s="58" t="s">
        <v>948</v>
      </c>
      <c r="B1374" s="146">
        <v>44828.114583333299</v>
      </c>
      <c r="C1374" s="138">
        <v>5</v>
      </c>
      <c r="D1374" s="134" t="s">
        <v>261</v>
      </c>
      <c r="E1374" s="7" t="s">
        <v>82</v>
      </c>
      <c r="F1374" s="139" t="s">
        <v>256</v>
      </c>
      <c r="G1374" s="43">
        <v>72.599999999999994</v>
      </c>
      <c r="H1374" s="43">
        <v>39.9</v>
      </c>
      <c r="I1374" s="33">
        <f>表1_4[[#This Row],[主队2]]-表1_4[[#This Row],[客队2]]</f>
        <v>32.700000000000003</v>
      </c>
      <c r="J1374" s="34">
        <v>3.5</v>
      </c>
      <c r="K1374" s="35" t="s">
        <v>23</v>
      </c>
      <c r="L137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374" s="11"/>
      <c r="N1374" s="10" t="s">
        <v>404</v>
      </c>
      <c r="R1374" t="s">
        <v>852</v>
      </c>
      <c r="T1374" s="3"/>
      <c r="U1374" s="25"/>
      <c r="V1374" s="25" t="s">
        <v>2005</v>
      </c>
      <c r="W1374" s="44"/>
      <c r="X1374" s="45"/>
    </row>
    <row r="1375" spans="1:25">
      <c r="A1375" s="58" t="s">
        <v>948</v>
      </c>
      <c r="B1375" s="146">
        <v>44828.114583333299</v>
      </c>
      <c r="C1375" s="140">
        <v>5</v>
      </c>
      <c r="D1375" s="134" t="s">
        <v>116</v>
      </c>
      <c r="E1375" s="7" t="s">
        <v>53</v>
      </c>
      <c r="F1375" s="273" t="s">
        <v>271</v>
      </c>
      <c r="G1375" s="43">
        <v>96.7</v>
      </c>
      <c r="H1375" s="43">
        <v>80.099999999999994</v>
      </c>
      <c r="I1375" s="33">
        <f>表1_4[[#This Row],[主队2]]-表1_4[[#This Row],[客队2]]</f>
        <v>16.600000000000001</v>
      </c>
      <c r="J137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375" s="35" t="s">
        <v>63</v>
      </c>
      <c r="L137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75" s="11"/>
      <c r="T1375" s="3"/>
      <c r="U1375" s="83"/>
      <c r="V1375" s="231" t="s">
        <v>2006</v>
      </c>
      <c r="W1375" s="44"/>
      <c r="X1375" s="45"/>
    </row>
    <row r="1376" spans="1:25">
      <c r="A1376" s="58" t="s">
        <v>948</v>
      </c>
      <c r="B1376" s="146">
        <v>44828.114583333299</v>
      </c>
      <c r="C1376" s="140">
        <v>5</v>
      </c>
      <c r="D1376" s="275" t="s">
        <v>204</v>
      </c>
      <c r="E1376" s="7" t="s">
        <v>31</v>
      </c>
      <c r="F1376" s="139" t="s">
        <v>117</v>
      </c>
      <c r="G1376" s="43">
        <v>92.8</v>
      </c>
      <c r="H1376" s="43">
        <v>95.4</v>
      </c>
      <c r="I1376" s="33">
        <f>表1_4[[#This Row],[主队2]]-表1_4[[#This Row],[客队2]]</f>
        <v>-2.6000000000000099</v>
      </c>
      <c r="J137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376" s="35" t="s">
        <v>166</v>
      </c>
      <c r="L137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76" s="11"/>
      <c r="T1376" s="3"/>
      <c r="U1376" s="246"/>
      <c r="V1376" s="55" t="s">
        <v>2007</v>
      </c>
      <c r="W1376" s="44"/>
      <c r="X1376" s="45"/>
    </row>
    <row r="1377" spans="1:25">
      <c r="A1377" s="58" t="s">
        <v>948</v>
      </c>
      <c r="B1377" s="146">
        <v>44828.114583333299</v>
      </c>
      <c r="C1377" s="138">
        <v>5</v>
      </c>
      <c r="D1377" s="134" t="s">
        <v>255</v>
      </c>
      <c r="E1377" s="7" t="s">
        <v>31</v>
      </c>
      <c r="F1377" s="139" t="s">
        <v>301</v>
      </c>
      <c r="G1377" s="43">
        <v>79.400000000000006</v>
      </c>
      <c r="H1377" s="43">
        <v>73.7</v>
      </c>
      <c r="I1377" s="33">
        <f>表1_4[[#This Row],[主队2]]-表1_4[[#This Row],[客队2]]</f>
        <v>5.7</v>
      </c>
      <c r="J137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377" s="35" t="s">
        <v>118</v>
      </c>
      <c r="L137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77" s="11"/>
      <c r="N1377" s="10" t="s">
        <v>133</v>
      </c>
      <c r="O1377" s="10" t="s">
        <v>46</v>
      </c>
      <c r="T1377" s="3"/>
      <c r="U1377" s="246"/>
      <c r="V1377" s="231" t="s">
        <v>2008</v>
      </c>
      <c r="W1377" s="48"/>
      <c r="X1377" s="238" t="s">
        <v>187</v>
      </c>
      <c r="Y1377" s="61">
        <v>80</v>
      </c>
    </row>
    <row r="1378" spans="1:25">
      <c r="A1378" s="58" t="s">
        <v>948</v>
      </c>
      <c r="B1378" s="146">
        <v>44828.114583333299</v>
      </c>
      <c r="C1378" s="140">
        <v>5</v>
      </c>
      <c r="D1378" s="134" t="s">
        <v>191</v>
      </c>
      <c r="E1378" s="7" t="s">
        <v>36</v>
      </c>
      <c r="F1378" s="139" t="s">
        <v>305</v>
      </c>
      <c r="G1378" s="43">
        <v>77</v>
      </c>
      <c r="H1378" s="43">
        <v>77.900000000000006</v>
      </c>
      <c r="I1378" s="33">
        <f>表1_4[[#This Row],[主队2]]-表1_4[[#This Row],[客队2]]</f>
        <v>-0.90000000000000602</v>
      </c>
      <c r="J137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378" s="35" t="s">
        <v>182</v>
      </c>
      <c r="L137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78" s="11"/>
      <c r="T1378" s="3"/>
      <c r="U1378" s="246"/>
      <c r="V1378" s="231" t="s">
        <v>454</v>
      </c>
      <c r="W1378" s="44"/>
      <c r="X1378" s="45"/>
    </row>
    <row r="1379" spans="1:25">
      <c r="A1379" s="58" t="s">
        <v>948</v>
      </c>
      <c r="B1379" s="146">
        <v>44828.875</v>
      </c>
      <c r="C1379" s="138">
        <v>5</v>
      </c>
      <c r="D1379" s="134" t="s">
        <v>287</v>
      </c>
      <c r="E1379" s="7" t="s">
        <v>978</v>
      </c>
      <c r="F1379" s="139" t="s">
        <v>214</v>
      </c>
      <c r="G1379" s="43">
        <v>67.900000000000006</v>
      </c>
      <c r="H1379" s="43">
        <v>82.2</v>
      </c>
      <c r="I1379" s="33">
        <f>表1_4[[#This Row],[主队2]]-表1_4[[#This Row],[客队2]]</f>
        <v>-14.3</v>
      </c>
      <c r="J137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379" s="35" t="s">
        <v>245</v>
      </c>
      <c r="L137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79" s="11"/>
      <c r="N1379" s="10" t="s">
        <v>119</v>
      </c>
      <c r="O1379" s="10" t="s">
        <v>32</v>
      </c>
      <c r="R1379" t="s">
        <v>852</v>
      </c>
      <c r="T1379" s="3"/>
      <c r="U1379" s="246"/>
      <c r="V1379" s="54" t="s">
        <v>2009</v>
      </c>
      <c r="W1379" s="44"/>
      <c r="X1379" s="45"/>
    </row>
    <row r="1380" spans="1:25">
      <c r="A1380" s="58" t="s">
        <v>948</v>
      </c>
      <c r="B1380" s="146">
        <v>44829.114583333299</v>
      </c>
      <c r="C1380" s="279">
        <v>5</v>
      </c>
      <c r="D1380" s="134" t="s">
        <v>123</v>
      </c>
      <c r="E1380" s="7" t="s">
        <v>33</v>
      </c>
      <c r="F1380" s="139" t="s">
        <v>199</v>
      </c>
      <c r="G1380" s="43">
        <v>79.599999999999994</v>
      </c>
      <c r="H1380" s="43">
        <v>80.8</v>
      </c>
      <c r="I1380" s="33">
        <f>表1_4[[#This Row],[主队2]]-表1_4[[#This Row],[客队2]]</f>
        <v>-1.2</v>
      </c>
      <c r="J138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380" s="35" t="s">
        <v>182</v>
      </c>
      <c r="L138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80" s="11"/>
      <c r="N1380" s="10" t="s">
        <v>112</v>
      </c>
      <c r="O1380" s="10" t="s">
        <v>48</v>
      </c>
      <c r="T1380" s="3"/>
      <c r="U1380" s="25"/>
      <c r="V1380" s="80" t="s">
        <v>2010</v>
      </c>
      <c r="W1380" s="44"/>
      <c r="X1380" s="45"/>
    </row>
    <row r="1381" spans="1:25">
      <c r="A1381" s="58" t="s">
        <v>948</v>
      </c>
      <c r="B1381" s="146">
        <v>44829.114583333299</v>
      </c>
      <c r="C1381" s="140">
        <v>5</v>
      </c>
      <c r="D1381" s="134" t="s">
        <v>210</v>
      </c>
      <c r="E1381" s="7" t="s">
        <v>33</v>
      </c>
      <c r="F1381" s="139" t="s">
        <v>205</v>
      </c>
      <c r="G1381" s="43">
        <v>74.8</v>
      </c>
      <c r="H1381" s="43">
        <v>71.2</v>
      </c>
      <c r="I1381" s="33">
        <f>表1_4[[#This Row],[主队2]]-表1_4[[#This Row],[客队2]]</f>
        <v>3.5999999999999899</v>
      </c>
      <c r="J138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381" s="35" t="s">
        <v>182</v>
      </c>
      <c r="L138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81" s="11"/>
      <c r="T1381" s="3"/>
      <c r="U1381" s="246"/>
      <c r="V1381" s="83" t="s">
        <v>2011</v>
      </c>
      <c r="W1381" s="44"/>
      <c r="X1381" s="45"/>
    </row>
    <row r="1382" spans="1:25">
      <c r="A1382" s="58" t="s">
        <v>948</v>
      </c>
      <c r="B1382" s="127">
        <v>44829</v>
      </c>
      <c r="C1382" s="141">
        <v>5</v>
      </c>
      <c r="D1382" s="134" t="s">
        <v>296</v>
      </c>
      <c r="E1382" s="7" t="s">
        <v>33</v>
      </c>
      <c r="F1382" s="139" t="s">
        <v>217</v>
      </c>
      <c r="G1382" s="43">
        <v>74.8</v>
      </c>
      <c r="H1382" s="43">
        <v>70.5</v>
      </c>
      <c r="I1382" s="33">
        <f>表1_4[[#This Row],[主队2]]-表1_4[[#This Row],[客队2]]</f>
        <v>4.3</v>
      </c>
      <c r="J138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382" s="35" t="s">
        <v>182</v>
      </c>
      <c r="L138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382" s="63" t="s">
        <v>298</v>
      </c>
      <c r="N1382" s="10" t="s">
        <v>119</v>
      </c>
      <c r="O1382" s="57" t="s">
        <v>28</v>
      </c>
      <c r="R1382" t="s">
        <v>855</v>
      </c>
      <c r="T1382" s="3"/>
      <c r="U1382" s="25"/>
      <c r="V1382" s="231" t="s">
        <v>2012</v>
      </c>
      <c r="W1382" s="44"/>
      <c r="X1382" s="45"/>
    </row>
    <row r="1383" spans="1:25">
      <c r="A1383" s="58" t="s">
        <v>948</v>
      </c>
      <c r="B1383" s="146">
        <v>44829.114583333299</v>
      </c>
      <c r="C1383" s="145">
        <v>5</v>
      </c>
      <c r="D1383" s="134" t="s">
        <v>407</v>
      </c>
      <c r="E1383" s="7" t="s">
        <v>31</v>
      </c>
      <c r="F1383" s="139" t="s">
        <v>275</v>
      </c>
      <c r="G1383" s="43">
        <v>62.7</v>
      </c>
      <c r="H1383" s="43">
        <v>80.8</v>
      </c>
      <c r="I1383" s="33">
        <f>表1_4[[#This Row],[主队2]]-表1_4[[#This Row],[客队2]]</f>
        <v>-18.100000000000001</v>
      </c>
      <c r="J138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383" s="73" t="s">
        <v>111</v>
      </c>
      <c r="L138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383" s="63" t="s">
        <v>1197</v>
      </c>
      <c r="N1383" s="10" t="s">
        <v>112</v>
      </c>
      <c r="O1383" s="57" t="s">
        <v>28</v>
      </c>
      <c r="T1383" s="3"/>
      <c r="U1383" s="25"/>
      <c r="V1383" s="255" t="s">
        <v>2013</v>
      </c>
      <c r="W1383" s="51"/>
      <c r="X1383" s="77" t="s">
        <v>1855</v>
      </c>
      <c r="Y1383" s="160" t="s">
        <v>2014</v>
      </c>
    </row>
    <row r="1384" spans="1:25">
      <c r="A1384" s="58" t="s">
        <v>948</v>
      </c>
      <c r="B1384" s="146">
        <v>44829</v>
      </c>
      <c r="C1384" s="140">
        <v>5</v>
      </c>
      <c r="D1384" s="134" t="s">
        <v>309</v>
      </c>
      <c r="E1384" s="7" t="s">
        <v>33</v>
      </c>
      <c r="F1384" s="139" t="s">
        <v>297</v>
      </c>
      <c r="G1384" s="43">
        <v>76.3</v>
      </c>
      <c r="H1384" s="43">
        <v>82.3</v>
      </c>
      <c r="I1384" s="33">
        <f>表1_4[[#This Row],[主队2]]-表1_4[[#This Row],[客队2]]</f>
        <v>-6</v>
      </c>
      <c r="J138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384" s="35" t="s">
        <v>132</v>
      </c>
      <c r="L138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84" s="11"/>
      <c r="N1384" s="10" t="s">
        <v>119</v>
      </c>
      <c r="O1384" s="10" t="s">
        <v>40</v>
      </c>
      <c r="R1384" t="s">
        <v>855</v>
      </c>
      <c r="T1384" s="3"/>
      <c r="U1384" s="246" t="s">
        <v>500</v>
      </c>
      <c r="V1384" s="231" t="s">
        <v>2015</v>
      </c>
      <c r="W1384" s="51"/>
      <c r="X1384" s="45"/>
    </row>
    <row r="1385" spans="1:25">
      <c r="A1385" s="58" t="s">
        <v>948</v>
      </c>
      <c r="B1385" s="146">
        <v>44829.114583333299</v>
      </c>
      <c r="C1385" s="140">
        <v>5</v>
      </c>
      <c r="D1385" s="134" t="s">
        <v>434</v>
      </c>
      <c r="E1385" s="7" t="s">
        <v>43</v>
      </c>
      <c r="F1385" s="139" t="s">
        <v>239</v>
      </c>
      <c r="G1385" s="43">
        <v>85.3</v>
      </c>
      <c r="H1385" s="43">
        <v>84.7</v>
      </c>
      <c r="I1385" s="33">
        <f>表1_4[[#This Row],[主队2]]-表1_4[[#This Row],[客队2]]</f>
        <v>0.59999999999999398</v>
      </c>
      <c r="J138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385" s="35" t="s">
        <v>289</v>
      </c>
      <c r="L138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85" s="11"/>
      <c r="T1385" s="3"/>
      <c r="U1385" s="83"/>
      <c r="V1385" s="231" t="s">
        <v>2016</v>
      </c>
      <c r="W1385" s="44"/>
      <c r="X1385" s="45"/>
    </row>
    <row r="1386" spans="1:25">
      <c r="A1386" s="58" t="s">
        <v>948</v>
      </c>
      <c r="B1386" s="146">
        <v>44829.114583333299</v>
      </c>
      <c r="C1386" s="141">
        <v>5</v>
      </c>
      <c r="D1386" s="134" t="s">
        <v>284</v>
      </c>
      <c r="E1386" s="7" t="s">
        <v>61</v>
      </c>
      <c r="F1386" s="139" t="s">
        <v>270</v>
      </c>
      <c r="G1386" s="43">
        <v>85</v>
      </c>
      <c r="H1386" s="43">
        <v>94.5</v>
      </c>
      <c r="I1386" s="33">
        <f>表1_4[[#This Row],[主队2]]-表1_4[[#This Row],[客队2]]</f>
        <v>-9.5</v>
      </c>
      <c r="J138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386" s="35" t="s">
        <v>111</v>
      </c>
      <c r="L138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86" s="11"/>
      <c r="R1386" t="s">
        <v>855</v>
      </c>
      <c r="T1386" s="3"/>
      <c r="U1386" s="83"/>
      <c r="V1386" s="83" t="s">
        <v>2017</v>
      </c>
      <c r="W1386" s="241"/>
      <c r="X1386" s="45"/>
    </row>
    <row r="1387" spans="1:25">
      <c r="A1387" s="58" t="s">
        <v>948</v>
      </c>
      <c r="B1387" s="146">
        <v>44829.114583333299</v>
      </c>
      <c r="C1387" s="145">
        <v>5</v>
      </c>
      <c r="D1387" s="134" t="s">
        <v>209</v>
      </c>
      <c r="E1387" s="7" t="s">
        <v>60</v>
      </c>
      <c r="F1387" s="139" t="s">
        <v>250</v>
      </c>
      <c r="G1387" s="43">
        <v>95.8</v>
      </c>
      <c r="H1387" s="43">
        <v>89.9</v>
      </c>
      <c r="I1387" s="33">
        <f>表1_4[[#This Row],[主队2]]-表1_4[[#This Row],[客队2]]</f>
        <v>5.8999999999999897</v>
      </c>
      <c r="J138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387" s="35" t="s">
        <v>176</v>
      </c>
      <c r="L138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87" s="11"/>
      <c r="R1387" t="s">
        <v>855</v>
      </c>
      <c r="T1387" s="3"/>
      <c r="U1387" s="25"/>
      <c r="V1387" s="25" t="s">
        <v>997</v>
      </c>
      <c r="W1387" s="51"/>
      <c r="X1387" s="45"/>
    </row>
    <row r="1388" spans="1:25">
      <c r="A1388" s="58" t="s">
        <v>948</v>
      </c>
      <c r="B1388" s="146">
        <v>44829.875</v>
      </c>
      <c r="C1388" s="141">
        <v>6</v>
      </c>
      <c r="D1388" s="134" t="s">
        <v>243</v>
      </c>
      <c r="E1388" s="7" t="s">
        <v>36</v>
      </c>
      <c r="F1388" s="139" t="s">
        <v>251</v>
      </c>
      <c r="G1388" s="43">
        <v>48.4</v>
      </c>
      <c r="H1388" s="43">
        <v>64</v>
      </c>
      <c r="I1388" s="33">
        <f>表1_4[[#This Row],[主队2]]-表1_4[[#This Row],[客队2]]</f>
        <v>-15.6</v>
      </c>
      <c r="J138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388" s="35" t="s">
        <v>132</v>
      </c>
      <c r="L138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388" s="11"/>
      <c r="N1388" s="10" t="s">
        <v>119</v>
      </c>
      <c r="O1388" s="57" t="s">
        <v>46</v>
      </c>
      <c r="T1388" s="3"/>
      <c r="U1388" s="25"/>
      <c r="V1388" s="242" t="s">
        <v>997</v>
      </c>
      <c r="W1388" s="51"/>
      <c r="X1388" s="45"/>
    </row>
    <row r="1389" spans="1:25">
      <c r="A1389" s="58" t="s">
        <v>948</v>
      </c>
      <c r="B1389" s="146">
        <v>44829.875</v>
      </c>
      <c r="C1389" s="140">
        <v>6</v>
      </c>
      <c r="D1389" s="134" t="s">
        <v>195</v>
      </c>
      <c r="E1389" s="7" t="s">
        <v>22</v>
      </c>
      <c r="F1389" s="139" t="s">
        <v>437</v>
      </c>
      <c r="G1389" s="43">
        <v>58.9</v>
      </c>
      <c r="H1389" s="43">
        <v>44</v>
      </c>
      <c r="I1389" s="33">
        <f>表1_4[[#This Row],[主队2]]-表1_4[[#This Row],[客队2]]</f>
        <v>14.9</v>
      </c>
      <c r="J138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389" s="35" t="s">
        <v>45</v>
      </c>
      <c r="L138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89" s="11"/>
      <c r="N1389" s="10" t="s">
        <v>133</v>
      </c>
      <c r="O1389" s="10" t="s">
        <v>24</v>
      </c>
      <c r="R1389" t="s">
        <v>852</v>
      </c>
      <c r="T1389" s="3"/>
      <c r="U1389" s="83"/>
      <c r="V1389" s="62" t="s">
        <v>2018</v>
      </c>
      <c r="W1389" s="48"/>
      <c r="X1389" s="45"/>
    </row>
    <row r="1390" spans="1:25">
      <c r="A1390" s="58" t="s">
        <v>948</v>
      </c>
      <c r="B1390" s="146">
        <v>44830</v>
      </c>
      <c r="C1390" s="140">
        <v>6</v>
      </c>
      <c r="D1390" s="134" t="s">
        <v>425</v>
      </c>
      <c r="E1390" s="7" t="s">
        <v>36</v>
      </c>
      <c r="F1390" s="139" t="s">
        <v>240</v>
      </c>
      <c r="G1390" s="43">
        <v>77.8</v>
      </c>
      <c r="H1390" s="43">
        <v>68.3</v>
      </c>
      <c r="I1390" s="33">
        <f>表1_4[[#This Row],[主队2]]-表1_4[[#This Row],[客队2]]</f>
        <v>9.5</v>
      </c>
      <c r="J1390" s="34">
        <v>1</v>
      </c>
      <c r="K1390" s="35" t="s">
        <v>176</v>
      </c>
      <c r="L139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90" s="63" t="s">
        <v>326</v>
      </c>
      <c r="R1390" t="s">
        <v>855</v>
      </c>
      <c r="T1390" s="3"/>
      <c r="U1390" s="246" t="s">
        <v>776</v>
      </c>
      <c r="V1390" s="246" t="s">
        <v>2019</v>
      </c>
      <c r="W1390" s="56"/>
      <c r="X1390" s="45"/>
    </row>
    <row r="1391" spans="1:25">
      <c r="A1391" s="58" t="s">
        <v>948</v>
      </c>
      <c r="B1391" s="146">
        <v>44830</v>
      </c>
      <c r="C1391" s="279">
        <v>6</v>
      </c>
      <c r="D1391" s="134" t="s">
        <v>278</v>
      </c>
      <c r="E1391" s="7" t="s">
        <v>44</v>
      </c>
      <c r="F1391" s="139" t="s">
        <v>288</v>
      </c>
      <c r="G1391" s="43">
        <v>63.8</v>
      </c>
      <c r="H1391" s="43">
        <v>67.3</v>
      </c>
      <c r="I1391" s="33">
        <f>表1_4[[#This Row],[主队2]]-表1_4[[#This Row],[客队2]]</f>
        <v>-3.5</v>
      </c>
      <c r="J139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391" s="35" t="s">
        <v>182</v>
      </c>
      <c r="L139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91" s="11"/>
      <c r="N1391" s="10" t="s">
        <v>112</v>
      </c>
      <c r="O1391" s="10" t="s">
        <v>27</v>
      </c>
      <c r="R1391" t="s">
        <v>855</v>
      </c>
      <c r="T1391" s="3"/>
      <c r="U1391" s="25"/>
      <c r="V1391" s="246" t="s">
        <v>2020</v>
      </c>
      <c r="W1391" s="44"/>
      <c r="X1391" s="45"/>
    </row>
    <row r="1392" spans="1:25">
      <c r="A1392" s="58" t="s">
        <v>948</v>
      </c>
      <c r="B1392" s="146">
        <v>44830.114583333299</v>
      </c>
      <c r="C1392" s="140">
        <v>6</v>
      </c>
      <c r="D1392" s="134" t="s">
        <v>194</v>
      </c>
      <c r="E1392" s="7" t="s">
        <v>74</v>
      </c>
      <c r="F1392" s="139" t="s">
        <v>110</v>
      </c>
      <c r="G1392" s="43">
        <v>82.3</v>
      </c>
      <c r="H1392" s="43">
        <v>90.3</v>
      </c>
      <c r="I1392" s="33">
        <f>表1_4[[#This Row],[主队2]]-表1_4[[#This Row],[客队2]]</f>
        <v>-8</v>
      </c>
      <c r="J139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392" s="35" t="s">
        <v>166</v>
      </c>
      <c r="L139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392" s="11"/>
      <c r="R1392" t="s">
        <v>855</v>
      </c>
      <c r="T1392" s="3"/>
      <c r="U1392" s="25"/>
      <c r="V1392" s="54" t="s">
        <v>2021</v>
      </c>
      <c r="W1392" s="44"/>
      <c r="X1392" s="45"/>
    </row>
    <row r="1393" spans="1:25">
      <c r="A1393" s="58" t="s">
        <v>948</v>
      </c>
      <c r="B1393" s="146">
        <v>44830.114583333299</v>
      </c>
      <c r="C1393" s="140">
        <v>6</v>
      </c>
      <c r="D1393" s="134" t="s">
        <v>306</v>
      </c>
      <c r="E1393" s="7" t="s">
        <v>22</v>
      </c>
      <c r="F1393" s="139" t="s">
        <v>267</v>
      </c>
      <c r="G1393" s="43">
        <v>91.9</v>
      </c>
      <c r="H1393" s="43">
        <v>94.9</v>
      </c>
      <c r="I1393" s="33">
        <f>表1_4[[#This Row],[主队2]]-表1_4[[#This Row],[客队2]]</f>
        <v>-3</v>
      </c>
      <c r="J139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393" s="35" t="s">
        <v>152</v>
      </c>
      <c r="L139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93" s="11"/>
      <c r="T1393" s="3"/>
      <c r="U1393" s="25"/>
      <c r="V1393" s="54" t="s">
        <v>2022</v>
      </c>
      <c r="W1393" s="246"/>
      <c r="X1393" s="135"/>
    </row>
    <row r="1394" spans="1:25">
      <c r="A1394" s="58" t="s">
        <v>948</v>
      </c>
      <c r="B1394" s="146">
        <v>44830.114583333299</v>
      </c>
      <c r="C1394" s="138">
        <v>6</v>
      </c>
      <c r="D1394" s="134" t="s">
        <v>244</v>
      </c>
      <c r="E1394" s="7" t="s">
        <v>33</v>
      </c>
      <c r="F1394" s="139" t="s">
        <v>190</v>
      </c>
      <c r="G1394" s="43">
        <v>59.2</v>
      </c>
      <c r="H1394" s="43">
        <v>80.099999999999994</v>
      </c>
      <c r="I1394" s="33">
        <f>表1_4[[#This Row],[主队2]]-表1_4[[#This Row],[客队2]]</f>
        <v>-20.9</v>
      </c>
      <c r="J139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394" s="35" t="s">
        <v>706</v>
      </c>
      <c r="L139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94" s="11"/>
      <c r="T1394" s="3"/>
      <c r="U1394" s="246"/>
      <c r="V1394" s="246" t="s">
        <v>639</v>
      </c>
      <c r="W1394" s="44"/>
      <c r="X1394" s="45"/>
    </row>
    <row r="1395" spans="1:25">
      <c r="A1395" s="58" t="s">
        <v>948</v>
      </c>
      <c r="B1395" s="146">
        <v>44830.114583333299</v>
      </c>
      <c r="C1395" s="138">
        <v>6</v>
      </c>
      <c r="D1395" s="134" t="s">
        <v>266</v>
      </c>
      <c r="E1395" s="7" t="s">
        <v>31</v>
      </c>
      <c r="F1395" s="139" t="s">
        <v>292</v>
      </c>
      <c r="G1395" s="43">
        <v>64</v>
      </c>
      <c r="H1395" s="43">
        <v>60</v>
      </c>
      <c r="I1395" s="33">
        <f>表1_4[[#This Row],[主队2]]-表1_4[[#This Row],[客队2]]</f>
        <v>4</v>
      </c>
      <c r="J139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395" s="35" t="s">
        <v>118</v>
      </c>
      <c r="L139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395" s="11"/>
      <c r="N1395" s="10" t="s">
        <v>112</v>
      </c>
      <c r="O1395" s="10" t="s">
        <v>24</v>
      </c>
      <c r="R1395" t="s">
        <v>852</v>
      </c>
      <c r="T1395" s="3"/>
      <c r="U1395" s="25"/>
      <c r="V1395" s="54" t="s">
        <v>2023</v>
      </c>
      <c r="W1395" s="52"/>
      <c r="X1395" s="45"/>
    </row>
    <row r="1396" spans="1:25">
      <c r="A1396" s="58" t="s">
        <v>948</v>
      </c>
      <c r="B1396" s="146">
        <v>44830.114583333299</v>
      </c>
      <c r="C1396" s="279">
        <v>6</v>
      </c>
      <c r="D1396" s="134" t="s">
        <v>262</v>
      </c>
      <c r="E1396" s="7" t="s">
        <v>31</v>
      </c>
      <c r="F1396" s="139" t="s">
        <v>274</v>
      </c>
      <c r="G1396" s="43">
        <v>92.7</v>
      </c>
      <c r="H1396" s="43">
        <v>95.8</v>
      </c>
      <c r="I1396" s="33">
        <f>表1_4[[#This Row],[主队2]]-表1_4[[#This Row],[客队2]]</f>
        <v>-3.0999999999999899</v>
      </c>
      <c r="J139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396" s="35" t="s">
        <v>182</v>
      </c>
      <c r="L139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396" s="11"/>
      <c r="N1396" s="10" t="s">
        <v>133</v>
      </c>
      <c r="O1396" s="10" t="s">
        <v>51</v>
      </c>
      <c r="R1396" t="s">
        <v>852</v>
      </c>
      <c r="T1396" s="3"/>
      <c r="U1396" s="246"/>
      <c r="V1396" s="246" t="s">
        <v>2024</v>
      </c>
      <c r="W1396" s="83"/>
      <c r="X1396" s="135"/>
    </row>
    <row r="1397" spans="1:25">
      <c r="A1397" s="58" t="s">
        <v>948</v>
      </c>
      <c r="B1397" s="125">
        <v>44830.114583333299</v>
      </c>
      <c r="C1397" s="140">
        <v>6</v>
      </c>
      <c r="D1397" s="134" t="s">
        <v>200</v>
      </c>
      <c r="E1397" s="7" t="s">
        <v>53</v>
      </c>
      <c r="F1397" s="139" t="s">
        <v>302</v>
      </c>
      <c r="G1397" s="43">
        <v>84.8</v>
      </c>
      <c r="H1397" s="43">
        <v>85.7</v>
      </c>
      <c r="I1397" s="33">
        <f>表1_4[[#This Row],[主队2]]-表1_4[[#This Row],[客队2]]</f>
        <v>-0.90000000000000602</v>
      </c>
      <c r="J139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397" s="35" t="s">
        <v>166</v>
      </c>
      <c r="L139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97" s="11"/>
      <c r="R1397" t="s">
        <v>855</v>
      </c>
      <c r="T1397" s="3"/>
      <c r="U1397" s="25"/>
      <c r="V1397" s="54" t="s">
        <v>1468</v>
      </c>
      <c r="W1397" s="44"/>
      <c r="X1397" s="45"/>
    </row>
    <row r="1398" spans="1:25">
      <c r="A1398" s="58" t="s">
        <v>948</v>
      </c>
      <c r="B1398" s="125">
        <v>44831.114583333299</v>
      </c>
      <c r="C1398" s="140">
        <v>6</v>
      </c>
      <c r="D1398" s="134" t="s">
        <v>117</v>
      </c>
      <c r="E1398" s="7" t="s">
        <v>66</v>
      </c>
      <c r="F1398" s="139" t="s">
        <v>116</v>
      </c>
      <c r="G1398" s="43">
        <v>94.8</v>
      </c>
      <c r="H1398" s="43">
        <v>96</v>
      </c>
      <c r="I1398" s="33">
        <f>表1_4[[#This Row],[主队2]]-表1_4[[#This Row],[客队2]]</f>
        <v>-1.2</v>
      </c>
      <c r="J139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398" s="35" t="s">
        <v>166</v>
      </c>
      <c r="L139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398" s="11"/>
      <c r="R1398" t="s">
        <v>852</v>
      </c>
      <c r="T1398" s="3"/>
      <c r="U1398" s="25"/>
      <c r="V1398" s="54" t="s">
        <v>392</v>
      </c>
      <c r="W1398" s="44"/>
      <c r="X1398" s="45"/>
    </row>
    <row r="1399" spans="1:25">
      <c r="A1399" s="58" t="s">
        <v>948</v>
      </c>
      <c r="B1399" s="127">
        <v>44831.114583333299</v>
      </c>
      <c r="C1399" s="141">
        <v>6</v>
      </c>
      <c r="D1399" s="134" t="s">
        <v>271</v>
      </c>
      <c r="E1399" s="7" t="s">
        <v>47</v>
      </c>
      <c r="F1399" s="260" t="s">
        <v>204</v>
      </c>
      <c r="G1399" s="43">
        <v>80.7</v>
      </c>
      <c r="H1399" s="43">
        <v>93.4</v>
      </c>
      <c r="I1399" s="33">
        <f>表1_4[[#This Row],[主队2]]-表1_4[[#This Row],[客队2]]</f>
        <v>-12.7</v>
      </c>
      <c r="J139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399" s="35" t="s">
        <v>132</v>
      </c>
      <c r="L139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399" s="63" t="s">
        <v>787</v>
      </c>
      <c r="T1399" s="3"/>
      <c r="U1399" s="246"/>
      <c r="V1399" s="231" t="s">
        <v>920</v>
      </c>
      <c r="W1399" s="44"/>
      <c r="X1399" s="45"/>
    </row>
    <row r="1400" spans="1:25">
      <c r="A1400" s="58" t="s">
        <v>948</v>
      </c>
      <c r="B1400" s="146">
        <v>44831.114583333299</v>
      </c>
      <c r="C1400" s="138">
        <v>6</v>
      </c>
      <c r="D1400" s="134" t="s">
        <v>282</v>
      </c>
      <c r="E1400" s="7" t="s">
        <v>61</v>
      </c>
      <c r="F1400" s="139" t="s">
        <v>403</v>
      </c>
      <c r="G1400" s="43">
        <v>30.4</v>
      </c>
      <c r="H1400" s="43">
        <v>65.7</v>
      </c>
      <c r="I1400" s="33">
        <f>表1_4[[#This Row],[主队2]]-表1_4[[#This Row],[客队2]]</f>
        <v>-35.299999999999997</v>
      </c>
      <c r="J1400" s="34">
        <v>-3.25</v>
      </c>
      <c r="K1400" s="34">
        <v>-1.5</v>
      </c>
      <c r="L140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400" s="11"/>
      <c r="T1400" s="3"/>
      <c r="U1400" s="83"/>
      <c r="V1400" s="54" t="s">
        <v>2025</v>
      </c>
      <c r="W1400" s="44"/>
      <c r="X1400" s="45"/>
    </row>
    <row r="1401" spans="1:25">
      <c r="A1401" s="58" t="s">
        <v>948</v>
      </c>
      <c r="B1401" s="146">
        <v>44831.114583333299</v>
      </c>
      <c r="C1401" s="138">
        <v>6</v>
      </c>
      <c r="D1401" s="134" t="s">
        <v>256</v>
      </c>
      <c r="E1401" s="7" t="s">
        <v>60</v>
      </c>
      <c r="F1401" s="139" t="s">
        <v>430</v>
      </c>
      <c r="G1401" s="43">
        <v>39.6</v>
      </c>
      <c r="H1401" s="43">
        <v>75.599999999999994</v>
      </c>
      <c r="I1401" s="33">
        <f>表1_4[[#This Row],[主队2]]-表1_4[[#This Row],[客队2]]</f>
        <v>-36</v>
      </c>
      <c r="J1401" s="34">
        <v>-3.25</v>
      </c>
      <c r="K1401" s="34">
        <v>-1.75</v>
      </c>
      <c r="L140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401" s="11"/>
      <c r="R1401" t="s">
        <v>855</v>
      </c>
      <c r="T1401" s="3"/>
      <c r="U1401" s="246"/>
      <c r="V1401" s="54" t="s">
        <v>2026</v>
      </c>
      <c r="W1401" s="44"/>
      <c r="X1401" s="45"/>
    </row>
    <row r="1402" spans="1:25">
      <c r="A1402" s="58" t="s">
        <v>948</v>
      </c>
      <c r="B1402" s="146">
        <v>44831.114583333299</v>
      </c>
      <c r="C1402" s="140">
        <v>6</v>
      </c>
      <c r="D1402" s="134" t="s">
        <v>440</v>
      </c>
      <c r="E1402" s="7" t="s">
        <v>53</v>
      </c>
      <c r="F1402" s="139" t="s">
        <v>261</v>
      </c>
      <c r="G1402" s="43">
        <v>73.3</v>
      </c>
      <c r="H1402" s="43">
        <v>72.900000000000006</v>
      </c>
      <c r="I1402" s="33">
        <f>表1_4[[#This Row],[主队2]]-表1_4[[#This Row],[客队2]]</f>
        <v>0.39999999999999097</v>
      </c>
      <c r="J140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402" s="35" t="s">
        <v>289</v>
      </c>
      <c r="L140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402" s="11"/>
      <c r="R1402" t="s">
        <v>855</v>
      </c>
      <c r="T1402" s="3"/>
      <c r="U1402" s="246"/>
      <c r="V1402" s="246" t="s">
        <v>2027</v>
      </c>
      <c r="W1402" s="44"/>
      <c r="X1402" s="45"/>
    </row>
    <row r="1403" spans="1:25">
      <c r="A1403" s="58" t="s">
        <v>948</v>
      </c>
      <c r="B1403" s="146">
        <v>44831.114583333299</v>
      </c>
      <c r="C1403" s="140">
        <v>6</v>
      </c>
      <c r="D1403" s="134" t="s">
        <v>301</v>
      </c>
      <c r="E1403" s="7" t="s">
        <v>47</v>
      </c>
      <c r="F1403" s="139" t="s">
        <v>191</v>
      </c>
      <c r="G1403" s="43">
        <v>73.5</v>
      </c>
      <c r="H1403" s="43">
        <v>76.7</v>
      </c>
      <c r="I1403" s="33">
        <f>表1_4[[#This Row],[主队2]]-表1_4[[#This Row],[客队2]]</f>
        <v>-3.2</v>
      </c>
      <c r="J140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403" s="35" t="s">
        <v>166</v>
      </c>
      <c r="L140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403" s="11"/>
      <c r="N1403" s="10" t="s">
        <v>119</v>
      </c>
      <c r="O1403" s="10" t="s">
        <v>40</v>
      </c>
      <c r="T1403" s="3"/>
      <c r="U1403" s="246"/>
      <c r="V1403" s="246" t="s">
        <v>920</v>
      </c>
      <c r="W1403" s="44"/>
      <c r="X1403" s="45"/>
    </row>
    <row r="1404" spans="1:25">
      <c r="A1404" s="58" t="s">
        <v>948</v>
      </c>
      <c r="B1404" s="146">
        <v>44831.114583333299</v>
      </c>
      <c r="C1404" s="279">
        <v>6</v>
      </c>
      <c r="D1404" s="134" t="s">
        <v>305</v>
      </c>
      <c r="E1404" s="7" t="s">
        <v>43</v>
      </c>
      <c r="F1404" s="139" t="s">
        <v>255</v>
      </c>
      <c r="G1404" s="43">
        <v>78.099999999999994</v>
      </c>
      <c r="H1404" s="43">
        <v>79.599999999999994</v>
      </c>
      <c r="I1404" s="33">
        <f>表1_4[[#This Row],[主队2]]-表1_4[[#This Row],[客队2]]</f>
        <v>-1.5</v>
      </c>
      <c r="J140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404" s="35" t="s">
        <v>182</v>
      </c>
      <c r="L140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404" s="11"/>
      <c r="N1404" s="10" t="s">
        <v>112</v>
      </c>
      <c r="O1404" s="10" t="s">
        <v>48</v>
      </c>
      <c r="R1404" t="s">
        <v>855</v>
      </c>
      <c r="T1404" s="3"/>
      <c r="U1404" s="25"/>
      <c r="V1404" s="80" t="s">
        <v>2028</v>
      </c>
      <c r="W1404" s="56"/>
      <c r="X1404" s="69" t="s">
        <v>783</v>
      </c>
      <c r="Y1404" s="70">
        <v>96</v>
      </c>
    </row>
    <row r="1405" spans="1:25">
      <c r="A1405" s="58" t="s">
        <v>948</v>
      </c>
      <c r="B1405" s="127">
        <v>44832.114583333299</v>
      </c>
      <c r="C1405" s="138">
        <v>6</v>
      </c>
      <c r="D1405" s="134" t="s">
        <v>297</v>
      </c>
      <c r="E1405" s="7" t="s">
        <v>47</v>
      </c>
      <c r="F1405" s="139" t="s">
        <v>434</v>
      </c>
      <c r="G1405" s="43">
        <v>81.5</v>
      </c>
      <c r="H1405" s="43">
        <v>86.1</v>
      </c>
      <c r="I1405" s="33">
        <f>表1_4[[#This Row],[主队2]]-表1_4[[#This Row],[客队2]]</f>
        <v>-4.5999999999999899</v>
      </c>
      <c r="J140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405" s="35" t="s">
        <v>182</v>
      </c>
      <c r="L140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405" s="63" t="s">
        <v>2029</v>
      </c>
      <c r="N1405" s="10" t="s">
        <v>119</v>
      </c>
      <c r="O1405" s="57" t="s">
        <v>35</v>
      </c>
      <c r="T1405" s="3"/>
      <c r="U1405" s="83" t="s">
        <v>2030</v>
      </c>
      <c r="V1405" s="55" t="s">
        <v>354</v>
      </c>
      <c r="W1405" s="56"/>
      <c r="X1405" s="69" t="s">
        <v>774</v>
      </c>
      <c r="Y1405" s="70">
        <v>100</v>
      </c>
    </row>
    <row r="1406" spans="1:25">
      <c r="A1406" s="58" t="s">
        <v>948</v>
      </c>
      <c r="B1406" s="146">
        <v>44832.114583333299</v>
      </c>
      <c r="C1406" s="140">
        <v>6</v>
      </c>
      <c r="D1406" s="134" t="s">
        <v>239</v>
      </c>
      <c r="E1406" s="7" t="s">
        <v>36</v>
      </c>
      <c r="F1406" s="139" t="s">
        <v>309</v>
      </c>
      <c r="G1406" s="43">
        <v>83.9</v>
      </c>
      <c r="H1406" s="43">
        <v>77.099999999999994</v>
      </c>
      <c r="I1406" s="33">
        <f>表1_4[[#This Row],[主队2]]-表1_4[[#This Row],[客队2]]</f>
        <v>6.8000000000000096</v>
      </c>
      <c r="J140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406" s="35" t="s">
        <v>118</v>
      </c>
      <c r="L140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06" s="11"/>
      <c r="N1406" s="10" t="s">
        <v>119</v>
      </c>
      <c r="T1406" s="3"/>
      <c r="U1406" s="83"/>
      <c r="V1406" s="55" t="s">
        <v>2031</v>
      </c>
      <c r="W1406" s="246"/>
      <c r="X1406" s="135"/>
    </row>
    <row r="1407" spans="1:25">
      <c r="A1407" s="58" t="s">
        <v>948</v>
      </c>
      <c r="B1407" s="146">
        <v>44832.114583333299</v>
      </c>
      <c r="C1407" s="140">
        <v>6</v>
      </c>
      <c r="D1407" s="134" t="s">
        <v>275</v>
      </c>
      <c r="E1407" s="7" t="s">
        <v>41</v>
      </c>
      <c r="F1407" s="139" t="s">
        <v>296</v>
      </c>
      <c r="G1407" s="43">
        <v>80</v>
      </c>
      <c r="H1407" s="43">
        <v>75.099999999999994</v>
      </c>
      <c r="I1407" s="33">
        <f>表1_4[[#This Row],[主队2]]-表1_4[[#This Row],[客队2]]</f>
        <v>4.9000000000000101</v>
      </c>
      <c r="J140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407" s="35" t="s">
        <v>289</v>
      </c>
      <c r="L140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07" s="11"/>
      <c r="T1407" s="3"/>
      <c r="U1407" s="246"/>
      <c r="V1407" s="231" t="s">
        <v>2032</v>
      </c>
      <c r="W1407" s="56"/>
      <c r="X1407" s="45"/>
    </row>
    <row r="1408" spans="1:25">
      <c r="A1408" s="58" t="s">
        <v>948</v>
      </c>
      <c r="B1408" s="146">
        <v>44832.114583333299</v>
      </c>
      <c r="C1408" s="138">
        <v>6</v>
      </c>
      <c r="D1408" s="134" t="s">
        <v>217</v>
      </c>
      <c r="E1408" s="7" t="s">
        <v>82</v>
      </c>
      <c r="F1408" s="139" t="s">
        <v>407</v>
      </c>
      <c r="G1408" s="43">
        <v>70.2</v>
      </c>
      <c r="H1408" s="43">
        <v>63.6</v>
      </c>
      <c r="I1408" s="33">
        <f>表1_4[[#This Row],[主队2]]-表1_4[[#This Row],[客队2]]</f>
        <v>6.6</v>
      </c>
      <c r="J140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408" s="35" t="s">
        <v>176</v>
      </c>
      <c r="L140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408" s="11"/>
      <c r="T1408" s="3"/>
      <c r="U1408" s="83"/>
      <c r="V1408" s="55" t="s">
        <v>2033</v>
      </c>
      <c r="W1408" s="48"/>
      <c r="X1408" s="45"/>
    </row>
    <row r="1409" spans="1:25">
      <c r="A1409" s="58" t="s">
        <v>948</v>
      </c>
      <c r="B1409" s="146">
        <v>44832.114583333299</v>
      </c>
      <c r="C1409" s="141">
        <v>6</v>
      </c>
      <c r="D1409" s="134" t="s">
        <v>205</v>
      </c>
      <c r="E1409" s="7" t="s">
        <v>36</v>
      </c>
      <c r="F1409" s="139" t="s">
        <v>218</v>
      </c>
      <c r="G1409" s="43">
        <v>70.900000000000006</v>
      </c>
      <c r="H1409" s="43">
        <v>73.7</v>
      </c>
      <c r="I1409" s="33">
        <f>表1_4[[#This Row],[主队2]]-表1_4[[#This Row],[客队2]]</f>
        <v>-2.8</v>
      </c>
      <c r="J140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409" s="35" t="s">
        <v>289</v>
      </c>
      <c r="L140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409" s="11"/>
      <c r="T1409" s="3"/>
      <c r="U1409" s="246"/>
      <c r="V1409" s="231" t="s">
        <v>2032</v>
      </c>
      <c r="W1409" s="56"/>
      <c r="X1409" s="45"/>
    </row>
    <row r="1410" spans="1:25">
      <c r="A1410" s="58" t="s">
        <v>948</v>
      </c>
      <c r="B1410" s="146">
        <v>44832.114583333299</v>
      </c>
      <c r="C1410" s="140">
        <v>6</v>
      </c>
      <c r="D1410" s="134" t="s">
        <v>199</v>
      </c>
      <c r="E1410" s="7" t="s">
        <v>29</v>
      </c>
      <c r="F1410" s="139" t="s">
        <v>287</v>
      </c>
      <c r="G1410" s="43">
        <v>80.400000000000006</v>
      </c>
      <c r="H1410" s="43">
        <v>67</v>
      </c>
      <c r="I1410" s="33">
        <f>表1_4[[#This Row],[主队2]]-表1_4[[#This Row],[客队2]]</f>
        <v>13.4</v>
      </c>
      <c r="J141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410" s="35" t="s">
        <v>125</v>
      </c>
      <c r="L141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10" s="11"/>
      <c r="N1410" s="10" t="s">
        <v>112</v>
      </c>
      <c r="O1410" s="10" t="s">
        <v>35</v>
      </c>
      <c r="T1410" s="3"/>
      <c r="U1410" s="255" t="s">
        <v>938</v>
      </c>
      <c r="V1410" s="54" t="s">
        <v>2034</v>
      </c>
      <c r="W1410" s="52"/>
      <c r="X1410" s="45"/>
    </row>
    <row r="1411" spans="1:25">
      <c r="A1411" s="58" t="s">
        <v>948</v>
      </c>
      <c r="B1411" s="146">
        <v>44832.114583333299</v>
      </c>
      <c r="C1411" s="141">
        <v>6</v>
      </c>
      <c r="D1411" s="134" t="s">
        <v>214</v>
      </c>
      <c r="E1411" s="7" t="s">
        <v>42</v>
      </c>
      <c r="F1411" s="139" t="s">
        <v>123</v>
      </c>
      <c r="G1411" s="43">
        <v>83.1</v>
      </c>
      <c r="H1411" s="43">
        <v>80</v>
      </c>
      <c r="I1411" s="33">
        <f>表1_4[[#This Row],[主队2]]-表1_4[[#This Row],[客队2]]</f>
        <v>3.0999999999999899</v>
      </c>
      <c r="J1411" s="34">
        <v>0.25</v>
      </c>
      <c r="K1411" s="35" t="s">
        <v>182</v>
      </c>
      <c r="L141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411" s="11"/>
      <c r="N1411" s="10" t="s">
        <v>119</v>
      </c>
      <c r="O1411" s="10" t="s">
        <v>27</v>
      </c>
      <c r="T1411" s="3"/>
      <c r="U1411" s="83" t="s">
        <v>776</v>
      </c>
      <c r="V1411" s="246" t="s">
        <v>2035</v>
      </c>
      <c r="W1411" s="241"/>
      <c r="X1411" s="238" t="s">
        <v>2036</v>
      </c>
      <c r="Y1411" s="250">
        <v>91</v>
      </c>
    </row>
    <row r="1412" spans="1:25">
      <c r="A1412" s="58" t="s">
        <v>948</v>
      </c>
      <c r="B1412" s="146">
        <v>44832.114583333299</v>
      </c>
      <c r="C1412" s="141">
        <v>6</v>
      </c>
      <c r="D1412" s="134" t="s">
        <v>270</v>
      </c>
      <c r="E1412" s="7" t="s">
        <v>53</v>
      </c>
      <c r="F1412" s="139" t="s">
        <v>209</v>
      </c>
      <c r="G1412" s="43">
        <v>95.4</v>
      </c>
      <c r="H1412" s="43">
        <v>94.8</v>
      </c>
      <c r="I1412" s="33">
        <f>表1_4[[#This Row],[主队2]]-表1_4[[#This Row],[客队2]]</f>
        <v>0.60000000000000897</v>
      </c>
      <c r="J141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412" s="35" t="s">
        <v>182</v>
      </c>
      <c r="L141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412" s="11"/>
      <c r="N1412" s="10" t="s">
        <v>119</v>
      </c>
      <c r="O1412" s="10" t="s">
        <v>48</v>
      </c>
      <c r="T1412" s="3"/>
      <c r="U1412" s="83"/>
      <c r="V1412" s="55" t="s">
        <v>2037</v>
      </c>
      <c r="W1412" s="246"/>
      <c r="X1412" s="164" t="s">
        <v>783</v>
      </c>
      <c r="Y1412" s="70">
        <v>96</v>
      </c>
    </row>
    <row r="1413" spans="1:25">
      <c r="A1413" s="58" t="s">
        <v>948</v>
      </c>
      <c r="B1413" s="146">
        <v>44832.114583333299</v>
      </c>
      <c r="C1413" s="138">
        <v>6</v>
      </c>
      <c r="D1413" s="134" t="s">
        <v>250</v>
      </c>
      <c r="E1413" s="7" t="s">
        <v>33</v>
      </c>
      <c r="F1413" s="139" t="s">
        <v>284</v>
      </c>
      <c r="G1413" s="43">
        <v>90.9</v>
      </c>
      <c r="H1413" s="43">
        <v>84.1</v>
      </c>
      <c r="I1413" s="33">
        <f>表1_4[[#This Row],[主队2]]-表1_4[[#This Row],[客队2]]</f>
        <v>6.8000000000000096</v>
      </c>
      <c r="J141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413" s="35" t="s">
        <v>118</v>
      </c>
      <c r="L141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13" s="11"/>
      <c r="N1413" s="10" t="s">
        <v>119</v>
      </c>
      <c r="O1413" s="10" t="s">
        <v>65</v>
      </c>
      <c r="T1413" s="3"/>
      <c r="U1413" s="25"/>
      <c r="V1413" s="54" t="s">
        <v>2038</v>
      </c>
      <c r="W1413" s="241"/>
      <c r="X1413" s="45"/>
    </row>
    <row r="1414" spans="1:25">
      <c r="A1414" s="58" t="s">
        <v>908</v>
      </c>
      <c r="B1414" s="4">
        <v>45008.958333333299</v>
      </c>
      <c r="C1414" s="5">
        <v>1</v>
      </c>
      <c r="D1414" s="6" t="s">
        <v>288</v>
      </c>
      <c r="E1414" s="7" t="s">
        <v>60</v>
      </c>
      <c r="F1414" t="s">
        <v>309</v>
      </c>
      <c r="G1414" s="43">
        <v>65.8</v>
      </c>
      <c r="H1414" s="43">
        <v>77.900000000000006</v>
      </c>
      <c r="I1414" s="33">
        <f>表1_4[[#This Row],[主队2]]-表1_4[[#This Row],[客队2]]</f>
        <v>-12.1</v>
      </c>
      <c r="J141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414" s="35" t="s">
        <v>132</v>
      </c>
      <c r="L141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414" s="11" t="s">
        <v>161</v>
      </c>
      <c r="N1414" s="10" t="s">
        <v>112</v>
      </c>
      <c r="O1414" s="10" t="s">
        <v>35</v>
      </c>
      <c r="T1414" s="3"/>
      <c r="U1414" s="83" t="s">
        <v>1437</v>
      </c>
      <c r="V1414" s="231" t="s">
        <v>2039</v>
      </c>
      <c r="W1414" s="51"/>
      <c r="X1414" s="238" t="s">
        <v>395</v>
      </c>
      <c r="Y1414" s="160" t="s">
        <v>2040</v>
      </c>
    </row>
    <row r="1415" spans="1:25">
      <c r="A1415" s="58" t="s">
        <v>908</v>
      </c>
      <c r="B1415" s="4">
        <v>45009.15625</v>
      </c>
      <c r="C1415" s="14">
        <v>1</v>
      </c>
      <c r="D1415" s="6" t="s">
        <v>306</v>
      </c>
      <c r="E1415" s="7" t="s">
        <v>41</v>
      </c>
      <c r="F1415" t="s">
        <v>191</v>
      </c>
      <c r="G1415" s="43">
        <v>89.7</v>
      </c>
      <c r="H1415" s="43">
        <v>77.2</v>
      </c>
      <c r="I1415" s="33">
        <f>表1_4[[#This Row],[主队2]]-表1_4[[#This Row],[客队2]]</f>
        <v>12.5</v>
      </c>
      <c r="J141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415" s="35" t="s">
        <v>125</v>
      </c>
      <c r="L141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15" s="11" t="s">
        <v>2041</v>
      </c>
      <c r="N1415" s="10" t="s">
        <v>112</v>
      </c>
      <c r="O1415" s="10" t="s">
        <v>35</v>
      </c>
      <c r="Q1415" s="11" t="s">
        <v>2042</v>
      </c>
      <c r="R1415" t="s">
        <v>852</v>
      </c>
      <c r="T1415" s="3"/>
      <c r="U1415" s="25" t="s">
        <v>2043</v>
      </c>
      <c r="V1415" s="80" t="s">
        <v>2044</v>
      </c>
      <c r="W1415" s="48"/>
      <c r="X1415" s="69" t="s">
        <v>774</v>
      </c>
      <c r="Y1415" s="70">
        <v>110</v>
      </c>
    </row>
    <row r="1416" spans="1:25">
      <c r="A1416" s="58" t="s">
        <v>908</v>
      </c>
      <c r="B1416" s="4">
        <v>45009.15625</v>
      </c>
      <c r="C1416" s="1">
        <v>1</v>
      </c>
      <c r="D1416" s="6" t="s">
        <v>282</v>
      </c>
      <c r="E1416" s="7" t="s">
        <v>47</v>
      </c>
      <c r="F1416" t="s">
        <v>296</v>
      </c>
      <c r="G1416" s="43">
        <v>30.5</v>
      </c>
      <c r="H1416" s="43">
        <v>74.7</v>
      </c>
      <c r="I1416" s="33">
        <f>表1_4[[#This Row],[主队2]]-表1_4[[#This Row],[客队2]]</f>
        <v>-44.2</v>
      </c>
      <c r="J1416" s="34">
        <v>-4.25</v>
      </c>
      <c r="K1416" s="34">
        <v>-2.75</v>
      </c>
      <c r="L141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416" s="11" t="s">
        <v>161</v>
      </c>
      <c r="N1416" s="10" t="s">
        <v>133</v>
      </c>
      <c r="O1416" s="10" t="s">
        <v>40</v>
      </c>
      <c r="T1416" s="3"/>
      <c r="U1416" s="246" t="s">
        <v>469</v>
      </c>
      <c r="V1416" s="231" t="s">
        <v>1507</v>
      </c>
      <c r="W1416" s="44"/>
      <c r="X1416" s="45"/>
    </row>
    <row r="1417" spans="1:25">
      <c r="A1417" s="58" t="s">
        <v>908</v>
      </c>
      <c r="B1417" s="4">
        <v>45009.15625</v>
      </c>
      <c r="C1417" s="1">
        <v>1</v>
      </c>
      <c r="D1417" s="275" t="s">
        <v>204</v>
      </c>
      <c r="E1417" s="7" t="s">
        <v>60</v>
      </c>
      <c r="F1417" s="139" t="s">
        <v>117</v>
      </c>
      <c r="G1417" s="43">
        <v>94</v>
      </c>
      <c r="H1417" s="43">
        <v>95.8</v>
      </c>
      <c r="I1417" s="33">
        <f>表1_4[[#This Row],[主队2]]-表1_4[[#This Row],[客队2]]</f>
        <v>-1.8</v>
      </c>
      <c r="J141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417" s="35" t="s">
        <v>166</v>
      </c>
      <c r="L141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417" s="11" t="s">
        <v>161</v>
      </c>
      <c r="N1417" s="10" t="s">
        <v>119</v>
      </c>
      <c r="O1417" s="10" t="s">
        <v>65</v>
      </c>
      <c r="T1417" s="3"/>
      <c r="U1417" s="246"/>
      <c r="V1417" s="55" t="s">
        <v>2045</v>
      </c>
      <c r="W1417" s="56"/>
      <c r="X1417" s="69" t="s">
        <v>1817</v>
      </c>
      <c r="Y1417" s="70">
        <v>102</v>
      </c>
    </row>
    <row r="1418" spans="1:25">
      <c r="A1418" s="58" t="s">
        <v>908</v>
      </c>
      <c r="B1418" s="4">
        <v>45009.15625</v>
      </c>
      <c r="C1418" s="1">
        <v>1</v>
      </c>
      <c r="D1418" s="6" t="s">
        <v>440</v>
      </c>
      <c r="E1418" s="7" t="s">
        <v>33</v>
      </c>
      <c r="F1418" t="s">
        <v>929</v>
      </c>
      <c r="G1418" s="43">
        <v>72</v>
      </c>
      <c r="H1418" s="43">
        <v>56.2</v>
      </c>
      <c r="I1418" s="33">
        <f>表1_4[[#This Row],[主队2]]-表1_4[[#This Row],[客队2]]</f>
        <v>15.8</v>
      </c>
      <c r="J141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418" s="35" t="s">
        <v>125</v>
      </c>
      <c r="L141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418" s="11" t="s">
        <v>2046</v>
      </c>
      <c r="N1418" s="10" t="s">
        <v>119</v>
      </c>
      <c r="O1418" s="10" t="s">
        <v>24</v>
      </c>
      <c r="Q1418" s="11" t="s">
        <v>2042</v>
      </c>
      <c r="R1418" t="s">
        <v>852</v>
      </c>
      <c r="T1418" s="3"/>
      <c r="U1418" s="25"/>
      <c r="V1418" s="80" t="s">
        <v>2047</v>
      </c>
      <c r="W1418" s="48"/>
      <c r="X1418" s="238" t="s">
        <v>544</v>
      </c>
      <c r="Y1418" s="250">
        <v>92</v>
      </c>
    </row>
    <row r="1419" spans="1:25">
      <c r="A1419" s="58" t="s">
        <v>908</v>
      </c>
      <c r="B1419" s="4">
        <v>45009.15625</v>
      </c>
      <c r="C1419" s="5">
        <v>1</v>
      </c>
      <c r="D1419" s="6" t="s">
        <v>425</v>
      </c>
      <c r="E1419" s="7" t="s">
        <v>42</v>
      </c>
      <c r="F1419" t="s">
        <v>266</v>
      </c>
      <c r="G1419" s="43">
        <v>77.5</v>
      </c>
      <c r="H1419" s="43">
        <v>65</v>
      </c>
      <c r="I1419" s="33">
        <f>表1_4[[#This Row],[主队2]]-表1_4[[#This Row],[客队2]]</f>
        <v>12.5</v>
      </c>
      <c r="J141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419" s="35" t="s">
        <v>176</v>
      </c>
      <c r="L141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419" s="11" t="s">
        <v>161</v>
      </c>
      <c r="N1419" s="10" t="s">
        <v>133</v>
      </c>
      <c r="O1419" s="10" t="s">
        <v>28</v>
      </c>
      <c r="T1419" s="3"/>
      <c r="U1419" s="25"/>
      <c r="V1419" s="246" t="s">
        <v>2048</v>
      </c>
      <c r="W1419" s="56"/>
      <c r="X1419" s="69" t="s">
        <v>2049</v>
      </c>
      <c r="Y1419" s="129" t="s">
        <v>2050</v>
      </c>
    </row>
    <row r="1420" spans="1:25">
      <c r="A1420" s="58" t="s">
        <v>908</v>
      </c>
      <c r="B1420" s="4">
        <v>45009.15625</v>
      </c>
      <c r="C1420" s="1">
        <v>1</v>
      </c>
      <c r="D1420" s="6" t="s">
        <v>255</v>
      </c>
      <c r="E1420" s="7" t="s">
        <v>44</v>
      </c>
      <c r="F1420" t="s">
        <v>218</v>
      </c>
      <c r="G1420" s="43">
        <v>78.7</v>
      </c>
      <c r="H1420" s="43">
        <v>73.099999999999994</v>
      </c>
      <c r="I1420" s="33">
        <f>表1_4[[#This Row],[主队2]]-表1_4[[#This Row],[客队2]]</f>
        <v>5.6000000000000103</v>
      </c>
      <c r="J142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420" s="35" t="s">
        <v>289</v>
      </c>
      <c r="L142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20" s="11"/>
      <c r="N1420" s="10" t="s">
        <v>112</v>
      </c>
      <c r="O1420" s="10" t="s">
        <v>35</v>
      </c>
      <c r="T1420" s="3"/>
      <c r="U1420" s="25" t="s">
        <v>1174</v>
      </c>
      <c r="V1420" s="25" t="s">
        <v>2051</v>
      </c>
      <c r="W1420" s="52"/>
      <c r="X1420" s="69" t="s">
        <v>774</v>
      </c>
      <c r="Y1420" s="70">
        <v>100</v>
      </c>
    </row>
    <row r="1421" spans="1:25">
      <c r="A1421" s="58" t="s">
        <v>908</v>
      </c>
      <c r="B1421" s="4">
        <v>45009.15625</v>
      </c>
      <c r="C1421" s="1">
        <v>1</v>
      </c>
      <c r="D1421" s="6" t="s">
        <v>270</v>
      </c>
      <c r="E1421" s="7" t="s">
        <v>37</v>
      </c>
      <c r="F1421" t="s">
        <v>437</v>
      </c>
      <c r="G1421" s="43">
        <v>95.6</v>
      </c>
      <c r="H1421" s="43">
        <v>43.6</v>
      </c>
      <c r="I1421" s="33">
        <f>表1_4[[#This Row],[主队2]]-表1_4[[#This Row],[客队2]]</f>
        <v>52</v>
      </c>
      <c r="J1421" s="34">
        <v>5.5</v>
      </c>
      <c r="K1421" s="34">
        <v>5</v>
      </c>
      <c r="L142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421" s="11" t="s">
        <v>161</v>
      </c>
      <c r="N1421" s="10" t="s">
        <v>895</v>
      </c>
      <c r="O1421" s="10" t="s">
        <v>40</v>
      </c>
      <c r="T1421" s="3"/>
      <c r="U1421" s="25" t="s">
        <v>2052</v>
      </c>
      <c r="V1421" s="54" t="s">
        <v>2053</v>
      </c>
      <c r="W1421" s="52"/>
      <c r="X1421" s="45"/>
    </row>
    <row r="1422" spans="1:25">
      <c r="A1422" s="58" t="s">
        <v>908</v>
      </c>
      <c r="B1422" s="4">
        <v>45010.041666666701</v>
      </c>
      <c r="C1422" s="1">
        <v>1</v>
      </c>
      <c r="D1422" s="6" t="s">
        <v>261</v>
      </c>
      <c r="E1422" s="7" t="s">
        <v>53</v>
      </c>
      <c r="F1422" t="s">
        <v>301</v>
      </c>
      <c r="G1422" s="43">
        <v>73.599999999999994</v>
      </c>
      <c r="H1422" s="43">
        <v>72.2</v>
      </c>
      <c r="I1422" s="33">
        <f>表1_4[[#This Row],[主队2]]-表1_4[[#This Row],[客队2]]</f>
        <v>1.3999999999999899</v>
      </c>
      <c r="J142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422" s="35" t="s">
        <v>166</v>
      </c>
      <c r="L142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422" s="165" t="s">
        <v>2054</v>
      </c>
      <c r="N1422" s="10" t="s">
        <v>119</v>
      </c>
      <c r="O1422" s="10" t="s">
        <v>65</v>
      </c>
      <c r="T1422" s="3"/>
      <c r="U1422" s="25"/>
      <c r="V1422" s="54" t="s">
        <v>2055</v>
      </c>
      <c r="W1422" s="241"/>
      <c r="X1422" s="69" t="s">
        <v>783</v>
      </c>
      <c r="Y1422" s="70">
        <v>104</v>
      </c>
    </row>
    <row r="1423" spans="1:25">
      <c r="A1423" s="58" t="s">
        <v>908</v>
      </c>
      <c r="B1423" s="4">
        <v>45010.15625</v>
      </c>
      <c r="C1423" s="1">
        <v>1</v>
      </c>
      <c r="D1423" s="6" t="s">
        <v>256</v>
      </c>
      <c r="E1423" s="7" t="s">
        <v>64</v>
      </c>
      <c r="F1423" t="s">
        <v>275</v>
      </c>
      <c r="G1423" s="43">
        <v>40.6</v>
      </c>
      <c r="H1423" s="43">
        <v>80</v>
      </c>
      <c r="I1423" s="33">
        <f>表1_4[[#This Row],[主队2]]-表1_4[[#This Row],[客队2]]</f>
        <v>-39.4</v>
      </c>
      <c r="J1423" s="34">
        <v>-4</v>
      </c>
      <c r="K1423" s="34">
        <v>-2.5</v>
      </c>
      <c r="L142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423" s="11" t="s">
        <v>2056</v>
      </c>
      <c r="N1423" s="10" t="s">
        <v>160</v>
      </c>
      <c r="O1423" s="10" t="s">
        <v>35</v>
      </c>
      <c r="T1423" s="3"/>
      <c r="U1423" s="25" t="s">
        <v>776</v>
      </c>
      <c r="V1423" s="54" t="s">
        <v>2057</v>
      </c>
      <c r="W1423" s="52"/>
      <c r="X1423" s="45"/>
    </row>
    <row r="1424" spans="1:25">
      <c r="A1424" s="58" t="s">
        <v>908</v>
      </c>
      <c r="B1424" s="4">
        <v>45010.15625</v>
      </c>
      <c r="C1424" s="1">
        <v>1</v>
      </c>
      <c r="D1424" s="6" t="s">
        <v>267</v>
      </c>
      <c r="E1424" s="7" t="s">
        <v>37</v>
      </c>
      <c r="F1424" t="s">
        <v>262</v>
      </c>
      <c r="G1424" s="43">
        <v>98.8</v>
      </c>
      <c r="H1424" s="43">
        <v>94.6</v>
      </c>
      <c r="I1424" s="33">
        <f>表1_4[[#This Row],[主队2]]-表1_4[[#This Row],[客队2]]</f>
        <v>4.2</v>
      </c>
      <c r="J142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424" s="35" t="s">
        <v>289</v>
      </c>
      <c r="L142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24" s="11" t="s">
        <v>161</v>
      </c>
      <c r="N1424" s="10" t="s">
        <v>112</v>
      </c>
      <c r="O1424" s="10" t="s">
        <v>51</v>
      </c>
      <c r="T1424" s="3"/>
      <c r="U1424" s="25"/>
      <c r="V1424" s="80" t="s">
        <v>2058</v>
      </c>
      <c r="W1424" s="51"/>
      <c r="X1424" s="77" t="s">
        <v>433</v>
      </c>
      <c r="Y1424" s="61">
        <v>80</v>
      </c>
    </row>
    <row r="1425" spans="1:25">
      <c r="A1425" s="58" t="s">
        <v>908</v>
      </c>
      <c r="B1425" s="4">
        <v>45010.15625</v>
      </c>
      <c r="C1425" s="1">
        <v>1</v>
      </c>
      <c r="D1425" s="6" t="s">
        <v>195</v>
      </c>
      <c r="E1425" s="7" t="s">
        <v>36</v>
      </c>
      <c r="F1425" s="260" t="s">
        <v>244</v>
      </c>
      <c r="G1425" s="43">
        <v>58.1</v>
      </c>
      <c r="H1425" s="43">
        <v>59.7</v>
      </c>
      <c r="I1425" s="33">
        <f>表1_4[[#This Row],[主队2]]-表1_4[[#This Row],[客队2]]</f>
        <v>-1.6</v>
      </c>
      <c r="J142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425" s="35" t="s">
        <v>166</v>
      </c>
      <c r="L142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425" s="11" t="s">
        <v>2059</v>
      </c>
      <c r="N1425" s="10" t="s">
        <v>112</v>
      </c>
      <c r="O1425" s="10" t="s">
        <v>48</v>
      </c>
      <c r="T1425" s="3"/>
      <c r="U1425" s="25"/>
      <c r="V1425" s="80" t="s">
        <v>2060</v>
      </c>
      <c r="W1425" s="56"/>
      <c r="X1425" s="69" t="s">
        <v>2061</v>
      </c>
      <c r="Y1425" s="70">
        <v>110</v>
      </c>
    </row>
    <row r="1426" spans="1:25">
      <c r="A1426" s="58" t="s">
        <v>908</v>
      </c>
      <c r="B1426" s="4">
        <v>45010.15625</v>
      </c>
      <c r="C1426" s="14">
        <v>1</v>
      </c>
      <c r="D1426" s="6" t="s">
        <v>284</v>
      </c>
      <c r="E1426" s="7" t="s">
        <v>41</v>
      </c>
      <c r="F1426" t="s">
        <v>302</v>
      </c>
      <c r="G1426" s="43">
        <v>84.2</v>
      </c>
      <c r="H1426" s="43">
        <v>85.2</v>
      </c>
      <c r="I1426" s="33">
        <f>表1_4[[#This Row],[主队2]]-表1_4[[#This Row],[客队2]]</f>
        <v>-1</v>
      </c>
      <c r="J142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426" s="35" t="s">
        <v>182</v>
      </c>
      <c r="L142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426" s="11"/>
      <c r="N1426" s="10" t="s">
        <v>119</v>
      </c>
      <c r="O1426" s="10" t="s">
        <v>24</v>
      </c>
      <c r="T1426" s="3"/>
      <c r="U1426" s="83"/>
      <c r="V1426" s="55" t="s">
        <v>2062</v>
      </c>
      <c r="W1426" s="56"/>
      <c r="X1426" s="238" t="s">
        <v>395</v>
      </c>
      <c r="Y1426" s="250">
        <v>86</v>
      </c>
    </row>
    <row r="1427" spans="1:25">
      <c r="A1427" s="58" t="s">
        <v>908</v>
      </c>
      <c r="B1427" s="4">
        <v>45010.15625</v>
      </c>
      <c r="C1427" s="1">
        <v>1</v>
      </c>
      <c r="D1427" s="6" t="s">
        <v>194</v>
      </c>
      <c r="E1427" s="7" t="s">
        <v>43</v>
      </c>
      <c r="F1427" t="s">
        <v>278</v>
      </c>
      <c r="G1427" s="43">
        <v>82</v>
      </c>
      <c r="H1427" s="43">
        <v>65.5</v>
      </c>
      <c r="I1427" s="33">
        <f>表1_4[[#This Row],[主队2]]-表1_4[[#This Row],[客队2]]</f>
        <v>16.5</v>
      </c>
      <c r="J142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427" s="35" t="s">
        <v>63</v>
      </c>
      <c r="L142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27" s="11" t="s">
        <v>161</v>
      </c>
      <c r="N1427" s="10" t="s">
        <v>119</v>
      </c>
      <c r="O1427" s="10" t="s">
        <v>51</v>
      </c>
      <c r="T1427" s="3"/>
      <c r="U1427" s="83"/>
      <c r="V1427" s="231" t="s">
        <v>2063</v>
      </c>
      <c r="W1427" s="241"/>
      <c r="X1427" s="166" t="s">
        <v>850</v>
      </c>
      <c r="Y1427" s="292">
        <v>82</v>
      </c>
    </row>
    <row r="1428" spans="1:25">
      <c r="A1428" s="58" t="s">
        <v>908</v>
      </c>
      <c r="B1428" s="4">
        <v>45010.15625</v>
      </c>
      <c r="C1428" s="1">
        <v>1</v>
      </c>
      <c r="D1428" s="6" t="s">
        <v>239</v>
      </c>
      <c r="E1428" s="7" t="s">
        <v>64</v>
      </c>
      <c r="F1428" t="s">
        <v>274</v>
      </c>
      <c r="G1428" s="43">
        <v>85.1</v>
      </c>
      <c r="H1428" s="43">
        <v>93.4</v>
      </c>
      <c r="I1428" s="33">
        <f>表1_4[[#This Row],[主队2]]-表1_4[[#This Row],[客队2]]</f>
        <v>-8.3000000000000096</v>
      </c>
      <c r="J142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428" s="35" t="s">
        <v>152</v>
      </c>
      <c r="L142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28" s="11" t="s">
        <v>2064</v>
      </c>
      <c r="N1428" s="10" t="s">
        <v>119</v>
      </c>
      <c r="O1428" s="10" t="s">
        <v>51</v>
      </c>
      <c r="T1428" s="3"/>
      <c r="U1428" s="25"/>
      <c r="V1428" s="231" t="s">
        <v>2065</v>
      </c>
      <c r="W1428" s="51"/>
      <c r="X1428" s="77" t="s">
        <v>921</v>
      </c>
      <c r="Y1428" s="61">
        <v>82</v>
      </c>
    </row>
    <row r="1429" spans="1:25">
      <c r="A1429" s="58" t="s">
        <v>908</v>
      </c>
      <c r="B1429" s="4">
        <v>45010.15625</v>
      </c>
      <c r="C1429" s="5">
        <v>1</v>
      </c>
      <c r="D1429" s="6" t="s">
        <v>434</v>
      </c>
      <c r="E1429" s="7" t="s">
        <v>22</v>
      </c>
      <c r="F1429" t="s">
        <v>292</v>
      </c>
      <c r="G1429" s="43">
        <v>85.7</v>
      </c>
      <c r="H1429" s="43">
        <v>59.8</v>
      </c>
      <c r="I1429" s="33">
        <f>表1_4[[#This Row],[主队2]]-表1_4[[#This Row],[客队2]]</f>
        <v>25.9</v>
      </c>
      <c r="J1429" s="34">
        <v>2.75</v>
      </c>
      <c r="K1429" s="34">
        <v>2.5</v>
      </c>
      <c r="L142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29" s="11" t="s">
        <v>2066</v>
      </c>
      <c r="N1429" s="46" t="s">
        <v>160</v>
      </c>
      <c r="O1429" s="10" t="s">
        <v>40</v>
      </c>
      <c r="T1429" s="3"/>
      <c r="U1429" s="246"/>
      <c r="V1429" s="231" t="s">
        <v>2067</v>
      </c>
      <c r="W1429" s="52"/>
      <c r="X1429" s="45"/>
    </row>
    <row r="1430" spans="1:25">
      <c r="A1430" s="58" t="s">
        <v>908</v>
      </c>
      <c r="B1430" s="4">
        <v>45010.916666666701</v>
      </c>
      <c r="C1430" s="14">
        <v>1</v>
      </c>
      <c r="D1430" s="6" t="s">
        <v>123</v>
      </c>
      <c r="E1430" s="7" t="s">
        <v>44</v>
      </c>
      <c r="F1430" t="s">
        <v>407</v>
      </c>
      <c r="G1430" s="43">
        <v>80.099999999999994</v>
      </c>
      <c r="H1430" s="43">
        <v>62.7</v>
      </c>
      <c r="I1430" s="33">
        <f>表1_4[[#This Row],[主队2]]-表1_4[[#This Row],[客队2]]</f>
        <v>17.399999999999999</v>
      </c>
      <c r="J143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430" s="35" t="s">
        <v>81</v>
      </c>
      <c r="L143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430" s="11"/>
      <c r="N1430" s="46" t="s">
        <v>160</v>
      </c>
      <c r="O1430" s="10" t="s">
        <v>40</v>
      </c>
      <c r="T1430" s="3"/>
      <c r="U1430" s="25" t="s">
        <v>1675</v>
      </c>
      <c r="V1430" s="80" t="s">
        <v>2068</v>
      </c>
      <c r="W1430" s="52"/>
      <c r="X1430" s="77" t="s">
        <v>433</v>
      </c>
      <c r="Y1430" s="61">
        <v>82</v>
      </c>
    </row>
    <row r="1431" spans="1:25">
      <c r="A1431" s="58" t="s">
        <v>908</v>
      </c>
      <c r="B1431" s="4">
        <v>45011.041666666701</v>
      </c>
      <c r="C1431" s="14">
        <v>1</v>
      </c>
      <c r="D1431" s="6" t="s">
        <v>287</v>
      </c>
      <c r="E1431" s="7" t="s">
        <v>60</v>
      </c>
      <c r="F1431" t="s">
        <v>190</v>
      </c>
      <c r="G1431" s="43">
        <v>67.400000000000006</v>
      </c>
      <c r="H1431" s="43">
        <v>80.099999999999994</v>
      </c>
      <c r="I1431" s="33">
        <f>表1_4[[#This Row],[主队2]]-表1_4[[#This Row],[客队2]]</f>
        <v>-12.7</v>
      </c>
      <c r="J143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431" s="35" t="s">
        <v>219</v>
      </c>
      <c r="L143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431" s="11"/>
      <c r="N1431" s="10" t="s">
        <v>119</v>
      </c>
      <c r="O1431" s="10" t="s">
        <v>28</v>
      </c>
      <c r="T1431" s="3"/>
      <c r="U1431" s="246"/>
      <c r="V1431" s="55" t="s">
        <v>2069</v>
      </c>
      <c r="W1431" s="56"/>
      <c r="X1431" s="238" t="s">
        <v>187</v>
      </c>
      <c r="Y1431" s="250">
        <v>90</v>
      </c>
    </row>
    <row r="1432" spans="1:25">
      <c r="A1432" s="58" t="s">
        <v>908</v>
      </c>
      <c r="B1432" s="4">
        <v>45011.041666666701</v>
      </c>
      <c r="C1432" s="14">
        <v>1</v>
      </c>
      <c r="D1432" s="6" t="s">
        <v>240</v>
      </c>
      <c r="E1432" s="7" t="s">
        <v>978</v>
      </c>
      <c r="F1432" s="139" t="s">
        <v>250</v>
      </c>
      <c r="G1432" s="43">
        <v>68.900000000000006</v>
      </c>
      <c r="H1432" s="43">
        <v>88.7</v>
      </c>
      <c r="I1432" s="33">
        <f>表1_4[[#This Row],[主队2]]-表1_4[[#This Row],[客队2]]</f>
        <v>-19.8</v>
      </c>
      <c r="J143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432" s="34">
        <v>-1.5</v>
      </c>
      <c r="L143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32" s="11"/>
      <c r="N1432" s="10" t="s">
        <v>160</v>
      </c>
      <c r="O1432" s="10" t="s">
        <v>35</v>
      </c>
      <c r="T1432" s="3"/>
      <c r="U1432" s="25" t="s">
        <v>2043</v>
      </c>
      <c r="V1432" s="54" t="s">
        <v>2070</v>
      </c>
      <c r="W1432" s="52"/>
      <c r="X1432" s="69" t="s">
        <v>2061</v>
      </c>
      <c r="Y1432" s="70">
        <v>110</v>
      </c>
    </row>
    <row r="1433" spans="1:25">
      <c r="A1433" s="58" t="s">
        <v>908</v>
      </c>
      <c r="B1433" s="4">
        <v>45011.041666666701</v>
      </c>
      <c r="C1433" s="1">
        <v>1</v>
      </c>
      <c r="D1433" s="6" t="s">
        <v>210</v>
      </c>
      <c r="E1433" s="7" t="s">
        <v>36</v>
      </c>
      <c r="F1433" t="s">
        <v>217</v>
      </c>
      <c r="G1433" s="43">
        <v>74.3</v>
      </c>
      <c r="H1433" s="43">
        <v>70.400000000000006</v>
      </c>
      <c r="I1433" s="33">
        <f>表1_4[[#This Row],[主队2]]-表1_4[[#This Row],[客队2]]</f>
        <v>3.8999999999999901</v>
      </c>
      <c r="J143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433" s="35" t="s">
        <v>289</v>
      </c>
      <c r="L143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33" s="11"/>
      <c r="N1433" s="10" t="s">
        <v>119</v>
      </c>
      <c r="O1433" s="10" t="s">
        <v>28</v>
      </c>
      <c r="T1433" s="3"/>
      <c r="U1433" s="25"/>
      <c r="V1433" s="231" t="s">
        <v>2071</v>
      </c>
      <c r="W1433" s="56"/>
      <c r="X1433" s="238" t="s">
        <v>2072</v>
      </c>
      <c r="Y1433" s="250">
        <v>95</v>
      </c>
    </row>
    <row r="1434" spans="1:25">
      <c r="A1434" s="58" t="s">
        <v>908</v>
      </c>
      <c r="B1434" s="4">
        <v>45011.15625</v>
      </c>
      <c r="C1434" s="14">
        <v>1</v>
      </c>
      <c r="D1434" s="6" t="s">
        <v>209</v>
      </c>
      <c r="E1434" s="7" t="s">
        <v>44</v>
      </c>
      <c r="F1434" t="s">
        <v>297</v>
      </c>
      <c r="G1434" s="43">
        <v>95.2</v>
      </c>
      <c r="H1434" s="43">
        <v>80.599999999999994</v>
      </c>
      <c r="I1434" s="33">
        <f>表1_4[[#This Row],[主队2]]-表1_4[[#This Row],[客队2]]</f>
        <v>14.6</v>
      </c>
      <c r="J143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434" s="35" t="s">
        <v>125</v>
      </c>
      <c r="L143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434" s="11"/>
      <c r="N1434" s="10" t="s">
        <v>119</v>
      </c>
      <c r="O1434" s="10" t="s">
        <v>28</v>
      </c>
      <c r="T1434" s="3"/>
      <c r="U1434" s="83"/>
      <c r="V1434" s="80" t="s">
        <v>2073</v>
      </c>
      <c r="W1434" s="48"/>
      <c r="X1434" s="238" t="s">
        <v>427</v>
      </c>
      <c r="Y1434" s="250">
        <v>90</v>
      </c>
    </row>
    <row r="1435" spans="1:25">
      <c r="A1435" s="58" t="s">
        <v>908</v>
      </c>
      <c r="B1435" s="96">
        <v>45011.15625</v>
      </c>
      <c r="C1435" s="1">
        <v>1</v>
      </c>
      <c r="D1435" s="6" t="s">
        <v>110</v>
      </c>
      <c r="E1435" s="7" t="s">
        <v>36</v>
      </c>
      <c r="F1435" s="6" t="s">
        <v>200</v>
      </c>
      <c r="G1435" s="43">
        <v>90.6</v>
      </c>
      <c r="H1435" s="43">
        <v>81.2</v>
      </c>
      <c r="I1435" s="33">
        <f>表1_4[[#This Row],[主队2]]-表1_4[[#This Row],[客队2]]</f>
        <v>9.3999999999999897</v>
      </c>
      <c r="J143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435" s="35" t="s">
        <v>176</v>
      </c>
      <c r="L143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35" s="63" t="s">
        <v>573</v>
      </c>
      <c r="N1435" s="10" t="s">
        <v>112</v>
      </c>
      <c r="O1435" s="10" t="s">
        <v>24</v>
      </c>
      <c r="T1435" s="3"/>
      <c r="U1435" s="83"/>
      <c r="V1435" s="62" t="s">
        <v>2074</v>
      </c>
      <c r="W1435" s="52"/>
      <c r="X1435" s="238" t="s">
        <v>187</v>
      </c>
      <c r="Y1435" s="250">
        <v>90</v>
      </c>
    </row>
    <row r="1436" spans="1:25">
      <c r="A1436" s="58" t="s">
        <v>908</v>
      </c>
      <c r="B1436" s="4">
        <v>45011.15625</v>
      </c>
      <c r="C1436" s="14">
        <v>1</v>
      </c>
      <c r="D1436" s="6" t="s">
        <v>243</v>
      </c>
      <c r="E1436" s="7" t="s">
        <v>47</v>
      </c>
      <c r="F1436" t="s">
        <v>305</v>
      </c>
      <c r="G1436" s="43">
        <v>48.8</v>
      </c>
      <c r="H1436" s="43">
        <v>79.2</v>
      </c>
      <c r="I1436" s="33">
        <f>表1_4[[#This Row],[主队2]]-表1_4[[#This Row],[客队2]]</f>
        <v>-30.4</v>
      </c>
      <c r="J1436" s="34">
        <v>-2.75</v>
      </c>
      <c r="K1436" s="34">
        <v>-1.75</v>
      </c>
      <c r="L143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436" s="11"/>
      <c r="N1436" s="10" t="s">
        <v>119</v>
      </c>
      <c r="O1436" s="10" t="s">
        <v>48</v>
      </c>
      <c r="T1436" s="3"/>
      <c r="U1436" s="25"/>
      <c r="V1436" s="54" t="s">
        <v>2075</v>
      </c>
      <c r="W1436" s="51"/>
      <c r="X1436" s="238" t="s">
        <v>2072</v>
      </c>
      <c r="Y1436" s="70">
        <v>100</v>
      </c>
    </row>
    <row r="1437" spans="1:25">
      <c r="A1437" s="58" t="s">
        <v>908</v>
      </c>
      <c r="B1437" s="4">
        <v>45011.916666666701</v>
      </c>
      <c r="C1437" s="14">
        <v>2</v>
      </c>
      <c r="D1437" s="6" t="s">
        <v>288</v>
      </c>
      <c r="E1437" s="7" t="s">
        <v>29</v>
      </c>
      <c r="F1437" t="s">
        <v>306</v>
      </c>
      <c r="G1437" s="43">
        <v>65.7</v>
      </c>
      <c r="H1437" s="43">
        <v>90.1</v>
      </c>
      <c r="I1437" s="33">
        <f>表1_4[[#This Row],[主队2]]-表1_4[[#This Row],[客队2]]</f>
        <v>-24.4</v>
      </c>
      <c r="J1437" s="34">
        <v>-2.25</v>
      </c>
      <c r="K1437" s="34">
        <v>-1.75</v>
      </c>
      <c r="L143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437" s="63" t="s">
        <v>2076</v>
      </c>
      <c r="N1437" s="10" t="s">
        <v>119</v>
      </c>
      <c r="O1437" s="10" t="s">
        <v>46</v>
      </c>
      <c r="T1437" s="3"/>
      <c r="U1437" s="83"/>
      <c r="V1437" s="282" t="s">
        <v>2077</v>
      </c>
      <c r="W1437" s="80"/>
      <c r="X1437" s="77" t="s">
        <v>433</v>
      </c>
      <c r="Y1437" s="77">
        <v>80</v>
      </c>
    </row>
    <row r="1438" spans="1:25">
      <c r="A1438" s="58" t="s">
        <v>908</v>
      </c>
      <c r="B1438" s="4">
        <v>45012.041666666701</v>
      </c>
      <c r="C1438" s="1">
        <v>2</v>
      </c>
      <c r="D1438" s="6" t="s">
        <v>309</v>
      </c>
      <c r="E1438" s="7" t="s">
        <v>22</v>
      </c>
      <c r="F1438" s="3" t="s">
        <v>282</v>
      </c>
      <c r="G1438" s="43">
        <v>78.099999999999994</v>
      </c>
      <c r="H1438" s="43">
        <v>30.7</v>
      </c>
      <c r="I1438" s="33">
        <f>表1_4[[#This Row],[主队2]]-表1_4[[#This Row],[客队2]]</f>
        <v>47.4</v>
      </c>
      <c r="J1438" s="34">
        <v>5</v>
      </c>
      <c r="K1438" s="34">
        <v>3.75</v>
      </c>
      <c r="L143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438" s="11"/>
      <c r="N1438" s="10" t="s">
        <v>112</v>
      </c>
      <c r="O1438" s="10" t="s">
        <v>40</v>
      </c>
      <c r="T1438" s="3"/>
      <c r="U1438" s="77" t="s">
        <v>469</v>
      </c>
      <c r="V1438" s="77" t="s">
        <v>2078</v>
      </c>
      <c r="W1438" s="80"/>
      <c r="X1438" s="45"/>
    </row>
    <row r="1439" spans="1:25">
      <c r="A1439" s="58" t="s">
        <v>908</v>
      </c>
      <c r="B1439" s="4">
        <v>45012.041666666701</v>
      </c>
      <c r="C1439" s="1">
        <v>2</v>
      </c>
      <c r="D1439" s="6" t="s">
        <v>437</v>
      </c>
      <c r="E1439" s="49" t="s">
        <v>70</v>
      </c>
      <c r="F1439" t="s">
        <v>218</v>
      </c>
      <c r="G1439" s="43">
        <v>43.9</v>
      </c>
      <c r="H1439" s="43">
        <v>72.5</v>
      </c>
      <c r="I1439" s="33">
        <f>表1_4[[#This Row],[主队2]]-表1_4[[#This Row],[客队2]]</f>
        <v>-28.6</v>
      </c>
      <c r="J1439" s="34">
        <v>-2.5</v>
      </c>
      <c r="K1439" s="34">
        <v>-2</v>
      </c>
      <c r="L143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439" s="11"/>
      <c r="N1439" s="10" t="s">
        <v>112</v>
      </c>
      <c r="O1439" s="10" t="s">
        <v>46</v>
      </c>
      <c r="T1439" s="3"/>
      <c r="U1439" s="77"/>
      <c r="V1439" s="80" t="s">
        <v>1299</v>
      </c>
      <c r="W1439" s="44"/>
      <c r="X1439" s="45"/>
    </row>
    <row r="1440" spans="1:25">
      <c r="A1440" s="58" t="s">
        <v>908</v>
      </c>
      <c r="B1440" s="4">
        <v>45012.15625</v>
      </c>
      <c r="C1440" s="1">
        <v>2</v>
      </c>
      <c r="D1440" s="6" t="s">
        <v>266</v>
      </c>
      <c r="E1440" s="49" t="s">
        <v>283</v>
      </c>
      <c r="F1440" t="s">
        <v>270</v>
      </c>
      <c r="G1440" s="43">
        <v>65.5</v>
      </c>
      <c r="H1440" s="43">
        <v>95.4</v>
      </c>
      <c r="I1440" s="33">
        <f>表1_4[[#This Row],[主队2]]-表1_4[[#This Row],[客队2]]</f>
        <v>-29.9</v>
      </c>
      <c r="J1440" s="34">
        <v>-2.75</v>
      </c>
      <c r="K1440" s="34">
        <v>-2.25</v>
      </c>
      <c r="L144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440" s="11"/>
      <c r="N1440" s="10" t="s">
        <v>133</v>
      </c>
      <c r="O1440" s="10" t="s">
        <v>46</v>
      </c>
      <c r="T1440" s="3"/>
      <c r="U1440" s="83"/>
      <c r="V1440" s="62" t="s">
        <v>2079</v>
      </c>
      <c r="W1440" s="80"/>
      <c r="X1440" s="77" t="s">
        <v>433</v>
      </c>
      <c r="Y1440" s="77">
        <v>80</v>
      </c>
    </row>
    <row r="1441" spans="1:25">
      <c r="A1441" s="58" t="s">
        <v>908</v>
      </c>
      <c r="B1441" s="4">
        <v>45012.15625</v>
      </c>
      <c r="C1441" s="1">
        <v>2</v>
      </c>
      <c r="D1441" s="6" t="s">
        <v>425</v>
      </c>
      <c r="E1441" s="7" t="s">
        <v>22</v>
      </c>
      <c r="F1441" t="s">
        <v>255</v>
      </c>
      <c r="G1441" s="43">
        <v>77.099999999999994</v>
      </c>
      <c r="H1441" s="43">
        <v>79.3</v>
      </c>
      <c r="I1441" s="33">
        <f>表1_4[[#This Row],[主队2]]-表1_4[[#This Row],[客队2]]</f>
        <v>-2.2000000000000002</v>
      </c>
      <c r="J144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441" s="35" t="s">
        <v>182</v>
      </c>
      <c r="L144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441" s="11"/>
      <c r="N1441" s="10" t="s">
        <v>119</v>
      </c>
      <c r="O1441" s="10" t="s">
        <v>24</v>
      </c>
      <c r="T1441" s="3"/>
      <c r="U1441" s="83"/>
      <c r="V1441" s="62" t="s">
        <v>2080</v>
      </c>
      <c r="W1441" s="80"/>
      <c r="X1441" s="246" t="s">
        <v>830</v>
      </c>
      <c r="Y1441" s="246">
        <v>94</v>
      </c>
    </row>
    <row r="1442" spans="1:25">
      <c r="A1442" s="58" t="s">
        <v>908</v>
      </c>
      <c r="B1442" s="4">
        <v>45012.15625</v>
      </c>
      <c r="C1442" s="1">
        <v>2</v>
      </c>
      <c r="D1442" s="6" t="s">
        <v>296</v>
      </c>
      <c r="E1442" s="7" t="s">
        <v>53</v>
      </c>
      <c r="F1442" t="s">
        <v>191</v>
      </c>
      <c r="G1442" s="43">
        <v>74.400000000000006</v>
      </c>
      <c r="H1442" s="43">
        <v>76.900000000000006</v>
      </c>
      <c r="I1442" s="33">
        <f>表1_4[[#This Row],[主队2]]-表1_4[[#This Row],[客队2]]</f>
        <v>-2.5</v>
      </c>
      <c r="J144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442" s="35" t="s">
        <v>166</v>
      </c>
      <c r="L144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442" s="11"/>
      <c r="N1442" s="10" t="s">
        <v>112</v>
      </c>
      <c r="O1442" s="10" t="s">
        <v>35</v>
      </c>
      <c r="T1442" s="3"/>
      <c r="U1442" s="246" t="s">
        <v>931</v>
      </c>
      <c r="V1442" s="77" t="s">
        <v>2081</v>
      </c>
      <c r="W1442" s="80"/>
      <c r="X1442" s="83" t="s">
        <v>1817</v>
      </c>
      <c r="Y1442" s="83">
        <v>102</v>
      </c>
    </row>
    <row r="1443" spans="1:25">
      <c r="A1443" s="58" t="s">
        <v>908</v>
      </c>
      <c r="B1443" s="4">
        <v>45012.041666666701</v>
      </c>
      <c r="C1443" s="14">
        <v>2</v>
      </c>
      <c r="D1443" s="6" t="s">
        <v>117</v>
      </c>
      <c r="E1443" s="7" t="s">
        <v>22</v>
      </c>
      <c r="F1443" t="s">
        <v>214</v>
      </c>
      <c r="G1443" s="43">
        <v>96.5</v>
      </c>
      <c r="H1443" s="43">
        <v>82.9</v>
      </c>
      <c r="I1443" s="33">
        <f>表1_4[[#This Row],[主队2]]-表1_4[[#This Row],[客队2]]</f>
        <v>13.6</v>
      </c>
      <c r="J144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443" s="35" t="s">
        <v>81</v>
      </c>
      <c r="L144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443" s="11"/>
      <c r="N1443" s="10" t="s">
        <v>119</v>
      </c>
      <c r="O1443" s="10" t="s">
        <v>35</v>
      </c>
      <c r="T1443" s="3"/>
      <c r="U1443" s="246"/>
      <c r="V1443" s="54" t="s">
        <v>2082</v>
      </c>
      <c r="W1443" s="52"/>
      <c r="X1443" s="69" t="s">
        <v>783</v>
      </c>
      <c r="Y1443" s="129" t="s">
        <v>2083</v>
      </c>
    </row>
    <row r="1444" spans="1:25">
      <c r="A1444" s="58" t="s">
        <v>908</v>
      </c>
      <c r="B1444" s="4">
        <v>45012.15625</v>
      </c>
      <c r="C1444" s="1">
        <v>2</v>
      </c>
      <c r="D1444" s="6" t="s">
        <v>929</v>
      </c>
      <c r="E1444" s="7" t="s">
        <v>47</v>
      </c>
      <c r="F1444" s="260" t="s">
        <v>204</v>
      </c>
      <c r="G1444" s="43">
        <v>56.5</v>
      </c>
      <c r="H1444" s="43">
        <v>93.3</v>
      </c>
      <c r="I1444" s="33">
        <f>表1_4[[#This Row],[主队2]]-表1_4[[#This Row],[客队2]]</f>
        <v>-36.799999999999997</v>
      </c>
      <c r="J1444" s="34">
        <v>-3.5</v>
      </c>
      <c r="K1444" s="34">
        <v>-2.25</v>
      </c>
      <c r="L144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444" s="11"/>
      <c r="N1444" s="10" t="s">
        <v>112</v>
      </c>
      <c r="O1444" s="10" t="s">
        <v>40</v>
      </c>
      <c r="T1444" s="3"/>
      <c r="U1444" s="25" t="s">
        <v>1415</v>
      </c>
      <c r="V1444" s="80" t="s">
        <v>2084</v>
      </c>
      <c r="W1444" s="44"/>
      <c r="X1444" s="45"/>
    </row>
    <row r="1445" spans="1:25">
      <c r="A1445" s="58" t="s">
        <v>908</v>
      </c>
      <c r="B1445" s="4">
        <v>45013.114583333299</v>
      </c>
      <c r="C1445" s="1">
        <v>2</v>
      </c>
      <c r="D1445" s="6" t="s">
        <v>262</v>
      </c>
      <c r="E1445" s="7" t="s">
        <v>44</v>
      </c>
      <c r="F1445" t="s">
        <v>256</v>
      </c>
      <c r="G1445" s="43">
        <v>93.8</v>
      </c>
      <c r="H1445" s="43">
        <v>40.6</v>
      </c>
      <c r="I1445" s="33">
        <f>表1_4[[#This Row],[主队2]]-表1_4[[#This Row],[客队2]]</f>
        <v>53.2</v>
      </c>
      <c r="J1445" s="34">
        <v>5.5</v>
      </c>
      <c r="K1445" s="34">
        <v>6</v>
      </c>
      <c r="L144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445" s="11"/>
      <c r="N1445" s="10" t="s">
        <v>133</v>
      </c>
      <c r="O1445" s="10" t="s">
        <v>35</v>
      </c>
      <c r="T1445" s="3"/>
      <c r="U1445" s="246"/>
      <c r="V1445" s="231" t="s">
        <v>1781</v>
      </c>
      <c r="W1445" s="44"/>
      <c r="X1445" s="45"/>
    </row>
    <row r="1446" spans="1:25">
      <c r="A1446" s="58" t="s">
        <v>908</v>
      </c>
      <c r="B1446" s="4">
        <v>45013.114583333299</v>
      </c>
      <c r="C1446" s="30">
        <v>2</v>
      </c>
      <c r="D1446" s="6" t="s">
        <v>199</v>
      </c>
      <c r="E1446" s="7" t="s">
        <v>53</v>
      </c>
      <c r="F1446" t="s">
        <v>267</v>
      </c>
      <c r="G1446" s="43">
        <v>79.099999999999994</v>
      </c>
      <c r="H1446" s="43">
        <v>99.6</v>
      </c>
      <c r="I1446" s="33">
        <f>表1_4[[#This Row],[主队2]]-表1_4[[#This Row],[客队2]]</f>
        <v>-20.5</v>
      </c>
      <c r="J144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446" s="35" t="s">
        <v>111</v>
      </c>
      <c r="L144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446" s="11"/>
      <c r="N1446" s="10" t="s">
        <v>160</v>
      </c>
      <c r="O1446" s="10" t="s">
        <v>35</v>
      </c>
      <c r="T1446" s="3"/>
      <c r="U1446" s="25"/>
      <c r="V1446" s="80" t="s">
        <v>2085</v>
      </c>
      <c r="W1446" s="52"/>
      <c r="X1446" s="238" t="s">
        <v>187</v>
      </c>
      <c r="Y1446" s="70">
        <v>100</v>
      </c>
    </row>
    <row r="1447" spans="1:25">
      <c r="A1447" s="58" t="s">
        <v>908</v>
      </c>
      <c r="B1447" s="4">
        <v>45013.114583333299</v>
      </c>
      <c r="C1447" s="14">
        <v>2</v>
      </c>
      <c r="D1447" s="6" t="s">
        <v>302</v>
      </c>
      <c r="E1447" s="7" t="s">
        <v>31</v>
      </c>
      <c r="F1447" s="37" t="s">
        <v>205</v>
      </c>
      <c r="G1447" s="43">
        <v>84</v>
      </c>
      <c r="H1447" s="43">
        <v>70.8</v>
      </c>
      <c r="I1447" s="33">
        <f>表1_4[[#This Row],[主队2]]-表1_4[[#This Row],[客队2]]</f>
        <v>13.2</v>
      </c>
      <c r="J144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447" s="35" t="s">
        <v>176</v>
      </c>
      <c r="L144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447" s="11"/>
      <c r="N1447" s="10" t="s">
        <v>119</v>
      </c>
      <c r="O1447" s="10" t="s">
        <v>65</v>
      </c>
      <c r="T1447" s="3"/>
      <c r="U1447" s="25"/>
      <c r="V1447" s="62" t="s">
        <v>2086</v>
      </c>
      <c r="W1447" s="52"/>
      <c r="X1447" s="69" t="s">
        <v>774</v>
      </c>
      <c r="Y1447" s="70">
        <v>98</v>
      </c>
    </row>
    <row r="1448" spans="1:25">
      <c r="A1448" s="58" t="s">
        <v>908</v>
      </c>
      <c r="B1448" s="4">
        <v>45013.114583333299</v>
      </c>
      <c r="C1448" s="14">
        <v>2</v>
      </c>
      <c r="D1448" s="6" t="s">
        <v>195</v>
      </c>
      <c r="E1448" s="7" t="s">
        <v>42</v>
      </c>
      <c r="F1448" s="37" t="s">
        <v>284</v>
      </c>
      <c r="G1448" s="43">
        <v>58</v>
      </c>
      <c r="H1448" s="43">
        <v>85.4</v>
      </c>
      <c r="I1448" s="33">
        <f>表1_4[[#This Row],[主队2]]-表1_4[[#This Row],[客队2]]</f>
        <v>-27.4</v>
      </c>
      <c r="J1448" s="34">
        <v>-2.5</v>
      </c>
      <c r="K1448" s="34">
        <v>-1.5</v>
      </c>
      <c r="L144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448" s="63" t="s">
        <v>383</v>
      </c>
      <c r="N1448" s="46" t="s">
        <v>160</v>
      </c>
      <c r="O1448" s="10" t="s">
        <v>48</v>
      </c>
      <c r="T1448" s="3"/>
      <c r="U1448" s="25"/>
      <c r="V1448" s="243" t="s">
        <v>2087</v>
      </c>
      <c r="W1448" s="48"/>
      <c r="X1448" s="69" t="s">
        <v>783</v>
      </c>
      <c r="Y1448" s="70">
        <v>96</v>
      </c>
    </row>
    <row r="1449" spans="1:25">
      <c r="A1449" s="58" t="s">
        <v>908</v>
      </c>
      <c r="B1449" s="4">
        <v>45013.114583333299</v>
      </c>
      <c r="C1449" s="1">
        <v>2</v>
      </c>
      <c r="D1449" s="6" t="s">
        <v>239</v>
      </c>
      <c r="E1449" s="7" t="s">
        <v>57</v>
      </c>
      <c r="F1449" s="37" t="s">
        <v>278</v>
      </c>
      <c r="G1449" s="43">
        <v>84.2</v>
      </c>
      <c r="H1449" s="43">
        <v>64.8</v>
      </c>
      <c r="I1449" s="33">
        <f>表1_4[[#This Row],[主队2]]-表1_4[[#This Row],[客队2]]</f>
        <v>19.399999999999999</v>
      </c>
      <c r="J144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1449" s="34">
        <v>2</v>
      </c>
      <c r="L144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49" s="11"/>
      <c r="N1449" s="10" t="s">
        <v>119</v>
      </c>
      <c r="O1449" s="10" t="s">
        <v>28</v>
      </c>
      <c r="T1449" s="3"/>
      <c r="U1449" s="25"/>
      <c r="V1449" s="55" t="s">
        <v>2088</v>
      </c>
      <c r="W1449" s="241"/>
      <c r="X1449" s="238" t="s">
        <v>544</v>
      </c>
      <c r="Y1449" s="250">
        <v>92</v>
      </c>
    </row>
    <row r="1450" spans="1:25">
      <c r="A1450" s="58" t="s">
        <v>908</v>
      </c>
      <c r="B1450" s="4">
        <v>45013.114583333299</v>
      </c>
      <c r="C1450" s="1">
        <v>2</v>
      </c>
      <c r="D1450" s="6" t="s">
        <v>194</v>
      </c>
      <c r="E1450" s="7" t="s">
        <v>33</v>
      </c>
      <c r="F1450" s="37" t="s">
        <v>403</v>
      </c>
      <c r="G1450" s="43">
        <v>82.7</v>
      </c>
      <c r="H1450" s="43">
        <v>67</v>
      </c>
      <c r="I1450" s="33">
        <f>表1_4[[#This Row],[主队2]]-表1_4[[#This Row],[客队2]]</f>
        <v>15.7</v>
      </c>
      <c r="J145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450" s="34">
        <v>2</v>
      </c>
      <c r="L145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450" s="11"/>
      <c r="N1450" s="10" t="s">
        <v>119</v>
      </c>
      <c r="O1450" s="10" t="s">
        <v>46</v>
      </c>
      <c r="T1450" s="3"/>
      <c r="U1450" s="83"/>
      <c r="V1450" s="62" t="s">
        <v>2089</v>
      </c>
      <c r="W1450" s="52"/>
      <c r="X1450" s="25" t="s">
        <v>502</v>
      </c>
      <c r="Y1450" s="25">
        <v>78</v>
      </c>
    </row>
    <row r="1451" spans="1:25">
      <c r="A1451" s="58" t="s">
        <v>908</v>
      </c>
      <c r="B1451" s="4">
        <v>45013.114583333299</v>
      </c>
      <c r="C1451" s="14">
        <v>2</v>
      </c>
      <c r="D1451" s="6" t="s">
        <v>271</v>
      </c>
      <c r="E1451" s="7" t="s">
        <v>44</v>
      </c>
      <c r="F1451" s="37" t="s">
        <v>261</v>
      </c>
      <c r="G1451" s="43">
        <v>79.400000000000006</v>
      </c>
      <c r="H1451" s="43">
        <v>72.900000000000006</v>
      </c>
      <c r="I1451" s="33">
        <f>表1_4[[#This Row],[主队2]]-表1_4[[#This Row],[客队2]]</f>
        <v>6.5</v>
      </c>
      <c r="J145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451" s="35" t="s">
        <v>118</v>
      </c>
      <c r="L145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51" s="11"/>
      <c r="N1451" s="10" t="s">
        <v>160</v>
      </c>
      <c r="O1451" s="10" t="s">
        <v>28</v>
      </c>
      <c r="T1451" s="3"/>
      <c r="U1451" s="246"/>
      <c r="V1451" s="80" t="s">
        <v>2090</v>
      </c>
      <c r="W1451" s="52"/>
      <c r="X1451" s="77" t="s">
        <v>850</v>
      </c>
      <c r="Y1451" s="246">
        <v>90</v>
      </c>
    </row>
    <row r="1452" spans="1:25">
      <c r="A1452" s="58" t="s">
        <v>908</v>
      </c>
      <c r="B1452" s="4">
        <v>45013.114583333299</v>
      </c>
      <c r="C1452" s="30">
        <v>2</v>
      </c>
      <c r="D1452" s="6" t="s">
        <v>301</v>
      </c>
      <c r="E1452" s="7" t="s">
        <v>47</v>
      </c>
      <c r="F1452" s="37" t="s">
        <v>434</v>
      </c>
      <c r="G1452" s="43">
        <v>72.900000000000006</v>
      </c>
      <c r="H1452" s="43">
        <v>85.4</v>
      </c>
      <c r="I1452" s="33">
        <f>表1_4[[#This Row],[主队2]]-表1_4[[#This Row],[客队2]]</f>
        <v>-12.5</v>
      </c>
      <c r="J145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452" s="35" t="s">
        <v>132</v>
      </c>
      <c r="L145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452" s="11"/>
      <c r="N1452" s="10" t="s">
        <v>119</v>
      </c>
      <c r="O1452" s="57" t="s">
        <v>46</v>
      </c>
      <c r="T1452" s="3"/>
      <c r="U1452" s="77"/>
      <c r="V1452" s="293" t="s">
        <v>2091</v>
      </c>
      <c r="W1452" s="80"/>
      <c r="X1452" s="77" t="s">
        <v>850</v>
      </c>
      <c r="Y1452" s="77">
        <v>82</v>
      </c>
    </row>
    <row r="1453" spans="1:25">
      <c r="A1453" s="58" t="s">
        <v>908</v>
      </c>
      <c r="B1453" s="4">
        <v>45014</v>
      </c>
      <c r="C1453" s="30">
        <v>2</v>
      </c>
      <c r="D1453" s="6" t="s">
        <v>430</v>
      </c>
      <c r="E1453" s="7" t="s">
        <v>36</v>
      </c>
      <c r="F1453" t="s">
        <v>297</v>
      </c>
      <c r="G1453" s="43">
        <v>74.599999999999994</v>
      </c>
      <c r="H1453" s="43">
        <v>80.099999999999994</v>
      </c>
      <c r="I1453" s="33">
        <f>表1_4[[#This Row],[主队2]]-表1_4[[#This Row],[客队2]]</f>
        <v>-5.5</v>
      </c>
      <c r="J145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453" s="35" t="s">
        <v>152</v>
      </c>
      <c r="L145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N1453" s="10" t="s">
        <v>119</v>
      </c>
      <c r="O1453" s="10" t="s">
        <v>46</v>
      </c>
      <c r="T1453" s="3"/>
      <c r="U1453" s="246"/>
      <c r="V1453" s="80" t="s">
        <v>2092</v>
      </c>
      <c r="W1453" s="48"/>
      <c r="X1453" s="77" t="s">
        <v>921</v>
      </c>
      <c r="Y1453" s="61">
        <v>80</v>
      </c>
    </row>
    <row r="1454" spans="1:25">
      <c r="A1454" s="58" t="s">
        <v>908</v>
      </c>
      <c r="B1454" s="4">
        <v>45014.114583333299</v>
      </c>
      <c r="C1454" s="1">
        <v>2</v>
      </c>
      <c r="D1454" s="6" t="s">
        <v>190</v>
      </c>
      <c r="E1454" s="7" t="s">
        <v>47</v>
      </c>
      <c r="F1454" t="s">
        <v>110</v>
      </c>
      <c r="G1454" s="43">
        <v>80.2</v>
      </c>
      <c r="H1454" s="43">
        <v>89.8</v>
      </c>
      <c r="I1454" s="33">
        <f>表1_4[[#This Row],[主队2]]-表1_4[[#This Row],[客队2]]</f>
        <v>-9.5999999999999908</v>
      </c>
      <c r="J145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454" s="35" t="s">
        <v>152</v>
      </c>
      <c r="L145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N1454" s="10" t="s">
        <v>119</v>
      </c>
      <c r="O1454" s="10" t="s">
        <v>65</v>
      </c>
      <c r="T1454" s="3"/>
      <c r="U1454" s="25"/>
      <c r="V1454" s="231" t="s">
        <v>2093</v>
      </c>
      <c r="W1454" s="241"/>
      <c r="X1454" s="69" t="s">
        <v>772</v>
      </c>
      <c r="Y1454" s="70">
        <v>98</v>
      </c>
    </row>
    <row r="1455" spans="1:25">
      <c r="A1455" s="58" t="s">
        <v>908</v>
      </c>
      <c r="B1455" s="4">
        <v>45014.114583333299</v>
      </c>
      <c r="C1455" s="1">
        <v>2</v>
      </c>
      <c r="D1455" s="6" t="s">
        <v>200</v>
      </c>
      <c r="E1455" s="7" t="s">
        <v>31</v>
      </c>
      <c r="F1455" t="s">
        <v>251</v>
      </c>
      <c r="G1455" s="43">
        <v>82</v>
      </c>
      <c r="H1455" s="43">
        <v>64.099999999999994</v>
      </c>
      <c r="I1455" s="33">
        <f>表1_4[[#This Row],[主队2]]-表1_4[[#This Row],[客队2]]</f>
        <v>17.899999999999999</v>
      </c>
      <c r="J145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455" s="34">
        <v>1.75</v>
      </c>
      <c r="L145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N1455" s="10" t="s">
        <v>133</v>
      </c>
      <c r="O1455" s="10" t="s">
        <v>46</v>
      </c>
      <c r="T1455" s="3"/>
      <c r="U1455" s="246"/>
      <c r="V1455" s="231" t="s">
        <v>2094</v>
      </c>
      <c r="W1455" s="48"/>
      <c r="X1455" s="77" t="s">
        <v>502</v>
      </c>
      <c r="Y1455" s="61">
        <v>82</v>
      </c>
    </row>
    <row r="1456" spans="1:25">
      <c r="A1456" s="58" t="s">
        <v>908</v>
      </c>
      <c r="B1456" s="4">
        <v>45014.114583333299</v>
      </c>
      <c r="C1456" s="30">
        <v>2</v>
      </c>
      <c r="D1456" s="6" t="s">
        <v>123</v>
      </c>
      <c r="E1456" s="7" t="s">
        <v>22</v>
      </c>
      <c r="F1456" t="s">
        <v>209</v>
      </c>
      <c r="G1456" s="43">
        <v>80.400000000000006</v>
      </c>
      <c r="H1456" s="43">
        <v>95.7</v>
      </c>
      <c r="I1456" s="33">
        <f>表1_4[[#This Row],[主队2]]-表1_4[[#This Row],[客队2]]</f>
        <v>-15.3</v>
      </c>
      <c r="J145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456" s="35" t="s">
        <v>111</v>
      </c>
      <c r="L145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456" s="11"/>
      <c r="N1456" s="10" t="s">
        <v>119</v>
      </c>
      <c r="O1456" s="10" t="s">
        <v>28</v>
      </c>
      <c r="T1456" s="3"/>
      <c r="U1456" s="246"/>
      <c r="V1456" s="54" t="s">
        <v>2095</v>
      </c>
      <c r="W1456" s="241"/>
      <c r="X1456" s="238" t="s">
        <v>427</v>
      </c>
      <c r="Y1456" s="250">
        <v>90</v>
      </c>
    </row>
    <row r="1457" spans="1:25">
      <c r="A1457" s="58" t="s">
        <v>908</v>
      </c>
      <c r="B1457" s="4">
        <v>45014.114583333299</v>
      </c>
      <c r="C1457" s="14">
        <v>2</v>
      </c>
      <c r="D1457" s="6" t="s">
        <v>250</v>
      </c>
      <c r="E1457" s="7" t="s">
        <v>44</v>
      </c>
      <c r="F1457" t="s">
        <v>210</v>
      </c>
      <c r="G1457" s="43">
        <v>89.4</v>
      </c>
      <c r="H1457" s="43">
        <v>73.7</v>
      </c>
      <c r="I1457" s="33">
        <f>表1_4[[#This Row],[主队2]]-表1_4[[#This Row],[客队2]]</f>
        <v>15.7</v>
      </c>
      <c r="J145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457" s="35" t="s">
        <v>176</v>
      </c>
      <c r="L145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N1457" s="10" t="s">
        <v>160</v>
      </c>
      <c r="O1457" s="10" t="s">
        <v>28</v>
      </c>
      <c r="T1457" s="3"/>
      <c r="U1457" s="246"/>
      <c r="V1457" s="80" t="s">
        <v>2096</v>
      </c>
      <c r="W1457" s="62"/>
      <c r="X1457" s="246" t="s">
        <v>830</v>
      </c>
      <c r="Y1457" s="246">
        <v>94</v>
      </c>
    </row>
    <row r="1458" spans="1:25">
      <c r="A1458" s="58" t="s">
        <v>908</v>
      </c>
      <c r="B1458" s="4">
        <v>45014.114583333299</v>
      </c>
      <c r="C1458" s="14">
        <v>2</v>
      </c>
      <c r="D1458" s="6" t="s">
        <v>305</v>
      </c>
      <c r="E1458" s="7" t="s">
        <v>33</v>
      </c>
      <c r="F1458" t="s">
        <v>240</v>
      </c>
      <c r="G1458" s="43">
        <v>79</v>
      </c>
      <c r="H1458" s="43">
        <v>68.2</v>
      </c>
      <c r="I1458" s="33">
        <f>表1_4[[#This Row],[主队2]]-表1_4[[#This Row],[客队2]]</f>
        <v>10.8</v>
      </c>
      <c r="J145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458" s="35" t="s">
        <v>176</v>
      </c>
      <c r="L145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N1458" s="10" t="s">
        <v>112</v>
      </c>
      <c r="O1458" s="10" t="s">
        <v>51</v>
      </c>
      <c r="T1458" s="3"/>
      <c r="U1458" s="83"/>
      <c r="V1458" s="80" t="s">
        <v>2097</v>
      </c>
      <c r="W1458" s="80"/>
      <c r="X1458" s="246" t="s">
        <v>187</v>
      </c>
      <c r="Y1458" s="77">
        <v>82</v>
      </c>
    </row>
    <row r="1459" spans="1:25">
      <c r="A1459" s="58" t="s">
        <v>908</v>
      </c>
      <c r="B1459" s="4">
        <v>45014.114583333299</v>
      </c>
      <c r="C1459" s="1">
        <v>2</v>
      </c>
      <c r="D1459" s="6" t="s">
        <v>217</v>
      </c>
      <c r="E1459" s="7" t="s">
        <v>36</v>
      </c>
      <c r="F1459" t="s">
        <v>243</v>
      </c>
      <c r="G1459" s="43">
        <v>71.099999999999994</v>
      </c>
      <c r="H1459" s="43">
        <v>48.9</v>
      </c>
      <c r="I1459" s="33">
        <f>表1_4[[#This Row],[主队2]]-表1_4[[#This Row],[客队2]]</f>
        <v>22.2</v>
      </c>
      <c r="J1459" s="34">
        <v>2.5</v>
      </c>
      <c r="K1459" s="34">
        <v>1.75</v>
      </c>
      <c r="L145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N1459" s="10" t="s">
        <v>112</v>
      </c>
      <c r="O1459" s="10" t="s">
        <v>40</v>
      </c>
      <c r="T1459" s="3"/>
      <c r="U1459" s="77" t="s">
        <v>1011</v>
      </c>
      <c r="V1459" s="77" t="s">
        <v>2098</v>
      </c>
      <c r="W1459" s="80"/>
      <c r="X1459" s="77" t="s">
        <v>1960</v>
      </c>
      <c r="Y1459" s="77">
        <v>80</v>
      </c>
    </row>
    <row r="1460" spans="1:25">
      <c r="A1460" s="58" t="s">
        <v>908</v>
      </c>
      <c r="B1460" s="146">
        <v>45095</v>
      </c>
      <c r="C1460" s="140">
        <v>3</v>
      </c>
      <c r="D1460" s="134" t="s">
        <v>297</v>
      </c>
      <c r="E1460" s="7" t="s">
        <v>60</v>
      </c>
      <c r="F1460" s="139" t="s">
        <v>123</v>
      </c>
      <c r="G1460" s="43">
        <v>80</v>
      </c>
      <c r="H1460" s="43">
        <v>80.900000000000006</v>
      </c>
      <c r="I1460" s="33">
        <f>表1_4[[#This Row],[主队2]]-表1_4[[#This Row],[客队2]]</f>
        <v>-0.90000000000000602</v>
      </c>
      <c r="J146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460" s="35" t="s">
        <v>289</v>
      </c>
      <c r="L146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N1460" s="10" t="s">
        <v>112</v>
      </c>
      <c r="O1460" s="10" t="s">
        <v>28</v>
      </c>
      <c r="T1460" s="3"/>
      <c r="U1460" s="83"/>
      <c r="V1460" s="55" t="s">
        <v>2099</v>
      </c>
      <c r="W1460" s="241"/>
      <c r="X1460" s="77" t="s">
        <v>921</v>
      </c>
      <c r="Y1460" s="160" t="s">
        <v>1842</v>
      </c>
    </row>
    <row r="1461" spans="1:25">
      <c r="A1461" s="58" t="s">
        <v>908</v>
      </c>
      <c r="B1461" s="146">
        <v>45095.114583333299</v>
      </c>
      <c r="C1461" s="140">
        <v>3</v>
      </c>
      <c r="D1461" s="134" t="s">
        <v>407</v>
      </c>
      <c r="E1461" s="7" t="s">
        <v>60</v>
      </c>
      <c r="F1461" s="139" t="s">
        <v>430</v>
      </c>
      <c r="G1461" s="43">
        <v>62.8</v>
      </c>
      <c r="H1461" s="43">
        <v>74.7</v>
      </c>
      <c r="I1461" s="33">
        <f>表1_4[[#This Row],[主队2]]-表1_4[[#This Row],[客队2]]</f>
        <v>-11.9</v>
      </c>
      <c r="J146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461" s="35" t="s">
        <v>132</v>
      </c>
      <c r="L146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N1461" s="10" t="s">
        <v>119</v>
      </c>
      <c r="O1461" s="10" t="s">
        <v>65</v>
      </c>
      <c r="T1461" s="3"/>
      <c r="U1461" s="83"/>
      <c r="V1461" s="231" t="s">
        <v>2100</v>
      </c>
      <c r="W1461" s="241"/>
      <c r="X1461" s="238" t="s">
        <v>830</v>
      </c>
      <c r="Y1461" s="70">
        <v>98</v>
      </c>
    </row>
    <row r="1462" spans="1:25">
      <c r="A1462" s="58" t="s">
        <v>908</v>
      </c>
      <c r="B1462" s="146">
        <v>45098.114583333299</v>
      </c>
      <c r="C1462" s="145">
        <v>4</v>
      </c>
      <c r="D1462" s="134" t="s">
        <v>123</v>
      </c>
      <c r="E1462" s="7" t="s">
        <v>22</v>
      </c>
      <c r="F1462" s="139" t="s">
        <v>430</v>
      </c>
      <c r="G1462" s="43">
        <v>81.599999999999994</v>
      </c>
      <c r="H1462" s="43">
        <v>75</v>
      </c>
      <c r="I1462" s="33">
        <f>表1_4[[#This Row],[主队2]]-表1_4[[#This Row],[客队2]]</f>
        <v>6.5999999999999899</v>
      </c>
      <c r="J146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462" s="35" t="s">
        <v>176</v>
      </c>
      <c r="L146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N1462" s="10" t="s">
        <v>119</v>
      </c>
      <c r="O1462" s="10" t="s">
        <v>65</v>
      </c>
      <c r="T1462" s="3"/>
      <c r="U1462" s="25"/>
      <c r="V1462" s="54" t="s">
        <v>2101</v>
      </c>
      <c r="W1462" s="51"/>
      <c r="X1462" s="238" t="s">
        <v>830</v>
      </c>
      <c r="Y1462" s="70">
        <v>100</v>
      </c>
    </row>
    <row r="1463" spans="1:25">
      <c r="A1463" s="58" t="s">
        <v>908</v>
      </c>
      <c r="B1463" s="146">
        <v>45098.114583333299</v>
      </c>
      <c r="C1463" s="140">
        <v>4</v>
      </c>
      <c r="D1463" s="134" t="s">
        <v>297</v>
      </c>
      <c r="E1463" s="7" t="s">
        <v>41</v>
      </c>
      <c r="F1463" s="139" t="s">
        <v>407</v>
      </c>
      <c r="G1463" s="43">
        <v>79.400000000000006</v>
      </c>
      <c r="H1463" s="43">
        <v>62.5</v>
      </c>
      <c r="I1463" s="33">
        <f>表1_4[[#This Row],[主队2]]-表1_4[[#This Row],[客队2]]</f>
        <v>16.899999999999999</v>
      </c>
      <c r="J146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463" s="34">
        <v>2</v>
      </c>
      <c r="L146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N1463" s="10" t="s">
        <v>112</v>
      </c>
      <c r="O1463" s="10" t="s">
        <v>46</v>
      </c>
      <c r="T1463" s="3"/>
      <c r="U1463" s="25"/>
      <c r="V1463" s="80" t="s">
        <v>2102</v>
      </c>
      <c r="W1463" s="52"/>
      <c r="X1463" s="77" t="s">
        <v>433</v>
      </c>
      <c r="Y1463" s="61">
        <v>80</v>
      </c>
    </row>
    <row r="1464" spans="1:25">
      <c r="A1464" s="58" t="s">
        <v>908</v>
      </c>
      <c r="B1464" s="146">
        <v>45094.114583333299</v>
      </c>
      <c r="C1464" s="279">
        <v>3</v>
      </c>
      <c r="D1464" s="134" t="s">
        <v>275</v>
      </c>
      <c r="E1464" s="7" t="s">
        <v>33</v>
      </c>
      <c r="F1464" s="139" t="s">
        <v>199</v>
      </c>
      <c r="G1464" s="43">
        <v>79.5</v>
      </c>
      <c r="H1464" s="43">
        <v>79.400000000000006</v>
      </c>
      <c r="I1464" s="33">
        <f>表1_4[[#This Row],[主队2]]-表1_4[[#This Row],[客队2]]</f>
        <v>9.9999999999994302E-2</v>
      </c>
      <c r="J146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464" s="35" t="s">
        <v>182</v>
      </c>
      <c r="L146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N1464" s="10" t="s">
        <v>119</v>
      </c>
      <c r="O1464" s="10" t="s">
        <v>40</v>
      </c>
      <c r="T1464" s="3"/>
      <c r="U1464" s="25" t="s">
        <v>500</v>
      </c>
      <c r="V1464" s="54" t="s">
        <v>1468</v>
      </c>
      <c r="W1464" s="51"/>
      <c r="X1464" s="77" t="s">
        <v>502</v>
      </c>
      <c r="Y1464" s="61">
        <v>78</v>
      </c>
    </row>
    <row r="1465" spans="1:25">
      <c r="A1465" s="58" t="s">
        <v>908</v>
      </c>
      <c r="B1465" s="146">
        <v>45094.114583333299</v>
      </c>
      <c r="C1465" s="140">
        <v>3</v>
      </c>
      <c r="D1465" s="134" t="s">
        <v>256</v>
      </c>
      <c r="E1465" s="7" t="s">
        <v>64</v>
      </c>
      <c r="F1465" s="139" t="s">
        <v>267</v>
      </c>
      <c r="G1465" s="43">
        <v>40.799999999999997</v>
      </c>
      <c r="H1465" s="43">
        <v>99.3</v>
      </c>
      <c r="I1465" s="33">
        <f>表1_4[[#This Row],[主队2]]-表1_4[[#This Row],[客队2]]</f>
        <v>-58.5</v>
      </c>
      <c r="J1465" s="34">
        <v>-5.5</v>
      </c>
      <c r="K1465" s="34">
        <v>-4.5</v>
      </c>
      <c r="L146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N1465" s="10" t="s">
        <v>160</v>
      </c>
      <c r="O1465" s="10" t="s">
        <v>24</v>
      </c>
      <c r="T1465" s="3"/>
      <c r="U1465" s="25"/>
      <c r="V1465" s="54" t="s">
        <v>2103</v>
      </c>
      <c r="W1465" s="44"/>
      <c r="X1465" s="45"/>
    </row>
    <row r="1466" spans="1:25">
      <c r="A1466" s="58" t="s">
        <v>908</v>
      </c>
      <c r="B1466" s="146">
        <v>45097.114583333299</v>
      </c>
      <c r="C1466" s="140">
        <v>4</v>
      </c>
      <c r="D1466" s="134" t="s">
        <v>267</v>
      </c>
      <c r="E1466" s="7" t="s">
        <v>31</v>
      </c>
      <c r="F1466" s="139" t="s">
        <v>275</v>
      </c>
      <c r="G1466" s="43">
        <v>99</v>
      </c>
      <c r="H1466" s="43">
        <v>79.8</v>
      </c>
      <c r="I1466" s="33">
        <f>表1_4[[#This Row],[主队2]]-表1_4[[#This Row],[客队2]]</f>
        <v>19.2</v>
      </c>
      <c r="J146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1466" s="34">
        <v>1.75</v>
      </c>
      <c r="L146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N1466" s="10" t="s">
        <v>133</v>
      </c>
      <c r="O1466" s="10" t="s">
        <v>35</v>
      </c>
      <c r="T1466" s="3"/>
      <c r="U1466" s="246" t="s">
        <v>1174</v>
      </c>
      <c r="V1466" s="231" t="s">
        <v>2104</v>
      </c>
      <c r="W1466" s="48"/>
      <c r="X1466" s="238" t="s">
        <v>544</v>
      </c>
      <c r="Y1466" s="70">
        <v>110</v>
      </c>
    </row>
    <row r="1467" spans="1:25">
      <c r="A1467" s="58" t="s">
        <v>908</v>
      </c>
      <c r="B1467" s="146">
        <v>45097.114583333299</v>
      </c>
      <c r="C1467" s="140">
        <v>4</v>
      </c>
      <c r="D1467" s="134" t="s">
        <v>199</v>
      </c>
      <c r="E1467" s="7" t="s">
        <v>44</v>
      </c>
      <c r="F1467" s="139" t="s">
        <v>256</v>
      </c>
      <c r="G1467" s="43">
        <v>79.099999999999994</v>
      </c>
      <c r="H1467" s="43">
        <v>41.1</v>
      </c>
      <c r="I1467" s="33">
        <f>表1_4[[#This Row],[主队2]]-表1_4[[#This Row],[客队2]]</f>
        <v>38</v>
      </c>
      <c r="J1467" s="34">
        <v>4</v>
      </c>
      <c r="K1467" s="34">
        <v>3.75</v>
      </c>
      <c r="L146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N1467" s="10" t="s">
        <v>404</v>
      </c>
      <c r="O1467" s="10" t="s">
        <v>35</v>
      </c>
      <c r="T1467" s="3"/>
      <c r="U1467" s="83"/>
      <c r="V1467" s="55" t="s">
        <v>2105</v>
      </c>
      <c r="W1467" s="48"/>
      <c r="X1467" s="45"/>
    </row>
    <row r="1468" spans="1:25">
      <c r="A1468" s="58" t="s">
        <v>908</v>
      </c>
      <c r="B1468" s="146">
        <v>45094.114583333299</v>
      </c>
      <c r="C1468" s="140">
        <v>3</v>
      </c>
      <c r="D1468" s="134" t="s">
        <v>929</v>
      </c>
      <c r="E1468" s="7" t="s">
        <v>61</v>
      </c>
      <c r="F1468" s="139" t="s">
        <v>117</v>
      </c>
      <c r="G1468" s="43">
        <v>57.1</v>
      </c>
      <c r="H1468" s="43">
        <v>96.7</v>
      </c>
      <c r="I1468" s="33">
        <f>表1_4[[#This Row],[主队2]]-表1_4[[#This Row],[客队2]]</f>
        <v>-39.6</v>
      </c>
      <c r="J1468" s="34">
        <v>-3.75</v>
      </c>
      <c r="K1468" s="34">
        <v>-3.25</v>
      </c>
      <c r="L146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N1468" s="10" t="s">
        <v>112</v>
      </c>
      <c r="O1468" s="10" t="s">
        <v>27</v>
      </c>
      <c r="T1468" s="3"/>
      <c r="U1468" s="246"/>
      <c r="V1468" s="231" t="s">
        <v>2106</v>
      </c>
      <c r="W1468" s="52"/>
      <c r="X1468" s="238" t="s">
        <v>830</v>
      </c>
      <c r="Y1468" s="250">
        <v>94</v>
      </c>
    </row>
    <row r="1469" spans="1:25">
      <c r="A1469" s="58" t="s">
        <v>908</v>
      </c>
      <c r="B1469" s="146">
        <v>45094.114583333299</v>
      </c>
      <c r="C1469" s="140">
        <v>3</v>
      </c>
      <c r="D1469" s="134" t="s">
        <v>440</v>
      </c>
      <c r="E1469" s="7" t="s">
        <v>62</v>
      </c>
      <c r="F1469" s="139" t="s">
        <v>214</v>
      </c>
      <c r="G1469" s="43">
        <v>71.599999999999994</v>
      </c>
      <c r="H1469" s="43">
        <v>83.1</v>
      </c>
      <c r="I1469" s="33">
        <f>表1_4[[#This Row],[主队2]]-表1_4[[#This Row],[客队2]]</f>
        <v>-11.5</v>
      </c>
      <c r="J146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469" s="35" t="s">
        <v>132</v>
      </c>
      <c r="L146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N1469" s="10" t="s">
        <v>119</v>
      </c>
      <c r="O1469" s="10" t="s">
        <v>35</v>
      </c>
      <c r="T1469" s="3"/>
      <c r="U1469" s="167"/>
      <c r="V1469" s="168" t="s">
        <v>2107</v>
      </c>
      <c r="W1469" s="56"/>
      <c r="X1469" s="238" t="s">
        <v>544</v>
      </c>
      <c r="Y1469" s="70">
        <v>100</v>
      </c>
    </row>
    <row r="1470" spans="1:25">
      <c r="A1470" s="58" t="s">
        <v>908</v>
      </c>
      <c r="B1470" s="146">
        <v>45097</v>
      </c>
      <c r="C1470" s="140">
        <v>4</v>
      </c>
      <c r="D1470" s="134" t="s">
        <v>214</v>
      </c>
      <c r="E1470" s="7" t="s">
        <v>31</v>
      </c>
      <c r="F1470" s="139" t="s">
        <v>929</v>
      </c>
      <c r="G1470" s="43">
        <v>83</v>
      </c>
      <c r="H1470" s="43">
        <v>56.7</v>
      </c>
      <c r="I1470" s="33">
        <f>表1_4[[#This Row],[主队2]]-表1_4[[#This Row],[客队2]]</f>
        <v>26.3</v>
      </c>
      <c r="J1470" s="34">
        <v>2.75</v>
      </c>
      <c r="K1470" s="34">
        <v>2.5</v>
      </c>
      <c r="L147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70" s="9" t="s">
        <v>2108</v>
      </c>
      <c r="N1470" s="10" t="s">
        <v>404</v>
      </c>
      <c r="O1470" s="10" t="s">
        <v>27</v>
      </c>
      <c r="T1470" s="3"/>
      <c r="U1470" s="83" t="s">
        <v>776</v>
      </c>
      <c r="V1470" s="55" t="s">
        <v>2109</v>
      </c>
      <c r="W1470" s="48"/>
      <c r="X1470" s="45"/>
    </row>
    <row r="1471" spans="1:25">
      <c r="A1471" s="58" t="s">
        <v>908</v>
      </c>
      <c r="B1471" s="146">
        <v>45097.114583333299</v>
      </c>
      <c r="C1471" s="138">
        <v>4</v>
      </c>
      <c r="D1471" s="134" t="s">
        <v>117</v>
      </c>
      <c r="E1471" s="42" t="s">
        <v>49</v>
      </c>
      <c r="F1471" s="139" t="s">
        <v>440</v>
      </c>
      <c r="G1471" s="43">
        <v>97.1</v>
      </c>
      <c r="H1471" s="43">
        <v>71.7</v>
      </c>
      <c r="I1471" s="33">
        <f>表1_4[[#This Row],[主队2]]-表1_4[[#This Row],[客队2]]</f>
        <v>25.4</v>
      </c>
      <c r="J1471" s="34">
        <v>2.75</v>
      </c>
      <c r="K1471" s="34">
        <v>2.25</v>
      </c>
      <c r="L147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N1471" s="10" t="s">
        <v>119</v>
      </c>
      <c r="O1471" s="10" t="s">
        <v>39</v>
      </c>
      <c r="T1471" s="3"/>
      <c r="U1471" s="246"/>
      <c r="V1471" s="231" t="s">
        <v>2110</v>
      </c>
      <c r="W1471" s="52"/>
      <c r="X1471" s="69" t="s">
        <v>774</v>
      </c>
      <c r="Y1471" s="129" t="s">
        <v>2111</v>
      </c>
    </row>
    <row r="1472" spans="1:25">
      <c r="A1472" s="58" t="s">
        <v>908</v>
      </c>
      <c r="B1472" s="146">
        <v>45094.114583333299</v>
      </c>
      <c r="C1472" s="138">
        <v>3</v>
      </c>
      <c r="D1472" s="134" t="s">
        <v>200</v>
      </c>
      <c r="E1472" s="7" t="s">
        <v>78</v>
      </c>
      <c r="F1472" s="139" t="s">
        <v>287</v>
      </c>
      <c r="G1472" s="43">
        <v>81.7</v>
      </c>
      <c r="H1472" s="43">
        <v>67</v>
      </c>
      <c r="I1472" s="33">
        <f>表1_4[[#This Row],[主队2]]-表1_4[[#This Row],[客队2]]</f>
        <v>14.7</v>
      </c>
      <c r="J147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472" s="35" t="s">
        <v>125</v>
      </c>
      <c r="L147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N1472" s="10" t="s">
        <v>119</v>
      </c>
      <c r="O1472" s="10" t="s">
        <v>32</v>
      </c>
      <c r="T1472" s="3"/>
      <c r="U1472" s="246"/>
      <c r="V1472" s="231" t="s">
        <v>2112</v>
      </c>
      <c r="W1472" s="56"/>
      <c r="X1472" s="69" t="s">
        <v>774</v>
      </c>
      <c r="Y1472" s="70">
        <v>100</v>
      </c>
    </row>
    <row r="1473" spans="1:25">
      <c r="A1473" s="58" t="s">
        <v>908</v>
      </c>
      <c r="B1473" s="146">
        <v>45094.114583333299</v>
      </c>
      <c r="C1473" s="138">
        <v>3</v>
      </c>
      <c r="D1473" s="134" t="s">
        <v>251</v>
      </c>
      <c r="E1473" s="7" t="s">
        <v>62</v>
      </c>
      <c r="F1473" s="139" t="s">
        <v>190</v>
      </c>
      <c r="G1473" s="43">
        <v>64.5</v>
      </c>
      <c r="H1473" s="43">
        <v>79.599999999999994</v>
      </c>
      <c r="I1473" s="33">
        <f>表1_4[[#This Row],[主队2]]-表1_4[[#This Row],[客队2]]</f>
        <v>-15.1</v>
      </c>
      <c r="J147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473" s="34">
        <v>-1.5</v>
      </c>
      <c r="L147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N1473" s="10" t="s">
        <v>119</v>
      </c>
      <c r="O1473" s="10" t="s">
        <v>48</v>
      </c>
      <c r="T1473" s="3"/>
      <c r="U1473" s="83"/>
      <c r="V1473" s="55" t="s">
        <v>2113</v>
      </c>
      <c r="W1473" s="56"/>
      <c r="X1473" s="69" t="s">
        <v>2114</v>
      </c>
      <c r="Y1473" s="70">
        <v>99</v>
      </c>
    </row>
    <row r="1474" spans="1:25">
      <c r="A1474" s="58" t="s">
        <v>908</v>
      </c>
      <c r="B1474" s="146">
        <v>45097</v>
      </c>
      <c r="C1474" s="138">
        <v>4</v>
      </c>
      <c r="D1474" s="134" t="s">
        <v>287</v>
      </c>
      <c r="E1474" s="7" t="s">
        <v>33</v>
      </c>
      <c r="F1474" s="139" t="s">
        <v>251</v>
      </c>
      <c r="G1474" s="43">
        <v>67.8</v>
      </c>
      <c r="H1474" s="43">
        <v>64.7</v>
      </c>
      <c r="I1474" s="33">
        <f>表1_4[[#This Row],[主队2]]-表1_4[[#This Row],[客队2]]</f>
        <v>3.0999999999999899</v>
      </c>
      <c r="J147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474" s="35" t="s">
        <v>118</v>
      </c>
      <c r="L147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N1474" s="10" t="s">
        <v>119</v>
      </c>
      <c r="O1474" s="10" t="s">
        <v>46</v>
      </c>
      <c r="T1474" s="3"/>
      <c r="U1474" s="246"/>
      <c r="V1474" s="231" t="s">
        <v>2115</v>
      </c>
      <c r="W1474" s="241"/>
      <c r="X1474" s="77" t="s">
        <v>433</v>
      </c>
      <c r="Y1474" s="61">
        <v>80</v>
      </c>
    </row>
    <row r="1475" spans="1:25">
      <c r="A1475" s="58" t="s">
        <v>908</v>
      </c>
      <c r="B1475" s="146">
        <v>45097.114583333299</v>
      </c>
      <c r="C1475" s="141">
        <v>4</v>
      </c>
      <c r="D1475" s="134" t="s">
        <v>190</v>
      </c>
      <c r="E1475" s="7" t="s">
        <v>22</v>
      </c>
      <c r="F1475" s="139" t="s">
        <v>200</v>
      </c>
      <c r="G1475" s="43">
        <v>79.3</v>
      </c>
      <c r="H1475" s="43">
        <v>80.900000000000006</v>
      </c>
      <c r="I1475" s="33">
        <f>表1_4[[#This Row],[主队2]]-表1_4[[#This Row],[客队2]]</f>
        <v>-1.6000000000000101</v>
      </c>
      <c r="J147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475" s="35" t="s">
        <v>289</v>
      </c>
      <c r="L147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N1475" s="10" t="s">
        <v>119</v>
      </c>
      <c r="O1475" s="10" t="s">
        <v>46</v>
      </c>
      <c r="T1475" s="3"/>
      <c r="U1475" s="246"/>
      <c r="V1475" s="231" t="s">
        <v>2116</v>
      </c>
      <c r="W1475" s="241"/>
      <c r="X1475" s="77" t="s">
        <v>502</v>
      </c>
      <c r="Y1475" s="61">
        <v>78</v>
      </c>
    </row>
    <row r="1476" spans="1:25">
      <c r="A1476" s="58" t="s">
        <v>908</v>
      </c>
      <c r="B1476" s="146">
        <v>45095.114583333299</v>
      </c>
      <c r="C1476" s="138">
        <v>3</v>
      </c>
      <c r="D1476" s="134" t="s">
        <v>205</v>
      </c>
      <c r="E1476" s="7" t="s">
        <v>22</v>
      </c>
      <c r="F1476" s="139" t="s">
        <v>195</v>
      </c>
      <c r="G1476" s="43">
        <v>71.099999999999994</v>
      </c>
      <c r="H1476" s="43">
        <v>58.6</v>
      </c>
      <c r="I1476" s="33">
        <f>表1_4[[#This Row],[主队2]]-表1_4[[#This Row],[客队2]]</f>
        <v>12.5</v>
      </c>
      <c r="J147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476" s="35" t="s">
        <v>125</v>
      </c>
      <c r="L147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N1476" s="10" t="s">
        <v>119</v>
      </c>
      <c r="O1476" s="10" t="s">
        <v>48</v>
      </c>
      <c r="T1476" s="3"/>
      <c r="U1476" s="246"/>
      <c r="V1476" s="54" t="s">
        <v>2117</v>
      </c>
      <c r="W1476" s="241"/>
      <c r="X1476" s="246" t="s">
        <v>830</v>
      </c>
      <c r="Y1476" s="70">
        <v>104</v>
      </c>
    </row>
    <row r="1477" spans="1:25">
      <c r="A1477" s="58" t="s">
        <v>908</v>
      </c>
      <c r="B1477" s="146">
        <v>45095.114583333299</v>
      </c>
      <c r="C1477" s="138">
        <v>3</v>
      </c>
      <c r="D1477" s="134" t="s">
        <v>244</v>
      </c>
      <c r="E1477" s="7" t="s">
        <v>64</v>
      </c>
      <c r="F1477" s="139" t="s">
        <v>284</v>
      </c>
      <c r="G1477" s="43">
        <v>59.9</v>
      </c>
      <c r="H1477" s="43">
        <v>84.8</v>
      </c>
      <c r="I1477" s="33">
        <f>表1_4[[#This Row],[主队2]]-表1_4[[#This Row],[客队2]]</f>
        <v>-24.9</v>
      </c>
      <c r="J1477" s="34">
        <v>-2.25</v>
      </c>
      <c r="K1477" s="34">
        <v>-1.75</v>
      </c>
      <c r="L147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N1477" s="10" t="s">
        <v>133</v>
      </c>
      <c r="O1477" s="10" t="s">
        <v>28</v>
      </c>
      <c r="T1477" s="3"/>
      <c r="U1477" s="246"/>
      <c r="V1477" s="231" t="s">
        <v>2118</v>
      </c>
      <c r="W1477" s="48"/>
      <c r="X1477" s="246" t="s">
        <v>187</v>
      </c>
      <c r="Y1477" s="246">
        <v>88</v>
      </c>
    </row>
    <row r="1478" spans="1:25">
      <c r="A1478" s="58" t="s">
        <v>908</v>
      </c>
      <c r="B1478" s="146">
        <v>45098.114583333299</v>
      </c>
      <c r="C1478" s="138">
        <v>4</v>
      </c>
      <c r="D1478" s="134" t="s">
        <v>195</v>
      </c>
      <c r="E1478" s="7" t="s">
        <v>29</v>
      </c>
      <c r="F1478" s="139" t="s">
        <v>302</v>
      </c>
      <c r="G1478" s="43">
        <v>58.2</v>
      </c>
      <c r="H1478" s="43">
        <v>84.2</v>
      </c>
      <c r="I1478" s="33">
        <f>表1_4[[#This Row],[主队2]]-表1_4[[#This Row],[客队2]]</f>
        <v>-26</v>
      </c>
      <c r="J1478" s="34">
        <v>-2.25</v>
      </c>
      <c r="K1478" s="34">
        <v>-1.75</v>
      </c>
      <c r="L147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478" s="63" t="s">
        <v>2119</v>
      </c>
      <c r="N1478" s="57" t="s">
        <v>404</v>
      </c>
      <c r="O1478" s="10" t="s">
        <v>65</v>
      </c>
      <c r="T1478" s="3"/>
      <c r="U1478" s="246"/>
      <c r="V1478" s="54" t="s">
        <v>2120</v>
      </c>
      <c r="W1478" s="48"/>
      <c r="X1478" s="246" t="s">
        <v>187</v>
      </c>
      <c r="Y1478" s="70">
        <v>100</v>
      </c>
    </row>
    <row r="1479" spans="1:25">
      <c r="A1479" s="58" t="s">
        <v>908</v>
      </c>
      <c r="B1479" s="146">
        <v>45098.114583333299</v>
      </c>
      <c r="C1479" s="138">
        <v>4</v>
      </c>
      <c r="D1479" s="134" t="s">
        <v>244</v>
      </c>
      <c r="E1479" s="7" t="s">
        <v>74</v>
      </c>
      <c r="F1479" s="139" t="s">
        <v>205</v>
      </c>
      <c r="G1479" s="43">
        <v>59.4</v>
      </c>
      <c r="H1479" s="43">
        <v>71.400000000000006</v>
      </c>
      <c r="I1479" s="33">
        <f>表1_4[[#This Row],[主队2]]-表1_4[[#This Row],[客队2]]</f>
        <v>-12</v>
      </c>
      <c r="J147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479" s="35" t="s">
        <v>111</v>
      </c>
      <c r="L147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N1479" s="10" t="s">
        <v>119</v>
      </c>
      <c r="O1479" s="10" t="s">
        <v>27</v>
      </c>
      <c r="T1479" s="3"/>
      <c r="U1479" s="246"/>
      <c r="V1479" s="246" t="s">
        <v>1042</v>
      </c>
      <c r="W1479" s="246"/>
      <c r="X1479" s="246" t="s">
        <v>2121</v>
      </c>
      <c r="Y1479" s="246">
        <v>95</v>
      </c>
    </row>
    <row r="1480" spans="1:25">
      <c r="A1480" s="58" t="s">
        <v>908</v>
      </c>
      <c r="B1480" s="146">
        <v>45095</v>
      </c>
      <c r="C1480" s="141">
        <v>3</v>
      </c>
      <c r="D1480" s="134" t="s">
        <v>278</v>
      </c>
      <c r="E1480" s="7" t="s">
        <v>36</v>
      </c>
      <c r="F1480" s="139" t="s">
        <v>403</v>
      </c>
      <c r="G1480" s="43">
        <v>63.7</v>
      </c>
      <c r="H1480" s="43">
        <v>67.3</v>
      </c>
      <c r="I1480" s="33">
        <f>表1_4[[#This Row],[主队2]]-表1_4[[#This Row],[客队2]]</f>
        <v>-3.5999999999999899</v>
      </c>
      <c r="J148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480" s="35" t="s">
        <v>289</v>
      </c>
      <c r="L148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N1480" s="10" t="s">
        <v>133</v>
      </c>
      <c r="O1480" s="10" t="s">
        <v>51</v>
      </c>
      <c r="T1480" s="3"/>
      <c r="U1480" s="83"/>
      <c r="V1480" s="55" t="s">
        <v>726</v>
      </c>
      <c r="W1480" s="56"/>
      <c r="X1480" s="69" t="s">
        <v>1817</v>
      </c>
      <c r="Y1480" s="129" t="s">
        <v>2122</v>
      </c>
    </row>
    <row r="1481" spans="1:25">
      <c r="A1481" s="58" t="s">
        <v>908</v>
      </c>
      <c r="B1481" s="169">
        <v>45095.114583333299</v>
      </c>
      <c r="C1481" s="140">
        <v>3</v>
      </c>
      <c r="D1481" s="134" t="s">
        <v>274</v>
      </c>
      <c r="E1481" s="7" t="s">
        <v>36</v>
      </c>
      <c r="F1481" s="139" t="s">
        <v>194</v>
      </c>
      <c r="G1481" s="43">
        <v>95</v>
      </c>
      <c r="H1481" s="43">
        <v>82.4</v>
      </c>
      <c r="I1481" s="33">
        <f>表1_4[[#This Row],[主队2]]-表1_4[[#This Row],[客队2]]</f>
        <v>12.6</v>
      </c>
      <c r="J148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481" s="35" t="s">
        <v>176</v>
      </c>
      <c r="L148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481" s="63" t="s">
        <v>573</v>
      </c>
      <c r="N1481" s="10" t="s">
        <v>404</v>
      </c>
      <c r="O1481" s="10" t="s">
        <v>24</v>
      </c>
      <c r="T1481" s="3"/>
      <c r="U1481" s="83"/>
      <c r="V1481" s="62" t="s">
        <v>2123</v>
      </c>
      <c r="W1481" s="25"/>
      <c r="X1481" s="25" t="s">
        <v>1855</v>
      </c>
      <c r="Y1481" s="129" t="s">
        <v>2124</v>
      </c>
    </row>
    <row r="1482" spans="1:25">
      <c r="A1482" s="58" t="s">
        <v>908</v>
      </c>
      <c r="B1482" s="146">
        <v>45098.114583333299</v>
      </c>
      <c r="C1482" s="279">
        <v>4</v>
      </c>
      <c r="D1482" s="134" t="s">
        <v>194</v>
      </c>
      <c r="E1482" s="7" t="s">
        <v>22</v>
      </c>
      <c r="F1482" s="139" t="s">
        <v>239</v>
      </c>
      <c r="G1482" s="43">
        <v>83.1</v>
      </c>
      <c r="H1482" s="43">
        <v>85.6</v>
      </c>
      <c r="I1482" s="33">
        <f>表1_4[[#This Row],[主队2]]-表1_4[[#This Row],[客队2]]</f>
        <v>-2.5</v>
      </c>
      <c r="J148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482" s="35" t="s">
        <v>182</v>
      </c>
      <c r="L148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N1482" s="10" t="s">
        <v>112</v>
      </c>
      <c r="O1482" s="10" t="s">
        <v>65</v>
      </c>
      <c r="T1482" s="3"/>
      <c r="U1482" s="25"/>
      <c r="V1482" s="80" t="s">
        <v>2125</v>
      </c>
      <c r="W1482" s="56"/>
      <c r="X1482" s="69" t="s">
        <v>774</v>
      </c>
      <c r="Y1482" s="70">
        <v>100</v>
      </c>
    </row>
    <row r="1483" spans="1:25">
      <c r="A1483" s="58" t="s">
        <v>908</v>
      </c>
      <c r="B1483" s="146">
        <v>45098.114583333299</v>
      </c>
      <c r="C1483" s="140">
        <v>4</v>
      </c>
      <c r="D1483" s="70" t="s">
        <v>403</v>
      </c>
      <c r="E1483" s="7" t="s">
        <v>64</v>
      </c>
      <c r="F1483" s="139" t="s">
        <v>274</v>
      </c>
      <c r="G1483" s="43">
        <v>67.5</v>
      </c>
      <c r="H1483" s="43">
        <v>94.3</v>
      </c>
      <c r="I1483" s="33">
        <f>表1_4[[#This Row],[主队2]]-表1_4[[#This Row],[客队2]]</f>
        <v>-26.8</v>
      </c>
      <c r="J1483" s="34">
        <v>-2.5</v>
      </c>
      <c r="K1483" s="34">
        <v>-2</v>
      </c>
      <c r="L148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N1483" s="10" t="s">
        <v>404</v>
      </c>
      <c r="O1483" s="10" t="s">
        <v>40</v>
      </c>
      <c r="T1483" s="3"/>
      <c r="U1483" s="83" t="s">
        <v>1415</v>
      </c>
      <c r="V1483" s="62" t="s">
        <v>2126</v>
      </c>
      <c r="W1483" s="62"/>
      <c r="X1483" s="25" t="s">
        <v>921</v>
      </c>
      <c r="Y1483" s="25">
        <v>84</v>
      </c>
    </row>
    <row r="1484" spans="1:25">
      <c r="A1484" s="58" t="s">
        <v>908</v>
      </c>
      <c r="B1484" s="146">
        <v>45094.875</v>
      </c>
      <c r="C1484" s="140">
        <v>3</v>
      </c>
      <c r="D1484" s="134" t="s">
        <v>292</v>
      </c>
      <c r="E1484" s="7" t="s">
        <v>36</v>
      </c>
      <c r="F1484" s="139" t="s">
        <v>261</v>
      </c>
      <c r="G1484" s="43">
        <v>60.6</v>
      </c>
      <c r="H1484" s="43">
        <v>72.2</v>
      </c>
      <c r="I1484" s="33">
        <f>表1_4[[#This Row],[主队2]]-表1_4[[#This Row],[客队2]]</f>
        <v>-11.6</v>
      </c>
      <c r="J148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484" s="35" t="s">
        <v>152</v>
      </c>
      <c r="L148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N1484" s="10" t="s">
        <v>119</v>
      </c>
      <c r="O1484" s="10" t="s">
        <v>65</v>
      </c>
      <c r="T1484" s="3"/>
      <c r="U1484" s="246"/>
      <c r="V1484" s="77" t="s">
        <v>2002</v>
      </c>
      <c r="W1484" s="77"/>
      <c r="X1484" s="77" t="s">
        <v>921</v>
      </c>
      <c r="Y1484" s="70">
        <v>96</v>
      </c>
    </row>
    <row r="1485" spans="1:25">
      <c r="A1485" s="58" t="s">
        <v>908</v>
      </c>
      <c r="B1485" s="146">
        <v>45095</v>
      </c>
      <c r="C1485" s="140">
        <v>3</v>
      </c>
      <c r="D1485" s="134" t="s">
        <v>301</v>
      </c>
      <c r="E1485" s="7" t="s">
        <v>42</v>
      </c>
      <c r="F1485" s="273" t="s">
        <v>271</v>
      </c>
      <c r="G1485" s="43">
        <v>72.2</v>
      </c>
      <c r="H1485" s="43">
        <v>80.2</v>
      </c>
      <c r="I1485" s="33">
        <f>表1_4[[#This Row],[主队2]]-表1_4[[#This Row],[客队2]]</f>
        <v>-8</v>
      </c>
      <c r="J148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485" s="35" t="s">
        <v>152</v>
      </c>
      <c r="L148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N1485" s="10" t="s">
        <v>133</v>
      </c>
      <c r="O1485" s="10" t="s">
        <v>40</v>
      </c>
      <c r="T1485" s="3"/>
      <c r="U1485" s="77" t="s">
        <v>473</v>
      </c>
      <c r="V1485" s="77" t="s">
        <v>2127</v>
      </c>
      <c r="W1485" s="241"/>
      <c r="X1485" s="83" t="s">
        <v>1817</v>
      </c>
      <c r="Y1485" s="62" t="s">
        <v>2128</v>
      </c>
    </row>
    <row r="1486" spans="1:25">
      <c r="A1486" s="58" t="s">
        <v>908</v>
      </c>
      <c r="B1486" s="146">
        <v>45098.114583333299</v>
      </c>
      <c r="C1486" s="140">
        <v>4</v>
      </c>
      <c r="D1486" s="134" t="s">
        <v>271</v>
      </c>
      <c r="E1486" s="7" t="s">
        <v>22</v>
      </c>
      <c r="F1486" s="139" t="s">
        <v>292</v>
      </c>
      <c r="G1486" s="43">
        <v>79.8</v>
      </c>
      <c r="H1486" s="43">
        <v>61.1</v>
      </c>
      <c r="I1486" s="33">
        <f>表1_4[[#This Row],[主队2]]-表1_4[[#This Row],[客队2]]</f>
        <v>18.7</v>
      </c>
      <c r="J148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486" s="34">
        <v>2</v>
      </c>
      <c r="L148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N1486" s="10" t="s">
        <v>119</v>
      </c>
      <c r="O1486" s="10" t="s">
        <v>24</v>
      </c>
      <c r="T1486" s="3"/>
      <c r="U1486" s="246"/>
      <c r="V1486" s="246" t="s">
        <v>2129</v>
      </c>
      <c r="W1486" s="62"/>
      <c r="X1486" s="246" t="s">
        <v>2072</v>
      </c>
      <c r="Y1486" s="246">
        <v>86</v>
      </c>
    </row>
    <row r="1487" spans="1:25" ht="28.9">
      <c r="A1487" s="58" t="s">
        <v>908</v>
      </c>
      <c r="B1487" s="146">
        <v>45098.114583333299</v>
      </c>
      <c r="C1487" s="294">
        <v>4</v>
      </c>
      <c r="D1487" s="134" t="s">
        <v>261</v>
      </c>
      <c r="E1487" s="7" t="s">
        <v>36</v>
      </c>
      <c r="F1487" s="139" t="s">
        <v>434</v>
      </c>
      <c r="G1487" s="43">
        <v>71.7</v>
      </c>
      <c r="H1487" s="43">
        <v>86</v>
      </c>
      <c r="I1487" s="33">
        <f>表1_4[[#This Row],[主队2]]-表1_4[[#This Row],[客队2]]</f>
        <v>-14.3</v>
      </c>
      <c r="J148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487" s="35" t="s">
        <v>245</v>
      </c>
      <c r="L148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N1487" s="10" t="s">
        <v>119</v>
      </c>
      <c r="O1487" s="10" t="s">
        <v>24</v>
      </c>
      <c r="T1487" s="3"/>
      <c r="U1487" s="246"/>
      <c r="V1487" s="246" t="s">
        <v>2130</v>
      </c>
      <c r="W1487" s="80"/>
      <c r="X1487" s="83" t="s">
        <v>774</v>
      </c>
      <c r="Y1487" s="62" t="s">
        <v>2131</v>
      </c>
    </row>
    <row r="1488" spans="1:25">
      <c r="A1488" s="58" t="s">
        <v>908</v>
      </c>
      <c r="B1488" s="146">
        <v>45094</v>
      </c>
      <c r="C1488" s="138">
        <v>3</v>
      </c>
      <c r="D1488" s="134" t="s">
        <v>191</v>
      </c>
      <c r="E1488" s="7" t="s">
        <v>22</v>
      </c>
      <c r="F1488" s="139" t="s">
        <v>309</v>
      </c>
      <c r="G1488" s="43">
        <v>77.400000000000006</v>
      </c>
      <c r="H1488" s="43">
        <v>77.599999999999994</v>
      </c>
      <c r="I1488" s="33">
        <f>表1_4[[#This Row],[主队2]]-表1_4[[#This Row],[客队2]]</f>
        <v>-0.19999999999998899</v>
      </c>
      <c r="J148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488" s="35" t="s">
        <v>182</v>
      </c>
      <c r="L148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N1488" s="10" t="s">
        <v>133</v>
      </c>
      <c r="O1488" s="10" t="s">
        <v>51</v>
      </c>
      <c r="T1488" s="3"/>
      <c r="U1488" s="83"/>
      <c r="V1488" s="83" t="s">
        <v>2132</v>
      </c>
      <c r="W1488" s="62"/>
      <c r="X1488" s="77" t="s">
        <v>433</v>
      </c>
      <c r="Y1488" s="77">
        <v>82</v>
      </c>
    </row>
    <row r="1489" spans="1:25">
      <c r="A1489" s="58" t="s">
        <v>908</v>
      </c>
      <c r="B1489" s="146">
        <v>45094.114583333299</v>
      </c>
      <c r="C1489" s="138">
        <v>3</v>
      </c>
      <c r="D1489" s="134" t="s">
        <v>306</v>
      </c>
      <c r="E1489" s="7" t="s">
        <v>31</v>
      </c>
      <c r="F1489" s="139" t="s">
        <v>296</v>
      </c>
      <c r="G1489" s="43">
        <v>89.5</v>
      </c>
      <c r="H1489" s="43">
        <v>73.900000000000006</v>
      </c>
      <c r="I1489" s="33">
        <f>表1_4[[#This Row],[主队2]]-表1_4[[#This Row],[客队2]]</f>
        <v>15.6</v>
      </c>
      <c r="J148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489" s="35" t="s">
        <v>81</v>
      </c>
      <c r="L148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N1489" s="10" t="s">
        <v>119</v>
      </c>
      <c r="O1489" s="10" t="s">
        <v>46</v>
      </c>
      <c r="T1489" s="3"/>
      <c r="U1489" s="246"/>
      <c r="V1489" s="246" t="s">
        <v>2133</v>
      </c>
      <c r="W1489" s="246"/>
      <c r="X1489" s="77" t="s">
        <v>433</v>
      </c>
      <c r="Y1489" s="77">
        <v>80</v>
      </c>
    </row>
    <row r="1490" spans="1:25">
      <c r="A1490" s="58" t="s">
        <v>908</v>
      </c>
      <c r="B1490" s="146">
        <v>45094.114583333299</v>
      </c>
      <c r="C1490" s="140">
        <v>3</v>
      </c>
      <c r="D1490" s="134" t="s">
        <v>282</v>
      </c>
      <c r="E1490" s="7" t="s">
        <v>64</v>
      </c>
      <c r="F1490" s="139" t="s">
        <v>288</v>
      </c>
      <c r="G1490" s="43">
        <v>31.2</v>
      </c>
      <c r="H1490" s="43">
        <v>66.2</v>
      </c>
      <c r="I1490" s="33">
        <f>表1_4[[#This Row],[主队2]]-表1_4[[#This Row],[客队2]]</f>
        <v>-35</v>
      </c>
      <c r="J1490" s="34">
        <v>-3.25</v>
      </c>
      <c r="K1490" s="34">
        <v>-2.25</v>
      </c>
      <c r="L149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N1490" s="10" t="s">
        <v>119</v>
      </c>
      <c r="O1490" s="10" t="s">
        <v>35</v>
      </c>
      <c r="T1490" s="3"/>
      <c r="U1490" s="77" t="s">
        <v>2134</v>
      </c>
      <c r="V1490" s="80" t="s">
        <v>2135</v>
      </c>
      <c r="W1490" s="70"/>
      <c r="X1490" s="70" t="s">
        <v>772</v>
      </c>
      <c r="Y1490" s="62" t="s">
        <v>2136</v>
      </c>
    </row>
    <row r="1491" spans="1:25">
      <c r="A1491" s="58" t="s">
        <v>908</v>
      </c>
      <c r="B1491" s="146">
        <v>45097</v>
      </c>
      <c r="C1491" s="140">
        <v>4</v>
      </c>
      <c r="D1491" s="134" t="s">
        <v>191</v>
      </c>
      <c r="E1491" s="7" t="s">
        <v>55</v>
      </c>
      <c r="F1491" s="44" t="s">
        <v>282</v>
      </c>
      <c r="G1491" s="43">
        <v>78.5</v>
      </c>
      <c r="H1491" s="43">
        <v>31.2</v>
      </c>
      <c r="I1491" s="33">
        <f>表1_4[[#This Row],[主队2]]-表1_4[[#This Row],[客队2]]</f>
        <v>47.3</v>
      </c>
      <c r="J1491" s="34">
        <v>5</v>
      </c>
      <c r="K1491" s="34">
        <v>3.75</v>
      </c>
      <c r="L149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N1491" s="10" t="s">
        <v>119</v>
      </c>
      <c r="O1491" s="10" t="s">
        <v>35</v>
      </c>
      <c r="T1491" s="3"/>
      <c r="U1491" s="246" t="s">
        <v>310</v>
      </c>
      <c r="V1491" s="246" t="s">
        <v>2137</v>
      </c>
      <c r="W1491" s="246"/>
      <c r="X1491" s="246" t="s">
        <v>187</v>
      </c>
      <c r="Y1491" s="83">
        <v>110</v>
      </c>
    </row>
    <row r="1492" spans="1:25">
      <c r="A1492" s="58" t="s">
        <v>908</v>
      </c>
      <c r="B1492" s="146">
        <v>45097.114583333299</v>
      </c>
      <c r="C1492" s="145">
        <v>4</v>
      </c>
      <c r="D1492" s="134" t="s">
        <v>296</v>
      </c>
      <c r="E1492" s="7" t="s">
        <v>53</v>
      </c>
      <c r="F1492" s="139" t="s">
        <v>288</v>
      </c>
      <c r="G1492" s="43">
        <v>74.3</v>
      </c>
      <c r="H1492" s="43">
        <v>66.2</v>
      </c>
      <c r="I1492" s="33">
        <f>表1_4[[#This Row],[主队2]]-表1_4[[#This Row],[客队2]]</f>
        <v>8.0999999999999908</v>
      </c>
      <c r="J149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492" s="35" t="s">
        <v>176</v>
      </c>
      <c r="L149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N1492" s="10" t="s">
        <v>133</v>
      </c>
      <c r="O1492" s="10" t="s">
        <v>51</v>
      </c>
      <c r="T1492" s="3"/>
      <c r="U1492" s="83"/>
      <c r="V1492" s="83" t="s">
        <v>2138</v>
      </c>
      <c r="W1492" s="62"/>
      <c r="X1492" s="77" t="s">
        <v>850</v>
      </c>
      <c r="Y1492" s="77">
        <v>82</v>
      </c>
    </row>
    <row r="1493" spans="1:25">
      <c r="A1493" s="58" t="s">
        <v>908</v>
      </c>
      <c r="B1493" s="146">
        <v>45097.114583333299</v>
      </c>
      <c r="C1493" s="141">
        <v>4</v>
      </c>
      <c r="D1493" s="134" t="s">
        <v>309</v>
      </c>
      <c r="E1493" s="7" t="s">
        <v>36</v>
      </c>
      <c r="F1493" s="139" t="s">
        <v>306</v>
      </c>
      <c r="G1493" s="43">
        <v>76.5</v>
      </c>
      <c r="H1493" s="43">
        <v>89.1</v>
      </c>
      <c r="I1493" s="33">
        <f>表1_4[[#This Row],[主队2]]-表1_4[[#This Row],[客队2]]</f>
        <v>-12.6</v>
      </c>
      <c r="J149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493" s="35" t="s">
        <v>132</v>
      </c>
      <c r="L149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N1493" s="10" t="s">
        <v>119</v>
      </c>
      <c r="O1493" s="10" t="s">
        <v>40</v>
      </c>
      <c r="T1493" s="3"/>
      <c r="U1493" s="77" t="s">
        <v>500</v>
      </c>
      <c r="V1493" s="77" t="s">
        <v>767</v>
      </c>
      <c r="W1493" s="51"/>
      <c r="X1493" s="77" t="s">
        <v>1855</v>
      </c>
      <c r="Y1493" s="77">
        <v>78</v>
      </c>
    </row>
    <row r="1494" spans="1:25">
      <c r="A1494" s="58" t="s">
        <v>908</v>
      </c>
      <c r="B1494" s="146">
        <v>45094.114583333299</v>
      </c>
      <c r="C1494" s="141">
        <v>3</v>
      </c>
      <c r="D1494" s="134" t="s">
        <v>217</v>
      </c>
      <c r="E1494" s="7" t="s">
        <v>42</v>
      </c>
      <c r="F1494" s="139" t="s">
        <v>305</v>
      </c>
      <c r="G1494" s="43">
        <v>70.599999999999994</v>
      </c>
      <c r="H1494" s="43">
        <v>78.8</v>
      </c>
      <c r="I1494" s="33">
        <f>表1_4[[#This Row],[主队2]]-表1_4[[#This Row],[客队2]]</f>
        <v>-8.1999999999999993</v>
      </c>
      <c r="J149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494" s="35" t="s">
        <v>166</v>
      </c>
      <c r="L149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N1494" s="10" t="s">
        <v>112</v>
      </c>
      <c r="O1494" s="10" t="s">
        <v>48</v>
      </c>
      <c r="T1494" s="3"/>
      <c r="U1494" s="83"/>
      <c r="V1494" s="83" t="s">
        <v>2139</v>
      </c>
      <c r="W1494" s="62"/>
      <c r="X1494" s="83" t="s">
        <v>1817</v>
      </c>
      <c r="Y1494" s="83">
        <v>102</v>
      </c>
    </row>
    <row r="1495" spans="1:25" ht="28.9">
      <c r="A1495" s="58" t="s">
        <v>908</v>
      </c>
      <c r="B1495" s="146">
        <v>45094.114583333299</v>
      </c>
      <c r="C1495" s="138">
        <v>3</v>
      </c>
      <c r="D1495" s="134" t="s">
        <v>240</v>
      </c>
      <c r="E1495" s="7" t="s">
        <v>60</v>
      </c>
      <c r="F1495" s="139" t="s">
        <v>210</v>
      </c>
      <c r="G1495" s="43">
        <v>68.400000000000006</v>
      </c>
      <c r="H1495" s="43">
        <v>73.3</v>
      </c>
      <c r="I1495" s="33">
        <f>表1_4[[#This Row],[主队2]]-表1_4[[#This Row],[客队2]]</f>
        <v>-4.8999999999999897</v>
      </c>
      <c r="J1495" s="34">
        <v>-0.5</v>
      </c>
      <c r="K1495" s="35" t="s">
        <v>245</v>
      </c>
      <c r="L149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N1495" s="10" t="s">
        <v>133</v>
      </c>
      <c r="O1495" s="10" t="s">
        <v>35</v>
      </c>
      <c r="T1495" s="3"/>
      <c r="U1495" s="83" t="s">
        <v>2140</v>
      </c>
      <c r="V1495" s="83" t="s">
        <v>2141</v>
      </c>
      <c r="W1495" s="62"/>
      <c r="X1495" s="77" t="s">
        <v>921</v>
      </c>
      <c r="Y1495" s="83">
        <v>100</v>
      </c>
    </row>
    <row r="1496" spans="1:25">
      <c r="A1496" s="58" t="s">
        <v>908</v>
      </c>
      <c r="B1496" s="146">
        <v>45094.114583333299</v>
      </c>
      <c r="C1496" s="140">
        <v>3</v>
      </c>
      <c r="D1496" s="134" t="s">
        <v>243</v>
      </c>
      <c r="E1496" s="7" t="s">
        <v>60</v>
      </c>
      <c r="F1496" s="139" t="s">
        <v>250</v>
      </c>
      <c r="G1496" s="43">
        <v>49.4</v>
      </c>
      <c r="H1496" s="43">
        <v>89.8</v>
      </c>
      <c r="I1496" s="33">
        <f>表1_4[[#This Row],[主队2]]-表1_4[[#This Row],[客队2]]</f>
        <v>-40.4</v>
      </c>
      <c r="J1496" s="34">
        <v>-3.75</v>
      </c>
      <c r="K1496" s="34">
        <v>-2.75</v>
      </c>
      <c r="L149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N1496" s="10" t="s">
        <v>119</v>
      </c>
      <c r="O1496" s="10" t="s">
        <v>35</v>
      </c>
      <c r="T1496" s="3"/>
      <c r="U1496" s="77" t="s">
        <v>697</v>
      </c>
      <c r="V1496" s="77" t="s">
        <v>997</v>
      </c>
      <c r="W1496" s="51"/>
      <c r="X1496" s="77" t="s">
        <v>433</v>
      </c>
      <c r="Y1496" s="83">
        <v>100</v>
      </c>
    </row>
    <row r="1497" spans="1:25">
      <c r="A1497" s="58" t="s">
        <v>908</v>
      </c>
      <c r="B1497" s="146">
        <v>45097.114583333299</v>
      </c>
      <c r="C1497" s="140">
        <v>4</v>
      </c>
      <c r="D1497" s="134" t="s">
        <v>250</v>
      </c>
      <c r="E1497" s="7" t="s">
        <v>25</v>
      </c>
      <c r="F1497" s="139" t="s">
        <v>305</v>
      </c>
      <c r="G1497" s="43">
        <v>89.4</v>
      </c>
      <c r="H1497" s="43">
        <v>78.5</v>
      </c>
      <c r="I1497" s="33">
        <f>表1_4[[#This Row],[主队2]]-表1_4[[#This Row],[客队2]]</f>
        <v>10.9</v>
      </c>
      <c r="J149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497" s="35" t="s">
        <v>125</v>
      </c>
      <c r="L149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N1497" s="10" t="s">
        <v>119</v>
      </c>
      <c r="O1497" s="10" t="s">
        <v>48</v>
      </c>
      <c r="T1497" s="3"/>
      <c r="U1497" s="246"/>
      <c r="V1497" s="246" t="s">
        <v>2142</v>
      </c>
      <c r="W1497" s="246"/>
      <c r="X1497" s="83" t="s">
        <v>783</v>
      </c>
      <c r="Y1497" s="83">
        <v>96</v>
      </c>
    </row>
    <row r="1498" spans="1:25">
      <c r="A1498" s="58" t="s">
        <v>908</v>
      </c>
      <c r="B1498" s="146">
        <v>45097.114583333299</v>
      </c>
      <c r="C1498" s="140">
        <v>4</v>
      </c>
      <c r="D1498" s="134" t="s">
        <v>210</v>
      </c>
      <c r="E1498" s="7" t="s">
        <v>33</v>
      </c>
      <c r="F1498" s="139" t="s">
        <v>243</v>
      </c>
      <c r="G1498" s="43">
        <v>73.7</v>
      </c>
      <c r="H1498" s="43">
        <v>49.8</v>
      </c>
      <c r="I1498" s="33">
        <f>表1_4[[#This Row],[主队2]]-表1_4[[#This Row],[客队2]]</f>
        <v>23.9</v>
      </c>
      <c r="J1498" s="34">
        <v>2.75</v>
      </c>
      <c r="K1498" s="34">
        <v>2.5</v>
      </c>
      <c r="L149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498" s="9" t="s">
        <v>743</v>
      </c>
      <c r="N1498" s="10" t="s">
        <v>133</v>
      </c>
      <c r="O1498" s="10" t="s">
        <v>24</v>
      </c>
      <c r="T1498" s="3"/>
      <c r="U1498" s="83"/>
      <c r="V1498" s="83" t="s">
        <v>2143</v>
      </c>
      <c r="W1498" s="62"/>
      <c r="X1498" s="246" t="s">
        <v>187</v>
      </c>
      <c r="Y1498" s="246">
        <v>90</v>
      </c>
    </row>
    <row r="1499" spans="1:25">
      <c r="A1499" s="58" t="s">
        <v>908</v>
      </c>
      <c r="B1499" s="146">
        <v>45097.114583333299</v>
      </c>
      <c r="C1499" s="141">
        <v>4</v>
      </c>
      <c r="D1499" s="134" t="s">
        <v>240</v>
      </c>
      <c r="E1499" s="7" t="s">
        <v>33</v>
      </c>
      <c r="F1499" s="139" t="s">
        <v>217</v>
      </c>
      <c r="G1499" s="43">
        <v>68</v>
      </c>
      <c r="H1499" s="43">
        <v>70.8</v>
      </c>
      <c r="I1499" s="33">
        <f>表1_4[[#This Row],[主队2]]-表1_4[[#This Row],[客队2]]</f>
        <v>-2.8</v>
      </c>
      <c r="J149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499" s="35" t="s">
        <v>111</v>
      </c>
      <c r="L149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N1499" s="10" t="s">
        <v>119</v>
      </c>
      <c r="O1499" s="10" t="s">
        <v>24</v>
      </c>
      <c r="T1499" s="3"/>
      <c r="U1499" s="83" t="s">
        <v>776</v>
      </c>
      <c r="V1499" s="83" t="s">
        <v>2144</v>
      </c>
      <c r="W1499" s="241"/>
      <c r="X1499" s="246" t="s">
        <v>395</v>
      </c>
      <c r="Y1499" s="246">
        <v>88</v>
      </c>
    </row>
    <row r="1500" spans="1:25">
      <c r="A1500" s="58" t="s">
        <v>908</v>
      </c>
      <c r="B1500" s="146">
        <v>45094.875</v>
      </c>
      <c r="C1500" s="138">
        <v>3</v>
      </c>
      <c r="D1500" s="134" t="s">
        <v>266</v>
      </c>
      <c r="E1500" s="7" t="s">
        <v>22</v>
      </c>
      <c r="F1500" s="139" t="s">
        <v>437</v>
      </c>
      <c r="G1500" s="43">
        <v>64.099999999999994</v>
      </c>
      <c r="H1500" s="43">
        <v>43</v>
      </c>
      <c r="I1500" s="33">
        <f>表1_4[[#This Row],[主队2]]-表1_4[[#This Row],[客队2]]</f>
        <v>21.1</v>
      </c>
      <c r="J150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1500" s="34">
        <v>2.25</v>
      </c>
      <c r="L150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N1500" s="10" t="s">
        <v>112</v>
      </c>
      <c r="O1500" s="10" t="s">
        <v>27</v>
      </c>
      <c r="T1500" s="3"/>
      <c r="U1500" s="77"/>
      <c r="V1500" s="80" t="s">
        <v>2145</v>
      </c>
      <c r="W1500" s="44"/>
      <c r="X1500" s="45"/>
    </row>
    <row r="1501" spans="1:25">
      <c r="A1501" s="58" t="s">
        <v>908</v>
      </c>
      <c r="B1501" s="146">
        <v>45095.114583333299</v>
      </c>
      <c r="C1501" s="140">
        <v>3</v>
      </c>
      <c r="D1501" s="134" t="s">
        <v>270</v>
      </c>
      <c r="E1501" s="7" t="s">
        <v>44</v>
      </c>
      <c r="F1501" s="139" t="s">
        <v>255</v>
      </c>
      <c r="G1501" s="43">
        <v>96.3</v>
      </c>
      <c r="H1501" s="43">
        <v>78.3</v>
      </c>
      <c r="I1501" s="33">
        <f>表1_4[[#This Row],[主队2]]-表1_4[[#This Row],[客队2]]</f>
        <v>18</v>
      </c>
      <c r="J150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501" s="34">
        <v>1.75</v>
      </c>
      <c r="L150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N1501" s="10" t="s">
        <v>119</v>
      </c>
      <c r="O1501" s="10" t="s">
        <v>46</v>
      </c>
      <c r="T1501" s="3"/>
      <c r="U1501" s="77"/>
      <c r="V1501" s="80" t="s">
        <v>2146</v>
      </c>
      <c r="W1501" s="56"/>
      <c r="X1501" s="83" t="s">
        <v>774</v>
      </c>
      <c r="Y1501" s="62" t="s">
        <v>2147</v>
      </c>
    </row>
    <row r="1502" spans="1:25">
      <c r="A1502" s="58" t="s">
        <v>908</v>
      </c>
      <c r="B1502" s="146">
        <v>45095.114583333299</v>
      </c>
      <c r="C1502" s="140">
        <v>3</v>
      </c>
      <c r="D1502" s="134" t="s">
        <v>218</v>
      </c>
      <c r="E1502" s="7" t="s">
        <v>60</v>
      </c>
      <c r="F1502" s="139" t="s">
        <v>425</v>
      </c>
      <c r="G1502" s="43">
        <v>73.400000000000006</v>
      </c>
      <c r="H1502" s="43">
        <v>78.099999999999994</v>
      </c>
      <c r="I1502" s="33">
        <f>表1_4[[#This Row],[主队2]]-表1_4[[#This Row],[客队2]]</f>
        <v>-4.6999999999999904</v>
      </c>
      <c r="J150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502" s="35" t="s">
        <v>166</v>
      </c>
      <c r="L150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N1502" s="10" t="s">
        <v>119</v>
      </c>
      <c r="O1502" s="10" t="s">
        <v>48</v>
      </c>
      <c r="T1502" s="3"/>
      <c r="U1502" s="246"/>
      <c r="V1502" s="246" t="s">
        <v>2148</v>
      </c>
      <c r="W1502" s="241"/>
      <c r="X1502" s="246" t="s">
        <v>2149</v>
      </c>
      <c r="Y1502" s="83">
        <v>96</v>
      </c>
    </row>
    <row r="1503" spans="1:25">
      <c r="A1503" s="58" t="s">
        <v>908</v>
      </c>
      <c r="B1503" s="146">
        <v>45098.114583333299</v>
      </c>
      <c r="C1503" s="138">
        <v>4</v>
      </c>
      <c r="D1503" s="134" t="s">
        <v>218</v>
      </c>
      <c r="E1503" s="7" t="s">
        <v>53</v>
      </c>
      <c r="F1503" s="139" t="s">
        <v>270</v>
      </c>
      <c r="G1503" s="43">
        <v>72.900000000000006</v>
      </c>
      <c r="H1503" s="43">
        <v>96.6</v>
      </c>
      <c r="I1503" s="33">
        <f>表1_4[[#This Row],[主队2]]-表1_4[[#This Row],[客队2]]</f>
        <v>-23.7</v>
      </c>
      <c r="J1503" s="34">
        <v>-2</v>
      </c>
      <c r="K1503" s="34">
        <v>-1.5</v>
      </c>
      <c r="L150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N1503" s="10" t="s">
        <v>133</v>
      </c>
      <c r="O1503" s="10" t="s">
        <v>27</v>
      </c>
      <c r="T1503" s="3"/>
      <c r="U1503" s="246"/>
      <c r="V1503" s="77" t="s">
        <v>2150</v>
      </c>
      <c r="W1503" s="241"/>
      <c r="X1503" s="246" t="s">
        <v>427</v>
      </c>
      <c r="Y1503" s="62" t="s">
        <v>2124</v>
      </c>
    </row>
    <row r="1504" spans="1:25">
      <c r="A1504" s="58" t="s">
        <v>908</v>
      </c>
      <c r="B1504" s="169">
        <v>45098.114583333299</v>
      </c>
      <c r="C1504" s="140">
        <v>4</v>
      </c>
      <c r="D1504" s="134" t="s">
        <v>255</v>
      </c>
      <c r="E1504" s="7" t="s">
        <v>47</v>
      </c>
      <c r="F1504" s="139" t="s">
        <v>266</v>
      </c>
      <c r="G1504" s="43">
        <v>77.900000000000006</v>
      </c>
      <c r="H1504" s="43">
        <v>64</v>
      </c>
      <c r="I1504" s="33">
        <f>表1_4[[#This Row],[主队2]]-表1_4[[#This Row],[客队2]]</f>
        <v>13.9</v>
      </c>
      <c r="J150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504" s="35" t="s">
        <v>176</v>
      </c>
      <c r="L150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04" s="63" t="s">
        <v>573</v>
      </c>
      <c r="N1504" s="10" t="s">
        <v>119</v>
      </c>
      <c r="O1504" s="10" t="s">
        <v>46</v>
      </c>
      <c r="T1504" s="3"/>
      <c r="U1504" s="83"/>
      <c r="V1504" s="83" t="s">
        <v>2151</v>
      </c>
      <c r="W1504" s="241"/>
      <c r="X1504" s="77" t="s">
        <v>850</v>
      </c>
      <c r="Y1504" s="77">
        <v>82</v>
      </c>
    </row>
    <row r="1505" spans="1:25">
      <c r="A1505" s="58" t="s">
        <v>908</v>
      </c>
      <c r="B1505" s="146">
        <v>45098.114583333299</v>
      </c>
      <c r="C1505" s="140">
        <v>4</v>
      </c>
      <c r="D1505" s="134" t="s">
        <v>437</v>
      </c>
      <c r="E1505" s="7" t="s">
        <v>53</v>
      </c>
      <c r="F1505" s="139" t="s">
        <v>425</v>
      </c>
      <c r="G1505" s="43">
        <v>43.1</v>
      </c>
      <c r="H1505" s="43">
        <v>78.599999999999994</v>
      </c>
      <c r="I1505" s="33">
        <f>表1_4[[#This Row],[主队2]]-表1_4[[#This Row],[客队2]]</f>
        <v>-35.5</v>
      </c>
      <c r="J1505" s="34">
        <v>-3.25</v>
      </c>
      <c r="K1505" s="34">
        <v>-3</v>
      </c>
      <c r="L150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N1505" s="10" t="s">
        <v>119</v>
      </c>
      <c r="O1505" s="10" t="s">
        <v>35</v>
      </c>
      <c r="T1505" s="3"/>
      <c r="U1505" s="246"/>
      <c r="V1505" s="246" t="s">
        <v>2152</v>
      </c>
      <c r="W1505" s="56"/>
      <c r="X1505" s="83" t="s">
        <v>2061</v>
      </c>
      <c r="Y1505" s="83">
        <v>110</v>
      </c>
    </row>
    <row r="1506" spans="1:25">
      <c r="A1506" s="170" t="s">
        <v>908</v>
      </c>
      <c r="B1506" s="146">
        <v>45176.916666666701</v>
      </c>
      <c r="C1506" s="140">
        <v>5</v>
      </c>
      <c r="D1506" s="134" t="s">
        <v>288</v>
      </c>
      <c r="E1506" s="7" t="s">
        <v>53</v>
      </c>
      <c r="F1506" s="139" t="s">
        <v>191</v>
      </c>
      <c r="G1506" s="43">
        <v>66.8</v>
      </c>
      <c r="H1506" s="43">
        <v>78.900000000000006</v>
      </c>
      <c r="I1506" s="33">
        <f>表1_4[[#This Row],[主队2]]-表1_4[[#This Row],[客队2]]</f>
        <v>-12.1</v>
      </c>
      <c r="J150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506" s="35" t="s">
        <v>152</v>
      </c>
      <c r="L150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06" s="9" t="s">
        <v>2153</v>
      </c>
      <c r="N1506" s="10" t="s">
        <v>112</v>
      </c>
      <c r="O1506" s="10" t="s">
        <v>35</v>
      </c>
      <c r="Q1506" s="11" t="s">
        <v>2042</v>
      </c>
      <c r="R1506" t="s">
        <v>852</v>
      </c>
      <c r="T1506" s="3"/>
      <c r="U1506" s="25" t="s">
        <v>931</v>
      </c>
      <c r="V1506" s="80" t="s">
        <v>2154</v>
      </c>
      <c r="W1506" s="56"/>
      <c r="X1506" s="69" t="s">
        <v>730</v>
      </c>
      <c r="Y1506" s="70">
        <v>102</v>
      </c>
    </row>
    <row r="1507" spans="1:25">
      <c r="A1507" s="170" t="s">
        <v>908</v>
      </c>
      <c r="B1507" s="146">
        <v>45177</v>
      </c>
      <c r="C1507" s="138">
        <v>5</v>
      </c>
      <c r="D1507" s="134" t="s">
        <v>292</v>
      </c>
      <c r="E1507" s="7" t="s">
        <v>25</v>
      </c>
      <c r="F1507" s="139" t="s">
        <v>301</v>
      </c>
      <c r="G1507" s="43">
        <v>61.2</v>
      </c>
      <c r="H1507" s="43">
        <v>72.099999999999994</v>
      </c>
      <c r="I1507" s="33">
        <f>表1_4[[#This Row],[主队2]]-表1_4[[#This Row],[客队2]]</f>
        <v>-10.9</v>
      </c>
      <c r="J150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507" s="35" t="s">
        <v>111</v>
      </c>
      <c r="L150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507" s="165">
        <v>0</v>
      </c>
      <c r="N1507" s="10" t="s">
        <v>119</v>
      </c>
      <c r="O1507" s="57" t="s">
        <v>28</v>
      </c>
      <c r="Q1507" s="11" t="s">
        <v>2155</v>
      </c>
      <c r="R1507" t="s">
        <v>855</v>
      </c>
      <c r="T1507" s="3"/>
      <c r="U1507" s="246"/>
      <c r="V1507" s="246" t="s">
        <v>2156</v>
      </c>
      <c r="W1507" s="241"/>
      <c r="X1507" s="238" t="s">
        <v>187</v>
      </c>
      <c r="Y1507" s="250">
        <v>88</v>
      </c>
    </row>
    <row r="1508" spans="1:25">
      <c r="A1508" s="58" t="s">
        <v>908</v>
      </c>
      <c r="B1508" s="146">
        <v>45177.114583333299</v>
      </c>
      <c r="C1508" s="138">
        <v>5</v>
      </c>
      <c r="D1508" s="134" t="s">
        <v>434</v>
      </c>
      <c r="E1508" s="7" t="s">
        <v>60</v>
      </c>
      <c r="F1508" s="273" t="s">
        <v>271</v>
      </c>
      <c r="G1508" s="43">
        <v>85.3</v>
      </c>
      <c r="H1508" s="43">
        <v>79.7</v>
      </c>
      <c r="I1508" s="33">
        <f>表1_4[[#This Row],[主队2]]-表1_4[[#This Row],[客队2]]</f>
        <v>5.5999999999999899</v>
      </c>
      <c r="J150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508" s="35" t="s">
        <v>118</v>
      </c>
      <c r="L150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508" s="9" t="s">
        <v>2157</v>
      </c>
      <c r="N1508" s="10" t="s">
        <v>133</v>
      </c>
      <c r="O1508" s="10" t="s">
        <v>39</v>
      </c>
      <c r="T1508" s="3"/>
      <c r="U1508" s="246"/>
      <c r="V1508" s="64" t="s">
        <v>2158</v>
      </c>
      <c r="W1508" s="48"/>
      <c r="X1508" s="77" t="s">
        <v>433</v>
      </c>
      <c r="Y1508" s="61">
        <v>84</v>
      </c>
    </row>
    <row r="1509" spans="1:25">
      <c r="A1509" s="58" t="s">
        <v>908</v>
      </c>
      <c r="B1509" s="146">
        <v>45177.114583333299</v>
      </c>
      <c r="C1509" s="140">
        <v>5</v>
      </c>
      <c r="D1509" s="134" t="s">
        <v>267</v>
      </c>
      <c r="E1509" s="7" t="s">
        <v>22</v>
      </c>
      <c r="F1509" s="139" t="s">
        <v>199</v>
      </c>
      <c r="G1509" s="43">
        <v>98.4</v>
      </c>
      <c r="H1509" s="43">
        <v>79</v>
      </c>
      <c r="I1509" s="33">
        <f>表1_4[[#This Row],[主队2]]-表1_4[[#This Row],[客队2]]</f>
        <v>19.399999999999999</v>
      </c>
      <c r="J150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1509" s="34">
        <v>1.5</v>
      </c>
      <c r="L150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N1509" s="10" t="s">
        <v>112</v>
      </c>
      <c r="O1509" s="10" t="s">
        <v>24</v>
      </c>
      <c r="P1509" s="9">
        <v>-20</v>
      </c>
      <c r="T1509" s="3"/>
      <c r="U1509" s="25"/>
      <c r="V1509" s="80" t="s">
        <v>2159</v>
      </c>
      <c r="W1509" s="51"/>
      <c r="X1509" s="238" t="s">
        <v>427</v>
      </c>
      <c r="Y1509" s="250">
        <v>94</v>
      </c>
    </row>
    <row r="1510" spans="1:25">
      <c r="A1510" s="58" t="s">
        <v>908</v>
      </c>
      <c r="B1510" s="146">
        <v>45177.114583333299</v>
      </c>
      <c r="C1510" s="138">
        <v>5</v>
      </c>
      <c r="D1510" s="134" t="s">
        <v>262</v>
      </c>
      <c r="E1510" s="7" t="s">
        <v>44</v>
      </c>
      <c r="F1510" s="139" t="s">
        <v>275</v>
      </c>
      <c r="G1510" s="43">
        <v>92</v>
      </c>
      <c r="H1510" s="43">
        <v>80.400000000000006</v>
      </c>
      <c r="I1510" s="33">
        <f>表1_4[[#This Row],[主队2]]-表1_4[[#This Row],[客队2]]</f>
        <v>11.6</v>
      </c>
      <c r="J151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510" s="35" t="s">
        <v>125</v>
      </c>
      <c r="L151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10" s="9" t="s">
        <v>2160</v>
      </c>
      <c r="N1510" s="10" t="s">
        <v>119</v>
      </c>
      <c r="O1510" s="10" t="s">
        <v>65</v>
      </c>
      <c r="T1510" s="3"/>
      <c r="U1510" s="83"/>
      <c r="V1510" s="55" t="s">
        <v>2161</v>
      </c>
      <c r="W1510" s="56"/>
      <c r="X1510" s="69" t="s">
        <v>774</v>
      </c>
      <c r="Y1510" s="70">
        <v>98</v>
      </c>
    </row>
    <row r="1511" spans="1:25">
      <c r="A1511" s="58" t="s">
        <v>908</v>
      </c>
      <c r="B1511" s="146">
        <v>45177.114583333299</v>
      </c>
      <c r="C1511" s="140">
        <v>5</v>
      </c>
      <c r="D1511" s="134" t="s">
        <v>284</v>
      </c>
      <c r="E1511" s="7" t="s">
        <v>36</v>
      </c>
      <c r="F1511" s="139" t="s">
        <v>205</v>
      </c>
      <c r="G1511" s="43">
        <v>85.7</v>
      </c>
      <c r="H1511" s="43">
        <v>72.099999999999994</v>
      </c>
      <c r="I1511" s="33">
        <f>表1_4[[#This Row],[主队2]]-表1_4[[#This Row],[客队2]]</f>
        <v>13.6</v>
      </c>
      <c r="J151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511" s="35" t="s">
        <v>118</v>
      </c>
      <c r="L151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11" s="9" t="s">
        <v>161</v>
      </c>
      <c r="N1511" s="10" t="s">
        <v>112</v>
      </c>
      <c r="O1511" s="10" t="s">
        <v>65</v>
      </c>
      <c r="T1511" s="3"/>
      <c r="U1511" s="25"/>
      <c r="V1511" s="80" t="s">
        <v>2162</v>
      </c>
      <c r="W1511" s="241"/>
      <c r="X1511" s="69" t="s">
        <v>772</v>
      </c>
      <c r="Y1511" s="70">
        <v>96</v>
      </c>
    </row>
    <row r="1512" spans="1:25" ht="28.9">
      <c r="A1512" s="170" t="s">
        <v>908</v>
      </c>
      <c r="B1512" s="146">
        <v>45177.114583333299</v>
      </c>
      <c r="C1512" s="138">
        <v>5</v>
      </c>
      <c r="D1512" s="134" t="s">
        <v>302</v>
      </c>
      <c r="E1512" s="7" t="s">
        <v>22</v>
      </c>
      <c r="F1512" s="139" t="s">
        <v>244</v>
      </c>
      <c r="G1512" s="43">
        <v>83.5</v>
      </c>
      <c r="H1512" s="43">
        <v>58.8</v>
      </c>
      <c r="I1512" s="33">
        <f>表1_4[[#This Row],[主队2]]-表1_4[[#This Row],[客队2]]</f>
        <v>24.7</v>
      </c>
      <c r="J1512" s="34">
        <v>2.75</v>
      </c>
      <c r="K1512" s="34">
        <v>2.25</v>
      </c>
      <c r="L151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N1512" s="10" t="s">
        <v>119</v>
      </c>
      <c r="O1512" s="10" t="s">
        <v>28</v>
      </c>
      <c r="Q1512" s="11" t="s">
        <v>2042</v>
      </c>
      <c r="R1512" t="s">
        <v>852</v>
      </c>
      <c r="T1512" s="3"/>
      <c r="U1512" s="83"/>
      <c r="V1512" s="246" t="s">
        <v>2163</v>
      </c>
      <c r="W1512" s="52"/>
      <c r="X1512" s="45"/>
    </row>
    <row r="1513" spans="1:25">
      <c r="A1513" s="170" t="s">
        <v>908</v>
      </c>
      <c r="B1513" s="146">
        <v>45177.114583333299</v>
      </c>
      <c r="C1513" s="140">
        <v>5</v>
      </c>
      <c r="D1513" s="134" t="s">
        <v>306</v>
      </c>
      <c r="E1513" s="7" t="s">
        <v>37</v>
      </c>
      <c r="F1513" s="44" t="s">
        <v>282</v>
      </c>
      <c r="G1513" s="43">
        <v>88.7</v>
      </c>
      <c r="H1513" s="43">
        <v>30.9</v>
      </c>
      <c r="I1513" s="33">
        <f>表1_4[[#This Row],[主队2]]-表1_4[[#This Row],[客队2]]</f>
        <v>57.8</v>
      </c>
      <c r="J1513" s="34">
        <v>6</v>
      </c>
      <c r="K1513" s="34">
        <v>5.25</v>
      </c>
      <c r="L151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13" s="9" t="s">
        <v>2164</v>
      </c>
      <c r="N1513" s="10" t="s">
        <v>119</v>
      </c>
      <c r="O1513" s="10" t="s">
        <v>35</v>
      </c>
      <c r="Q1513" s="11" t="s">
        <v>2042</v>
      </c>
      <c r="R1513" t="s">
        <v>852</v>
      </c>
      <c r="T1513" s="3"/>
      <c r="U1513" s="25" t="s">
        <v>2165</v>
      </c>
      <c r="V1513" s="54" t="s">
        <v>2166</v>
      </c>
      <c r="W1513" s="241"/>
      <c r="X1513" s="45"/>
    </row>
    <row r="1514" spans="1:25">
      <c r="A1514" s="58" t="s">
        <v>908</v>
      </c>
      <c r="B1514" s="146">
        <v>45177.114583333299</v>
      </c>
      <c r="C1514" s="140">
        <v>5</v>
      </c>
      <c r="D1514" s="134" t="s">
        <v>309</v>
      </c>
      <c r="E1514" s="7" t="s">
        <v>54</v>
      </c>
      <c r="F1514" s="139" t="s">
        <v>296</v>
      </c>
      <c r="G1514" s="43">
        <v>76.900000000000006</v>
      </c>
      <c r="H1514" s="43">
        <v>73.599999999999994</v>
      </c>
      <c r="I1514" s="33">
        <f>表1_4[[#This Row],[主队2]]-表1_4[[#This Row],[客队2]]</f>
        <v>3.30000000000001</v>
      </c>
      <c r="J151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514" s="35" t="s">
        <v>289</v>
      </c>
      <c r="L151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514" s="9" t="s">
        <v>161</v>
      </c>
      <c r="N1514" s="10" t="s">
        <v>119</v>
      </c>
      <c r="O1514" s="10" t="s">
        <v>28</v>
      </c>
      <c r="T1514" s="3"/>
      <c r="U1514" s="25"/>
      <c r="V1514" s="25" t="s">
        <v>2167</v>
      </c>
      <c r="W1514" s="241"/>
      <c r="X1514" s="238" t="s">
        <v>187</v>
      </c>
      <c r="Y1514" s="250">
        <v>90</v>
      </c>
    </row>
    <row r="1515" spans="1:25">
      <c r="A1515" s="170" t="s">
        <v>908</v>
      </c>
      <c r="B1515" s="146">
        <v>45178</v>
      </c>
      <c r="C1515" s="138">
        <v>5</v>
      </c>
      <c r="D1515" s="134" t="s">
        <v>430</v>
      </c>
      <c r="E1515" s="49" t="s">
        <v>1177</v>
      </c>
      <c r="F1515" s="139" t="s">
        <v>209</v>
      </c>
      <c r="G1515" s="43">
        <v>74.599999999999994</v>
      </c>
      <c r="H1515" s="43">
        <v>95.6</v>
      </c>
      <c r="I1515" s="33">
        <f>表1_4[[#This Row],[主队2]]-表1_4[[#This Row],[客队2]]</f>
        <v>-21</v>
      </c>
      <c r="J151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515" s="34">
        <v>-1.5</v>
      </c>
      <c r="L151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15" s="11"/>
      <c r="N1515" s="10" t="s">
        <v>119</v>
      </c>
      <c r="O1515" s="10" t="s">
        <v>28</v>
      </c>
      <c r="Q1515" s="11" t="s">
        <v>2155</v>
      </c>
      <c r="R1515" t="s">
        <v>855</v>
      </c>
      <c r="S1515" t="s">
        <v>2168</v>
      </c>
      <c r="T1515" s="3" t="s">
        <v>2169</v>
      </c>
      <c r="U1515" s="246"/>
      <c r="V1515" s="231" t="s">
        <v>2170</v>
      </c>
      <c r="W1515" s="48"/>
      <c r="X1515" s="238" t="s">
        <v>830</v>
      </c>
      <c r="Y1515" s="250">
        <v>92</v>
      </c>
    </row>
    <row r="1516" spans="1:25">
      <c r="A1516" s="58" t="s">
        <v>908</v>
      </c>
      <c r="B1516" s="146">
        <v>45178.114583333299</v>
      </c>
      <c r="C1516" s="138">
        <v>5</v>
      </c>
      <c r="D1516" s="134" t="s">
        <v>407</v>
      </c>
      <c r="E1516" s="7" t="s">
        <v>64</v>
      </c>
      <c r="F1516" s="139" t="s">
        <v>123</v>
      </c>
      <c r="G1516" s="43">
        <v>62.5</v>
      </c>
      <c r="H1516" s="43">
        <v>82</v>
      </c>
      <c r="I1516" s="33">
        <f>表1_4[[#This Row],[主队2]]-表1_4[[#This Row],[客队2]]</f>
        <v>-19.5</v>
      </c>
      <c r="J151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516" s="34">
        <v>-1.5</v>
      </c>
      <c r="L151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16" s="11"/>
      <c r="N1516" s="10" t="s">
        <v>119</v>
      </c>
      <c r="O1516" s="10" t="s">
        <v>32</v>
      </c>
      <c r="R1516" t="s">
        <v>855</v>
      </c>
      <c r="S1516" t="s">
        <v>2171</v>
      </c>
      <c r="T1516" s="3" t="s">
        <v>1066</v>
      </c>
      <c r="U1516" s="246"/>
      <c r="V1516" s="231" t="s">
        <v>2172</v>
      </c>
      <c r="W1516" s="48"/>
      <c r="X1516" s="45"/>
    </row>
    <row r="1517" spans="1:25">
      <c r="A1517" s="58" t="s">
        <v>908</v>
      </c>
      <c r="B1517" s="146">
        <v>45178.114583333299</v>
      </c>
      <c r="C1517" s="138">
        <v>5</v>
      </c>
      <c r="D1517" s="134" t="s">
        <v>110</v>
      </c>
      <c r="E1517" s="7" t="s">
        <v>57</v>
      </c>
      <c r="F1517" s="139" t="s">
        <v>251</v>
      </c>
      <c r="G1517" s="43">
        <v>91.2</v>
      </c>
      <c r="H1517" s="43">
        <v>64.5</v>
      </c>
      <c r="I1517" s="33">
        <f>表1_4[[#This Row],[主队2]]-表1_4[[#This Row],[客队2]]</f>
        <v>26.7</v>
      </c>
      <c r="J1517" s="34">
        <v>3</v>
      </c>
      <c r="K1517" s="34">
        <v>2.5</v>
      </c>
      <c r="L151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N1517" s="10" t="s">
        <v>119</v>
      </c>
      <c r="O1517" s="10" t="s">
        <v>46</v>
      </c>
      <c r="S1517" t="s">
        <v>2173</v>
      </c>
      <c r="T1517" s="3"/>
      <c r="U1517" s="246"/>
      <c r="V1517" s="231" t="s">
        <v>2174</v>
      </c>
      <c r="W1517" s="44"/>
      <c r="X1517" s="45" t="s">
        <v>850</v>
      </c>
    </row>
    <row r="1518" spans="1:25">
      <c r="A1518" s="58" t="s">
        <v>908</v>
      </c>
      <c r="B1518" s="146">
        <v>45178.114583333299</v>
      </c>
      <c r="C1518" s="140">
        <v>5</v>
      </c>
      <c r="D1518" s="134" t="s">
        <v>190</v>
      </c>
      <c r="E1518" s="7" t="s">
        <v>36</v>
      </c>
      <c r="F1518" s="139" t="s">
        <v>287</v>
      </c>
      <c r="G1518" s="43">
        <v>80</v>
      </c>
      <c r="H1518" s="43">
        <v>68.099999999999994</v>
      </c>
      <c r="I1518" s="33">
        <f>表1_4[[#This Row],[主队2]]-表1_4[[#This Row],[客队2]]</f>
        <v>11.9</v>
      </c>
      <c r="J151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518" s="34">
        <v>1.75</v>
      </c>
      <c r="L151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518" s="9" t="s">
        <v>2175</v>
      </c>
      <c r="N1518" s="46" t="s">
        <v>404</v>
      </c>
      <c r="O1518" s="10" t="s">
        <v>27</v>
      </c>
      <c r="S1518" t="s">
        <v>2171</v>
      </c>
      <c r="T1518" s="3"/>
      <c r="U1518" s="83"/>
      <c r="V1518" s="62" t="s">
        <v>2176</v>
      </c>
      <c r="W1518" s="44"/>
      <c r="X1518" s="45"/>
    </row>
    <row r="1519" spans="1:25">
      <c r="A1519" s="58" t="s">
        <v>908</v>
      </c>
      <c r="B1519" s="146">
        <v>45178.114583333299</v>
      </c>
      <c r="C1519" s="138">
        <v>5</v>
      </c>
      <c r="D1519" s="134" t="s">
        <v>425</v>
      </c>
      <c r="E1519" s="7" t="s">
        <v>53</v>
      </c>
      <c r="F1519" s="139" t="s">
        <v>270</v>
      </c>
      <c r="G1519" s="43">
        <v>78.099999999999994</v>
      </c>
      <c r="H1519" s="43">
        <v>96</v>
      </c>
      <c r="I1519" s="33">
        <f>表1_4[[#This Row],[主队2]]-表1_4[[#This Row],[客队2]]</f>
        <v>-17.899999999999999</v>
      </c>
      <c r="J151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519" s="35" t="s">
        <v>219</v>
      </c>
      <c r="L151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N1519" s="10" t="s">
        <v>119</v>
      </c>
      <c r="O1519" s="10" t="s">
        <v>65</v>
      </c>
      <c r="P1519" s="9">
        <v>-6</v>
      </c>
      <c r="R1519" t="s">
        <v>852</v>
      </c>
      <c r="S1519" t="s">
        <v>2173</v>
      </c>
      <c r="T1519" s="3"/>
      <c r="U1519" s="83"/>
      <c r="V1519" s="55" t="s">
        <v>699</v>
      </c>
      <c r="W1519" s="56"/>
      <c r="X1519" s="69" t="s">
        <v>1817</v>
      </c>
    </row>
    <row r="1520" spans="1:25">
      <c r="A1520" s="58" t="s">
        <v>908</v>
      </c>
      <c r="B1520" s="146">
        <v>45178.114583333299</v>
      </c>
      <c r="C1520" s="140">
        <v>5</v>
      </c>
      <c r="D1520" s="134" t="s">
        <v>255</v>
      </c>
      <c r="E1520" s="7" t="s">
        <v>33</v>
      </c>
      <c r="F1520" s="139" t="s">
        <v>437</v>
      </c>
      <c r="G1520" s="43">
        <v>77.3</v>
      </c>
      <c r="H1520" s="43">
        <v>43.7</v>
      </c>
      <c r="I1520" s="33">
        <f>表1_4[[#This Row],[主队2]]-表1_4[[#This Row],[客队2]]</f>
        <v>33.6</v>
      </c>
      <c r="J1520" s="34">
        <v>3.5</v>
      </c>
      <c r="K1520" s="34">
        <v>3.5</v>
      </c>
      <c r="L152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520" s="9" t="s">
        <v>2177</v>
      </c>
      <c r="N1520" s="10" t="s">
        <v>119</v>
      </c>
      <c r="O1520" s="10" t="s">
        <v>40</v>
      </c>
      <c r="T1520" s="3"/>
      <c r="U1520" s="246" t="s">
        <v>388</v>
      </c>
      <c r="V1520" s="231" t="s">
        <v>2178</v>
      </c>
      <c r="W1520" s="44"/>
      <c r="X1520" s="45"/>
    </row>
    <row r="1521" spans="1:25">
      <c r="A1521" s="58" t="s">
        <v>908</v>
      </c>
      <c r="B1521" s="146">
        <v>45178.114583333299</v>
      </c>
      <c r="C1521" s="140">
        <v>5</v>
      </c>
      <c r="D1521" s="134" t="s">
        <v>266</v>
      </c>
      <c r="E1521" s="7" t="s">
        <v>41</v>
      </c>
      <c r="F1521" s="139" t="s">
        <v>218</v>
      </c>
      <c r="G1521" s="43">
        <v>64.7</v>
      </c>
      <c r="H1521" s="43">
        <v>73.5</v>
      </c>
      <c r="I1521" s="33">
        <f>表1_4[[#This Row],[主队2]]-表1_4[[#This Row],[客队2]]</f>
        <v>-8.8000000000000007</v>
      </c>
      <c r="J152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521" s="35" t="s">
        <v>166</v>
      </c>
      <c r="L152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21" s="9" t="s">
        <v>161</v>
      </c>
      <c r="N1521" s="10" t="s">
        <v>119</v>
      </c>
      <c r="O1521" s="10" t="s">
        <v>24</v>
      </c>
      <c r="T1521" s="3"/>
      <c r="U1521" s="246"/>
      <c r="V1521" s="246" t="s">
        <v>2179</v>
      </c>
      <c r="W1521" s="44"/>
      <c r="X1521" s="45"/>
    </row>
    <row r="1522" spans="1:25">
      <c r="A1522" s="171" t="s">
        <v>908</v>
      </c>
      <c r="B1522" s="146">
        <v>45178.875</v>
      </c>
      <c r="C1522" s="138">
        <v>5</v>
      </c>
      <c r="D1522" s="134" t="s">
        <v>278</v>
      </c>
      <c r="E1522" s="7" t="s">
        <v>53</v>
      </c>
      <c r="F1522" s="139" t="s">
        <v>274</v>
      </c>
      <c r="G1522" s="43">
        <v>63.6</v>
      </c>
      <c r="H1522" s="43">
        <v>94.9</v>
      </c>
      <c r="I1522" s="33">
        <f>表1_4[[#This Row],[主队2]]-表1_4[[#This Row],[客队2]]</f>
        <v>-31.3</v>
      </c>
      <c r="J1522" s="34">
        <v>-3</v>
      </c>
      <c r="K1522" s="34">
        <v>-1.75</v>
      </c>
      <c r="L152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22" s="63" t="s">
        <v>2180</v>
      </c>
      <c r="N1522" s="10" t="s">
        <v>119</v>
      </c>
      <c r="O1522" s="10" t="s">
        <v>46</v>
      </c>
      <c r="P1522" s="9">
        <v>2</v>
      </c>
      <c r="Q1522" s="11" t="s">
        <v>2155</v>
      </c>
      <c r="R1522" t="s">
        <v>855</v>
      </c>
      <c r="S1522" t="s">
        <v>2173</v>
      </c>
      <c r="T1522" s="3"/>
      <c r="U1522" s="25"/>
      <c r="V1522" s="150" t="s">
        <v>2181</v>
      </c>
      <c r="W1522" s="48"/>
      <c r="X1522" s="77" t="s">
        <v>502</v>
      </c>
      <c r="Y1522" s="61">
        <v>78</v>
      </c>
    </row>
    <row r="1523" spans="1:25">
      <c r="A1523" s="170" t="s">
        <v>908</v>
      </c>
      <c r="B1523" s="146">
        <v>45179</v>
      </c>
      <c r="C1523" s="138">
        <v>5</v>
      </c>
      <c r="D1523" s="70" t="s">
        <v>403</v>
      </c>
      <c r="E1523" s="7" t="s">
        <v>978</v>
      </c>
      <c r="F1523" s="139" t="s">
        <v>239</v>
      </c>
      <c r="G1523" s="43">
        <v>67</v>
      </c>
      <c r="H1523" s="43">
        <v>84.9</v>
      </c>
      <c r="I1523" s="33">
        <f>表1_4[[#This Row],[主队2]]-表1_4[[#This Row],[客队2]]</f>
        <v>-17.899999999999999</v>
      </c>
      <c r="J152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523" s="35" t="s">
        <v>219</v>
      </c>
      <c r="L152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N1523" s="10" t="s">
        <v>119</v>
      </c>
      <c r="O1523" s="10" t="s">
        <v>46</v>
      </c>
      <c r="P1523" s="9">
        <v>13</v>
      </c>
      <c r="Q1523" s="11" t="s">
        <v>2155</v>
      </c>
      <c r="R1523" t="s">
        <v>852</v>
      </c>
      <c r="S1523" t="s">
        <v>2171</v>
      </c>
      <c r="T1523" s="3"/>
      <c r="U1523" s="25"/>
      <c r="V1523" s="80" t="s">
        <v>2182</v>
      </c>
      <c r="W1523" s="48"/>
      <c r="X1523" s="238" t="s">
        <v>395</v>
      </c>
      <c r="Y1523" s="61">
        <v>74</v>
      </c>
    </row>
    <row r="1524" spans="1:25">
      <c r="A1524" s="58" t="s">
        <v>908</v>
      </c>
      <c r="B1524" s="146">
        <v>45179</v>
      </c>
      <c r="C1524" s="138">
        <v>5</v>
      </c>
      <c r="D1524" s="134" t="s">
        <v>214</v>
      </c>
      <c r="E1524" s="7" t="s">
        <v>36</v>
      </c>
      <c r="F1524" s="139" t="s">
        <v>117</v>
      </c>
      <c r="G1524" s="43">
        <v>82.6</v>
      </c>
      <c r="H1524" s="43">
        <v>97.6</v>
      </c>
      <c r="I1524" s="33">
        <f>表1_4[[#This Row],[主队2]]-表1_4[[#This Row],[客队2]]</f>
        <v>-15</v>
      </c>
      <c r="J1524" s="34">
        <v>-1.5</v>
      </c>
      <c r="K1524" s="35" t="s">
        <v>245</v>
      </c>
      <c r="L152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524" s="11"/>
      <c r="N1524" s="10" t="s">
        <v>112</v>
      </c>
      <c r="O1524" s="10" t="s">
        <v>35</v>
      </c>
      <c r="P1524" s="9">
        <v>7</v>
      </c>
      <c r="Q1524" s="11" t="s">
        <v>2155</v>
      </c>
      <c r="R1524" t="s">
        <v>852</v>
      </c>
      <c r="S1524" t="s">
        <v>2171</v>
      </c>
      <c r="T1524" s="3"/>
      <c r="U1524" s="25" t="s">
        <v>776</v>
      </c>
      <c r="V1524" s="80" t="s">
        <v>2183</v>
      </c>
      <c r="W1524" s="241"/>
      <c r="X1524" s="238" t="s">
        <v>427</v>
      </c>
      <c r="Y1524" s="70">
        <v>104</v>
      </c>
    </row>
    <row r="1525" spans="1:25">
      <c r="A1525" s="171" t="s">
        <v>908</v>
      </c>
      <c r="B1525" s="146">
        <v>45179.114583333299</v>
      </c>
      <c r="C1525" s="138">
        <v>5</v>
      </c>
      <c r="D1525" s="139" t="s">
        <v>440</v>
      </c>
      <c r="E1525" s="7" t="s">
        <v>36</v>
      </c>
      <c r="F1525" s="260" t="s">
        <v>204</v>
      </c>
      <c r="G1525" s="43">
        <v>71.2</v>
      </c>
      <c r="H1525" s="43">
        <v>93.5</v>
      </c>
      <c r="I1525" s="33">
        <f>表1_4[[#This Row],[主队2]]-表1_4[[#This Row],[客队2]]</f>
        <v>-22.3</v>
      </c>
      <c r="J1525" s="34">
        <v>-2</v>
      </c>
      <c r="K1525" s="34">
        <v>-1.25</v>
      </c>
      <c r="L152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25" s="63" t="s">
        <v>2184</v>
      </c>
      <c r="N1525" s="10" t="s">
        <v>112</v>
      </c>
      <c r="O1525" s="10" t="s">
        <v>24</v>
      </c>
      <c r="P1525" s="9">
        <v>10</v>
      </c>
      <c r="Q1525" s="11" t="s">
        <v>2155</v>
      </c>
      <c r="R1525" t="s">
        <v>855</v>
      </c>
      <c r="S1525" t="s">
        <v>2185</v>
      </c>
      <c r="T1525" s="3" t="s">
        <v>2186</v>
      </c>
      <c r="U1525" s="246"/>
      <c r="V1525" s="80" t="s">
        <v>2187</v>
      </c>
      <c r="W1525" s="56"/>
      <c r="X1525" s="69" t="s">
        <v>783</v>
      </c>
      <c r="Y1525" s="250">
        <v>92</v>
      </c>
    </row>
    <row r="1526" spans="1:25">
      <c r="A1526" s="170" t="s">
        <v>908</v>
      </c>
      <c r="B1526" s="146">
        <v>45179</v>
      </c>
      <c r="C1526" s="141">
        <v>5</v>
      </c>
      <c r="D1526" s="134" t="s">
        <v>243</v>
      </c>
      <c r="E1526" s="7" t="s">
        <v>42</v>
      </c>
      <c r="F1526" s="139" t="s">
        <v>240</v>
      </c>
      <c r="G1526" s="43">
        <v>50.1</v>
      </c>
      <c r="H1526" s="43">
        <v>68.7</v>
      </c>
      <c r="I1526" s="33">
        <f>表1_4[[#This Row],[主队2]]-表1_4[[#This Row],[客队2]]</f>
        <v>-18.600000000000001</v>
      </c>
      <c r="J152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526" s="35" t="s">
        <v>132</v>
      </c>
      <c r="L152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26" s="165" t="s">
        <v>2188</v>
      </c>
      <c r="N1526" s="10" t="s">
        <v>119</v>
      </c>
      <c r="O1526" s="10" t="s">
        <v>28</v>
      </c>
      <c r="Q1526" s="11" t="s">
        <v>2155</v>
      </c>
      <c r="R1526" t="s">
        <v>852</v>
      </c>
      <c r="S1526" t="s">
        <v>2168</v>
      </c>
      <c r="T1526" s="3" t="s">
        <v>2169</v>
      </c>
      <c r="U1526" s="25"/>
      <c r="V1526" s="246" t="s">
        <v>2189</v>
      </c>
      <c r="W1526" s="241"/>
      <c r="X1526" s="238" t="s">
        <v>395</v>
      </c>
      <c r="Y1526" s="250">
        <v>86</v>
      </c>
    </row>
    <row r="1527" spans="1:25">
      <c r="A1527" s="58" t="s">
        <v>908</v>
      </c>
      <c r="B1527" s="146">
        <v>45179.114583333299</v>
      </c>
      <c r="C1527" s="141">
        <v>5</v>
      </c>
      <c r="D1527" s="134" t="s">
        <v>305</v>
      </c>
      <c r="E1527" s="7" t="s">
        <v>36</v>
      </c>
      <c r="F1527" s="139" t="s">
        <v>210</v>
      </c>
      <c r="G1527" s="43">
        <v>79.3</v>
      </c>
      <c r="H1527" s="43">
        <v>73.400000000000006</v>
      </c>
      <c r="I1527" s="33">
        <f>表1_4[[#This Row],[主队2]]-表1_4[[#This Row],[客队2]]</f>
        <v>5.8999999999999897</v>
      </c>
      <c r="J152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527" s="35" t="s">
        <v>289</v>
      </c>
      <c r="L152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27" s="63" t="s">
        <v>2190</v>
      </c>
      <c r="N1527" s="10" t="s">
        <v>119</v>
      </c>
      <c r="O1527" s="10" t="s">
        <v>35</v>
      </c>
      <c r="P1527" s="9">
        <v>9</v>
      </c>
      <c r="Q1527" s="11" t="s">
        <v>2155</v>
      </c>
      <c r="R1527" t="s">
        <v>852</v>
      </c>
      <c r="S1527" t="s">
        <v>2168</v>
      </c>
      <c r="T1527" s="3" t="s">
        <v>1066</v>
      </c>
      <c r="U1527" s="83" t="s">
        <v>931</v>
      </c>
      <c r="V1527" s="55" t="s">
        <v>902</v>
      </c>
      <c r="W1527" s="56"/>
      <c r="X1527" s="69" t="s">
        <v>730</v>
      </c>
      <c r="Y1527" s="70">
        <v>102</v>
      </c>
    </row>
    <row r="1528" spans="1:25">
      <c r="A1528" s="171" t="s">
        <v>908</v>
      </c>
      <c r="B1528" s="146">
        <v>45179.114583333299</v>
      </c>
      <c r="C1528" s="145">
        <v>5</v>
      </c>
      <c r="D1528" s="134" t="s">
        <v>217</v>
      </c>
      <c r="E1528" s="7" t="s">
        <v>25</v>
      </c>
      <c r="F1528" s="139" t="s">
        <v>250</v>
      </c>
      <c r="G1528" s="43">
        <v>70.099999999999994</v>
      </c>
      <c r="H1528" s="43">
        <v>88.7</v>
      </c>
      <c r="I1528" s="33">
        <f>表1_4[[#This Row],[主队2]]-表1_4[[#This Row],[客队2]]</f>
        <v>-18.600000000000001</v>
      </c>
      <c r="J152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528" s="35" t="s">
        <v>111</v>
      </c>
      <c r="L152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28" s="63" t="s">
        <v>2191</v>
      </c>
      <c r="N1528" s="10" t="s">
        <v>119</v>
      </c>
      <c r="O1528" s="10" t="s">
        <v>46</v>
      </c>
      <c r="P1528" s="9">
        <v>25</v>
      </c>
      <c r="Q1528" s="11" t="s">
        <v>2192</v>
      </c>
      <c r="R1528" t="s">
        <v>855</v>
      </c>
      <c r="S1528" t="s">
        <v>2185</v>
      </c>
      <c r="T1528" s="3" t="s">
        <v>1066</v>
      </c>
      <c r="U1528" s="246" t="s">
        <v>1376</v>
      </c>
      <c r="V1528" s="25" t="s">
        <v>2193</v>
      </c>
      <c r="W1528" s="241"/>
      <c r="X1528" s="238" t="s">
        <v>427</v>
      </c>
      <c r="Y1528" s="61">
        <v>84</v>
      </c>
    </row>
    <row r="1529" spans="1:25">
      <c r="A1529" s="170" t="s">
        <v>156</v>
      </c>
      <c r="B1529" s="146">
        <v>45177.270833333299</v>
      </c>
      <c r="C1529" s="141">
        <v>1</v>
      </c>
      <c r="D1529" s="134" t="s">
        <v>164</v>
      </c>
      <c r="E1529" s="7" t="s">
        <v>42</v>
      </c>
      <c r="F1529" s="139" t="s">
        <v>181</v>
      </c>
      <c r="G1529" s="43">
        <v>81.900000000000006</v>
      </c>
      <c r="H1529" s="43">
        <v>85.5</v>
      </c>
      <c r="I1529" s="33">
        <f>表1_4[[#This Row],[主队2]]-表1_4[[#This Row],[客队2]]</f>
        <v>-3.5999999999999899</v>
      </c>
      <c r="J152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529" s="35" t="s">
        <v>289</v>
      </c>
      <c r="L152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529" s="165">
        <v>10</v>
      </c>
      <c r="N1529" s="10" t="s">
        <v>119</v>
      </c>
      <c r="O1529" s="10" t="s">
        <v>39</v>
      </c>
      <c r="Q1529" s="11" t="s">
        <v>2155</v>
      </c>
      <c r="R1529" t="s">
        <v>852</v>
      </c>
      <c r="T1529" s="3"/>
      <c r="U1529" s="246"/>
      <c r="V1529" s="231" t="s">
        <v>2194</v>
      </c>
      <c r="W1529" s="56"/>
      <c r="X1529" s="238" t="s">
        <v>395</v>
      </c>
      <c r="Y1529" s="61">
        <v>80</v>
      </c>
    </row>
    <row r="1530" spans="1:25">
      <c r="A1530" s="171" t="s">
        <v>156</v>
      </c>
      <c r="B1530" s="146">
        <v>45177.291666666701</v>
      </c>
      <c r="C1530" s="138">
        <v>1</v>
      </c>
      <c r="D1530" s="134" t="s">
        <v>158</v>
      </c>
      <c r="E1530" s="7" t="s">
        <v>31</v>
      </c>
      <c r="F1530" s="71" t="s">
        <v>180</v>
      </c>
      <c r="G1530" s="43">
        <v>92.3</v>
      </c>
      <c r="H1530" s="43">
        <v>80</v>
      </c>
      <c r="I1530" s="33">
        <f>表1_4[[#This Row],[主队2]]-表1_4[[#This Row],[客队2]]</f>
        <v>12.3</v>
      </c>
      <c r="J153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530" s="35" t="s">
        <v>125</v>
      </c>
      <c r="L153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30" s="165" t="s">
        <v>2195</v>
      </c>
      <c r="N1530" s="10" t="s">
        <v>112</v>
      </c>
      <c r="O1530" s="10" t="s">
        <v>48</v>
      </c>
      <c r="Q1530" s="11" t="s">
        <v>2155</v>
      </c>
      <c r="R1530" t="s">
        <v>855</v>
      </c>
      <c r="T1530" s="3"/>
      <c r="U1530" s="25"/>
      <c r="V1530" s="80" t="s">
        <v>2196</v>
      </c>
      <c r="W1530" s="56"/>
      <c r="X1530" s="69" t="s">
        <v>783</v>
      </c>
      <c r="Y1530" s="70">
        <v>96</v>
      </c>
    </row>
    <row r="1531" spans="1:25">
      <c r="A1531" s="170" t="s">
        <v>156</v>
      </c>
      <c r="B1531" s="146">
        <v>45177.333333333299</v>
      </c>
      <c r="C1531" s="145">
        <v>1</v>
      </c>
      <c r="D1531" s="134" t="s">
        <v>174</v>
      </c>
      <c r="E1531" s="7" t="s">
        <v>31</v>
      </c>
      <c r="F1531" s="139" t="s">
        <v>165</v>
      </c>
      <c r="G1531" s="43">
        <v>99.4</v>
      </c>
      <c r="H1531" s="43">
        <v>86.9</v>
      </c>
      <c r="I1531" s="33">
        <f>表1_4[[#This Row],[主队2]]-表1_4[[#This Row],[客队2]]</f>
        <v>12.5</v>
      </c>
      <c r="J153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531" s="35" t="s">
        <v>81</v>
      </c>
      <c r="L153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531" s="63" t="s">
        <v>2197</v>
      </c>
      <c r="N1531" s="10" t="s">
        <v>119</v>
      </c>
      <c r="O1531" s="57" t="s">
        <v>35</v>
      </c>
      <c r="R1531" t="s">
        <v>852</v>
      </c>
      <c r="T1531" s="3"/>
      <c r="U1531" s="246" t="s">
        <v>931</v>
      </c>
      <c r="V1531" s="55" t="s">
        <v>2198</v>
      </c>
      <c r="W1531" s="48"/>
      <c r="X1531" s="238" t="s">
        <v>187</v>
      </c>
      <c r="Y1531" s="160" t="s">
        <v>2199</v>
      </c>
    </row>
    <row r="1532" spans="1:25">
      <c r="A1532" s="170" t="s">
        <v>156</v>
      </c>
      <c r="B1532" s="146">
        <v>45178.291666666701</v>
      </c>
      <c r="C1532" s="138">
        <v>1</v>
      </c>
      <c r="D1532" s="134" t="s">
        <v>170</v>
      </c>
      <c r="E1532" s="7" t="s">
        <v>41</v>
      </c>
      <c r="F1532" s="139" t="s">
        <v>175</v>
      </c>
      <c r="G1532" s="43">
        <v>89.7</v>
      </c>
      <c r="H1532" s="43">
        <v>83.7</v>
      </c>
      <c r="I1532" s="33">
        <f>表1_4[[#This Row],[主队2]]-表1_4[[#This Row],[客队2]]</f>
        <v>6</v>
      </c>
      <c r="J153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532" s="35" t="s">
        <v>118</v>
      </c>
      <c r="L153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532" s="165">
        <v>3</v>
      </c>
      <c r="N1532" s="10" t="s">
        <v>119</v>
      </c>
      <c r="O1532" s="10" t="s">
        <v>39</v>
      </c>
      <c r="Q1532" s="11" t="s">
        <v>2192</v>
      </c>
      <c r="R1532" t="s">
        <v>852</v>
      </c>
      <c r="T1532" s="3"/>
      <c r="U1532" s="246"/>
      <c r="V1532" s="231" t="s">
        <v>2200</v>
      </c>
      <c r="W1532" s="52"/>
      <c r="X1532" s="45"/>
    </row>
    <row r="1533" spans="1:25">
      <c r="A1533" s="58" t="s">
        <v>156</v>
      </c>
      <c r="B1533" s="146">
        <v>45178.364583333299</v>
      </c>
      <c r="C1533" s="140">
        <v>1</v>
      </c>
      <c r="D1533" s="134" t="s">
        <v>171</v>
      </c>
      <c r="E1533" s="7" t="s">
        <v>82</v>
      </c>
      <c r="F1533" s="139" t="s">
        <v>159</v>
      </c>
      <c r="G1533" s="43">
        <v>102.1</v>
      </c>
      <c r="H1533" s="43">
        <v>73</v>
      </c>
      <c r="I1533" s="33">
        <f>表1_4[[#This Row],[主队2]]-表1_4[[#This Row],[客队2]]</f>
        <v>29.1</v>
      </c>
      <c r="J1533" s="34">
        <v>3.25</v>
      </c>
      <c r="K1533" s="34">
        <v>3.5</v>
      </c>
      <c r="L153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533" s="9" t="s">
        <v>161</v>
      </c>
      <c r="N1533" s="10" t="s">
        <v>404</v>
      </c>
      <c r="O1533" s="10" t="s">
        <v>40</v>
      </c>
      <c r="S1533" t="s">
        <v>2171</v>
      </c>
      <c r="T1533" s="3" t="s">
        <v>2186</v>
      </c>
      <c r="U1533" s="246" t="s">
        <v>2201</v>
      </c>
      <c r="V1533" s="231" t="s">
        <v>2202</v>
      </c>
      <c r="W1533" s="48"/>
      <c r="X1533" s="45"/>
    </row>
    <row r="1534" spans="1:25">
      <c r="A1534" s="171" t="s">
        <v>908</v>
      </c>
      <c r="B1534" s="146">
        <v>45179.875</v>
      </c>
      <c r="C1534" s="140">
        <v>6</v>
      </c>
      <c r="D1534" s="134" t="s">
        <v>288</v>
      </c>
      <c r="E1534" s="7" t="s">
        <v>31</v>
      </c>
      <c r="F1534" s="139" t="s">
        <v>296</v>
      </c>
      <c r="G1534" s="43">
        <v>66.599999999999994</v>
      </c>
      <c r="H1534" s="43">
        <v>73</v>
      </c>
      <c r="I1534" s="33">
        <f>表1_4[[#This Row],[主队2]]-表1_4[[#This Row],[客队2]]</f>
        <v>-6.4000000000000101</v>
      </c>
      <c r="J153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534" s="35" t="s">
        <v>166</v>
      </c>
      <c r="L153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534" s="63" t="s">
        <v>2203</v>
      </c>
      <c r="N1534" s="10" t="s">
        <v>119</v>
      </c>
      <c r="O1534" s="10" t="s">
        <v>51</v>
      </c>
      <c r="P1534" s="9">
        <v>-5</v>
      </c>
      <c r="Q1534" s="11" t="s">
        <v>2042</v>
      </c>
      <c r="R1534" t="s">
        <v>855</v>
      </c>
      <c r="S1534" t="s">
        <v>2168</v>
      </c>
      <c r="T1534" s="3"/>
      <c r="U1534" s="25"/>
      <c r="V1534" s="54" t="s">
        <v>1861</v>
      </c>
      <c r="W1534" s="51"/>
      <c r="X1534" s="77" t="s">
        <v>850</v>
      </c>
      <c r="Y1534" s="61">
        <v>78</v>
      </c>
    </row>
    <row r="1535" spans="1:25">
      <c r="A1535" s="170" t="s">
        <v>908</v>
      </c>
      <c r="B1535" s="146">
        <v>45180</v>
      </c>
      <c r="C1535" s="138">
        <v>6</v>
      </c>
      <c r="D1535" s="134" t="s">
        <v>191</v>
      </c>
      <c r="E1535" s="7" t="s">
        <v>53</v>
      </c>
      <c r="F1535" s="139" t="s">
        <v>306</v>
      </c>
      <c r="G1535" s="43">
        <v>79.099999999999994</v>
      </c>
      <c r="H1535" s="43">
        <v>88.5</v>
      </c>
      <c r="I1535" s="33">
        <f>表1_4[[#This Row],[主队2]]-表1_4[[#This Row],[客队2]]</f>
        <v>-9.4000000000000092</v>
      </c>
      <c r="J153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535" s="35" t="s">
        <v>111</v>
      </c>
      <c r="L153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535" s="165">
        <v>0</v>
      </c>
      <c r="N1535" s="10" t="s">
        <v>112</v>
      </c>
      <c r="O1535" s="10" t="s">
        <v>65</v>
      </c>
      <c r="P1535" s="9">
        <v>7</v>
      </c>
      <c r="Q1535" s="11" t="s">
        <v>2192</v>
      </c>
      <c r="R1535" t="s">
        <v>852</v>
      </c>
      <c r="S1535" t="s">
        <v>2168</v>
      </c>
      <c r="T1535" s="3" t="s">
        <v>784</v>
      </c>
      <c r="U1535" s="25"/>
      <c r="V1535" s="54" t="s">
        <v>2204</v>
      </c>
      <c r="W1535" s="51"/>
      <c r="X1535" s="77" t="s">
        <v>921</v>
      </c>
      <c r="Y1535" s="160" t="s">
        <v>2205</v>
      </c>
    </row>
    <row r="1536" spans="1:25">
      <c r="A1536" s="170" t="s">
        <v>908</v>
      </c>
      <c r="B1536" s="146">
        <v>45180</v>
      </c>
      <c r="C1536" s="138">
        <v>6</v>
      </c>
      <c r="D1536" s="134" t="s">
        <v>301</v>
      </c>
      <c r="E1536" s="7" t="s">
        <v>33</v>
      </c>
      <c r="F1536" s="139" t="s">
        <v>261</v>
      </c>
      <c r="G1536" s="43">
        <v>71.7</v>
      </c>
      <c r="H1536" s="43">
        <v>72.099999999999994</v>
      </c>
      <c r="I1536" s="33">
        <f>表1_4[[#This Row],[主队2]]-表1_4[[#This Row],[客队2]]</f>
        <v>-0.39999999999999097</v>
      </c>
      <c r="J153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536" s="35" t="s">
        <v>118</v>
      </c>
      <c r="L153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N1536" s="10" t="s">
        <v>119</v>
      </c>
      <c r="O1536" s="10" t="s">
        <v>28</v>
      </c>
      <c r="P1536" s="9">
        <v>-0.1</v>
      </c>
      <c r="Q1536" s="11" t="s">
        <v>2042</v>
      </c>
      <c r="R1536" t="s">
        <v>852</v>
      </c>
      <c r="S1536" t="s">
        <v>2185</v>
      </c>
      <c r="T1536" s="3"/>
      <c r="U1536" s="83"/>
      <c r="V1536" s="55" t="s">
        <v>699</v>
      </c>
      <c r="W1536" s="56"/>
      <c r="X1536" s="69" t="s">
        <v>772</v>
      </c>
      <c r="Y1536" s="250">
        <v>90</v>
      </c>
    </row>
    <row r="1537" spans="1:25">
      <c r="A1537" s="171" t="s">
        <v>908</v>
      </c>
      <c r="B1537" s="127">
        <v>45180</v>
      </c>
      <c r="C1537" s="138">
        <v>6</v>
      </c>
      <c r="D1537" s="134" t="s">
        <v>244</v>
      </c>
      <c r="E1537" s="7" t="s">
        <v>53</v>
      </c>
      <c r="F1537" s="139" t="s">
        <v>195</v>
      </c>
      <c r="G1537" s="43">
        <v>59</v>
      </c>
      <c r="H1537" s="43">
        <v>59.3</v>
      </c>
      <c r="I1537" s="33">
        <f>表1_4[[#This Row],[主队2]]-表1_4[[#This Row],[客队2]]</f>
        <v>-0.29999999999999699</v>
      </c>
      <c r="J153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537" s="35" t="s">
        <v>182</v>
      </c>
      <c r="L153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537" s="63" t="s">
        <v>2029</v>
      </c>
      <c r="N1537" s="10" t="s">
        <v>119</v>
      </c>
      <c r="O1537" s="57" t="s">
        <v>35</v>
      </c>
      <c r="Q1537" s="11" t="s">
        <v>2155</v>
      </c>
      <c r="R1537" t="s">
        <v>855</v>
      </c>
      <c r="T1537" s="3"/>
      <c r="U1537" s="83" t="s">
        <v>2206</v>
      </c>
      <c r="V1537" s="55" t="s">
        <v>2207</v>
      </c>
      <c r="W1537" s="56"/>
      <c r="X1537" s="69" t="s">
        <v>2208</v>
      </c>
      <c r="Y1537" s="70">
        <v>103</v>
      </c>
    </row>
    <row r="1538" spans="1:25">
      <c r="A1538" s="58" t="s">
        <v>908</v>
      </c>
      <c r="B1538" s="146">
        <v>45180.114583333299</v>
      </c>
      <c r="C1538" s="140">
        <v>6</v>
      </c>
      <c r="D1538" s="134" t="s">
        <v>205</v>
      </c>
      <c r="E1538" s="7" t="s">
        <v>22</v>
      </c>
      <c r="F1538" s="139" t="s">
        <v>302</v>
      </c>
      <c r="G1538" s="43">
        <v>72.7</v>
      </c>
      <c r="H1538" s="43">
        <v>83.2</v>
      </c>
      <c r="I1538" s="33">
        <f>表1_4[[#This Row],[主队2]]-表1_4[[#This Row],[客队2]]</f>
        <v>-10.5</v>
      </c>
      <c r="J153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538" s="35" t="s">
        <v>152</v>
      </c>
      <c r="L153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538" s="9">
        <v>0</v>
      </c>
      <c r="N1538" s="10" t="s">
        <v>119</v>
      </c>
      <c r="O1538" s="10" t="s">
        <v>48</v>
      </c>
      <c r="P1538" s="9">
        <v>22</v>
      </c>
      <c r="T1538" s="3"/>
      <c r="U1538" s="246"/>
      <c r="V1538" s="246" t="s">
        <v>2209</v>
      </c>
      <c r="W1538" s="56"/>
      <c r="X1538" s="69" t="s">
        <v>772</v>
      </c>
      <c r="Y1538" s="70">
        <v>96</v>
      </c>
    </row>
    <row r="1539" spans="1:25">
      <c r="A1539" s="58" t="s">
        <v>908</v>
      </c>
      <c r="B1539" s="146">
        <v>45180.114583333299</v>
      </c>
      <c r="C1539" s="26">
        <v>6</v>
      </c>
      <c r="D1539" s="134" t="s">
        <v>199</v>
      </c>
      <c r="E1539" s="7" t="s">
        <v>60</v>
      </c>
      <c r="F1539" s="139" t="s">
        <v>262</v>
      </c>
      <c r="G1539" s="43">
        <v>79.099999999999994</v>
      </c>
      <c r="H1539" s="43">
        <v>92.8</v>
      </c>
      <c r="I1539" s="33">
        <f>表1_4[[#This Row],[主队2]]-表1_4[[#This Row],[客队2]]</f>
        <v>-13.7</v>
      </c>
      <c r="J153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539" s="35" t="s">
        <v>245</v>
      </c>
      <c r="L153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N1539" s="10" t="s">
        <v>133</v>
      </c>
      <c r="O1539" s="10" t="s">
        <v>51</v>
      </c>
      <c r="S1539" t="s">
        <v>2185</v>
      </c>
      <c r="T1539" s="3"/>
      <c r="U1539" s="83"/>
      <c r="V1539" s="55" t="s">
        <v>2210</v>
      </c>
      <c r="W1539" s="48"/>
      <c r="X1539" s="238" t="s">
        <v>187</v>
      </c>
      <c r="Y1539" s="61">
        <v>80</v>
      </c>
    </row>
    <row r="1540" spans="1:25">
      <c r="A1540" s="58" t="s">
        <v>908</v>
      </c>
      <c r="B1540" s="146">
        <v>45180.114583333299</v>
      </c>
      <c r="C1540" s="140">
        <v>6</v>
      </c>
      <c r="D1540" s="134" t="s">
        <v>275</v>
      </c>
      <c r="E1540" s="7" t="s">
        <v>57</v>
      </c>
      <c r="F1540" s="139" t="s">
        <v>256</v>
      </c>
      <c r="G1540" s="43">
        <v>79.7</v>
      </c>
      <c r="H1540" s="43">
        <v>41.5</v>
      </c>
      <c r="I1540" s="33">
        <f>表1_4[[#This Row],[主队2]]-表1_4[[#This Row],[客队2]]</f>
        <v>38.200000000000003</v>
      </c>
      <c r="J1540" s="34">
        <v>4</v>
      </c>
      <c r="K1540" s="34">
        <v>3.5</v>
      </c>
      <c r="L154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540" s="9" t="s">
        <v>2211</v>
      </c>
      <c r="N1540" s="10" t="s">
        <v>119</v>
      </c>
      <c r="O1540" s="10" t="s">
        <v>39</v>
      </c>
      <c r="T1540" s="3"/>
      <c r="U1540" s="246"/>
      <c r="V1540" s="54" t="s">
        <v>2212</v>
      </c>
      <c r="W1540" s="51"/>
      <c r="X1540" s="77" t="s">
        <v>433</v>
      </c>
      <c r="Y1540" s="61">
        <v>80</v>
      </c>
    </row>
    <row r="1541" spans="1:25">
      <c r="A1541" s="58" t="s">
        <v>908</v>
      </c>
      <c r="B1541" s="146">
        <v>45180.114583333299</v>
      </c>
      <c r="C1541" s="138">
        <v>6</v>
      </c>
      <c r="D1541" s="134" t="s">
        <v>292</v>
      </c>
      <c r="E1541" s="7" t="s">
        <v>74</v>
      </c>
      <c r="F1541" s="139" t="s">
        <v>434</v>
      </c>
      <c r="G1541" s="43">
        <v>61.6</v>
      </c>
      <c r="H1541" s="43">
        <v>84.7</v>
      </c>
      <c r="I1541" s="33">
        <f>表1_4[[#This Row],[主队2]]-表1_4[[#This Row],[客队2]]</f>
        <v>-23.1</v>
      </c>
      <c r="J1541" s="34">
        <v>-2</v>
      </c>
      <c r="K1541" s="34">
        <v>-1.5</v>
      </c>
      <c r="L154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N1541" s="10" t="s">
        <v>112</v>
      </c>
      <c r="O1541" s="10" t="s">
        <v>24</v>
      </c>
      <c r="S1541" t="s">
        <v>2168</v>
      </c>
      <c r="T1541" s="3"/>
      <c r="U1541" s="25"/>
      <c r="V1541" s="54" t="s">
        <v>2213</v>
      </c>
      <c r="W1541" s="51"/>
      <c r="X1541" s="77" t="s">
        <v>1855</v>
      </c>
      <c r="Y1541" s="160" t="s">
        <v>2214</v>
      </c>
    </row>
    <row r="1542" spans="1:25">
      <c r="A1542" s="58" t="s">
        <v>908</v>
      </c>
      <c r="B1542" s="146">
        <v>45180.114583333299</v>
      </c>
      <c r="C1542" s="140">
        <v>6</v>
      </c>
      <c r="D1542" s="134" t="s">
        <v>282</v>
      </c>
      <c r="E1542" s="7" t="s">
        <v>61</v>
      </c>
      <c r="F1542" s="139" t="s">
        <v>309</v>
      </c>
      <c r="G1542" s="43">
        <v>31.1</v>
      </c>
      <c r="H1542" s="43">
        <v>77.5</v>
      </c>
      <c r="I1542" s="33">
        <f>表1_4[[#This Row],[主队2]]-表1_4[[#This Row],[客队2]]</f>
        <v>-46.4</v>
      </c>
      <c r="J1542" s="34">
        <v>-4.5</v>
      </c>
      <c r="K1542" s="34">
        <v>-3</v>
      </c>
      <c r="L154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42" s="9" t="s">
        <v>2215</v>
      </c>
      <c r="N1542" s="10" t="s">
        <v>119</v>
      </c>
      <c r="O1542" s="10" t="s">
        <v>40</v>
      </c>
      <c r="S1542" t="s">
        <v>2171</v>
      </c>
      <c r="T1542" s="3"/>
      <c r="U1542" s="25" t="s">
        <v>688</v>
      </c>
      <c r="V1542" s="54" t="s">
        <v>2216</v>
      </c>
      <c r="W1542" s="52"/>
      <c r="X1542" s="77" t="s">
        <v>2217</v>
      </c>
      <c r="Y1542" s="61">
        <v>74</v>
      </c>
    </row>
    <row r="1543" spans="1:25">
      <c r="A1543" s="170" t="s">
        <v>908</v>
      </c>
      <c r="B1543" s="146">
        <v>45181</v>
      </c>
      <c r="C1543" s="138">
        <v>6</v>
      </c>
      <c r="D1543" s="134" t="s">
        <v>287</v>
      </c>
      <c r="E1543" s="7" t="s">
        <v>53</v>
      </c>
      <c r="F1543" s="139" t="s">
        <v>110</v>
      </c>
      <c r="G1543" s="43">
        <v>68.7</v>
      </c>
      <c r="H1543" s="43">
        <v>91.8</v>
      </c>
      <c r="I1543" s="33">
        <f>表1_4[[#This Row],[主队2]]-表1_4[[#This Row],[客队2]]</f>
        <v>-23.1</v>
      </c>
      <c r="J1543" s="34">
        <v>-2</v>
      </c>
      <c r="K1543" s="34">
        <v>-1.25</v>
      </c>
      <c r="L154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43" s="11"/>
      <c r="N1543" s="10" t="s">
        <v>119</v>
      </c>
      <c r="O1543" s="10" t="s">
        <v>40</v>
      </c>
      <c r="P1543" s="9">
        <v>3</v>
      </c>
      <c r="Q1543" s="11" t="s">
        <v>2192</v>
      </c>
      <c r="R1543" t="s">
        <v>855</v>
      </c>
      <c r="S1543" t="s">
        <v>2173</v>
      </c>
      <c r="T1543" s="3"/>
      <c r="U1543" s="25" t="s">
        <v>1011</v>
      </c>
      <c r="V1543" s="54" t="s">
        <v>2218</v>
      </c>
      <c r="W1543" s="241"/>
      <c r="X1543" s="77" t="s">
        <v>850</v>
      </c>
      <c r="Y1543" s="61">
        <v>80</v>
      </c>
    </row>
    <row r="1544" spans="1:25">
      <c r="A1544" s="170" t="s">
        <v>908</v>
      </c>
      <c r="B1544" s="146">
        <v>45181.114583333299</v>
      </c>
      <c r="C1544" s="138">
        <v>6</v>
      </c>
      <c r="D1544" s="134" t="s">
        <v>251</v>
      </c>
      <c r="E1544" s="7" t="s">
        <v>47</v>
      </c>
      <c r="F1544" s="139" t="s">
        <v>200</v>
      </c>
      <c r="G1544" s="43">
        <v>63.9</v>
      </c>
      <c r="H1544" s="43">
        <v>79.8</v>
      </c>
      <c r="I1544" s="33">
        <f>表1_4[[#This Row],[主队2]]-表1_4[[#This Row],[客队2]]</f>
        <v>-15.9</v>
      </c>
      <c r="J154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544" s="35" t="s">
        <v>245</v>
      </c>
      <c r="L154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44" s="172" t="s">
        <v>2219</v>
      </c>
      <c r="N1544" s="10" t="s">
        <v>119</v>
      </c>
      <c r="O1544" s="10" t="s">
        <v>46</v>
      </c>
      <c r="Q1544" s="11" t="s">
        <v>2155</v>
      </c>
      <c r="R1544" t="s">
        <v>852</v>
      </c>
      <c r="S1544" t="s">
        <v>2185</v>
      </c>
      <c r="T1544" s="3" t="s">
        <v>784</v>
      </c>
      <c r="U1544" s="25"/>
      <c r="V1544" s="54" t="s">
        <v>1707</v>
      </c>
      <c r="W1544" s="51"/>
      <c r="X1544" s="77" t="s">
        <v>921</v>
      </c>
      <c r="Y1544" s="61">
        <v>82</v>
      </c>
    </row>
    <row r="1545" spans="1:25">
      <c r="A1545" s="58" t="s">
        <v>908</v>
      </c>
      <c r="B1545" s="146">
        <v>45181.114583333299</v>
      </c>
      <c r="C1545" s="140">
        <v>6</v>
      </c>
      <c r="D1545" s="134" t="s">
        <v>218</v>
      </c>
      <c r="E1545" s="7" t="s">
        <v>31</v>
      </c>
      <c r="F1545" s="139" t="s">
        <v>255</v>
      </c>
      <c r="G1545" s="43">
        <v>72.8</v>
      </c>
      <c r="H1545" s="43">
        <v>76.900000000000006</v>
      </c>
      <c r="I1545" s="33">
        <f>表1_4[[#This Row],[主队2]]-表1_4[[#This Row],[客队2]]</f>
        <v>-4.1000000000000103</v>
      </c>
      <c r="J154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545" s="35" t="s">
        <v>166</v>
      </c>
      <c r="L154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N1545" s="10" t="s">
        <v>119</v>
      </c>
      <c r="O1545" s="10" t="s">
        <v>39</v>
      </c>
      <c r="P1545" s="9">
        <v>21</v>
      </c>
      <c r="T1545" s="3"/>
      <c r="U1545" s="25"/>
      <c r="V1545" s="80" t="s">
        <v>2220</v>
      </c>
      <c r="W1545" s="48"/>
      <c r="X1545" s="45"/>
    </row>
    <row r="1546" spans="1:25">
      <c r="A1546" s="58" t="s">
        <v>908</v>
      </c>
      <c r="B1546" s="146">
        <v>45181.114583333299</v>
      </c>
      <c r="C1546" s="140">
        <v>6</v>
      </c>
      <c r="D1546" s="134" t="s">
        <v>425</v>
      </c>
      <c r="E1546" s="7" t="s">
        <v>44</v>
      </c>
      <c r="F1546" s="139" t="s">
        <v>437</v>
      </c>
      <c r="G1546" s="43">
        <v>78.2</v>
      </c>
      <c r="H1546" s="43">
        <v>44</v>
      </c>
      <c r="I1546" s="33">
        <f>表1_4[[#This Row],[主队2]]-表1_4[[#This Row],[客队2]]</f>
        <v>34.200000000000003</v>
      </c>
      <c r="J1546" s="34">
        <v>3.75</v>
      </c>
      <c r="K1546" s="34">
        <v>3.25</v>
      </c>
      <c r="L154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546" s="9" t="s">
        <v>2164</v>
      </c>
      <c r="N1546" s="10" t="s">
        <v>119</v>
      </c>
      <c r="O1546" s="10" t="s">
        <v>40</v>
      </c>
      <c r="Q1546" s="11" t="s">
        <v>2042</v>
      </c>
      <c r="T1546" s="3"/>
      <c r="U1546" s="246" t="s">
        <v>1076</v>
      </c>
      <c r="V1546" s="231" t="s">
        <v>645</v>
      </c>
      <c r="W1546" s="44"/>
      <c r="X1546" s="45" t="s">
        <v>1960</v>
      </c>
      <c r="Y1546" s="6">
        <v>60</v>
      </c>
    </row>
    <row r="1547" spans="1:25">
      <c r="A1547" s="173" t="s">
        <v>908</v>
      </c>
      <c r="B1547" s="146">
        <v>45181.114583333299</v>
      </c>
      <c r="C1547" s="140">
        <v>6</v>
      </c>
      <c r="D1547" s="134" t="s">
        <v>270</v>
      </c>
      <c r="E1547" s="42" t="s">
        <v>490</v>
      </c>
      <c r="F1547" s="139" t="s">
        <v>266</v>
      </c>
      <c r="G1547" s="43">
        <v>95.8</v>
      </c>
      <c r="H1547" s="43">
        <v>65.400000000000006</v>
      </c>
      <c r="I1547" s="33">
        <f>表1_4[[#This Row],[主队2]]-表1_4[[#This Row],[客队2]]</f>
        <v>30.4</v>
      </c>
      <c r="J1547" s="34">
        <v>3.25</v>
      </c>
      <c r="K1547" s="34">
        <v>3.25</v>
      </c>
      <c r="L154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547" s="9" t="s">
        <v>2221</v>
      </c>
      <c r="N1547" s="10" t="s">
        <v>404</v>
      </c>
      <c r="O1547" s="10" t="s">
        <v>28</v>
      </c>
      <c r="T1547" s="3"/>
      <c r="U1547" s="83"/>
      <c r="V1547" s="55" t="s">
        <v>2222</v>
      </c>
      <c r="W1547" s="48"/>
      <c r="X1547" s="45"/>
    </row>
    <row r="1548" spans="1:25" ht="14.25" customHeight="1">
      <c r="A1548" s="174" t="s">
        <v>908</v>
      </c>
      <c r="B1548" s="146">
        <v>45182.114583333299</v>
      </c>
      <c r="C1548" s="140">
        <v>6</v>
      </c>
      <c r="D1548" s="134" t="s">
        <v>297</v>
      </c>
      <c r="E1548" s="7" t="s">
        <v>33</v>
      </c>
      <c r="F1548" s="139" t="s">
        <v>430</v>
      </c>
      <c r="G1548" s="43">
        <v>80.2</v>
      </c>
      <c r="H1548" s="43">
        <v>73.7</v>
      </c>
      <c r="I1548" s="33">
        <f>表1_4[[#This Row],[主队2]]-表1_4[[#This Row],[客队2]]</f>
        <v>6.5</v>
      </c>
      <c r="J154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548" s="35" t="s">
        <v>81</v>
      </c>
      <c r="L154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548" s="9" t="s">
        <v>2223</v>
      </c>
      <c r="N1548" s="10" t="s">
        <v>112</v>
      </c>
      <c r="O1548" s="10" t="s">
        <v>35</v>
      </c>
      <c r="P1548" s="9">
        <v>-7</v>
      </c>
      <c r="Q1548" s="11" t="s">
        <v>2042</v>
      </c>
      <c r="R1548" t="s">
        <v>852</v>
      </c>
      <c r="S1548" t="s">
        <v>2168</v>
      </c>
      <c r="T1548" s="3"/>
      <c r="U1548" s="83"/>
      <c r="V1548" s="55" t="s">
        <v>2224</v>
      </c>
      <c r="W1548" s="52"/>
      <c r="X1548" s="45"/>
    </row>
    <row r="1549" spans="1:25">
      <c r="A1549" s="173" t="s">
        <v>908</v>
      </c>
      <c r="B1549" s="146">
        <v>45182.114583333299</v>
      </c>
      <c r="C1549" s="140">
        <v>6</v>
      </c>
      <c r="D1549" s="134" t="s">
        <v>209</v>
      </c>
      <c r="E1549" s="7" t="s">
        <v>55</v>
      </c>
      <c r="F1549" s="139" t="s">
        <v>407</v>
      </c>
      <c r="G1549" s="43">
        <v>96.5</v>
      </c>
      <c r="H1549" s="43">
        <v>62</v>
      </c>
      <c r="I1549" s="33">
        <f>表1_4[[#This Row],[主队2]]-表1_4[[#This Row],[客队2]]</f>
        <v>34.5</v>
      </c>
      <c r="J1549" s="34">
        <v>3.75</v>
      </c>
      <c r="K1549" s="34">
        <v>3.25</v>
      </c>
      <c r="L154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549" s="9" t="s">
        <v>2225</v>
      </c>
      <c r="N1549" s="10" t="s">
        <v>160</v>
      </c>
      <c r="O1549" s="10" t="s">
        <v>40</v>
      </c>
      <c r="T1549" s="3"/>
      <c r="U1549" s="25"/>
      <c r="V1549" s="54" t="s">
        <v>2226</v>
      </c>
      <c r="W1549" s="52"/>
      <c r="X1549" s="45"/>
    </row>
    <row r="1550" spans="1:25">
      <c r="A1550" s="174" t="s">
        <v>908</v>
      </c>
      <c r="B1550" s="146">
        <v>45182.114583333299</v>
      </c>
      <c r="C1550" s="140">
        <v>6</v>
      </c>
      <c r="D1550" s="275" t="s">
        <v>204</v>
      </c>
      <c r="E1550" s="7" t="s">
        <v>33</v>
      </c>
      <c r="F1550" s="139" t="s">
        <v>214</v>
      </c>
      <c r="G1550" s="43">
        <v>92.9</v>
      </c>
      <c r="H1550" s="43">
        <v>83.4</v>
      </c>
      <c r="I1550" s="33">
        <f>表1_4[[#This Row],[主队2]]-表1_4[[#This Row],[客队2]]</f>
        <v>9.5</v>
      </c>
      <c r="J155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550" s="35" t="s">
        <v>125</v>
      </c>
      <c r="L155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550" s="165" t="s">
        <v>2227</v>
      </c>
      <c r="N1550" s="10" t="s">
        <v>133</v>
      </c>
      <c r="O1550" s="10" t="s">
        <v>40</v>
      </c>
      <c r="P1550" s="9">
        <v>3</v>
      </c>
      <c r="Q1550" s="11" t="s">
        <v>2042</v>
      </c>
      <c r="R1550" t="s">
        <v>852</v>
      </c>
      <c r="T1550" s="3"/>
      <c r="U1550" s="83"/>
      <c r="V1550" s="62" t="s">
        <v>2228</v>
      </c>
      <c r="W1550" s="44"/>
      <c r="X1550" s="45"/>
    </row>
    <row r="1551" spans="1:25">
      <c r="A1551" s="174" t="s">
        <v>908</v>
      </c>
      <c r="B1551" s="146">
        <v>45182.114583333299</v>
      </c>
      <c r="C1551" s="138">
        <v>6</v>
      </c>
      <c r="D1551" s="134" t="s">
        <v>929</v>
      </c>
      <c r="E1551" s="7" t="s">
        <v>47</v>
      </c>
      <c r="F1551" s="139" t="s">
        <v>440</v>
      </c>
      <c r="G1551" s="43">
        <v>56.8</v>
      </c>
      <c r="H1551" s="43">
        <v>71.7</v>
      </c>
      <c r="I1551" s="33">
        <f>表1_4[[#This Row],[主队2]]-表1_4[[#This Row],[客队2]]</f>
        <v>-14.9</v>
      </c>
      <c r="J155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551" s="35" t="s">
        <v>111</v>
      </c>
      <c r="L155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551" s="165" t="s">
        <v>2229</v>
      </c>
      <c r="N1551" s="10" t="s">
        <v>133</v>
      </c>
      <c r="O1551" s="10" t="s">
        <v>65</v>
      </c>
      <c r="Q1551" s="11" t="s">
        <v>2155</v>
      </c>
      <c r="R1551" t="s">
        <v>852</v>
      </c>
      <c r="S1551" t="s">
        <v>2168</v>
      </c>
      <c r="T1551" s="3"/>
      <c r="U1551" s="246"/>
      <c r="V1551" s="231" t="s">
        <v>2230</v>
      </c>
      <c r="W1551" s="56"/>
      <c r="X1551" s="45"/>
    </row>
    <row r="1552" spans="1:25">
      <c r="A1552" s="174" t="s">
        <v>908</v>
      </c>
      <c r="B1552" s="146">
        <v>45182.114583333299</v>
      </c>
      <c r="C1552" s="138">
        <v>6</v>
      </c>
      <c r="D1552" s="134" t="s">
        <v>274</v>
      </c>
      <c r="E1552" s="7" t="s">
        <v>57</v>
      </c>
      <c r="F1552" s="139" t="s">
        <v>403</v>
      </c>
      <c r="G1552" s="43">
        <v>94.5</v>
      </c>
      <c r="H1552" s="43">
        <v>65.900000000000006</v>
      </c>
      <c r="I1552" s="33">
        <f>表1_4[[#This Row],[主队2]]-表1_4[[#This Row],[客队2]]</f>
        <v>28.6</v>
      </c>
      <c r="J1552" s="34">
        <v>3</v>
      </c>
      <c r="K1552" s="34">
        <v>2.5</v>
      </c>
      <c r="L155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552" s="9" t="s">
        <v>2231</v>
      </c>
      <c r="N1552" s="10" t="s">
        <v>160</v>
      </c>
      <c r="O1552" s="10" t="s">
        <v>48</v>
      </c>
      <c r="Q1552" s="11" t="s">
        <v>2042</v>
      </c>
      <c r="R1552" t="s">
        <v>852</v>
      </c>
      <c r="T1552" s="3"/>
      <c r="U1552" s="25"/>
      <c r="V1552" s="80" t="s">
        <v>2232</v>
      </c>
      <c r="W1552" s="44"/>
      <c r="X1552" s="45"/>
    </row>
    <row r="1553" spans="1:25">
      <c r="A1553" s="173" t="s">
        <v>908</v>
      </c>
      <c r="B1553" s="146">
        <v>45182.114583333299</v>
      </c>
      <c r="C1553" s="141">
        <v>6</v>
      </c>
      <c r="D1553" s="134" t="s">
        <v>239</v>
      </c>
      <c r="E1553" s="7" t="s">
        <v>74</v>
      </c>
      <c r="F1553" s="139" t="s">
        <v>194</v>
      </c>
      <c r="G1553" s="43">
        <v>85.9</v>
      </c>
      <c r="H1553" s="43">
        <v>83.4</v>
      </c>
      <c r="I1553" s="33">
        <f>表1_4[[#This Row],[主队2]]-表1_4[[#This Row],[客队2]]</f>
        <v>2.5</v>
      </c>
      <c r="J155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553" s="35" t="s">
        <v>182</v>
      </c>
      <c r="L155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N1553" s="10" t="s">
        <v>133</v>
      </c>
      <c r="O1553" s="10" t="s">
        <v>40</v>
      </c>
      <c r="P1553" s="9">
        <v>1</v>
      </c>
      <c r="Q1553" s="11" t="s">
        <v>2042</v>
      </c>
      <c r="R1553" t="s">
        <v>852</v>
      </c>
      <c r="T1553" s="3"/>
      <c r="U1553" s="83"/>
      <c r="V1553" s="83" t="s">
        <v>2233</v>
      </c>
      <c r="W1553" s="48"/>
      <c r="X1553" s="45"/>
    </row>
    <row r="1554" spans="1:25">
      <c r="A1554" s="174" t="s">
        <v>908</v>
      </c>
      <c r="B1554" s="146">
        <v>45182.114583333299</v>
      </c>
      <c r="C1554" s="140">
        <v>6</v>
      </c>
      <c r="D1554" s="134" t="s">
        <v>250</v>
      </c>
      <c r="E1554" s="7" t="s">
        <v>44</v>
      </c>
      <c r="F1554" s="139" t="s">
        <v>243</v>
      </c>
      <c r="G1554" s="43">
        <v>88</v>
      </c>
      <c r="H1554" s="43">
        <v>50.5</v>
      </c>
      <c r="I1554" s="33">
        <f>表1_4[[#This Row],[主队2]]-表1_4[[#This Row],[客队2]]</f>
        <v>37.5</v>
      </c>
      <c r="J1554" s="34">
        <v>4</v>
      </c>
      <c r="K1554" s="34">
        <v>3.25</v>
      </c>
      <c r="L155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54" s="9" t="s">
        <v>2164</v>
      </c>
      <c r="N1554" s="10" t="s">
        <v>119</v>
      </c>
      <c r="O1554" s="10" t="s">
        <v>48</v>
      </c>
      <c r="Q1554" s="11" t="s">
        <v>2042</v>
      </c>
      <c r="R1554" t="s">
        <v>852</v>
      </c>
      <c r="T1554" s="3" t="s">
        <v>784</v>
      </c>
      <c r="U1554" s="246"/>
      <c r="V1554" s="231" t="s">
        <v>645</v>
      </c>
      <c r="W1554" s="44"/>
      <c r="X1554" s="45"/>
    </row>
    <row r="1555" spans="1:25">
      <c r="A1555" s="174" t="s">
        <v>908</v>
      </c>
      <c r="B1555" s="146">
        <v>45182.114583333299</v>
      </c>
      <c r="C1555" s="140">
        <v>6</v>
      </c>
      <c r="D1555" s="134" t="s">
        <v>305</v>
      </c>
      <c r="E1555" s="7" t="s">
        <v>22</v>
      </c>
      <c r="F1555" s="139" t="s">
        <v>217</v>
      </c>
      <c r="G1555" s="43">
        <v>78.7</v>
      </c>
      <c r="H1555" s="43">
        <v>70.8</v>
      </c>
      <c r="I1555" s="33">
        <f>表1_4[[#This Row],[主队2]]-表1_4[[#This Row],[客队2]]</f>
        <v>7.9000000000000101</v>
      </c>
      <c r="J155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</v>
      </c>
      <c r="K1555" s="35" t="s">
        <v>289</v>
      </c>
      <c r="L155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555" s="9" t="s">
        <v>2234</v>
      </c>
      <c r="N1555" s="10" t="s">
        <v>133</v>
      </c>
      <c r="O1555" s="10" t="s">
        <v>28</v>
      </c>
      <c r="P1555" s="9">
        <v>16</v>
      </c>
      <c r="Q1555" s="11" t="s">
        <v>2042</v>
      </c>
      <c r="R1555" t="s">
        <v>852</v>
      </c>
      <c r="S1555" t="s">
        <v>2235</v>
      </c>
      <c r="T1555" s="3"/>
      <c r="U1555" s="246"/>
      <c r="V1555" s="83" t="s">
        <v>1625</v>
      </c>
      <c r="W1555" s="44"/>
      <c r="X1555" s="45"/>
    </row>
    <row r="1556" spans="1:25">
      <c r="A1556" s="174" t="s">
        <v>908</v>
      </c>
      <c r="B1556" s="146">
        <v>45182.114583333299</v>
      </c>
      <c r="C1556" s="140">
        <v>6</v>
      </c>
      <c r="D1556" s="134" t="s">
        <v>210</v>
      </c>
      <c r="E1556" s="7" t="s">
        <v>31</v>
      </c>
      <c r="F1556" s="139" t="s">
        <v>240</v>
      </c>
      <c r="G1556" s="43">
        <v>74</v>
      </c>
      <c r="H1556" s="43">
        <v>68.3</v>
      </c>
      <c r="I1556" s="33">
        <f>表1_4[[#This Row],[主队2]]-表1_4[[#This Row],[客队2]]</f>
        <v>5.7</v>
      </c>
      <c r="J155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556" s="35" t="s">
        <v>125</v>
      </c>
      <c r="L155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556" s="165" t="s">
        <v>2236</v>
      </c>
      <c r="N1556" s="10" t="s">
        <v>119</v>
      </c>
      <c r="O1556" s="10" t="s">
        <v>28</v>
      </c>
      <c r="P1556" s="9">
        <v>-2</v>
      </c>
      <c r="Q1556" s="11" t="s">
        <v>2155</v>
      </c>
      <c r="R1556" t="s">
        <v>852</v>
      </c>
      <c r="T1556" s="3" t="s">
        <v>2169</v>
      </c>
      <c r="U1556" s="246"/>
      <c r="V1556" s="175" t="s">
        <v>2237</v>
      </c>
      <c r="W1556" s="48"/>
      <c r="X1556" s="45"/>
    </row>
    <row r="1557" spans="1:25">
      <c r="A1557" s="176" t="s">
        <v>156</v>
      </c>
      <c r="B1557" s="146">
        <v>45182.166666666701</v>
      </c>
      <c r="C1557" s="138">
        <v>2</v>
      </c>
      <c r="D1557" s="134" t="s">
        <v>159</v>
      </c>
      <c r="E1557" s="7" t="s">
        <v>64</v>
      </c>
      <c r="F1557" s="139" t="s">
        <v>174</v>
      </c>
      <c r="G1557" s="43">
        <v>72.8</v>
      </c>
      <c r="H1557" s="43">
        <v>98.8</v>
      </c>
      <c r="I1557" s="33">
        <f>表1_4[[#This Row],[主队2]]-表1_4[[#This Row],[客队2]]</f>
        <v>-26</v>
      </c>
      <c r="J1557" s="34">
        <v>-2.25</v>
      </c>
      <c r="K1557" s="34">
        <v>-1</v>
      </c>
      <c r="L155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57" s="63" t="s">
        <v>2238</v>
      </c>
      <c r="N1557" s="10" t="s">
        <v>133</v>
      </c>
      <c r="O1557" s="10" t="s">
        <v>27</v>
      </c>
      <c r="P1557" s="9">
        <v>7</v>
      </c>
      <c r="Q1557" s="11" t="s">
        <v>2155</v>
      </c>
      <c r="R1557" t="s">
        <v>855</v>
      </c>
      <c r="T1557" s="3"/>
      <c r="U1557" s="83"/>
      <c r="V1557" s="62" t="s">
        <v>2239</v>
      </c>
      <c r="W1557" s="52"/>
      <c r="X1557" s="69" t="s">
        <v>783</v>
      </c>
      <c r="Y1557" s="129" t="s">
        <v>2050</v>
      </c>
    </row>
    <row r="1558" spans="1:25">
      <c r="A1558" s="176" t="s">
        <v>156</v>
      </c>
      <c r="B1558" s="146">
        <v>45182.208333333299</v>
      </c>
      <c r="C1558" s="141">
        <v>2</v>
      </c>
      <c r="D1558" s="134" t="s">
        <v>165</v>
      </c>
      <c r="E1558" s="7" t="s">
        <v>33</v>
      </c>
      <c r="F1558" s="139" t="s">
        <v>170</v>
      </c>
      <c r="G1558" s="43">
        <v>87.4</v>
      </c>
      <c r="H1558" s="43">
        <v>90.5</v>
      </c>
      <c r="I1558" s="33">
        <f>表1_4[[#This Row],[主队2]]-表1_4[[#This Row],[客队2]]</f>
        <v>-3.0999999999999899</v>
      </c>
      <c r="J155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558" s="35" t="s">
        <v>289</v>
      </c>
      <c r="L155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558" s="165">
        <v>10</v>
      </c>
      <c r="N1558" s="10" t="s">
        <v>119</v>
      </c>
      <c r="O1558" s="10" t="s">
        <v>28</v>
      </c>
      <c r="P1558" s="9">
        <v>-14</v>
      </c>
      <c r="Q1558" s="11" t="s">
        <v>2155</v>
      </c>
      <c r="R1558" t="s">
        <v>855</v>
      </c>
      <c r="T1558" s="3"/>
      <c r="U1558" s="246"/>
      <c r="V1558" s="231" t="s">
        <v>1133</v>
      </c>
      <c r="W1558" s="241"/>
      <c r="X1558" s="45"/>
    </row>
    <row r="1559" spans="1:25">
      <c r="A1559" s="173" t="s">
        <v>156</v>
      </c>
      <c r="B1559" s="146">
        <v>45182.25</v>
      </c>
      <c r="C1559" s="140">
        <v>2</v>
      </c>
      <c r="D1559" s="134" t="s">
        <v>180</v>
      </c>
      <c r="E1559" s="7" t="s">
        <v>31</v>
      </c>
      <c r="F1559" s="139" t="s">
        <v>164</v>
      </c>
      <c r="G1559" s="43">
        <v>80.400000000000006</v>
      </c>
      <c r="H1559" s="43">
        <v>81.400000000000006</v>
      </c>
      <c r="I1559" s="33">
        <f>表1_4[[#This Row],[主队2]]-表1_4[[#This Row],[客队2]]</f>
        <v>-1</v>
      </c>
      <c r="J155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559" s="35" t="s">
        <v>166</v>
      </c>
      <c r="L155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59" s="9" t="s">
        <v>161</v>
      </c>
      <c r="N1559" s="10" t="s">
        <v>112</v>
      </c>
      <c r="P1559" s="9">
        <v>-9</v>
      </c>
      <c r="T1559" s="3"/>
      <c r="U1559" s="246"/>
      <c r="V1559" s="231" t="s">
        <v>2240</v>
      </c>
      <c r="W1559" s="52"/>
      <c r="X1559" s="45"/>
    </row>
    <row r="1560" spans="1:25">
      <c r="A1560" s="173" t="s">
        <v>156</v>
      </c>
      <c r="B1560" s="146">
        <v>45182.354166666701</v>
      </c>
      <c r="C1560" s="140">
        <v>2</v>
      </c>
      <c r="D1560" s="134" t="s">
        <v>175</v>
      </c>
      <c r="E1560" s="7" t="s">
        <v>42</v>
      </c>
      <c r="F1560" s="139" t="s">
        <v>158</v>
      </c>
      <c r="G1560" s="43">
        <v>82.8</v>
      </c>
      <c r="H1560" s="43">
        <v>92</v>
      </c>
      <c r="I1560" s="33">
        <f>表1_4[[#This Row],[主队2]]-表1_4[[#This Row],[客队2]]</f>
        <v>-9.1999999999999993</v>
      </c>
      <c r="J156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560" s="35" t="s">
        <v>166</v>
      </c>
      <c r="L156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60" s="9" t="s">
        <v>2059</v>
      </c>
      <c r="P1560" s="9">
        <v>14</v>
      </c>
      <c r="S1560" s="3"/>
      <c r="T1560" s="3"/>
      <c r="U1560" s="246"/>
      <c r="V1560" s="54" t="s">
        <v>2241</v>
      </c>
      <c r="W1560" s="52"/>
      <c r="X1560" s="45"/>
    </row>
    <row r="1561" spans="1:25">
      <c r="A1561" s="173" t="s">
        <v>156</v>
      </c>
      <c r="B1561" s="146">
        <v>45182.416666666701</v>
      </c>
      <c r="C1561" s="138">
        <v>2</v>
      </c>
      <c r="D1561" s="134" t="s">
        <v>181</v>
      </c>
      <c r="E1561" s="7" t="s">
        <v>53</v>
      </c>
      <c r="F1561" s="139" t="s">
        <v>171</v>
      </c>
      <c r="G1561" s="43">
        <v>86</v>
      </c>
      <c r="H1561" s="43">
        <v>102.3</v>
      </c>
      <c r="I1561" s="33">
        <f>表1_4[[#This Row],[主队2]]-表1_4[[#This Row],[客队2]]</f>
        <v>-16.3</v>
      </c>
      <c r="J156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561" s="35" t="s">
        <v>219</v>
      </c>
      <c r="L156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61" s="9" t="s">
        <v>161</v>
      </c>
      <c r="P1561" s="9">
        <v>12</v>
      </c>
      <c r="S1561" s="3"/>
      <c r="T1561" s="3"/>
      <c r="U1561" s="25"/>
      <c r="V1561" s="80" t="s">
        <v>2242</v>
      </c>
      <c r="W1561" s="56"/>
      <c r="X1561" s="45"/>
    </row>
    <row r="1562" spans="1:25">
      <c r="A1562" s="173" t="s">
        <v>908</v>
      </c>
      <c r="B1562" s="146">
        <v>45212</v>
      </c>
      <c r="C1562" s="140">
        <v>7</v>
      </c>
      <c r="D1562" s="134" t="s">
        <v>251</v>
      </c>
      <c r="E1562" s="7" t="s">
        <v>22</v>
      </c>
      <c r="F1562" s="139" t="s">
        <v>287</v>
      </c>
      <c r="G1562" s="43">
        <v>63.5</v>
      </c>
      <c r="H1562" s="43">
        <v>69.099999999999994</v>
      </c>
      <c r="I1562" s="33">
        <f>表1_4[[#This Row],[主队2]]-表1_4[[#This Row],[客队2]]</f>
        <v>-5.5999999999999899</v>
      </c>
      <c r="J156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562" s="35" t="s">
        <v>132</v>
      </c>
      <c r="L156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562" s="9" t="s">
        <v>161</v>
      </c>
      <c r="N1562" s="10" t="s">
        <v>119</v>
      </c>
      <c r="O1562" s="10" t="s">
        <v>28</v>
      </c>
      <c r="S1562" s="3"/>
      <c r="T1562" s="3"/>
      <c r="U1562" s="83"/>
      <c r="V1562" s="231" t="s">
        <v>1574</v>
      </c>
      <c r="W1562" s="44"/>
      <c r="X1562" s="45"/>
    </row>
    <row r="1563" spans="1:25">
      <c r="A1563" s="176" t="s">
        <v>908</v>
      </c>
      <c r="B1563" s="146">
        <v>45212.114583333299</v>
      </c>
      <c r="C1563" s="138">
        <v>7</v>
      </c>
      <c r="D1563" s="134" t="s">
        <v>110</v>
      </c>
      <c r="E1563" s="7" t="s">
        <v>53</v>
      </c>
      <c r="F1563" s="139" t="s">
        <v>190</v>
      </c>
      <c r="G1563" s="43">
        <v>91.4</v>
      </c>
      <c r="H1563" s="43">
        <v>79.099999999999994</v>
      </c>
      <c r="I1563" s="33">
        <f>表1_4[[#This Row],[主队2]]-表1_4[[#This Row],[客队2]]</f>
        <v>12.3</v>
      </c>
      <c r="J156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563" s="35" t="s">
        <v>118</v>
      </c>
      <c r="L156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63" s="165">
        <v>3</v>
      </c>
      <c r="N1563" s="10" t="s">
        <v>119</v>
      </c>
      <c r="O1563" s="10" t="s">
        <v>51</v>
      </c>
      <c r="Q1563" s="11" t="s">
        <v>2155</v>
      </c>
      <c r="R1563" t="s">
        <v>855</v>
      </c>
      <c r="S1563" s="3"/>
      <c r="T1563" s="3"/>
      <c r="U1563" s="246"/>
      <c r="V1563" s="231" t="s">
        <v>2243</v>
      </c>
      <c r="W1563" s="51"/>
      <c r="X1563" s="77" t="s">
        <v>433</v>
      </c>
      <c r="Y1563" s="61">
        <v>80</v>
      </c>
    </row>
    <row r="1564" spans="1:25">
      <c r="A1564" s="173" t="s">
        <v>908</v>
      </c>
      <c r="B1564" s="146">
        <v>45212.114583333299</v>
      </c>
      <c r="C1564" s="140">
        <v>7</v>
      </c>
      <c r="D1564" s="134" t="s">
        <v>209</v>
      </c>
      <c r="E1564" s="7" t="s">
        <v>22</v>
      </c>
      <c r="F1564" s="139" t="s">
        <v>123</v>
      </c>
      <c r="G1564" s="43">
        <v>97.1</v>
      </c>
      <c r="H1564" s="43">
        <v>81.900000000000006</v>
      </c>
      <c r="I1564" s="33">
        <f>表1_4[[#This Row],[主队2]]-表1_4[[#This Row],[客队2]]</f>
        <v>15.2</v>
      </c>
      <c r="J156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564" s="35" t="s">
        <v>81</v>
      </c>
      <c r="L156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64" s="9" t="s">
        <v>161</v>
      </c>
      <c r="N1564" s="10" t="s">
        <v>112</v>
      </c>
      <c r="O1564" s="10" t="s">
        <v>35</v>
      </c>
      <c r="S1564" s="3"/>
      <c r="T1564" s="3"/>
      <c r="U1564" s="83"/>
      <c r="V1564" s="80" t="s">
        <v>2244</v>
      </c>
      <c r="W1564" s="44"/>
      <c r="X1564" s="45"/>
    </row>
    <row r="1565" spans="1:25">
      <c r="A1565" s="174" t="s">
        <v>908</v>
      </c>
      <c r="B1565" s="146">
        <v>45212.114583333299</v>
      </c>
      <c r="C1565" s="138">
        <v>7</v>
      </c>
      <c r="D1565" s="134" t="s">
        <v>407</v>
      </c>
      <c r="E1565" s="7" t="s">
        <v>61</v>
      </c>
      <c r="F1565" s="139" t="s">
        <v>297</v>
      </c>
      <c r="G1565" s="43">
        <v>61.5</v>
      </c>
      <c r="H1565" s="43">
        <v>80.2</v>
      </c>
      <c r="I1565" s="33">
        <f>表1_4[[#This Row],[主队2]]-表1_4[[#This Row],[客队2]]</f>
        <v>-18.7</v>
      </c>
      <c r="J156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565" s="35" t="s">
        <v>706</v>
      </c>
      <c r="L156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565" s="11"/>
      <c r="N1565" s="10" t="s">
        <v>112</v>
      </c>
      <c r="O1565" s="10" t="s">
        <v>27</v>
      </c>
      <c r="Q1565" s="11" t="s">
        <v>2042</v>
      </c>
      <c r="R1565" t="s">
        <v>852</v>
      </c>
      <c r="S1565" s="3"/>
      <c r="T1565" s="3"/>
      <c r="U1565" s="25"/>
      <c r="V1565" s="80" t="s">
        <v>2245</v>
      </c>
      <c r="W1565" s="44"/>
      <c r="X1565" s="45"/>
    </row>
    <row r="1566" spans="1:25">
      <c r="A1566" s="173" t="s">
        <v>908</v>
      </c>
      <c r="B1566" s="146">
        <v>45212.114583333299</v>
      </c>
      <c r="C1566" s="140">
        <v>7</v>
      </c>
      <c r="D1566" s="134" t="s">
        <v>205</v>
      </c>
      <c r="E1566" s="7" t="s">
        <v>44</v>
      </c>
      <c r="F1566" s="139" t="s">
        <v>284</v>
      </c>
      <c r="G1566" s="43">
        <v>73.400000000000006</v>
      </c>
      <c r="H1566" s="43">
        <v>85.1</v>
      </c>
      <c r="I1566" s="33">
        <f>表1_4[[#This Row],[主队2]]-表1_4[[#This Row],[客队2]]</f>
        <v>-11.7</v>
      </c>
      <c r="J156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566" s="35" t="s">
        <v>152</v>
      </c>
      <c r="L156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66" s="165" t="s">
        <v>2246</v>
      </c>
      <c r="N1566" s="10" t="s">
        <v>119</v>
      </c>
      <c r="O1566" s="10" t="s">
        <v>24</v>
      </c>
      <c r="R1566" t="s">
        <v>852</v>
      </c>
      <c r="S1566" s="3"/>
      <c r="T1566" s="3"/>
      <c r="U1566" s="83"/>
      <c r="V1566" s="83" t="s">
        <v>902</v>
      </c>
      <c r="W1566" s="44"/>
      <c r="X1566" s="45"/>
    </row>
    <row r="1567" spans="1:25">
      <c r="A1567" s="174" t="s">
        <v>908</v>
      </c>
      <c r="B1567" s="146">
        <v>45212.114583333299</v>
      </c>
      <c r="C1567" s="138">
        <v>7</v>
      </c>
      <c r="D1567" s="134" t="s">
        <v>244</v>
      </c>
      <c r="E1567" s="7" t="s">
        <v>47</v>
      </c>
      <c r="F1567" s="139" t="s">
        <v>302</v>
      </c>
      <c r="G1567" s="43">
        <v>58.5</v>
      </c>
      <c r="H1567" s="43">
        <v>82.5</v>
      </c>
      <c r="I1567" s="33">
        <f>表1_4[[#This Row],[主队2]]-表1_4[[#This Row],[客队2]]</f>
        <v>-24</v>
      </c>
      <c r="J1567" s="34">
        <v>-2.25</v>
      </c>
      <c r="K1567" s="34">
        <v>-1.25</v>
      </c>
      <c r="L156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67" s="165">
        <v>0</v>
      </c>
      <c r="N1567" s="10" t="s">
        <v>112</v>
      </c>
      <c r="O1567" s="10" t="s">
        <v>35</v>
      </c>
      <c r="Q1567" s="11" t="s">
        <v>2155</v>
      </c>
      <c r="R1567" t="s">
        <v>852</v>
      </c>
      <c r="S1567" s="3"/>
      <c r="T1567" s="3"/>
      <c r="U1567" s="246"/>
      <c r="V1567" s="80" t="s">
        <v>2247</v>
      </c>
      <c r="W1567" s="44"/>
      <c r="X1567" s="45"/>
    </row>
    <row r="1568" spans="1:25">
      <c r="A1568" s="173" t="s">
        <v>908</v>
      </c>
      <c r="B1568" s="146">
        <v>45212.114583333299</v>
      </c>
      <c r="C1568" s="138">
        <v>7</v>
      </c>
      <c r="D1568" s="134" t="s">
        <v>243</v>
      </c>
      <c r="E1568" s="7" t="s">
        <v>64</v>
      </c>
      <c r="F1568" s="139" t="s">
        <v>217</v>
      </c>
      <c r="G1568" s="43">
        <v>50.6</v>
      </c>
      <c r="H1568" s="43">
        <v>70.400000000000006</v>
      </c>
      <c r="I1568" s="33">
        <f>表1_4[[#This Row],[主队2]]-表1_4[[#This Row],[客队2]]</f>
        <v>-19.8</v>
      </c>
      <c r="J156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568" s="35" t="s">
        <v>219</v>
      </c>
      <c r="L156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568" s="11" t="s">
        <v>161</v>
      </c>
      <c r="N1568" s="10" t="s">
        <v>119</v>
      </c>
      <c r="O1568" s="10" t="s">
        <v>35</v>
      </c>
      <c r="S1568" s="3"/>
      <c r="T1568" s="3"/>
      <c r="U1568" s="246"/>
      <c r="V1568" s="231" t="s">
        <v>2248</v>
      </c>
      <c r="W1568" s="44"/>
      <c r="X1568" s="45"/>
    </row>
    <row r="1569" spans="1:25">
      <c r="A1569" s="176" t="s">
        <v>908</v>
      </c>
      <c r="B1569" s="146">
        <v>45212.114583333299</v>
      </c>
      <c r="C1569" s="138">
        <v>7</v>
      </c>
      <c r="D1569" s="134" t="s">
        <v>240</v>
      </c>
      <c r="E1569" s="7" t="s">
        <v>42</v>
      </c>
      <c r="F1569" s="139" t="s">
        <v>305</v>
      </c>
      <c r="G1569" s="43">
        <v>68.3</v>
      </c>
      <c r="H1569" s="43">
        <v>79.099999999999994</v>
      </c>
      <c r="I1569" s="33">
        <f>表1_4[[#This Row],[主队2]]-表1_4[[#This Row],[客队2]]</f>
        <v>-10.8</v>
      </c>
      <c r="J156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569" s="35" t="s">
        <v>245</v>
      </c>
      <c r="L156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569" s="165">
        <v>0</v>
      </c>
      <c r="N1569" s="10" t="s">
        <v>119</v>
      </c>
      <c r="O1569" s="10" t="s">
        <v>28</v>
      </c>
      <c r="Q1569" s="11" t="s">
        <v>2155</v>
      </c>
      <c r="R1569" t="s">
        <v>855</v>
      </c>
      <c r="S1569" s="3"/>
      <c r="T1569" s="3"/>
      <c r="U1569" s="83"/>
      <c r="V1569" s="55" t="s">
        <v>2249</v>
      </c>
      <c r="W1569" s="44"/>
      <c r="X1569" s="45"/>
    </row>
    <row r="1570" spans="1:25">
      <c r="A1570" s="173" t="s">
        <v>156</v>
      </c>
      <c r="B1570" s="146">
        <v>45212.1875</v>
      </c>
      <c r="C1570" s="140">
        <v>3</v>
      </c>
      <c r="D1570" s="134" t="s">
        <v>158</v>
      </c>
      <c r="E1570" s="7" t="s">
        <v>25</v>
      </c>
      <c r="F1570" s="139" t="s">
        <v>170</v>
      </c>
      <c r="G1570" s="43">
        <v>91.7</v>
      </c>
      <c r="H1570" s="43">
        <v>90</v>
      </c>
      <c r="I1570" s="33">
        <f>表1_4[[#This Row],[主队2]]-表1_4[[#This Row],[客队2]]</f>
        <v>1.7</v>
      </c>
      <c r="J157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0.5</v>
      </c>
      <c r="K1570" s="35" t="s">
        <v>289</v>
      </c>
      <c r="L157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570" s="9" t="s">
        <v>161</v>
      </c>
      <c r="N1570" s="10" t="s">
        <v>119</v>
      </c>
      <c r="O1570" s="10" t="s">
        <v>35</v>
      </c>
      <c r="S1570" s="3"/>
      <c r="T1570" s="3"/>
      <c r="U1570" s="83"/>
      <c r="V1570" s="55" t="s">
        <v>1386</v>
      </c>
      <c r="W1570" s="44"/>
      <c r="X1570" s="45"/>
    </row>
    <row r="1571" spans="1:25">
      <c r="A1571" s="176" t="s">
        <v>156</v>
      </c>
      <c r="B1571" s="146">
        <v>45212.291666666701</v>
      </c>
      <c r="C1571" s="141">
        <v>3</v>
      </c>
      <c r="D1571" s="134" t="s">
        <v>159</v>
      </c>
      <c r="E1571" s="7" t="s">
        <v>60</v>
      </c>
      <c r="F1571" s="139" t="s">
        <v>165</v>
      </c>
      <c r="G1571" s="43">
        <v>72.3</v>
      </c>
      <c r="H1571" s="43">
        <v>88</v>
      </c>
      <c r="I1571" s="33">
        <f>表1_4[[#This Row],[主队2]]-表1_4[[#This Row],[客队2]]</f>
        <v>-15.7</v>
      </c>
      <c r="J157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571" s="35" t="s">
        <v>132</v>
      </c>
      <c r="L157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71" s="63" t="s">
        <v>2250</v>
      </c>
      <c r="N1571" s="10" t="s">
        <v>112</v>
      </c>
      <c r="O1571" s="10" t="s">
        <v>28</v>
      </c>
      <c r="Q1571" s="11" t="s">
        <v>2155</v>
      </c>
      <c r="R1571" t="s">
        <v>855</v>
      </c>
      <c r="S1571" s="3"/>
      <c r="T1571" s="3"/>
      <c r="U1571" s="25"/>
      <c r="V1571" s="55" t="s">
        <v>2251</v>
      </c>
      <c r="W1571" s="44"/>
      <c r="X1571" s="45"/>
    </row>
    <row r="1572" spans="1:25">
      <c r="A1572" s="174" t="s">
        <v>156</v>
      </c>
      <c r="B1572" s="146">
        <v>45212.291666666701</v>
      </c>
      <c r="C1572" s="140">
        <v>3</v>
      </c>
      <c r="D1572" s="134" t="s">
        <v>174</v>
      </c>
      <c r="E1572" s="7" t="s">
        <v>31</v>
      </c>
      <c r="F1572" s="139" t="s">
        <v>164</v>
      </c>
      <c r="G1572" s="43">
        <v>99.3</v>
      </c>
      <c r="H1572" s="43">
        <v>80.900000000000006</v>
      </c>
      <c r="I1572" s="33">
        <f>表1_4[[#This Row],[主队2]]-表1_4[[#This Row],[客队2]]</f>
        <v>18.399999999999999</v>
      </c>
      <c r="J157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572" s="35" t="s">
        <v>81</v>
      </c>
      <c r="L157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572" s="165" t="s">
        <v>2252</v>
      </c>
      <c r="N1572" s="10" t="s">
        <v>119</v>
      </c>
      <c r="O1572" s="10" t="s">
        <v>40</v>
      </c>
      <c r="Q1572" s="11" t="s">
        <v>2042</v>
      </c>
      <c r="R1572" t="s">
        <v>852</v>
      </c>
      <c r="S1572" s="3"/>
      <c r="T1572" s="3"/>
      <c r="U1572" s="246"/>
      <c r="V1572" s="231" t="s">
        <v>1042</v>
      </c>
      <c r="W1572" s="44"/>
      <c r="X1572" s="45"/>
    </row>
    <row r="1573" spans="1:25">
      <c r="A1573" s="174" t="s">
        <v>156</v>
      </c>
      <c r="B1573" s="146">
        <v>45212.333333333299</v>
      </c>
      <c r="C1573" s="138">
        <v>3</v>
      </c>
      <c r="D1573" s="134" t="s">
        <v>175</v>
      </c>
      <c r="E1573" s="7" t="s">
        <v>22</v>
      </c>
      <c r="F1573" s="139" t="s">
        <v>181</v>
      </c>
      <c r="G1573" s="43">
        <v>83.1</v>
      </c>
      <c r="H1573" s="43">
        <v>86</v>
      </c>
      <c r="I1573" s="33">
        <f>表1_4[[#This Row],[主队2]]-表1_4[[#This Row],[客队2]]</f>
        <v>-2.9000000000000101</v>
      </c>
      <c r="J157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573" s="35" t="s">
        <v>118</v>
      </c>
      <c r="L157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亚远高看</v>
      </c>
      <c r="M1573" s="165">
        <v>3</v>
      </c>
      <c r="Q1573" s="11" t="s">
        <v>2192</v>
      </c>
      <c r="R1573" t="s">
        <v>852</v>
      </c>
      <c r="S1573" s="3"/>
      <c r="T1573" s="3"/>
      <c r="U1573" s="246"/>
      <c r="V1573" s="231" t="s">
        <v>645</v>
      </c>
      <c r="W1573" s="44"/>
      <c r="X1573" s="45"/>
    </row>
    <row r="1574" spans="1:25">
      <c r="A1574" s="173" t="s">
        <v>156</v>
      </c>
      <c r="B1574" s="146">
        <v>45212.354166666701</v>
      </c>
      <c r="C1574" s="138">
        <v>3</v>
      </c>
      <c r="D1574" s="134" t="s">
        <v>171</v>
      </c>
      <c r="E1574" s="7" t="s">
        <v>36</v>
      </c>
      <c r="F1574" s="71" t="s">
        <v>180</v>
      </c>
      <c r="G1574" s="43">
        <v>102.3</v>
      </c>
      <c r="H1574" s="43">
        <v>80.900000000000006</v>
      </c>
      <c r="I1574" s="33">
        <f>表1_4[[#This Row],[主队2]]-表1_4[[#This Row],[客队2]]</f>
        <v>21.4</v>
      </c>
      <c r="J1574" s="34">
        <v>2.5</v>
      </c>
      <c r="K1574" s="34">
        <v>2.25</v>
      </c>
      <c r="L157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74" s="9" t="s">
        <v>2253</v>
      </c>
      <c r="Q1574" s="11" t="s">
        <v>2042</v>
      </c>
      <c r="R1574" t="s">
        <v>855</v>
      </c>
      <c r="S1574" s="3"/>
      <c r="T1574" s="3"/>
      <c r="U1574" s="83"/>
      <c r="V1574" s="231" t="s">
        <v>2254</v>
      </c>
      <c r="W1574" s="44"/>
      <c r="X1574" s="45"/>
    </row>
    <row r="1575" spans="1:25">
      <c r="A1575" s="174" t="s">
        <v>908</v>
      </c>
      <c r="B1575" s="146">
        <v>45213</v>
      </c>
      <c r="C1575" s="141">
        <v>7</v>
      </c>
      <c r="D1575" s="134" t="s">
        <v>403</v>
      </c>
      <c r="E1575" s="7" t="s">
        <v>47</v>
      </c>
      <c r="F1575" s="139" t="s">
        <v>278</v>
      </c>
      <c r="G1575" s="43">
        <v>65.5</v>
      </c>
      <c r="H1575" s="43">
        <v>64.3</v>
      </c>
      <c r="I1575" s="33">
        <f>表1_4[[#This Row],[主队2]]-表1_4[[#This Row],[客队2]]</f>
        <v>1.2</v>
      </c>
      <c r="J157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575" s="35" t="s">
        <v>182</v>
      </c>
      <c r="L157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575" s="165">
        <v>10</v>
      </c>
      <c r="N1575" s="10" t="s">
        <v>133</v>
      </c>
      <c r="O1575" s="10" t="s">
        <v>46</v>
      </c>
      <c r="Q1575" s="11" t="s">
        <v>2155</v>
      </c>
      <c r="R1575" t="s">
        <v>852</v>
      </c>
      <c r="S1575" s="3"/>
      <c r="T1575" s="3"/>
      <c r="U1575" s="25"/>
      <c r="V1575" s="231" t="s">
        <v>2255</v>
      </c>
      <c r="W1575" s="44"/>
      <c r="X1575" s="45"/>
    </row>
    <row r="1576" spans="1:25">
      <c r="A1576" s="173" t="s">
        <v>908</v>
      </c>
      <c r="B1576" s="146">
        <v>45213.114583333299</v>
      </c>
      <c r="C1576" s="140">
        <v>7</v>
      </c>
      <c r="D1576" s="134" t="s">
        <v>194</v>
      </c>
      <c r="E1576" s="7" t="s">
        <v>62</v>
      </c>
      <c r="F1576" s="139" t="s">
        <v>274</v>
      </c>
      <c r="G1576" s="43">
        <v>84.1</v>
      </c>
      <c r="H1576" s="43">
        <v>94.9</v>
      </c>
      <c r="I1576" s="33">
        <f>表1_4[[#This Row],[主队2]]-表1_4[[#This Row],[客队2]]</f>
        <v>-10.8</v>
      </c>
      <c r="J157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576" s="35" t="s">
        <v>182</v>
      </c>
      <c r="L157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576" s="9" t="s">
        <v>161</v>
      </c>
      <c r="S1576" s="3"/>
      <c r="T1576" s="3"/>
      <c r="U1576" s="83"/>
      <c r="V1576" s="62" t="s">
        <v>2256</v>
      </c>
      <c r="W1576" s="44"/>
      <c r="X1576" s="45"/>
    </row>
    <row r="1577" spans="1:25">
      <c r="A1577" s="173" t="s">
        <v>908</v>
      </c>
      <c r="B1577" s="146">
        <v>45213.114583333299</v>
      </c>
      <c r="C1577" s="140">
        <v>7</v>
      </c>
      <c r="D1577" s="134" t="s">
        <v>262</v>
      </c>
      <c r="E1577" s="7" t="s">
        <v>60</v>
      </c>
      <c r="F1577" s="139" t="s">
        <v>267</v>
      </c>
      <c r="G1577" s="43">
        <v>92.8</v>
      </c>
      <c r="H1577" s="43">
        <v>97.6</v>
      </c>
      <c r="I1577" s="33">
        <f>表1_4[[#This Row],[主队2]]-表1_4[[#This Row],[客队2]]</f>
        <v>-4.8</v>
      </c>
      <c r="J157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577" s="35" t="s">
        <v>166</v>
      </c>
      <c r="L157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77" s="9" t="s">
        <v>161</v>
      </c>
      <c r="N1577" s="10" t="s">
        <v>112</v>
      </c>
      <c r="O1577" s="10" t="s">
        <v>24</v>
      </c>
      <c r="S1577" s="3"/>
      <c r="T1577" s="3"/>
      <c r="U1577" s="25"/>
      <c r="V1577" s="80" t="s">
        <v>2257</v>
      </c>
      <c r="W1577" s="44"/>
      <c r="X1577" s="45"/>
    </row>
    <row r="1578" spans="1:25">
      <c r="A1578" s="176" t="s">
        <v>908</v>
      </c>
      <c r="B1578" s="146">
        <v>45213.114583333299</v>
      </c>
      <c r="C1578" s="138">
        <v>7</v>
      </c>
      <c r="D1578" s="134" t="s">
        <v>199</v>
      </c>
      <c r="E1578" s="7" t="s">
        <v>47</v>
      </c>
      <c r="F1578" s="139" t="s">
        <v>275</v>
      </c>
      <c r="G1578" s="43">
        <v>79</v>
      </c>
      <c r="H1578" s="43">
        <v>80.2</v>
      </c>
      <c r="I1578" s="33">
        <f>表1_4[[#This Row],[主队2]]-表1_4[[#This Row],[客队2]]</f>
        <v>-1.2</v>
      </c>
      <c r="J157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578" s="35" t="s">
        <v>182</v>
      </c>
      <c r="L157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578" s="63" t="s">
        <v>2258</v>
      </c>
      <c r="N1578" s="10" t="s">
        <v>119</v>
      </c>
      <c r="O1578" s="57" t="s">
        <v>48</v>
      </c>
      <c r="Q1578" s="11" t="s">
        <v>2192</v>
      </c>
      <c r="R1578" t="s">
        <v>855</v>
      </c>
      <c r="S1578" s="3"/>
      <c r="T1578" s="3" t="s">
        <v>2186</v>
      </c>
      <c r="U1578" s="83" t="s">
        <v>521</v>
      </c>
      <c r="V1578" s="83" t="s">
        <v>2259</v>
      </c>
      <c r="W1578" s="48"/>
      <c r="X1578" s="77" t="s">
        <v>1960</v>
      </c>
      <c r="Y1578" s="160" t="s">
        <v>2205</v>
      </c>
    </row>
    <row r="1579" spans="1:25">
      <c r="A1579" s="173" t="s">
        <v>908</v>
      </c>
      <c r="B1579" s="146">
        <v>45213.114583333299</v>
      </c>
      <c r="C1579" s="140">
        <v>7</v>
      </c>
      <c r="D1579" s="134" t="s">
        <v>218</v>
      </c>
      <c r="E1579" s="7" t="s">
        <v>36</v>
      </c>
      <c r="F1579" s="139" t="s">
        <v>266</v>
      </c>
      <c r="G1579" s="43">
        <v>73.400000000000006</v>
      </c>
      <c r="H1579" s="43">
        <v>64.400000000000006</v>
      </c>
      <c r="I1579" s="33">
        <f>表1_4[[#This Row],[主队2]]-表1_4[[#This Row],[客队2]]</f>
        <v>9</v>
      </c>
      <c r="J157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579" s="35" t="s">
        <v>289</v>
      </c>
      <c r="L157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79" s="9" t="s">
        <v>161</v>
      </c>
      <c r="S1579" s="3"/>
      <c r="T1579" s="3"/>
      <c r="U1579" s="25"/>
      <c r="V1579" s="54" t="s">
        <v>522</v>
      </c>
      <c r="W1579" s="44"/>
      <c r="X1579" s="45"/>
    </row>
    <row r="1580" spans="1:25">
      <c r="A1580" s="173" t="s">
        <v>908</v>
      </c>
      <c r="B1580" s="146">
        <v>45213.114583333299</v>
      </c>
      <c r="C1580" s="140">
        <v>7</v>
      </c>
      <c r="D1580" s="134" t="s">
        <v>270</v>
      </c>
      <c r="E1580" s="7" t="s">
        <v>29</v>
      </c>
      <c r="F1580" s="139" t="s">
        <v>425</v>
      </c>
      <c r="G1580" s="43">
        <v>96.8</v>
      </c>
      <c r="H1580" s="43">
        <v>78.099999999999994</v>
      </c>
      <c r="I1580" s="33">
        <f>表1_4[[#This Row],[主队2]]-表1_4[[#This Row],[客队2]]</f>
        <v>18.7</v>
      </c>
      <c r="J158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</v>
      </c>
      <c r="K1580" s="35" t="s">
        <v>63</v>
      </c>
      <c r="L158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80" s="9" t="s">
        <v>161</v>
      </c>
      <c r="S1580" s="3"/>
      <c r="T1580" s="3"/>
      <c r="U1580" s="83"/>
      <c r="V1580" s="55" t="s">
        <v>2260</v>
      </c>
      <c r="W1580" s="44"/>
      <c r="X1580" s="45"/>
    </row>
    <row r="1581" spans="1:25">
      <c r="A1581" s="173" t="s">
        <v>908</v>
      </c>
      <c r="B1581" s="146">
        <v>45213.114583333299</v>
      </c>
      <c r="C1581" s="140">
        <v>7</v>
      </c>
      <c r="D1581" s="134" t="s">
        <v>437</v>
      </c>
      <c r="E1581" s="7" t="s">
        <v>47</v>
      </c>
      <c r="F1581" s="139" t="s">
        <v>255</v>
      </c>
      <c r="G1581" s="43">
        <v>44.1</v>
      </c>
      <c r="H1581" s="43">
        <v>76.400000000000006</v>
      </c>
      <c r="I1581" s="33">
        <f>表1_4[[#This Row],[主队2]]-表1_4[[#This Row],[客队2]]</f>
        <v>-32.299999999999997</v>
      </c>
      <c r="J1581" s="34">
        <v>-3</v>
      </c>
      <c r="K1581" s="34">
        <v>-2.5</v>
      </c>
      <c r="L158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581" s="9" t="s">
        <v>2195</v>
      </c>
      <c r="Q1581" s="11" t="s">
        <v>2042</v>
      </c>
      <c r="R1581" t="s">
        <v>855</v>
      </c>
      <c r="S1581" s="3"/>
      <c r="T1581" s="3"/>
      <c r="U1581" s="25"/>
      <c r="V1581" s="80" t="s">
        <v>2261</v>
      </c>
      <c r="W1581" s="44"/>
      <c r="X1581" s="45"/>
    </row>
    <row r="1582" spans="1:25" ht="28.9">
      <c r="A1582" s="174" t="s">
        <v>908</v>
      </c>
      <c r="B1582" s="146">
        <v>45213.875</v>
      </c>
      <c r="C1582" s="138">
        <v>7</v>
      </c>
      <c r="D1582" s="134" t="s">
        <v>214</v>
      </c>
      <c r="E1582" s="7" t="s">
        <v>22</v>
      </c>
      <c r="F1582" s="139" t="s">
        <v>440</v>
      </c>
      <c r="G1582" s="43">
        <v>83.5</v>
      </c>
      <c r="H1582" s="43">
        <v>72.400000000000006</v>
      </c>
      <c r="I1582" s="33">
        <f>表1_4[[#This Row],[主队2]]-表1_4[[#This Row],[客队2]]</f>
        <v>11.1</v>
      </c>
      <c r="J1582" s="34">
        <v>1</v>
      </c>
      <c r="K1582" s="35" t="s">
        <v>118</v>
      </c>
      <c r="L158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82" s="165" t="s">
        <v>2262</v>
      </c>
      <c r="N1582" s="10" t="s">
        <v>119</v>
      </c>
      <c r="O1582" s="10" t="s">
        <v>40</v>
      </c>
      <c r="Q1582" s="11" t="s">
        <v>2155</v>
      </c>
      <c r="R1582" t="s">
        <v>852</v>
      </c>
      <c r="S1582" s="3" t="s">
        <v>2235</v>
      </c>
      <c r="T1582" s="3"/>
      <c r="U1582" s="25" t="s">
        <v>2263</v>
      </c>
      <c r="V1582" s="54" t="s">
        <v>2264</v>
      </c>
      <c r="W1582" s="44"/>
      <c r="X1582" s="45"/>
    </row>
    <row r="1583" spans="1:25">
      <c r="A1583" s="176" t="s">
        <v>908</v>
      </c>
      <c r="B1583" s="146">
        <v>45213.875</v>
      </c>
      <c r="C1583" s="140">
        <v>7</v>
      </c>
      <c r="D1583" s="134" t="s">
        <v>296</v>
      </c>
      <c r="E1583" s="7" t="s">
        <v>44</v>
      </c>
      <c r="F1583" s="139" t="s">
        <v>282</v>
      </c>
      <c r="G1583" s="43">
        <v>72.5</v>
      </c>
      <c r="H1583" s="43">
        <v>30.9</v>
      </c>
      <c r="I1583" s="33">
        <f>表1_4[[#This Row],[主队2]]-表1_4[[#This Row],[客队2]]</f>
        <v>41.6</v>
      </c>
      <c r="J1583" s="34">
        <v>4.5</v>
      </c>
      <c r="K1583" s="34">
        <v>3.5</v>
      </c>
      <c r="L158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83" s="9" t="s">
        <v>2195</v>
      </c>
      <c r="N1583" s="10" t="s">
        <v>119</v>
      </c>
      <c r="O1583" s="10" t="s">
        <v>40</v>
      </c>
      <c r="Q1583" s="11" t="s">
        <v>2042</v>
      </c>
      <c r="R1583" t="s">
        <v>855</v>
      </c>
      <c r="S1583" s="3"/>
      <c r="T1583" s="3"/>
      <c r="U1583" s="83" t="s">
        <v>469</v>
      </c>
      <c r="V1583" s="54" t="s">
        <v>2265</v>
      </c>
      <c r="W1583" s="52"/>
      <c r="X1583" s="45"/>
    </row>
    <row r="1584" spans="1:25">
      <c r="A1584" s="58" t="s">
        <v>908</v>
      </c>
      <c r="B1584" s="146">
        <v>45214</v>
      </c>
      <c r="C1584" s="138">
        <v>7</v>
      </c>
      <c r="D1584" s="134" t="s">
        <v>309</v>
      </c>
      <c r="E1584" s="7" t="s">
        <v>44</v>
      </c>
      <c r="F1584" s="139" t="s">
        <v>191</v>
      </c>
      <c r="G1584" s="43">
        <v>77.7</v>
      </c>
      <c r="H1584" s="43">
        <v>78.599999999999994</v>
      </c>
      <c r="I1584" s="33">
        <f>表1_4[[#This Row],[主队2]]-表1_4[[#This Row],[客队2]]</f>
        <v>-0.89999999999999103</v>
      </c>
      <c r="J158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584" s="35" t="s">
        <v>118</v>
      </c>
      <c r="L158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584" s="11" t="s">
        <v>161</v>
      </c>
      <c r="N1584" s="10" t="s">
        <v>133</v>
      </c>
      <c r="O1584" s="10" t="s">
        <v>28</v>
      </c>
      <c r="S1584" s="3"/>
      <c r="T1584" s="3"/>
      <c r="U1584" s="83"/>
      <c r="V1584" s="62" t="s">
        <v>2266</v>
      </c>
      <c r="W1584" s="241"/>
      <c r="X1584" s="45"/>
    </row>
    <row r="1585" spans="1:24">
      <c r="A1585" s="176" t="s">
        <v>908</v>
      </c>
      <c r="B1585" s="146">
        <v>45214</v>
      </c>
      <c r="C1585" s="138">
        <v>7</v>
      </c>
      <c r="D1585" s="134" t="s">
        <v>261</v>
      </c>
      <c r="E1585" s="7" t="s">
        <v>47</v>
      </c>
      <c r="F1585" s="139" t="s">
        <v>292</v>
      </c>
      <c r="G1585" s="43">
        <v>71.5</v>
      </c>
      <c r="H1585" s="43">
        <v>61.4</v>
      </c>
      <c r="I1585" s="33">
        <f>表1_4[[#This Row],[主队2]]-表1_4[[#This Row],[客队2]]</f>
        <v>10.1</v>
      </c>
      <c r="J158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585" s="35" t="s">
        <v>176</v>
      </c>
      <c r="L158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85" s="165">
        <v>3</v>
      </c>
      <c r="N1585" s="10" t="s">
        <v>119</v>
      </c>
      <c r="O1585" s="10" t="s">
        <v>27</v>
      </c>
      <c r="Q1585" s="11" t="s">
        <v>2155</v>
      </c>
      <c r="R1585" t="s">
        <v>855</v>
      </c>
      <c r="S1585" s="3"/>
      <c r="T1585" s="3" t="s">
        <v>2169</v>
      </c>
      <c r="U1585" s="83"/>
      <c r="V1585" s="55" t="s">
        <v>2267</v>
      </c>
      <c r="W1585" s="48"/>
      <c r="X1585" s="45"/>
    </row>
    <row r="1586" spans="1:24">
      <c r="A1586" s="174" t="s">
        <v>908</v>
      </c>
      <c r="B1586" s="146">
        <v>45214.114583333299</v>
      </c>
      <c r="C1586" s="141">
        <v>7</v>
      </c>
      <c r="D1586" s="134" t="s">
        <v>271</v>
      </c>
      <c r="E1586" s="7" t="s">
        <v>33</v>
      </c>
      <c r="F1586" s="139" t="s">
        <v>434</v>
      </c>
      <c r="G1586" s="43">
        <v>80.3</v>
      </c>
      <c r="H1586" s="43">
        <v>84.8</v>
      </c>
      <c r="I1586" s="33">
        <f>表1_4[[#This Row],[主队2]]-表1_4[[#This Row],[客队2]]</f>
        <v>-4.5</v>
      </c>
      <c r="J158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-0.25</v>
      </c>
      <c r="K1586" s="35" t="s">
        <v>166</v>
      </c>
      <c r="L158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86" s="165" t="s">
        <v>2268</v>
      </c>
      <c r="N1586" s="10" t="s">
        <v>133</v>
      </c>
      <c r="O1586" s="10" t="s">
        <v>32</v>
      </c>
      <c r="Q1586" s="11" t="s">
        <v>2155</v>
      </c>
      <c r="R1586" t="s">
        <v>852</v>
      </c>
      <c r="S1586" s="3" t="s">
        <v>2235</v>
      </c>
      <c r="T1586" s="3"/>
      <c r="U1586" s="83"/>
      <c r="V1586" s="231" t="s">
        <v>2269</v>
      </c>
      <c r="W1586" s="52"/>
      <c r="X1586" s="45"/>
    </row>
    <row r="1587" spans="1:24">
      <c r="A1587" s="173" t="s">
        <v>908</v>
      </c>
      <c r="B1587" s="146">
        <v>45214.114583333299</v>
      </c>
      <c r="C1587" s="138">
        <v>7</v>
      </c>
      <c r="D1587" s="134" t="s">
        <v>306</v>
      </c>
      <c r="E1587" s="7" t="s">
        <v>41</v>
      </c>
      <c r="F1587" s="139" t="s">
        <v>288</v>
      </c>
      <c r="G1587" s="43">
        <v>89</v>
      </c>
      <c r="H1587" s="43">
        <v>67</v>
      </c>
      <c r="I1587" s="33">
        <f>表1_4[[#This Row],[主队2]]-表1_4[[#This Row],[客队2]]</f>
        <v>22</v>
      </c>
      <c r="J1587" s="34">
        <v>2.5</v>
      </c>
      <c r="K1587" s="34">
        <v>2.25</v>
      </c>
      <c r="L158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87" s="165" t="s">
        <v>2253</v>
      </c>
      <c r="N1587" s="10" t="s">
        <v>119</v>
      </c>
      <c r="O1587" s="10" t="s">
        <v>48</v>
      </c>
      <c r="S1587" s="3"/>
      <c r="T1587" s="3"/>
      <c r="U1587" s="83"/>
      <c r="V1587" s="55" t="s">
        <v>2270</v>
      </c>
      <c r="W1587" s="44"/>
      <c r="X1587" s="45"/>
    </row>
    <row r="1588" spans="1:24">
      <c r="A1588" s="173" t="s">
        <v>908</v>
      </c>
      <c r="B1588" s="146">
        <v>45214.114583333299</v>
      </c>
      <c r="C1588" s="140">
        <v>7</v>
      </c>
      <c r="D1588" s="134" t="s">
        <v>204</v>
      </c>
      <c r="E1588" s="7" t="s">
        <v>37</v>
      </c>
      <c r="F1588" s="139" t="s">
        <v>929</v>
      </c>
      <c r="G1588" s="43">
        <v>92.9</v>
      </c>
      <c r="H1588" s="43">
        <v>56.2</v>
      </c>
      <c r="I1588" s="33">
        <f>表1_4[[#This Row],[主队2]]-表1_4[[#This Row],[客队2]]</f>
        <v>36.700000000000003</v>
      </c>
      <c r="J1588" s="34">
        <v>4</v>
      </c>
      <c r="K1588" s="34">
        <v>3.25</v>
      </c>
      <c r="L158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88" s="9" t="s">
        <v>161</v>
      </c>
      <c r="S1588" s="3"/>
      <c r="T1588" s="3"/>
      <c r="U1588" s="246"/>
      <c r="V1588" s="55" t="s">
        <v>2271</v>
      </c>
      <c r="W1588" s="44"/>
      <c r="X1588" s="45"/>
    </row>
    <row r="1589" spans="1:24">
      <c r="A1589" s="174" t="s">
        <v>908</v>
      </c>
      <c r="B1589" s="146">
        <v>45214.875</v>
      </c>
      <c r="C1589" s="138">
        <v>8</v>
      </c>
      <c r="D1589" s="134" t="s">
        <v>430</v>
      </c>
      <c r="E1589" s="7" t="s">
        <v>37</v>
      </c>
      <c r="F1589" s="139" t="s">
        <v>407</v>
      </c>
      <c r="G1589" s="43">
        <v>74.400000000000006</v>
      </c>
      <c r="H1589" s="43">
        <v>60.9</v>
      </c>
      <c r="I1589" s="33">
        <f>表1_4[[#This Row],[主队2]]-表1_4[[#This Row],[客队2]]</f>
        <v>13.5</v>
      </c>
      <c r="J158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589" s="35" t="s">
        <v>125</v>
      </c>
      <c r="L158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89" s="165" t="s">
        <v>2272</v>
      </c>
      <c r="N1589" s="10" t="s">
        <v>112</v>
      </c>
      <c r="O1589" s="10" t="s">
        <v>65</v>
      </c>
      <c r="Q1589" s="11" t="s">
        <v>2155</v>
      </c>
      <c r="R1589" t="s">
        <v>852</v>
      </c>
      <c r="S1589" s="3"/>
      <c r="T1589" s="3"/>
      <c r="U1589" s="25"/>
      <c r="V1589" s="54" t="s">
        <v>2273</v>
      </c>
      <c r="W1589" s="52"/>
      <c r="X1589" s="45"/>
    </row>
    <row r="1590" spans="1:24">
      <c r="A1590" s="174" t="s">
        <v>908</v>
      </c>
      <c r="B1590" s="146">
        <v>45215.114583333299</v>
      </c>
      <c r="C1590" s="141">
        <v>8</v>
      </c>
      <c r="D1590" s="134" t="s">
        <v>297</v>
      </c>
      <c r="E1590" s="7" t="s">
        <v>53</v>
      </c>
      <c r="F1590" s="139" t="s">
        <v>209</v>
      </c>
      <c r="G1590" s="43">
        <v>80.8</v>
      </c>
      <c r="H1590" s="43">
        <v>97</v>
      </c>
      <c r="I1590" s="33">
        <f>表1_4[[#This Row],[主队2]]-表1_4[[#This Row],[客队2]]</f>
        <v>-16.2</v>
      </c>
      <c r="J159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-1.25</v>
      </c>
      <c r="K1590" s="35" t="s">
        <v>132</v>
      </c>
      <c r="L159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90" s="165">
        <v>31</v>
      </c>
      <c r="N1590" s="10" t="s">
        <v>119</v>
      </c>
      <c r="O1590" s="10" t="s">
        <v>46</v>
      </c>
      <c r="Q1590" s="11" t="s">
        <v>2155</v>
      </c>
      <c r="R1590" t="s">
        <v>855</v>
      </c>
      <c r="S1590" s="3"/>
      <c r="T1590" s="3" t="s">
        <v>2169</v>
      </c>
      <c r="U1590" s="246"/>
      <c r="V1590" s="231" t="s">
        <v>2274</v>
      </c>
      <c r="W1590" s="44"/>
      <c r="X1590" s="45"/>
    </row>
    <row r="1591" spans="1:24">
      <c r="A1591" s="173" t="s">
        <v>908</v>
      </c>
      <c r="B1591" s="146">
        <v>45215</v>
      </c>
      <c r="C1591" s="140">
        <v>8</v>
      </c>
      <c r="D1591" s="134" t="s">
        <v>284</v>
      </c>
      <c r="E1591" s="7" t="s">
        <v>31</v>
      </c>
      <c r="F1591" s="139" t="s">
        <v>244</v>
      </c>
      <c r="G1591" s="43">
        <v>84.4</v>
      </c>
      <c r="H1591" s="43">
        <v>58.5</v>
      </c>
      <c r="I1591" s="33">
        <f>表1_4[[#This Row],[主队2]]-表1_4[[#This Row],[客队2]]</f>
        <v>25.9</v>
      </c>
      <c r="J1591" s="34">
        <v>2.75</v>
      </c>
      <c r="K1591" s="34">
        <v>2.5</v>
      </c>
      <c r="L159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91" s="9" t="s">
        <v>2275</v>
      </c>
      <c r="N1591" s="10" t="s">
        <v>112</v>
      </c>
      <c r="S1591" s="3"/>
      <c r="T1591" s="3"/>
      <c r="U1591" s="246"/>
      <c r="V1591" s="231" t="s">
        <v>2276</v>
      </c>
      <c r="W1591" s="52"/>
      <c r="X1591" s="45"/>
    </row>
    <row r="1592" spans="1:24">
      <c r="A1592" s="173" t="s">
        <v>908</v>
      </c>
      <c r="B1592" s="146">
        <v>45215.114583333299</v>
      </c>
      <c r="C1592" s="140">
        <v>8</v>
      </c>
      <c r="D1592" s="134" t="s">
        <v>302</v>
      </c>
      <c r="E1592" s="7" t="s">
        <v>36</v>
      </c>
      <c r="F1592" s="139" t="s">
        <v>195</v>
      </c>
      <c r="G1592" s="43">
        <v>82.5</v>
      </c>
      <c r="H1592" s="43">
        <v>60</v>
      </c>
      <c r="I1592" s="33">
        <f>表1_4[[#This Row],[主队2]]-表1_4[[#This Row],[客队2]]</f>
        <v>22.5</v>
      </c>
      <c r="J1592" s="34">
        <v>2.5</v>
      </c>
      <c r="K1592" s="34">
        <v>2</v>
      </c>
      <c r="L159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592" s="165" t="s">
        <v>2277</v>
      </c>
      <c r="N1592" s="10" t="s">
        <v>404</v>
      </c>
      <c r="O1592" s="10" t="s">
        <v>46</v>
      </c>
      <c r="Q1592" s="11" t="s">
        <v>2042</v>
      </c>
      <c r="R1592" t="s">
        <v>855</v>
      </c>
      <c r="S1592" s="3"/>
      <c r="T1592" s="3"/>
      <c r="U1592" s="83"/>
      <c r="V1592" s="55" t="s">
        <v>2278</v>
      </c>
      <c r="W1592" s="48"/>
      <c r="X1592" s="45"/>
    </row>
    <row r="1593" spans="1:24">
      <c r="A1593" s="173" t="s">
        <v>908</v>
      </c>
      <c r="B1593" s="146">
        <v>45215</v>
      </c>
      <c r="C1593" s="140">
        <v>8</v>
      </c>
      <c r="D1593" s="134" t="s">
        <v>250</v>
      </c>
      <c r="E1593" s="7" t="s">
        <v>66</v>
      </c>
      <c r="F1593" s="139" t="s">
        <v>240</v>
      </c>
      <c r="G1593" s="43">
        <v>87.9</v>
      </c>
      <c r="H1593" s="43">
        <v>68.8</v>
      </c>
      <c r="I1593" s="33">
        <f>表1_4[[#This Row],[主队2]]-表1_4[[#This Row],[客队2]]</f>
        <v>19.100000000000001</v>
      </c>
      <c r="J159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2.25</v>
      </c>
      <c r="K1593" s="34">
        <v>2.5</v>
      </c>
      <c r="L159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593" s="9" t="s">
        <v>2279</v>
      </c>
      <c r="Q1593" s="11" t="s">
        <v>2042</v>
      </c>
      <c r="S1593" s="3"/>
      <c r="T1593" s="3" t="s">
        <v>2169</v>
      </c>
      <c r="U1593" s="246"/>
      <c r="V1593" s="231" t="s">
        <v>1781</v>
      </c>
      <c r="W1593" s="44"/>
      <c r="X1593" s="45"/>
    </row>
    <row r="1594" spans="1:24">
      <c r="A1594" s="176" t="s">
        <v>908</v>
      </c>
      <c r="B1594" s="146">
        <v>45215.114583333299</v>
      </c>
      <c r="C1594" s="141">
        <v>8</v>
      </c>
      <c r="D1594" s="134" t="s">
        <v>305</v>
      </c>
      <c r="E1594" s="7" t="s">
        <v>37</v>
      </c>
      <c r="F1594" s="139" t="s">
        <v>243</v>
      </c>
      <c r="G1594" s="43">
        <v>78.5</v>
      </c>
      <c r="H1594" s="43">
        <v>49.8</v>
      </c>
      <c r="I1594" s="33">
        <f>表1_4[[#This Row],[主队2]]-表1_4[[#This Row],[客队2]]</f>
        <v>28.7</v>
      </c>
      <c r="J1594" s="34">
        <v>3</v>
      </c>
      <c r="K1594" s="34">
        <v>2.25</v>
      </c>
      <c r="L159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94" s="165" t="s">
        <v>2164</v>
      </c>
      <c r="N1594" s="10" t="s">
        <v>119</v>
      </c>
      <c r="O1594" s="10" t="s">
        <v>27</v>
      </c>
      <c r="Q1594" s="11" t="s">
        <v>2155</v>
      </c>
      <c r="R1594" t="s">
        <v>855</v>
      </c>
      <c r="S1594" s="3"/>
      <c r="T1594" s="3"/>
      <c r="U1594" s="25"/>
      <c r="V1594" s="54" t="s">
        <v>2280</v>
      </c>
      <c r="W1594" s="52"/>
      <c r="X1594" s="45"/>
    </row>
    <row r="1595" spans="1:24">
      <c r="A1595" s="173" t="s">
        <v>908</v>
      </c>
      <c r="B1595" s="146">
        <v>45215.114583333299</v>
      </c>
      <c r="C1595" s="140">
        <v>8</v>
      </c>
      <c r="D1595" s="134" t="s">
        <v>190</v>
      </c>
      <c r="E1595" s="7" t="s">
        <v>37</v>
      </c>
      <c r="F1595" s="139" t="s">
        <v>251</v>
      </c>
      <c r="G1595" s="43">
        <v>80.099999999999994</v>
      </c>
      <c r="H1595" s="43">
        <v>64.7</v>
      </c>
      <c r="I1595" s="33">
        <f>表1_4[[#This Row],[主队2]]-表1_4[[#This Row],[客队2]]</f>
        <v>15.4</v>
      </c>
      <c r="J159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1.75</v>
      </c>
      <c r="K1595" s="34">
        <v>2.25</v>
      </c>
      <c r="L159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595" s="9" t="s">
        <v>161</v>
      </c>
      <c r="S1595" s="3"/>
      <c r="T1595" s="3"/>
      <c r="U1595" s="83"/>
      <c r="V1595" s="231" t="s">
        <v>2281</v>
      </c>
      <c r="W1595" s="44"/>
      <c r="X1595" s="45"/>
    </row>
    <row r="1596" spans="1:24">
      <c r="A1596" s="173" t="s">
        <v>908</v>
      </c>
      <c r="B1596" s="146">
        <v>45215.114583333299</v>
      </c>
      <c r="C1596" s="140">
        <v>8</v>
      </c>
      <c r="D1596" s="134" t="s">
        <v>200</v>
      </c>
      <c r="E1596" s="7" t="s">
        <v>33</v>
      </c>
      <c r="F1596" s="139" t="s">
        <v>110</v>
      </c>
      <c r="G1596" s="43">
        <v>80.3</v>
      </c>
      <c r="H1596" s="43">
        <v>90.3</v>
      </c>
      <c r="I1596" s="33">
        <f>表1_4[[#This Row],[主队2]]-表1_4[[#This Row],[客队2]]</f>
        <v>-10</v>
      </c>
      <c r="J159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596" s="35" t="s">
        <v>132</v>
      </c>
      <c r="L159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96" s="9" t="s">
        <v>161</v>
      </c>
      <c r="S1596" s="3"/>
      <c r="T1596" s="3"/>
      <c r="U1596" s="83"/>
      <c r="V1596" s="231" t="s">
        <v>2282</v>
      </c>
      <c r="W1596" s="44"/>
      <c r="X1596" s="45"/>
    </row>
    <row r="1597" spans="1:24">
      <c r="A1597" s="173" t="s">
        <v>908</v>
      </c>
      <c r="B1597" s="146">
        <v>45216</v>
      </c>
      <c r="C1597" s="138">
        <v>8</v>
      </c>
      <c r="D1597" s="134" t="s">
        <v>278</v>
      </c>
      <c r="E1597" s="7" t="s">
        <v>53</v>
      </c>
      <c r="F1597" s="139" t="s">
        <v>194</v>
      </c>
      <c r="G1597" s="43">
        <v>65.099999999999994</v>
      </c>
      <c r="H1597" s="43">
        <v>83.6</v>
      </c>
      <c r="I1597" s="33">
        <f>表1_4[[#This Row],[主队2]]-表1_4[[#This Row],[客队2]]</f>
        <v>-18.5</v>
      </c>
      <c r="J159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597" s="35" t="s">
        <v>219</v>
      </c>
      <c r="L159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597" s="23">
        <v>0</v>
      </c>
      <c r="N1597" s="10" t="s">
        <v>119</v>
      </c>
      <c r="O1597" s="10" t="s">
        <v>27</v>
      </c>
      <c r="S1597" s="3"/>
      <c r="T1597" s="3" t="s">
        <v>2186</v>
      </c>
      <c r="U1597" s="25"/>
      <c r="V1597" s="54" t="s">
        <v>2283</v>
      </c>
      <c r="W1597" s="52"/>
      <c r="X1597" s="45"/>
    </row>
    <row r="1598" spans="1:24">
      <c r="A1598" s="173" t="s">
        <v>908</v>
      </c>
      <c r="B1598" s="146">
        <v>45216.114583333299</v>
      </c>
      <c r="C1598" s="140">
        <v>8</v>
      </c>
      <c r="D1598" s="134" t="s">
        <v>218</v>
      </c>
      <c r="E1598" s="7" t="s">
        <v>37</v>
      </c>
      <c r="F1598" s="139" t="s">
        <v>437</v>
      </c>
      <c r="G1598" s="43">
        <v>72.7</v>
      </c>
      <c r="H1598" s="43">
        <v>44.3</v>
      </c>
      <c r="I1598" s="33">
        <f>表1_4[[#This Row],[主队2]]-表1_4[[#This Row],[客队2]]</f>
        <v>28.4</v>
      </c>
      <c r="J1598" s="34">
        <v>3</v>
      </c>
      <c r="K1598" s="34">
        <v>3</v>
      </c>
      <c r="L159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598" s="9" t="s">
        <v>161</v>
      </c>
      <c r="S1598" s="3"/>
      <c r="T1598" s="3"/>
      <c r="U1598" s="246"/>
      <c r="V1598" s="54" t="s">
        <v>2284</v>
      </c>
      <c r="W1598" s="44"/>
      <c r="X1598" s="45"/>
    </row>
    <row r="1599" spans="1:24">
      <c r="A1599" s="173" t="s">
        <v>908</v>
      </c>
      <c r="B1599" s="146">
        <v>45216.114583333299</v>
      </c>
      <c r="C1599" s="138">
        <v>8</v>
      </c>
      <c r="D1599" s="134" t="s">
        <v>255</v>
      </c>
      <c r="E1599" s="7" t="s">
        <v>978</v>
      </c>
      <c r="F1599" s="139" t="s">
        <v>270</v>
      </c>
      <c r="G1599" s="43">
        <v>76.3</v>
      </c>
      <c r="H1599" s="43">
        <v>96.3</v>
      </c>
      <c r="I1599" s="33">
        <f>表1_4[[#This Row],[主队2]]-表1_4[[#This Row],[客队2]]</f>
        <v>-20</v>
      </c>
      <c r="J159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-1.75</v>
      </c>
      <c r="K1599" s="35" t="s">
        <v>245</v>
      </c>
      <c r="L159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599" s="23">
        <v>0</v>
      </c>
      <c r="N1599" s="10" t="s">
        <v>112</v>
      </c>
      <c r="O1599" s="10" t="s">
        <v>48</v>
      </c>
      <c r="S1599" s="3"/>
      <c r="T1599" s="3"/>
      <c r="U1599" s="83"/>
      <c r="V1599" s="55" t="s">
        <v>2285</v>
      </c>
      <c r="W1599" s="51"/>
      <c r="X1599" s="45"/>
    </row>
    <row r="1600" spans="1:24">
      <c r="A1600" s="173" t="s">
        <v>908</v>
      </c>
      <c r="B1600" s="146">
        <v>45216.114583333299</v>
      </c>
      <c r="C1600" s="140">
        <v>8</v>
      </c>
      <c r="D1600" s="134" t="s">
        <v>266</v>
      </c>
      <c r="E1600" s="7" t="s">
        <v>53</v>
      </c>
      <c r="F1600" s="139" t="s">
        <v>425</v>
      </c>
      <c r="G1600" s="43">
        <v>65.099999999999994</v>
      </c>
      <c r="H1600" s="43">
        <v>78.599999999999994</v>
      </c>
      <c r="I1600" s="33">
        <f>表1_4[[#This Row],[主队2]]-表1_4[[#This Row],[客队2]]</f>
        <v>-13.5</v>
      </c>
      <c r="J160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600" s="35" t="s">
        <v>152</v>
      </c>
      <c r="L160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600" s="9" t="s">
        <v>161</v>
      </c>
      <c r="S1600" s="3"/>
      <c r="T1600" s="3"/>
      <c r="U1600" s="246"/>
      <c r="V1600" s="246" t="s">
        <v>1507</v>
      </c>
      <c r="W1600" s="44"/>
      <c r="X1600" s="45"/>
    </row>
    <row r="1601" spans="1:24">
      <c r="A1601" s="173" t="s">
        <v>908</v>
      </c>
      <c r="B1601" s="146">
        <v>45216.114583333299</v>
      </c>
      <c r="C1601" s="140">
        <v>8</v>
      </c>
      <c r="D1601" s="134" t="s">
        <v>275</v>
      </c>
      <c r="E1601" s="7" t="s">
        <v>53</v>
      </c>
      <c r="F1601" s="139" t="s">
        <v>262</v>
      </c>
      <c r="G1601" s="43">
        <v>81</v>
      </c>
      <c r="H1601" s="43">
        <v>92.3</v>
      </c>
      <c r="I1601" s="33">
        <f>表1_4[[#This Row],[主队2]]-表1_4[[#This Row],[客队2]]</f>
        <v>-11.3</v>
      </c>
      <c r="J160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601" s="35" t="s">
        <v>132</v>
      </c>
      <c r="L160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亚低看二档</v>
      </c>
      <c r="M1601" s="9" t="s">
        <v>161</v>
      </c>
      <c r="S1601" s="3"/>
      <c r="T1601" s="3"/>
      <c r="U1601" s="83"/>
      <c r="V1601" s="55" t="s">
        <v>1411</v>
      </c>
      <c r="W1601" s="44"/>
      <c r="X1601" s="45"/>
    </row>
    <row r="1602" spans="1:24">
      <c r="A1602" s="173" t="s">
        <v>908</v>
      </c>
      <c r="B1602" s="146">
        <v>45216.114583333299</v>
      </c>
      <c r="C1602" s="140">
        <v>8</v>
      </c>
      <c r="D1602" s="134" t="s">
        <v>256</v>
      </c>
      <c r="E1602" s="7" t="s">
        <v>61</v>
      </c>
      <c r="F1602" s="139" t="s">
        <v>199</v>
      </c>
      <c r="G1602" s="43">
        <v>41</v>
      </c>
      <c r="H1602" s="43">
        <v>78.2</v>
      </c>
      <c r="I1602" s="33">
        <f>表1_4[[#This Row],[主队2]]-表1_4[[#This Row],[客队2]]</f>
        <v>-37.200000000000003</v>
      </c>
      <c r="J1602" s="34">
        <v>-3.75</v>
      </c>
      <c r="K1602" s="34">
        <v>-2.75</v>
      </c>
      <c r="L160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602" s="9" t="s">
        <v>161</v>
      </c>
      <c r="S1602" s="3"/>
      <c r="T1602" s="3"/>
      <c r="U1602" s="246" t="s">
        <v>776</v>
      </c>
      <c r="V1602" s="246" t="s">
        <v>635</v>
      </c>
      <c r="W1602" s="44"/>
      <c r="X1602" s="45"/>
    </row>
    <row r="1603" spans="1:24">
      <c r="A1603" s="173" t="s">
        <v>908</v>
      </c>
      <c r="B1603" s="146">
        <v>45217</v>
      </c>
      <c r="C1603" s="138">
        <v>8</v>
      </c>
      <c r="D1603" s="134" t="s">
        <v>191</v>
      </c>
      <c r="E1603" s="7" t="s">
        <v>60</v>
      </c>
      <c r="F1603" s="139" t="s">
        <v>288</v>
      </c>
      <c r="G1603" s="43">
        <v>77.5</v>
      </c>
      <c r="H1603" s="43">
        <v>67.2</v>
      </c>
      <c r="I1603" s="33">
        <f>表1_4[[#This Row],[主队2]]-表1_4[[#This Row],[客队2]]</f>
        <v>10.3</v>
      </c>
      <c r="J160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603" s="35" t="s">
        <v>176</v>
      </c>
      <c r="L160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603" s="165" t="s">
        <v>2286</v>
      </c>
      <c r="N1603" s="10" t="s">
        <v>119</v>
      </c>
      <c r="O1603" s="10" t="s">
        <v>28</v>
      </c>
      <c r="Q1603" s="11" t="s">
        <v>2155</v>
      </c>
      <c r="R1603" t="s">
        <v>855</v>
      </c>
      <c r="S1603" s="3"/>
      <c r="T1603" s="3"/>
      <c r="U1603" s="246"/>
      <c r="V1603" s="55" t="s">
        <v>2287</v>
      </c>
      <c r="W1603" s="48"/>
      <c r="X1603" s="45"/>
    </row>
    <row r="1604" spans="1:24">
      <c r="A1604" s="173" t="s">
        <v>908</v>
      </c>
      <c r="B1604" s="146">
        <v>45217.114583333299</v>
      </c>
      <c r="C1604" s="140">
        <v>8</v>
      </c>
      <c r="D1604" s="134" t="s">
        <v>296</v>
      </c>
      <c r="E1604" s="7" t="s">
        <v>53</v>
      </c>
      <c r="F1604" s="139" t="s">
        <v>309</v>
      </c>
      <c r="G1604" s="43">
        <v>72.400000000000006</v>
      </c>
      <c r="H1604" s="43">
        <v>78.8</v>
      </c>
      <c r="I1604" s="33">
        <f>表1_4[[#This Row],[主队2]]-表1_4[[#This Row],[客队2]]</f>
        <v>-6.3999999999999897</v>
      </c>
      <c r="J160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-0.5</v>
      </c>
      <c r="K1604" s="35" t="s">
        <v>152</v>
      </c>
      <c r="L160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604" s="9" t="s">
        <v>161</v>
      </c>
      <c r="S1604" s="3"/>
      <c r="T1604" s="3"/>
      <c r="U1604" s="246"/>
      <c r="V1604" s="246" t="s">
        <v>639</v>
      </c>
      <c r="W1604" s="44"/>
      <c r="X1604" s="45"/>
    </row>
    <row r="1605" spans="1:24">
      <c r="A1605" s="173" t="s">
        <v>908</v>
      </c>
      <c r="B1605" s="146">
        <v>45217.114583333299</v>
      </c>
      <c r="C1605" s="140">
        <v>8</v>
      </c>
      <c r="D1605" s="134" t="s">
        <v>282</v>
      </c>
      <c r="E1605" s="7" t="s">
        <v>60</v>
      </c>
      <c r="F1605" s="139" t="s">
        <v>306</v>
      </c>
      <c r="G1605" s="43">
        <v>31</v>
      </c>
      <c r="H1605" s="43">
        <v>88.8</v>
      </c>
      <c r="I1605" s="33">
        <f>表1_4[[#This Row],[主队2]]-表1_4[[#This Row],[客队2]]</f>
        <v>-57.8</v>
      </c>
      <c r="J1605" s="34">
        <v>-5.5</v>
      </c>
      <c r="K1605" s="34">
        <v>-4.25</v>
      </c>
      <c r="L160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S1605" s="3"/>
      <c r="T1605" s="3"/>
      <c r="U1605" s="25"/>
      <c r="V1605" s="54" t="s">
        <v>767</v>
      </c>
      <c r="W1605" s="44"/>
      <c r="X1605" s="45"/>
    </row>
    <row r="1606" spans="1:24">
      <c r="A1606" s="173" t="s">
        <v>908</v>
      </c>
      <c r="B1606" s="146">
        <v>45217.114583333299</v>
      </c>
      <c r="C1606" s="138">
        <v>8</v>
      </c>
      <c r="D1606" s="134" t="s">
        <v>434</v>
      </c>
      <c r="E1606" s="7" t="s">
        <v>41</v>
      </c>
      <c r="F1606" s="139" t="s">
        <v>301</v>
      </c>
      <c r="G1606" s="43">
        <v>84.3</v>
      </c>
      <c r="H1606" s="43">
        <v>72.099999999999994</v>
      </c>
      <c r="I1606" s="33">
        <f>表1_4[[#This Row],[主队2]]-表1_4[[#This Row],[客队2]]</f>
        <v>12.2</v>
      </c>
      <c r="J160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1.5</v>
      </c>
      <c r="K1606" s="35" t="s">
        <v>125</v>
      </c>
      <c r="L160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606" s="165">
        <v>3</v>
      </c>
      <c r="N1606" s="10" t="s">
        <v>112</v>
      </c>
      <c r="O1606" s="10" t="s">
        <v>35</v>
      </c>
      <c r="Q1606" s="11" t="s">
        <v>2042</v>
      </c>
      <c r="R1606" t="s">
        <v>852</v>
      </c>
      <c r="S1606" s="3"/>
      <c r="T1606" s="3"/>
      <c r="U1606" s="246" t="s">
        <v>1122</v>
      </c>
      <c r="V1606" s="246" t="s">
        <v>2288</v>
      </c>
      <c r="W1606" s="52"/>
      <c r="X1606" s="45"/>
    </row>
    <row r="1607" spans="1:24">
      <c r="A1607" s="173" t="s">
        <v>908</v>
      </c>
      <c r="B1607" s="146">
        <v>45217.114583333299</v>
      </c>
      <c r="C1607" s="138">
        <v>8</v>
      </c>
      <c r="D1607" s="134" t="s">
        <v>292</v>
      </c>
      <c r="E1607" s="7" t="s">
        <v>25</v>
      </c>
      <c r="F1607" s="139" t="s">
        <v>271</v>
      </c>
      <c r="G1607" s="43">
        <v>62.1</v>
      </c>
      <c r="H1607" s="43">
        <v>80.8</v>
      </c>
      <c r="I1607" s="33">
        <f>表1_4[[#This Row],[主队2]]-表1_4[[#This Row],[客队2]]</f>
        <v>-18.7</v>
      </c>
      <c r="J160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-1.5</v>
      </c>
      <c r="K1607" s="35">
        <v>-1.5</v>
      </c>
      <c r="L160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607" s="9" t="s">
        <v>2289</v>
      </c>
      <c r="N1607" s="10" t="s">
        <v>133</v>
      </c>
      <c r="O1607" s="10" t="s">
        <v>39</v>
      </c>
      <c r="Q1607" s="11" t="s">
        <v>2042</v>
      </c>
      <c r="R1607" t="s">
        <v>855</v>
      </c>
      <c r="S1607" s="3"/>
      <c r="T1607" s="3"/>
      <c r="U1607" s="25"/>
      <c r="V1607" s="54" t="s">
        <v>2290</v>
      </c>
      <c r="W1607" s="56"/>
      <c r="X1607" s="45"/>
    </row>
    <row r="1608" spans="1:24">
      <c r="A1608" s="173" t="s">
        <v>908</v>
      </c>
      <c r="B1608" s="146">
        <v>45217.114583333299</v>
      </c>
      <c r="C1608" s="145">
        <v>8</v>
      </c>
      <c r="D1608" s="134" t="s">
        <v>117</v>
      </c>
      <c r="E1608" s="7" t="s">
        <v>41</v>
      </c>
      <c r="F1608" s="139" t="s">
        <v>204</v>
      </c>
      <c r="G1608" s="43">
        <v>97</v>
      </c>
      <c r="H1608" s="43">
        <v>92.8</v>
      </c>
      <c r="I1608" s="33">
        <f>表1_4[[#This Row],[主队2]]-表1_4[[#This Row],[客队2]]</f>
        <v>4.2</v>
      </c>
      <c r="J160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0.75</v>
      </c>
      <c r="K1608" s="35" t="s">
        <v>118</v>
      </c>
      <c r="L160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亚合</v>
      </c>
      <c r="M1608" s="9" t="s">
        <v>161</v>
      </c>
      <c r="S1608" s="3"/>
      <c r="T1608" s="3"/>
      <c r="U1608" s="25"/>
      <c r="V1608" s="54" t="s">
        <v>997</v>
      </c>
      <c r="W1608" s="44"/>
      <c r="X1608" s="45"/>
    </row>
    <row r="1609" spans="1:24">
      <c r="A1609" s="173" t="s">
        <v>908</v>
      </c>
      <c r="B1609" s="146">
        <v>45217.114583333299</v>
      </c>
      <c r="C1609" s="138">
        <v>8</v>
      </c>
      <c r="D1609" s="134" t="s">
        <v>929</v>
      </c>
      <c r="E1609" s="7" t="s">
        <v>74</v>
      </c>
      <c r="F1609" s="139" t="s">
        <v>214</v>
      </c>
      <c r="G1609" s="43">
        <v>56.2</v>
      </c>
      <c r="H1609" s="43">
        <v>84</v>
      </c>
      <c r="I1609" s="33">
        <f>表1_4[[#This Row],[主队2]]-表1_4[[#This Row],[客队2]]</f>
        <v>-27.8</v>
      </c>
      <c r="J1609" s="34">
        <v>-2.5</v>
      </c>
      <c r="K1609" s="34">
        <v>-1.5</v>
      </c>
      <c r="L160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亚远低看</v>
      </c>
      <c r="M1609" s="9" t="s">
        <v>2289</v>
      </c>
      <c r="N1609" s="10" t="s">
        <v>133</v>
      </c>
      <c r="O1609" s="10" t="s">
        <v>27</v>
      </c>
      <c r="S1609" s="3"/>
      <c r="T1609" s="3"/>
      <c r="U1609" s="83"/>
      <c r="V1609" s="25" t="s">
        <v>2291</v>
      </c>
      <c r="W1609" s="52"/>
      <c r="X1609" s="45"/>
    </row>
    <row r="1610" spans="1:24">
      <c r="A1610" s="174" t="s">
        <v>156</v>
      </c>
      <c r="B1610" s="146">
        <v>45217.208333333299</v>
      </c>
      <c r="C1610" s="141">
        <v>4</v>
      </c>
      <c r="D1610" s="134" t="s">
        <v>180</v>
      </c>
      <c r="E1610" s="7" t="s">
        <v>44</v>
      </c>
      <c r="F1610" s="139" t="s">
        <v>175</v>
      </c>
      <c r="G1610" s="43">
        <v>81.8</v>
      </c>
      <c r="H1610" s="43">
        <v>84.1</v>
      </c>
      <c r="I1610" s="33">
        <f>表1_4[[#This Row],[主队2]]-表1_4[[#This Row],[客队2]]</f>
        <v>-2.2999999999999998</v>
      </c>
      <c r="J161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610" s="35" t="s">
        <v>152</v>
      </c>
      <c r="L161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亚高看一档</v>
      </c>
      <c r="M1610" s="165">
        <v>31</v>
      </c>
      <c r="N1610" s="10" t="s">
        <v>404</v>
      </c>
      <c r="O1610" s="10" t="s">
        <v>35</v>
      </c>
      <c r="Q1610" s="11" t="s">
        <v>2155</v>
      </c>
      <c r="R1610" t="s">
        <v>852</v>
      </c>
      <c r="S1610" s="3"/>
      <c r="T1610" s="3"/>
      <c r="U1610" s="83" t="s">
        <v>633</v>
      </c>
      <c r="V1610" s="55" t="s">
        <v>2292</v>
      </c>
      <c r="W1610" s="48"/>
      <c r="X1610" s="45"/>
    </row>
    <row r="1611" spans="1:24">
      <c r="A1611" s="173" t="s">
        <v>156</v>
      </c>
      <c r="B1611" s="146">
        <v>45217.270833333299</v>
      </c>
      <c r="C1611" s="140">
        <v>4</v>
      </c>
      <c r="D1611" s="134" t="s">
        <v>164</v>
      </c>
      <c r="E1611" s="7" t="s">
        <v>31</v>
      </c>
      <c r="F1611" s="139" t="s">
        <v>159</v>
      </c>
      <c r="G1611" s="43">
        <v>81.7</v>
      </c>
      <c r="H1611" s="43">
        <v>71.900000000000006</v>
      </c>
      <c r="I1611" s="33">
        <f>表1_4[[#This Row],[主队2]]-表1_4[[#This Row],[客队2]]</f>
        <v>9.8000000000000007</v>
      </c>
      <c r="J161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1.25</v>
      </c>
      <c r="K1611" s="34">
        <v>1.75</v>
      </c>
      <c r="L161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611" s="9" t="s">
        <v>161</v>
      </c>
      <c r="S1611" s="3"/>
      <c r="T1611" s="3"/>
      <c r="U1611" s="83"/>
      <c r="V1611" s="55" t="s">
        <v>2293</v>
      </c>
      <c r="W1611" s="44"/>
      <c r="X1611" s="45"/>
    </row>
    <row r="1612" spans="1:24">
      <c r="A1612" s="173" t="s">
        <v>156</v>
      </c>
      <c r="B1612" s="146">
        <v>45217.3125</v>
      </c>
      <c r="C1612" s="141">
        <v>4</v>
      </c>
      <c r="D1612" s="134" t="s">
        <v>165</v>
      </c>
      <c r="E1612" s="7" t="s">
        <v>42</v>
      </c>
      <c r="F1612" s="139" t="s">
        <v>158</v>
      </c>
      <c r="G1612" s="43">
        <v>88.3</v>
      </c>
      <c r="H1612" s="43">
        <v>91.5</v>
      </c>
      <c r="I1612" s="33">
        <f>表1_4[[#This Row],[主队2]]-表1_4[[#This Row],[客队2]]</f>
        <v>-3.2</v>
      </c>
      <c r="J161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</v>
      </c>
      <c r="K1612" s="35" t="s">
        <v>289</v>
      </c>
      <c r="L161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612" s="23" t="s">
        <v>2294</v>
      </c>
      <c r="N1612" s="10" t="s">
        <v>119</v>
      </c>
      <c r="O1612" s="10" t="s">
        <v>48</v>
      </c>
      <c r="S1612" s="3"/>
      <c r="T1612" s="3"/>
      <c r="U1612" s="83"/>
      <c r="V1612" s="231" t="s">
        <v>2295</v>
      </c>
      <c r="W1612" s="44"/>
      <c r="X1612" s="45"/>
    </row>
    <row r="1613" spans="1:24">
      <c r="A1613" s="173" t="s">
        <v>156</v>
      </c>
      <c r="B1613" s="146">
        <v>45217.333333333299</v>
      </c>
      <c r="C1613" s="140">
        <v>4</v>
      </c>
      <c r="D1613" s="134" t="s">
        <v>170</v>
      </c>
      <c r="E1613" s="7" t="s">
        <v>22</v>
      </c>
      <c r="F1613" s="139" t="s">
        <v>171</v>
      </c>
      <c r="G1613" s="43">
        <v>90.2</v>
      </c>
      <c r="H1613" s="43">
        <v>101.4</v>
      </c>
      <c r="I1613" s="33">
        <f>表1_4[[#This Row],[主队2]]-表1_4[[#This Row],[客队2]]</f>
        <v>-11.2</v>
      </c>
      <c r="J161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-0.75</v>
      </c>
      <c r="K1613" s="35" t="s">
        <v>132</v>
      </c>
      <c r="L161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M1613" s="9" t="s">
        <v>161</v>
      </c>
      <c r="S1613" s="3"/>
      <c r="T1613" s="3"/>
      <c r="U1613" s="25"/>
      <c r="V1613" s="231" t="s">
        <v>1476</v>
      </c>
      <c r="W1613" s="44"/>
      <c r="X1613" s="45"/>
    </row>
    <row r="1614" spans="1:24">
      <c r="A1614" s="173" t="s">
        <v>156</v>
      </c>
      <c r="B1614" s="146">
        <v>45217.416666666701</v>
      </c>
      <c r="C1614" s="138">
        <v>4</v>
      </c>
      <c r="D1614" s="134" t="s">
        <v>181</v>
      </c>
      <c r="E1614" s="7" t="s">
        <v>47</v>
      </c>
      <c r="F1614" s="139" t="s">
        <v>174</v>
      </c>
      <c r="G1614" s="43">
        <v>85</v>
      </c>
      <c r="H1614" s="43">
        <v>98.5</v>
      </c>
      <c r="I1614" s="33">
        <f>表1_4[[#This Row],[主队2]]-表1_4[[#This Row],[客队2]]</f>
        <v>-13.5</v>
      </c>
      <c r="J161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-1</v>
      </c>
      <c r="K1614" s="34">
        <v>-1.5</v>
      </c>
      <c r="L161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亚高看二档</v>
      </c>
      <c r="M1614" s="9" t="s">
        <v>2289</v>
      </c>
      <c r="N1614" s="10" t="s">
        <v>133</v>
      </c>
      <c r="O1614" s="10" t="s">
        <v>24</v>
      </c>
      <c r="S1614" s="3"/>
      <c r="T1614" s="3"/>
      <c r="U1614" s="83"/>
      <c r="V1614" s="62" t="s">
        <v>2296</v>
      </c>
      <c r="W1614" s="44"/>
      <c r="X1614" s="45"/>
    </row>
    <row r="1615" spans="1:24">
      <c r="A1615" s="173"/>
      <c r="B1615" s="146"/>
      <c r="C1615" s="140"/>
      <c r="D1615" s="134"/>
      <c r="F1615" s="139"/>
      <c r="G1615" s="43"/>
      <c r="H1615" s="43"/>
      <c r="I1615" s="33">
        <f>表1_4[[#This Row],[主队2]]-表1_4[[#This Row],[客队2]]</f>
        <v>0</v>
      </c>
      <c r="J161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15" s="35"/>
      <c r="L161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15" s="3"/>
      <c r="T1615" s="3"/>
      <c r="U1615" s="177"/>
      <c r="V1615" s="178"/>
      <c r="W1615" s="44"/>
      <c r="X1615" s="45"/>
    </row>
    <row r="1616" spans="1:24">
      <c r="A1616" s="173"/>
      <c r="B1616" s="146"/>
      <c r="C1616" s="140"/>
      <c r="D1616" s="134"/>
      <c r="F1616" s="139"/>
      <c r="G1616" s="43"/>
      <c r="H1616" s="43"/>
      <c r="I1616" s="33">
        <f>表1_4[[#This Row],[主队2]]-表1_4[[#This Row],[客队2]]</f>
        <v>0</v>
      </c>
      <c r="J161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16" s="35"/>
      <c r="L161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16" s="3"/>
      <c r="T1616" s="3"/>
      <c r="U1616" s="177"/>
      <c r="V1616" s="178"/>
      <c r="W1616" s="44"/>
      <c r="X1616" s="45"/>
    </row>
    <row r="1617" spans="1:24">
      <c r="A1617" s="173"/>
      <c r="B1617" s="146"/>
      <c r="C1617" s="140"/>
      <c r="D1617" s="134"/>
      <c r="F1617" s="139"/>
      <c r="G1617" s="43"/>
      <c r="H1617" s="43"/>
      <c r="I1617" s="33">
        <f>表1_4[[#This Row],[主队2]]-表1_4[[#This Row],[客队2]]</f>
        <v>0</v>
      </c>
      <c r="J161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17" s="35"/>
      <c r="L161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17" s="3"/>
      <c r="T1617" s="3"/>
      <c r="U1617" s="177"/>
      <c r="V1617" s="178"/>
      <c r="W1617" s="44"/>
      <c r="X1617" s="45"/>
    </row>
    <row r="1618" spans="1:24">
      <c r="A1618" s="173"/>
      <c r="B1618" s="146"/>
      <c r="C1618" s="140"/>
      <c r="D1618" s="134"/>
      <c r="F1618" s="139"/>
      <c r="G1618" s="43"/>
      <c r="H1618" s="43"/>
      <c r="I1618" s="33">
        <f>表1_4[[#This Row],[主队2]]-表1_4[[#This Row],[客队2]]</f>
        <v>0</v>
      </c>
      <c r="J161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18" s="35"/>
      <c r="L161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18" s="3"/>
      <c r="T1618" s="3"/>
      <c r="U1618" s="177"/>
      <c r="V1618" s="178"/>
      <c r="W1618" s="44"/>
      <c r="X1618" s="45"/>
    </row>
    <row r="1619" spans="1:24">
      <c r="A1619" s="173"/>
      <c r="B1619" s="146"/>
      <c r="C1619" s="140"/>
      <c r="D1619" s="134"/>
      <c r="F1619" s="139"/>
      <c r="G1619" s="43"/>
      <c r="H1619" s="43"/>
      <c r="I1619" s="33">
        <f>表1_4[[#This Row],[主队2]]-表1_4[[#This Row],[客队2]]</f>
        <v>0</v>
      </c>
      <c r="J161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19" s="35"/>
      <c r="L161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19" s="3"/>
      <c r="T1619" s="3"/>
      <c r="U1619" s="177"/>
      <c r="V1619" s="178"/>
      <c r="W1619" s="44"/>
      <c r="X1619" s="45"/>
    </row>
    <row r="1620" spans="1:24">
      <c r="A1620" s="173"/>
      <c r="B1620" s="146"/>
      <c r="C1620" s="140"/>
      <c r="D1620" s="134"/>
      <c r="F1620" s="139"/>
      <c r="G1620" s="43"/>
      <c r="H1620" s="43"/>
      <c r="I1620" s="33">
        <f>表1_4[[#This Row],[主队2]]-表1_4[[#This Row],[客队2]]</f>
        <v>0</v>
      </c>
      <c r="J162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20" s="35"/>
      <c r="L162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20" s="3"/>
      <c r="T1620" s="3"/>
      <c r="U1620" s="177"/>
      <c r="V1620" s="178"/>
      <c r="W1620" s="44"/>
      <c r="X1620" s="45"/>
    </row>
    <row r="1621" spans="1:24">
      <c r="A1621" s="173"/>
      <c r="B1621" s="146"/>
      <c r="C1621" s="140"/>
      <c r="D1621" s="134"/>
      <c r="F1621" s="139"/>
      <c r="G1621" s="43"/>
      <c r="H1621" s="43"/>
      <c r="I1621" s="33">
        <f>表1_4[[#This Row],[主队2]]-表1_4[[#This Row],[客队2]]</f>
        <v>0</v>
      </c>
      <c r="J162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21" s="35"/>
      <c r="L162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21" s="3"/>
      <c r="T1621" s="3"/>
      <c r="U1621" s="177"/>
      <c r="V1621" s="178"/>
      <c r="W1621" s="44"/>
      <c r="X1621" s="45"/>
    </row>
    <row r="1622" spans="1:24">
      <c r="A1622" s="173"/>
      <c r="B1622" s="146"/>
      <c r="C1622" s="140"/>
      <c r="D1622" s="134"/>
      <c r="F1622" s="139"/>
      <c r="G1622" s="43"/>
      <c r="H1622" s="43"/>
      <c r="I1622" s="33">
        <f>表1_4[[#This Row],[主队2]]-表1_4[[#This Row],[客队2]]</f>
        <v>0</v>
      </c>
      <c r="J162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22" s="35"/>
      <c r="L162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22" s="3"/>
      <c r="T1622" s="3"/>
      <c r="U1622" s="177"/>
      <c r="V1622" s="178"/>
      <c r="W1622" s="44"/>
      <c r="X1622" s="45"/>
    </row>
    <row r="1623" spans="1:24">
      <c r="A1623" s="173"/>
      <c r="B1623" s="146"/>
      <c r="C1623" s="140"/>
      <c r="D1623" s="134"/>
      <c r="F1623" s="139"/>
      <c r="G1623" s="43"/>
      <c r="H1623" s="43"/>
      <c r="I1623" s="33">
        <f>表1_4[[#This Row],[主队2]]-表1_4[[#This Row],[客队2]]</f>
        <v>0</v>
      </c>
      <c r="J162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23" s="35"/>
      <c r="L162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23" s="3"/>
      <c r="T1623" s="3"/>
      <c r="U1623" s="177"/>
      <c r="V1623" s="178"/>
      <c r="W1623" s="44"/>
      <c r="X1623" s="45"/>
    </row>
    <row r="1624" spans="1:24">
      <c r="A1624" s="173"/>
      <c r="B1624" s="146"/>
      <c r="C1624" s="140"/>
      <c r="D1624" s="134"/>
      <c r="F1624" s="139"/>
      <c r="G1624" s="43"/>
      <c r="H1624" s="43"/>
      <c r="I1624" s="33">
        <f>表1_4[[#This Row],[主队2]]-表1_4[[#This Row],[客队2]]</f>
        <v>0</v>
      </c>
      <c r="J162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24" s="35"/>
      <c r="L162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24" s="3"/>
      <c r="T1624" s="3"/>
      <c r="U1624" s="177"/>
      <c r="V1624" s="178"/>
      <c r="W1624" s="44"/>
      <c r="X1624" s="45"/>
    </row>
    <row r="1625" spans="1:24">
      <c r="A1625" s="173"/>
      <c r="B1625" s="146"/>
      <c r="C1625" s="140"/>
      <c r="D1625" s="134"/>
      <c r="F1625" s="139"/>
      <c r="G1625" s="43"/>
      <c r="H1625" s="43"/>
      <c r="I1625" s="33">
        <f>表1_4[[#This Row],[主队2]]-表1_4[[#This Row],[客队2]]</f>
        <v>0</v>
      </c>
      <c r="J162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25" s="35"/>
      <c r="L162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25" s="3"/>
      <c r="T1625" s="3"/>
      <c r="U1625" s="177"/>
      <c r="V1625" s="178"/>
      <c r="W1625" s="44"/>
      <c r="X1625" s="45"/>
    </row>
    <row r="1626" spans="1:24">
      <c r="A1626" s="173"/>
      <c r="B1626" s="146"/>
      <c r="C1626" s="140"/>
      <c r="D1626" s="134"/>
      <c r="F1626" s="139"/>
      <c r="G1626" s="43"/>
      <c r="H1626" s="43"/>
      <c r="I1626" s="33">
        <f>表1_4[[#This Row],[主队2]]-表1_4[[#This Row],[客队2]]</f>
        <v>0</v>
      </c>
      <c r="J162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26" s="35"/>
      <c r="L162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26" s="3"/>
      <c r="T1626" s="3"/>
      <c r="U1626" s="177"/>
      <c r="V1626" s="178"/>
      <c r="W1626" s="44"/>
      <c r="X1626" s="45"/>
    </row>
    <row r="1627" spans="1:24">
      <c r="A1627" s="173"/>
      <c r="B1627" s="146"/>
      <c r="C1627" s="140"/>
      <c r="D1627" s="134"/>
      <c r="F1627" s="139"/>
      <c r="G1627" s="43"/>
      <c r="H1627" s="43"/>
      <c r="I1627" s="33">
        <f>表1_4[[#This Row],[主队2]]-表1_4[[#This Row],[客队2]]</f>
        <v>0</v>
      </c>
      <c r="J162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27" s="35"/>
      <c r="L162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27" s="3"/>
      <c r="T1627" s="3"/>
      <c r="U1627" s="177"/>
      <c r="V1627" s="178"/>
      <c r="W1627" s="44"/>
      <c r="X1627" s="45"/>
    </row>
    <row r="1628" spans="1:24">
      <c r="A1628" s="173"/>
      <c r="B1628" s="146"/>
      <c r="C1628" s="140"/>
      <c r="D1628" s="134"/>
      <c r="F1628" s="139"/>
      <c r="G1628" s="43"/>
      <c r="H1628" s="43"/>
      <c r="I1628" s="33">
        <f>表1_4[[#This Row],[主队2]]-表1_4[[#This Row],[客队2]]</f>
        <v>0</v>
      </c>
      <c r="J162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28" s="35"/>
      <c r="L162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28" s="3"/>
      <c r="T1628" s="3"/>
      <c r="U1628" s="177"/>
      <c r="V1628" s="178"/>
      <c r="W1628" s="44"/>
      <c r="X1628" s="45"/>
    </row>
    <row r="1629" spans="1:24">
      <c r="A1629" s="173"/>
      <c r="B1629" s="146"/>
      <c r="C1629" s="140"/>
      <c r="D1629" s="134"/>
      <c r="F1629" s="139"/>
      <c r="G1629" s="43"/>
      <c r="H1629" s="43"/>
      <c r="I1629" s="33">
        <f>表1_4[[#This Row],[主队2]]-表1_4[[#This Row],[客队2]]</f>
        <v>0</v>
      </c>
      <c r="J162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29" s="35"/>
      <c r="L162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29" s="3"/>
      <c r="T1629" s="3"/>
      <c r="U1629" s="177"/>
      <c r="V1629" s="178"/>
      <c r="W1629" s="44"/>
      <c r="X1629" s="45"/>
    </row>
    <row r="1630" spans="1:24">
      <c r="A1630" s="173"/>
      <c r="B1630" s="146"/>
      <c r="C1630" s="140"/>
      <c r="D1630" s="134"/>
      <c r="F1630" s="139"/>
      <c r="G1630" s="43"/>
      <c r="H1630" s="43"/>
      <c r="I1630" s="33">
        <f>表1_4[[#This Row],[主队2]]-表1_4[[#This Row],[客队2]]</f>
        <v>0</v>
      </c>
      <c r="J163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30" s="35"/>
      <c r="L163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30" s="3"/>
      <c r="T1630" s="3"/>
      <c r="U1630" s="177"/>
      <c r="V1630" s="178"/>
      <c r="W1630" s="44"/>
      <c r="X1630" s="45"/>
    </row>
    <row r="1631" spans="1:24">
      <c r="A1631" s="173"/>
      <c r="B1631" s="146"/>
      <c r="C1631" s="140"/>
      <c r="D1631" s="134"/>
      <c r="F1631" s="139"/>
      <c r="G1631" s="43"/>
      <c r="H1631" s="43"/>
      <c r="I1631" s="33">
        <f>表1_4[[#This Row],[主队2]]-表1_4[[#This Row],[客队2]]</f>
        <v>0</v>
      </c>
      <c r="J163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31" s="35"/>
      <c r="L163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31" s="3"/>
      <c r="T1631" s="3"/>
      <c r="U1631" s="177"/>
      <c r="V1631" s="178"/>
      <c r="W1631" s="44"/>
      <c r="X1631" s="45"/>
    </row>
    <row r="1632" spans="1:24">
      <c r="A1632" s="173"/>
      <c r="B1632" s="146"/>
      <c r="C1632" s="140"/>
      <c r="D1632" s="134"/>
      <c r="F1632" s="139"/>
      <c r="G1632" s="43"/>
      <c r="H1632" s="43"/>
      <c r="I1632" s="33">
        <f>表1_4[[#This Row],[主队2]]-表1_4[[#This Row],[客队2]]</f>
        <v>0</v>
      </c>
      <c r="J163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32" s="35"/>
      <c r="L163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32" s="3"/>
      <c r="T1632" s="3"/>
      <c r="U1632" s="177"/>
      <c r="V1632" s="178"/>
      <c r="W1632" s="44"/>
      <c r="X1632" s="45"/>
    </row>
    <row r="1633" spans="1:25">
      <c r="A1633" s="173"/>
      <c r="B1633" s="146"/>
      <c r="C1633" s="140"/>
      <c r="D1633" s="134"/>
      <c r="F1633" s="139"/>
      <c r="G1633" s="43"/>
      <c r="H1633" s="43"/>
      <c r="I1633" s="33">
        <f>表1_4[[#This Row],[主队2]]-表1_4[[#This Row],[客队2]]</f>
        <v>0</v>
      </c>
      <c r="J163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33" s="35"/>
      <c r="L163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33" s="3"/>
      <c r="T1633" s="3"/>
      <c r="U1633" s="177"/>
      <c r="V1633" s="178"/>
      <c r="W1633" s="44"/>
      <c r="X1633" s="45"/>
    </row>
    <row r="1634" spans="1:25">
      <c r="A1634" s="173"/>
      <c r="B1634" s="146"/>
      <c r="C1634" s="140"/>
      <c r="D1634" s="134"/>
      <c r="F1634" s="139"/>
      <c r="G1634" s="43"/>
      <c r="H1634" s="43"/>
      <c r="I1634" s="33">
        <f>表1_4[[#This Row],[主队2]]-表1_4[[#This Row],[客队2]]</f>
        <v>0</v>
      </c>
      <c r="J163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34" s="35"/>
      <c r="L163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34" s="3"/>
      <c r="T1634" s="3"/>
      <c r="U1634" s="177"/>
      <c r="V1634" s="178"/>
      <c r="W1634" s="44"/>
      <c r="X1634" s="45"/>
    </row>
    <row r="1635" spans="1:25">
      <c r="A1635" s="173"/>
      <c r="B1635" s="146"/>
      <c r="C1635" s="140"/>
      <c r="D1635" s="134"/>
      <c r="F1635" s="139"/>
      <c r="G1635" s="43"/>
      <c r="H1635" s="43"/>
      <c r="I1635" s="33">
        <f>表1_4[[#This Row],[主队2]]-表1_4[[#This Row],[客队2]]</f>
        <v>0</v>
      </c>
      <c r="J163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35" s="35"/>
      <c r="L163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35" s="3"/>
      <c r="T1635" s="3"/>
      <c r="U1635" s="177"/>
      <c r="V1635" s="178"/>
      <c r="W1635" s="44"/>
      <c r="X1635" s="45"/>
    </row>
    <row r="1636" spans="1:25">
      <c r="A1636" s="173"/>
      <c r="B1636" s="146"/>
      <c r="C1636" s="140"/>
      <c r="D1636" s="134"/>
      <c r="F1636" s="139"/>
      <c r="G1636" s="43"/>
      <c r="H1636" s="43"/>
      <c r="I1636" s="33">
        <f>表1_4[[#This Row],[主队2]]-表1_4[[#This Row],[客队2]]</f>
        <v>0</v>
      </c>
      <c r="J1636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36" s="35"/>
      <c r="L1636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36" s="3"/>
      <c r="T1636" s="3"/>
      <c r="U1636" s="177"/>
      <c r="V1636" s="178"/>
      <c r="W1636" s="44"/>
      <c r="X1636" s="45"/>
    </row>
    <row r="1637" spans="1:25">
      <c r="A1637" s="173"/>
      <c r="B1637" s="146"/>
      <c r="C1637" s="140"/>
      <c r="D1637" s="134"/>
      <c r="F1637" s="139"/>
      <c r="G1637" s="43"/>
      <c r="H1637" s="43"/>
      <c r="I1637" s="33">
        <f>表1_4[[#This Row],[主队2]]-表1_4[[#This Row],[客队2]]</f>
        <v>0</v>
      </c>
      <c r="J1637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37" s="35"/>
      <c r="L1637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37" s="3"/>
      <c r="T1637" s="3"/>
      <c r="U1637" s="177"/>
      <c r="V1637" s="178"/>
      <c r="W1637" s="44"/>
      <c r="X1637" s="45"/>
    </row>
    <row r="1638" spans="1:25">
      <c r="A1638" s="173"/>
      <c r="B1638" s="146"/>
      <c r="C1638" s="140"/>
      <c r="D1638" s="134"/>
      <c r="F1638" s="139"/>
      <c r="G1638" s="43"/>
      <c r="H1638" s="43"/>
      <c r="I1638" s="33">
        <f>表1_4[[#This Row],[主队2]]-表1_4[[#This Row],[客队2]]</f>
        <v>0</v>
      </c>
      <c r="J1638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38" s="35"/>
      <c r="L1638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38" s="3"/>
      <c r="T1638" s="3"/>
      <c r="U1638" s="177"/>
      <c r="V1638" s="178"/>
      <c r="W1638" s="44"/>
      <c r="X1638" s="45"/>
    </row>
    <row r="1639" spans="1:25">
      <c r="A1639" s="173"/>
      <c r="B1639" s="146"/>
      <c r="C1639" s="140"/>
      <c r="D1639" s="134"/>
      <c r="F1639" s="139"/>
      <c r="G1639" s="43"/>
      <c r="H1639" s="43"/>
      <c r="I1639" s="33">
        <f>表1_4[[#This Row],[主队2]]-表1_4[[#This Row],[客队2]]</f>
        <v>0</v>
      </c>
      <c r="J1639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39" s="35"/>
      <c r="L1639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39" s="3"/>
      <c r="T1639" s="3"/>
      <c r="U1639" s="177"/>
      <c r="V1639" s="178"/>
      <c r="W1639" s="44"/>
      <c r="X1639" s="45"/>
    </row>
    <row r="1640" spans="1:25">
      <c r="A1640" s="173"/>
      <c r="B1640" s="146"/>
      <c r="C1640" s="140"/>
      <c r="D1640" s="134"/>
      <c r="F1640" s="139"/>
      <c r="G1640" s="43"/>
      <c r="H1640" s="43"/>
      <c r="I1640" s="33">
        <f>表1_4[[#This Row],[主队2]]-表1_4[[#This Row],[客队2]]</f>
        <v>0</v>
      </c>
      <c r="J1640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40" s="35"/>
      <c r="L1640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40" s="3"/>
      <c r="T1640" s="3"/>
      <c r="U1640" s="177"/>
      <c r="V1640" s="178"/>
      <c r="W1640" s="44"/>
      <c r="X1640" s="45"/>
    </row>
    <row r="1641" spans="1:25">
      <c r="A1641" s="173"/>
      <c r="B1641" s="146"/>
      <c r="C1641" s="140"/>
      <c r="D1641" s="134"/>
      <c r="F1641" s="139"/>
      <c r="G1641" s="43"/>
      <c r="H1641" s="43"/>
      <c r="I1641" s="33">
        <f>表1_4[[#This Row],[主队2]]-表1_4[[#This Row],[客队2]]</f>
        <v>0</v>
      </c>
      <c r="J1641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41" s="35"/>
      <c r="L1641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41" s="3"/>
      <c r="T1641" s="3"/>
      <c r="U1641" s="177"/>
      <c r="V1641" s="178"/>
      <c r="W1641" s="44"/>
      <c r="X1641" s="45"/>
    </row>
    <row r="1642" spans="1:25">
      <c r="A1642" s="173"/>
      <c r="B1642" s="146"/>
      <c r="C1642" s="140"/>
      <c r="D1642" s="134"/>
      <c r="F1642" s="139"/>
      <c r="G1642" s="43"/>
      <c r="H1642" s="43"/>
      <c r="I1642" s="33">
        <f>表1_4[[#This Row],[主队2]]-表1_4[[#This Row],[客队2]]</f>
        <v>0</v>
      </c>
      <c r="J1642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42" s="35"/>
      <c r="L1642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42" s="3"/>
      <c r="T1642" s="3"/>
      <c r="U1642" s="177"/>
      <c r="V1642" s="178"/>
      <c r="W1642" s="44"/>
      <c r="X1642" s="45"/>
    </row>
    <row r="1643" spans="1:25">
      <c r="A1643" s="173"/>
      <c r="B1643" s="146"/>
      <c r="C1643" s="140"/>
      <c r="D1643" s="134"/>
      <c r="F1643" s="139"/>
      <c r="G1643" s="43"/>
      <c r="H1643" s="43"/>
      <c r="I1643" s="33">
        <f>表1_4[[#This Row],[主队2]]-表1_4[[#This Row],[客队2]]</f>
        <v>0</v>
      </c>
      <c r="J1643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43" s="35"/>
      <c r="L1643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43" s="3"/>
      <c r="T1643" s="3"/>
      <c r="U1643" s="177"/>
      <c r="V1643" s="178"/>
      <c r="W1643" s="44"/>
      <c r="X1643" s="45"/>
    </row>
    <row r="1644" spans="1:25">
      <c r="A1644" s="173"/>
      <c r="B1644" s="146"/>
      <c r="C1644" s="140"/>
      <c r="D1644" s="134"/>
      <c r="F1644" s="139"/>
      <c r="G1644" s="43"/>
      <c r="H1644" s="43"/>
      <c r="I1644" s="33">
        <f>表1_4[[#This Row],[主队2]]-表1_4[[#This Row],[客队2]]</f>
        <v>0</v>
      </c>
      <c r="J1644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44" s="35"/>
      <c r="L1644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44" s="3"/>
      <c r="T1644" s="3"/>
      <c r="U1644" s="177"/>
      <c r="V1644" s="178"/>
      <c r="W1644" s="44"/>
      <c r="X1644" s="45"/>
    </row>
    <row r="1645" spans="1:25">
      <c r="A1645" s="173"/>
      <c r="B1645" s="146"/>
      <c r="C1645" s="140"/>
      <c r="D1645" s="134"/>
      <c r="F1645" s="139"/>
      <c r="G1645" s="43"/>
      <c r="H1645" s="43"/>
      <c r="I1645" s="33">
        <f>表1_4[[#This Row],[主队2]]-表1_4[[#This Row],[客队2]]</f>
        <v>0</v>
      </c>
      <c r="J1645" s="34">
        <f>IF(AND(表1_4[[#This Row],[实力差]]&lt;1.34,表1_4[[#This Row],[实力差]]&gt;-1.3),0.25,IF(AND(表1_4[[#This Row],[实力差]]&lt;3.8,表1_4[[#This Row],[实力差]]&gt;1.35),0.5,IF(AND(表1_4[[#This Row],[实力差]]&lt;6.3,表1_4[[#This Row],[实力差]]&gt;3.7),0.75,IF(AND(表1_4[[#This Row],[实力差]]&lt;8.79,表1_4[[#This Row],[实力差]]&gt;6.2),1,IF(AND(表1_4[[#This Row],[实力差]]&lt;11.3,表1_4[[#This Row],[实力差]]&gt;8.78),1.25,IF(AND(表1_4[[#This Row],[实力差]]&lt;13.8,表1_4[[#This Row],[实力差]]&gt;11.25),1.5,IF(AND(表1_4[[#This Row],[实力差]]&lt;16.3,表1_4[[#This Row],[实力差]]&gt;13.7),1.75,IF(AND(表1_4[[#This Row],[实力差]]&lt;18.8,表1_4[[#This Row],[实力差]]&gt;16.2),2,IF(AND(表1_4[[#This Row],[实力差]]&lt;-1.2,表1_4[[#This Row],[实力差]]&gt;-3.8),0,IF(AND(表1_4[[#This Row],[实力差]]&lt;-3.7,表1_4[[#This Row],[实力差]]&gt;-6.25),-0.25,IF(AND(表1_4[[#This Row],[实力差]]&lt;-6.21,表1_4[[#This Row],[实力差]]&gt;-8.8),-0.5,IF(AND(表1_4[[#This Row],[实力差]]&lt;-8.7,表1_4[[#This Row],[实力差]]&gt;-11.3),-0.75,IF(AND(表1_4[[#This Row],[实力差]]&lt;-11.2,表1_4[[#This Row],[实力差]]&gt;-13.8),-1,IF(AND(表1_4[[#This Row],[实力差]]&lt;-13.7,表1_4[[#This Row],[实力差]]&gt;-16.3),-1.25,IF(AND(表1_4[[#This Row],[实力差]]&lt;-16.2,表1_4[[#This Row],[实力差]]&gt;-18.8),-1.5,IF(表1_4[[#This Row],[实力差]]&lt;-18.7,-1.75,2.25))))))))))))))))</f>
        <v>0.25</v>
      </c>
      <c r="K1645" s="35"/>
      <c r="L1645" s="36" t="str">
        <f>IF(ABS(表1_4[[#This Row],[澳盘]])-ABS(表1_4[[#This Row],[实力盘]])=0,"亚合",IF(ABS(表1_4[[#This Row],[澳盘]])-ABS(表1_4[[#This Row],[实力盘]])=0.25,"亚高看一档",IF(ABS(表1_4[[#This Row],[澳盘]])-ABS(表1_4[[#This Row],[实力盘]])=0.5,"亚高看二档",IF(ABS(表1_4[[#This Row],[澳盘]])-ABS(表1_4[[#This Row],[实力盘]])&gt;=0.75,"亚远高看",IF(ABS(表1_4[[#This Row],[澳盘]])-ABS(表1_4[[#This Row],[实力盘]])=-0.25,"亚低看一档",IF(ABS(表1_4[[#This Row],[澳盘]])-ABS(表1_4[[#This Row],[实力盘]])=-0.5,"亚低看二档",IF(ABS(表1_4[[#This Row],[澳盘]])-ABS(表1_4[[#This Row],[实力盘]])&lt;=0.75,"亚远低看","亚重新看")))))))</f>
        <v>亚低看一档</v>
      </c>
      <c r="S1645" s="3"/>
      <c r="T1645" s="3"/>
      <c r="U1645" s="177"/>
      <c r="V1645" s="178"/>
      <c r="W1645" s="44"/>
      <c r="X1645" s="45"/>
    </row>
    <row r="1646" spans="1:25">
      <c r="C1646" s="2"/>
      <c r="H1646" s="179"/>
      <c r="R1646" t="s">
        <v>852</v>
      </c>
      <c r="T1646" s="11"/>
      <c r="U1646" s="180" t="s">
        <v>855</v>
      </c>
      <c r="V1646" s="180" t="s">
        <v>2297</v>
      </c>
      <c r="W1646" s="3" t="s">
        <v>2298</v>
      </c>
    </row>
    <row r="1647" spans="1:25">
      <c r="H1647" s="179"/>
      <c r="M1647" s="11"/>
      <c r="T1647" s="11"/>
      <c r="U1647" s="181"/>
      <c r="V1647" s="182"/>
      <c r="W1647" s="3"/>
    </row>
    <row r="1648" spans="1:25">
      <c r="M1648" s="11"/>
      <c r="P1648" s="9" t="s">
        <v>2299</v>
      </c>
      <c r="R1648">
        <v>22</v>
      </c>
      <c r="T1648" s="11"/>
      <c r="U1648" s="183">
        <v>11</v>
      </c>
      <c r="V1648" s="184">
        <f t="shared" ref="V1648" si="0">R1648/(R1648+U1648)</f>
        <v>0.66666666666666696</v>
      </c>
      <c r="W1648" s="185">
        <f>V1648</f>
        <v>0.66666666666666696</v>
      </c>
      <c r="X1648" s="186"/>
      <c r="Y1648" s="6" t="s">
        <v>2300</v>
      </c>
    </row>
    <row r="1649" spans="4:24">
      <c r="D1649" s="6" t="s">
        <v>2301</v>
      </c>
      <c r="M1649" s="11"/>
      <c r="P1649" s="9" t="s">
        <v>2302</v>
      </c>
      <c r="R1649">
        <v>30</v>
      </c>
      <c r="T1649" s="11"/>
      <c r="U1649" s="183">
        <v>27</v>
      </c>
      <c r="V1649" s="184">
        <f t="shared" ref="V1649" si="1">R1649/(R1649+U1649)</f>
        <v>0.52631578947368396</v>
      </c>
      <c r="W1649" s="187">
        <f>(R1649-U1649)/(U1649+R1649-R1648-U1648)</f>
        <v>0.125</v>
      </c>
    </row>
    <row r="1650" spans="4:24">
      <c r="M1650" s="11"/>
    </row>
    <row r="1651" spans="4:24">
      <c r="H1651" s="179"/>
      <c r="M1651" s="188"/>
    </row>
    <row r="1652" spans="4:24">
      <c r="M1652" s="11"/>
    </row>
    <row r="1653" spans="4:24">
      <c r="V1653" t="s">
        <v>2303</v>
      </c>
    </row>
    <row r="1654" spans="4:24">
      <c r="V1654" s="24" t="s">
        <v>2304</v>
      </c>
    </row>
    <row r="1657" spans="4:24">
      <c r="V1657" s="189" t="s">
        <v>2305</v>
      </c>
      <c r="W1657" s="3"/>
    </row>
    <row r="1658" spans="4:24">
      <c r="V1658" s="189" t="s">
        <v>2306</v>
      </c>
      <c r="W1658" s="3"/>
    </row>
    <row r="1659" spans="4:24">
      <c r="V1659" s="190"/>
      <c r="W1659" s="192"/>
      <c r="X1659" s="193"/>
    </row>
    <row r="1660" spans="4:24">
      <c r="V1660" s="191" t="s">
        <v>2307</v>
      </c>
      <c r="W1660" s="192"/>
      <c r="X1660" s="193"/>
    </row>
    <row r="1661" spans="4:24">
      <c r="V1661" s="191" t="s">
        <v>2308</v>
      </c>
      <c r="W1661" s="194"/>
      <c r="X1661" s="195"/>
    </row>
    <row r="1662" spans="4:24">
      <c r="V1662" s="191"/>
      <c r="W1662" s="194"/>
      <c r="X1662" s="195"/>
    </row>
    <row r="1663" spans="4:24">
      <c r="V1663" s="191"/>
      <c r="W1663" s="194"/>
      <c r="X1663" s="195"/>
    </row>
    <row r="1664" spans="4:24">
      <c r="V1664" s="191"/>
    </row>
    <row r="1665" spans="3:24">
      <c r="V1665" s="191"/>
    </row>
    <row r="1666" spans="3:24">
      <c r="W1666" s="295"/>
      <c r="X1666" s="195"/>
    </row>
    <row r="1667" spans="3:24">
      <c r="V1667" s="110"/>
    </row>
    <row r="1674" spans="3:24">
      <c r="V1674" s="36"/>
    </row>
    <row r="1675" spans="3:24">
      <c r="C1675" s="196"/>
      <c r="F1675" s="37"/>
    </row>
    <row r="1676" spans="3:24">
      <c r="F1676" s="37"/>
    </row>
    <row r="1677" spans="3:24">
      <c r="F1677" s="37"/>
    </row>
    <row r="1679" spans="3:24">
      <c r="O1679" s="114"/>
      <c r="V1679" s="36"/>
    </row>
    <row r="1682" spans="6:24">
      <c r="F1682" s="5"/>
    </row>
    <row r="1684" spans="6:24">
      <c r="V1684" s="3"/>
      <c r="W1684" s="3"/>
    </row>
    <row r="1685" spans="6:24">
      <c r="V1685" s="3"/>
      <c r="W1685" s="3"/>
    </row>
    <row r="1686" spans="6:24">
      <c r="V1686" s="194"/>
      <c r="W1686" s="3"/>
    </row>
    <row r="1687" spans="6:24">
      <c r="V1687" s="3"/>
      <c r="W1687" s="3"/>
    </row>
    <row r="1688" spans="6:24">
      <c r="V1688" s="3"/>
      <c r="W1688" s="3"/>
    </row>
    <row r="1689" spans="6:24">
      <c r="V1689" s="3"/>
      <c r="W1689" s="192"/>
      <c r="X1689" s="193"/>
    </row>
    <row r="1690" spans="6:24">
      <c r="V1690" s="3"/>
      <c r="W1690" s="192"/>
      <c r="X1690" s="193"/>
    </row>
    <row r="1691" spans="6:24">
      <c r="V1691" s="3"/>
      <c r="W1691" s="3"/>
    </row>
    <row r="1692" spans="6:24">
      <c r="V1692" s="3"/>
      <c r="W1692" s="194"/>
      <c r="X1692" s="195"/>
    </row>
    <row r="1693" spans="6:24">
      <c r="V1693" s="3"/>
      <c r="W1693" s="3"/>
    </row>
    <row r="1694" spans="6:24">
      <c r="V1694" s="3"/>
      <c r="W1694" s="3"/>
    </row>
    <row r="1695" spans="6:24">
      <c r="V1695" s="197"/>
      <c r="W1695" s="197"/>
      <c r="X1695" s="198"/>
    </row>
    <row r="1696" spans="6:24">
      <c r="V1696" s="36"/>
      <c r="W1696" s="36"/>
      <c r="X1696" s="198"/>
    </row>
    <row r="1697" spans="22:24">
      <c r="V1697" s="36"/>
      <c r="W1697" s="36"/>
      <c r="X1697" s="198"/>
    </row>
    <row r="1701" spans="22:24">
      <c r="V1701" s="36"/>
    </row>
  </sheetData>
  <conditionalFormatting sqref="E352">
    <cfRule type="containsText" dxfId="936" priority="1510" operator="containsText" text="5-2">
      <formula>NOT(ISERROR(SEARCH("5-2",E352)))</formula>
    </cfRule>
    <cfRule type="containsText" dxfId="935" priority="1511" operator="containsText" text="0-5">
      <formula>NOT(ISERROR(SEARCH("0-5",E352)))</formula>
    </cfRule>
    <cfRule type="containsText" dxfId="934" priority="1512" operator="containsText" text="3-4">
      <formula>NOT(ISERROR(SEARCH("3-4",E352)))</formula>
    </cfRule>
    <cfRule type="containsText" dxfId="933" priority="1513" operator="containsText" text="4-0">
      <formula>NOT(ISERROR(SEARCH("4-0",E352)))</formula>
    </cfRule>
    <cfRule type="containsText" dxfId="932" priority="1514" operator="containsText" text="2-4">
      <formula>NOT(ISERROR(SEARCH("2-4",E352)))</formula>
    </cfRule>
    <cfRule type="containsText" dxfId="931" priority="1515" operator="containsText" text="5-0">
      <formula>NOT(ISERROR(SEARCH("5-0",E352)))</formula>
    </cfRule>
    <cfRule type="containsText" dxfId="930" priority="1516" operator="containsText" text="4-3">
      <formula>NOT(ISERROR(SEARCH("4-3",E352)))</formula>
    </cfRule>
    <cfRule type="containsText" dxfId="929" priority="1517" operator="containsText" text="6-0">
      <formula>NOT(ISERROR(SEARCH("6-0",E352)))</formula>
    </cfRule>
    <cfRule type="containsText" dxfId="928" priority="1518" operator="containsText" text="6-0">
      <formula>NOT(ISERROR(SEARCH("6-0",E352)))</formula>
    </cfRule>
    <cfRule type="containsText" dxfId="927" priority="1519" operator="containsText" text="5-1">
      <formula>NOT(ISERROR(SEARCH("5-1",E352)))</formula>
    </cfRule>
    <cfRule type="containsText" dxfId="926" priority="1520" operator="containsText" text="1-4">
      <formula>NOT(ISERROR(SEARCH("1-4",E352)))</formula>
    </cfRule>
    <cfRule type="containsText" dxfId="925" priority="1521" operator="containsText" text="0-4">
      <formula>NOT(ISERROR(SEARCH("0-4",E352)))</formula>
    </cfRule>
    <cfRule type="containsText" dxfId="924" priority="1522" operator="containsText" text="2-3">
      <formula>NOT(ISERROR(SEARCH("2-3",E352)))</formula>
    </cfRule>
    <cfRule type="containsText" dxfId="923" priority="1523" operator="containsText" text="1-3">
      <formula>NOT(ISERROR(SEARCH("1-3",E352)))</formula>
    </cfRule>
    <cfRule type="containsText" dxfId="922" priority="1524" operator="containsText" text="0-3">
      <formula>NOT(ISERROR(SEARCH("0-3",E352)))</formula>
    </cfRule>
    <cfRule type="containsText" dxfId="921" priority="1525" operator="containsText" text="1-2">
      <formula>NOT(ISERROR(SEARCH("1-2",E352)))</formula>
    </cfRule>
    <cfRule type="containsText" dxfId="920" priority="1526" operator="containsText" text="0-2">
      <formula>NOT(ISERROR(SEARCH("0-2",E352)))</formula>
    </cfRule>
    <cfRule type="containsText" dxfId="919" priority="1527" operator="containsText" text="0-1">
      <formula>NOT(ISERROR(SEARCH("0-1",E352)))</formula>
    </cfRule>
    <cfRule type="containsText" dxfId="918" priority="1528" operator="containsText" text="4-2">
      <formula>NOT(ISERROR(SEARCH("4-2",E352)))</formula>
    </cfRule>
    <cfRule type="containsText" dxfId="917" priority="1529" operator="containsText" text="4-1">
      <formula>NOT(ISERROR(SEARCH("4-1",E352)))</formula>
    </cfRule>
    <cfRule type="containsText" dxfId="916" priority="1530" operator="containsText" text="3-2">
      <formula>NOT(ISERROR(SEARCH("3-2",E352)))</formula>
    </cfRule>
    <cfRule type="containsText" dxfId="915" priority="1531" operator="containsText" text="3-1">
      <formula>NOT(ISERROR(SEARCH("3-1",E352)))</formula>
    </cfRule>
    <cfRule type="containsText" dxfId="914" priority="1532" operator="containsText" text="3-0">
      <formula>NOT(ISERROR(SEARCH("3-0",E352)))</formula>
    </cfRule>
    <cfRule type="containsText" dxfId="913" priority="1533" operator="containsText" text="2-1">
      <formula>NOT(ISERROR(SEARCH("2-1",E352)))</formula>
    </cfRule>
    <cfRule type="containsText" dxfId="912" priority="1534" operator="containsText" text="2-0">
      <formula>NOT(ISERROR(SEARCH("2-0",E352)))</formula>
    </cfRule>
    <cfRule type="containsText" dxfId="911" priority="1535" operator="containsText" text="1-0">
      <formula>NOT(ISERROR(SEARCH("1-0",E352)))</formula>
    </cfRule>
    <cfRule type="containsText" dxfId="910" priority="1536" operator="containsText" text="4-4">
      <formula>NOT(ISERROR(SEARCH("4-4",E352)))</formula>
    </cfRule>
    <cfRule type="containsText" dxfId="909" priority="1537" operator="containsText" text="3-3">
      <formula>NOT(ISERROR(SEARCH("3-3",E352)))</formula>
    </cfRule>
    <cfRule type="containsText" dxfId="908" priority="1538" operator="containsText" text="2-2">
      <formula>NOT(ISERROR(SEARCH("2-2",E352)))</formula>
    </cfRule>
    <cfRule type="containsText" dxfId="907" priority="1539" operator="containsText" text="1-1">
      <formula>NOT(ISERROR(SEARCH("1-1",E352)))</formula>
    </cfRule>
    <cfRule type="containsText" dxfId="906" priority="1540" operator="containsText" text="0-0">
      <formula>NOT(ISERROR(SEARCH("0-0",E352)))</formula>
    </cfRule>
  </conditionalFormatting>
  <conditionalFormatting sqref="D1290">
    <cfRule type="cellIs" dxfId="905" priority="630" operator="equal">
      <formula>"圣马力诺"</formula>
    </cfRule>
    <cfRule type="cellIs" dxfId="904" priority="631" operator="equal">
      <formula>"科索沃"</formula>
    </cfRule>
    <cfRule type="cellIs" dxfId="903" priority="632" operator="equal">
      <formula>"匈牙利"</formula>
    </cfRule>
    <cfRule type="cellIs" dxfId="902" priority="633" operator="equal">
      <formula>"芬兰"</formula>
    </cfRule>
    <cfRule type="cellIs" dxfId="901" priority="634" operator="equal">
      <formula>"立陶宛"</formula>
    </cfRule>
    <cfRule type="cellIs" dxfId="900" priority="635" operator="equal">
      <formula>"塞尔维亚"</formula>
    </cfRule>
    <cfRule type="cellIs" dxfId="899" priority="636" operator="equal">
      <formula>"牙买加"</formula>
    </cfRule>
    <cfRule type="cellIs" dxfId="898" priority="637" operator="equal">
      <formula>"巴拿马"</formula>
    </cfRule>
    <cfRule type="cellIs" dxfId="897" priority="638" operator="equal">
      <formula>"北爱尔兰"</formula>
    </cfRule>
    <cfRule type="cellIs" dxfId="896" priority="639" operator="equal">
      <formula>"瑞士"</formula>
    </cfRule>
    <cfRule type="cellIs" dxfId="895" priority="640" operator="equal">
      <formula>"比利时"</formula>
    </cfRule>
    <cfRule type="cellIs" dxfId="894" priority="641" operator="equal">
      <formula>"威尔士"</formula>
    </cfRule>
    <cfRule type="cellIs" dxfId="893" priority="642" operator="equal">
      <formula>"乌拉圭"</formula>
    </cfRule>
    <cfRule type="cellIs" dxfId="892" priority="643" operator="equal">
      <formula>"波黑"</formula>
    </cfRule>
    <cfRule type="cellIs" dxfId="891" priority="644" operator="equal">
      <formula>"意大利"</formula>
    </cfRule>
    <cfRule type="cellIs" dxfId="890" priority="645" operator="equal">
      <formula>"摩尔多瓦"</formula>
    </cfRule>
    <cfRule type="cellIs" dxfId="889" priority="646" operator="equal">
      <formula>"韩国"</formula>
    </cfRule>
    <cfRule type="cellIs" dxfId="888" priority="647" operator="equal">
      <formula>"巴西"</formula>
    </cfRule>
    <cfRule type="cellIs" dxfId="887" priority="648" operator="equal">
      <formula>"秘鲁"</formula>
    </cfRule>
    <cfRule type="cellIs" dxfId="886" priority="649" operator="equal">
      <formula>"中国"</formula>
    </cfRule>
    <cfRule type="cellIs" dxfId="885" priority="650" operator="equal">
      <formula>"萨尔瓦多"</formula>
    </cfRule>
    <cfRule type="cellIs" dxfId="884" priority="651" operator="equal">
      <formula>"加拿大"</formula>
    </cfRule>
    <cfRule type="cellIs" dxfId="883" priority="652" operator="equal">
      <formula>"法罗群岛"</formula>
    </cfRule>
    <cfRule type="cellIs" dxfId="882" priority="653" operator="equal">
      <formula>"葡萄牙"</formula>
    </cfRule>
    <cfRule type="cellIs" dxfId="881" priority="654" operator="equal">
      <formula>"英格兰"</formula>
    </cfRule>
    <cfRule type="cellIs" dxfId="880" priority="656" operator="equal">
      <formula>"阿尔巴尼亚"</formula>
    </cfRule>
    <cfRule type="cellIs" dxfId="879" priority="657" operator="equal">
      <formula>"丹麦"</formula>
    </cfRule>
    <cfRule type="cellIs" dxfId="878" priority="658" operator="equal">
      <formula>"沙特"</formula>
    </cfRule>
    <cfRule type="cellIs" dxfId="877" priority="659" operator="equal">
      <formula>"伊朗"</formula>
    </cfRule>
    <cfRule type="cellIs" dxfId="876" priority="660" operator="equal">
      <formula>"荷兰"</formula>
    </cfRule>
    <cfRule type="cellIs" dxfId="875" priority="661" operator="equal">
      <formula>"拉脱维亚"</formula>
    </cfRule>
    <cfRule type="cellIs" dxfId="874" priority="662" operator="equal">
      <formula>"北马其顿"</formula>
    </cfRule>
    <cfRule type="cellIs" dxfId="873" priority="663" operator="equal">
      <formula>"捷克"</formula>
    </cfRule>
    <cfRule type="cellIs" dxfId="872" priority="664" operator="equal">
      <formula>"挪威"</formula>
    </cfRule>
    <cfRule type="cellIs" dxfId="871" priority="665" operator="equal">
      <formula>"瑞士"</formula>
    </cfRule>
    <cfRule type="cellIs" dxfId="870" priority="666" operator="equal">
      <formula>"玻利维亚"</formula>
    </cfRule>
  </conditionalFormatting>
  <conditionalFormatting sqref="E1290">
    <cfRule type="containsText" dxfId="869" priority="593" operator="containsText" text="5-2">
      <formula>NOT(ISERROR(SEARCH("5-2",E1290)))</formula>
    </cfRule>
    <cfRule type="containsText" dxfId="868" priority="594" operator="containsText" text="0-5">
      <formula>NOT(ISERROR(SEARCH("0-5",E1290)))</formula>
    </cfRule>
    <cfRule type="containsText" dxfId="867" priority="595" operator="containsText" text="3-4">
      <formula>NOT(ISERROR(SEARCH("3-4",E1290)))</formula>
    </cfRule>
    <cfRule type="containsText" dxfId="866" priority="596" operator="containsText" text="4-0">
      <formula>NOT(ISERROR(SEARCH("4-0",E1290)))</formula>
    </cfRule>
    <cfRule type="containsText" dxfId="865" priority="597" operator="containsText" text="2-4">
      <formula>NOT(ISERROR(SEARCH("2-4",E1290)))</formula>
    </cfRule>
    <cfRule type="containsText" dxfId="864" priority="598" operator="containsText" text="5-0">
      <formula>NOT(ISERROR(SEARCH("5-0",E1290)))</formula>
    </cfRule>
    <cfRule type="containsText" dxfId="863" priority="599" operator="containsText" text="4-3">
      <formula>NOT(ISERROR(SEARCH("4-3",E1290)))</formula>
    </cfRule>
    <cfRule type="containsText" dxfId="862" priority="600" operator="containsText" text="6-0">
      <formula>NOT(ISERROR(SEARCH("6-0",E1290)))</formula>
    </cfRule>
    <cfRule type="containsText" dxfId="861" priority="601" operator="containsText" text="6-0">
      <formula>NOT(ISERROR(SEARCH("6-0",E1290)))</formula>
    </cfRule>
    <cfRule type="containsText" dxfId="860" priority="602" operator="containsText" text="5-1">
      <formula>NOT(ISERROR(SEARCH("5-1",E1290)))</formula>
    </cfRule>
    <cfRule type="containsText" dxfId="859" priority="603" operator="containsText" text="1-4">
      <formula>NOT(ISERROR(SEARCH("1-4",E1290)))</formula>
    </cfRule>
    <cfRule type="containsText" dxfId="858" priority="604" operator="containsText" text="0-4">
      <formula>NOT(ISERROR(SEARCH("0-4",E1290)))</formula>
    </cfRule>
    <cfRule type="containsText" dxfId="857" priority="605" operator="containsText" text="2-3">
      <formula>NOT(ISERROR(SEARCH("2-3",E1290)))</formula>
    </cfRule>
    <cfRule type="containsText" dxfId="856" priority="606" operator="containsText" text="1-3">
      <formula>NOT(ISERROR(SEARCH("1-3",E1290)))</formula>
    </cfRule>
    <cfRule type="containsText" dxfId="855" priority="607" operator="containsText" text="0-3">
      <formula>NOT(ISERROR(SEARCH("0-3",E1290)))</formula>
    </cfRule>
    <cfRule type="containsText" dxfId="854" priority="608" operator="containsText" text="1-2">
      <formula>NOT(ISERROR(SEARCH("1-2",E1290)))</formula>
    </cfRule>
    <cfRule type="containsText" dxfId="853" priority="609" operator="containsText" text="0-2">
      <formula>NOT(ISERROR(SEARCH("0-2",E1290)))</formula>
    </cfRule>
    <cfRule type="containsText" dxfId="852" priority="610" operator="containsText" text="0-1">
      <formula>NOT(ISERROR(SEARCH("0-1",E1290)))</formula>
    </cfRule>
    <cfRule type="containsText" dxfId="851" priority="611" operator="containsText" text="4-2">
      <formula>NOT(ISERROR(SEARCH("4-2",E1290)))</formula>
    </cfRule>
    <cfRule type="containsText" dxfId="850" priority="612" operator="containsText" text="4-1">
      <formula>NOT(ISERROR(SEARCH("4-1",E1290)))</formula>
    </cfRule>
    <cfRule type="containsText" dxfId="849" priority="613" operator="containsText" text="3-2">
      <formula>NOT(ISERROR(SEARCH("3-2",E1290)))</formula>
    </cfRule>
    <cfRule type="containsText" dxfId="848" priority="614" operator="containsText" text="3-1">
      <formula>NOT(ISERROR(SEARCH("3-1",E1290)))</formula>
    </cfRule>
    <cfRule type="containsText" dxfId="847" priority="615" operator="containsText" text="3-0">
      <formula>NOT(ISERROR(SEARCH("3-0",E1290)))</formula>
    </cfRule>
    <cfRule type="containsText" dxfId="846" priority="616" operator="containsText" text="2-1">
      <formula>NOT(ISERROR(SEARCH("2-1",E1290)))</formula>
    </cfRule>
    <cfRule type="containsText" dxfId="845" priority="617" operator="containsText" text="2-0">
      <formula>NOT(ISERROR(SEARCH("2-0",E1290)))</formula>
    </cfRule>
    <cfRule type="containsText" dxfId="844" priority="618" operator="containsText" text="1-0">
      <formula>NOT(ISERROR(SEARCH("1-0",E1290)))</formula>
    </cfRule>
    <cfRule type="containsText" dxfId="843" priority="619" operator="containsText" text="4-4">
      <formula>NOT(ISERROR(SEARCH("4-4",E1290)))</formula>
    </cfRule>
    <cfRule type="containsText" dxfId="842" priority="620" operator="containsText" text="3-3">
      <formula>NOT(ISERROR(SEARCH("3-3",E1290)))</formula>
    </cfRule>
    <cfRule type="containsText" dxfId="841" priority="621" operator="containsText" text="2-2">
      <formula>NOT(ISERROR(SEARCH("2-2",E1290)))</formula>
    </cfRule>
    <cfRule type="containsText" dxfId="840" priority="622" operator="containsText" text="1-1">
      <formula>NOT(ISERROR(SEARCH("1-1",E1290)))</formula>
    </cfRule>
    <cfRule type="containsText" dxfId="839" priority="623" operator="containsText" text="0-0">
      <formula>NOT(ISERROR(SEARCH("0-0",E1290)))</formula>
    </cfRule>
  </conditionalFormatting>
  <conditionalFormatting sqref="F1290">
    <cfRule type="containsText" dxfId="838" priority="707" operator="containsText" text="马其顿">
      <formula>NOT(ISERROR(SEARCH("马其顿",F1290)))</formula>
    </cfRule>
    <cfRule type="cellIs" dxfId="837" priority="708" operator="equal">
      <formula>"格鲁吉亚"</formula>
    </cfRule>
    <cfRule type="cellIs" dxfId="836" priority="709" operator="equal">
      <formula>"乌克兰"</formula>
    </cfRule>
    <cfRule type="cellIs" dxfId="835" priority="710" operator="equal">
      <formula>"德国"</formula>
    </cfRule>
    <cfRule type="cellIs" dxfId="834" priority="711" operator="equal">
      <formula>"丹麦"</formula>
    </cfRule>
    <cfRule type="cellIs" dxfId="833" priority="712" operator="equal">
      <formula>"希腊"</formula>
    </cfRule>
    <cfRule type="containsText" dxfId="832" priority="713" operator="containsText" text="伊拉克">
      <formula>NOT(ISERROR(SEARCH("伊拉克",F1290)))</formula>
    </cfRule>
    <cfRule type="cellIs" dxfId="831" priority="714" operator="equal">
      <formula>"挪威"</formula>
    </cfRule>
    <cfRule type="cellIs" dxfId="830" priority="715" operator="equal">
      <formula>"洪都拉斯"</formula>
    </cfRule>
    <cfRule type="cellIs" dxfId="829" priority="716" operator="equal">
      <formula>"萨尔瓦多"</formula>
    </cfRule>
    <cfRule type="cellIs" dxfId="828" priority="717" operator="equal">
      <formula>"比利时"</formula>
    </cfRule>
    <cfRule type="cellIs" dxfId="827" priority="718" operator="equal">
      <formula>"土耳其"</formula>
    </cfRule>
    <cfRule type="cellIs" dxfId="826" priority="719" operator="equal">
      <formula>"日本"</formula>
    </cfRule>
    <cfRule type="cellIs" dxfId="825" priority="720" operator="equal">
      <formula>"英格兰"</formula>
    </cfRule>
    <cfRule type="cellIs" dxfId="824" priority="721" operator="equal">
      <formula>"安道尔"</formula>
    </cfRule>
    <cfRule type="cellIs" dxfId="823" priority="722" operator="equal">
      <formula>"塞浦路斯"</formula>
    </cfRule>
    <cfRule type="cellIs" dxfId="822" priority="723" operator="equal">
      <formula>"白俄罗斯"</formula>
    </cfRule>
    <cfRule type="cellIs" dxfId="821" priority="724" operator="equal">
      <formula>"巴拿马"</formula>
    </cfRule>
    <cfRule type="cellIs" dxfId="820" priority="725" operator="equal">
      <formula>"牙买加"</formula>
    </cfRule>
    <cfRule type="cellIs" dxfId="819" priority="726" operator="equal">
      <formula>"芬兰"</formula>
    </cfRule>
    <cfRule type="cellIs" dxfId="818" priority="728" operator="equal">
      <formula>"阿尔巴尼亚"</formula>
    </cfRule>
    <cfRule type="cellIs" dxfId="817" priority="729" operator="equal">
      <formula>"以色列"</formula>
    </cfRule>
    <cfRule type="cellIs" dxfId="816" priority="730" operator="equal">
      <formula>"哥斯达黎加"</formula>
    </cfRule>
    <cfRule type="cellIs" dxfId="815" priority="731" operator="equal">
      <formula>"立陶宛"</formula>
    </cfRule>
    <cfRule type="cellIs" dxfId="814" priority="732" operator="equal">
      <formula>"智利"</formula>
    </cfRule>
    <cfRule type="cellIs" dxfId="813" priority="733" operator="equal">
      <formula>"葡萄牙"</formula>
    </cfRule>
    <cfRule type="cellIs" dxfId="812" priority="734" operator="equal">
      <formula>"斯洛文尼亚"</formula>
    </cfRule>
    <cfRule type="cellIs" dxfId="811" priority="735" operator="equal">
      <formula>"西班牙"</formula>
    </cfRule>
    <cfRule type="cellIs" dxfId="810" priority="736" operator="equal">
      <formula>"玻利维亚"</formula>
    </cfRule>
    <cfRule type="cellIs" dxfId="809" priority="737" operator="equal">
      <formula>"乌拉圭"</formula>
    </cfRule>
    <cfRule type="cellIs" dxfId="808" priority="738" operator="equal">
      <formula>"瑞士"</formula>
    </cfRule>
    <cfRule type="cellIs" dxfId="807" priority="739" operator="equal">
      <formula>"摩尔多瓦"</formula>
    </cfRule>
    <cfRule type="cellIs" dxfId="806" priority="740" operator="equal">
      <formula>"北爱尔兰"</formula>
    </cfRule>
    <cfRule type="cellIs" dxfId="805" priority="741" operator="equal">
      <formula>"中国"</formula>
    </cfRule>
    <cfRule type="cellIs" dxfId="804" priority="742" operator="equal">
      <formula>"韩国"</formula>
    </cfRule>
    <cfRule type="cellIs" dxfId="803" priority="743" operator="equal">
      <formula>"威尔士"</formula>
    </cfRule>
    <cfRule type="cellIs" dxfId="802" priority="744" operator="equal">
      <formula>"俄罗斯"</formula>
    </cfRule>
    <cfRule type="cellIs" dxfId="801" priority="745" operator="equal">
      <formula>"巴西"</formula>
    </cfRule>
    <cfRule type="cellIs" dxfId="800" priority="746" operator="equal">
      <formula>"厄瓜多尔"</formula>
    </cfRule>
  </conditionalFormatting>
  <conditionalFormatting sqref="F1355">
    <cfRule type="containsText" dxfId="799" priority="567" operator="containsText" text="马其顿">
      <formula>NOT(ISERROR(SEARCH("马其顿",F1355)))</formula>
    </cfRule>
  </conditionalFormatting>
  <conditionalFormatting sqref="F1375">
    <cfRule type="containsText" dxfId="798" priority="191" operator="containsText" text="马其顿">
      <formula>NOT(ISERROR(SEARCH("马其顿",F1375)))</formula>
    </cfRule>
  </conditionalFormatting>
  <conditionalFormatting sqref="E1414">
    <cfRule type="containsText" dxfId="797" priority="534" operator="containsText" text="5-2">
      <formula>NOT(ISERROR(SEARCH("5-2",E1414)))</formula>
    </cfRule>
    <cfRule type="containsText" dxfId="796" priority="535" operator="containsText" text="0-5">
      <formula>NOT(ISERROR(SEARCH("0-5",E1414)))</formula>
    </cfRule>
    <cfRule type="containsText" dxfId="795" priority="536" operator="containsText" text="3-4">
      <formula>NOT(ISERROR(SEARCH("3-4",E1414)))</formula>
    </cfRule>
    <cfRule type="containsText" dxfId="794" priority="537" operator="containsText" text="4-0">
      <formula>NOT(ISERROR(SEARCH("4-0",E1414)))</formula>
    </cfRule>
    <cfRule type="containsText" dxfId="793" priority="538" operator="containsText" text="2-4">
      <formula>NOT(ISERROR(SEARCH("2-4",E1414)))</formula>
    </cfRule>
    <cfRule type="containsText" dxfId="792" priority="539" operator="containsText" text="5-0">
      <formula>NOT(ISERROR(SEARCH("5-0",E1414)))</formula>
    </cfRule>
    <cfRule type="containsText" dxfId="791" priority="540" operator="containsText" text="4-3">
      <formula>NOT(ISERROR(SEARCH("4-3",E1414)))</formula>
    </cfRule>
    <cfRule type="containsText" dxfId="790" priority="541" operator="containsText" text="6-0">
      <formula>NOT(ISERROR(SEARCH("6-0",E1414)))</formula>
    </cfRule>
    <cfRule type="containsText" dxfId="789" priority="542" operator="containsText" text="6-0">
      <formula>NOT(ISERROR(SEARCH("6-0",E1414)))</formula>
    </cfRule>
    <cfRule type="containsText" dxfId="788" priority="543" operator="containsText" text="5-1">
      <formula>NOT(ISERROR(SEARCH("5-1",E1414)))</formula>
    </cfRule>
    <cfRule type="containsText" dxfId="787" priority="544" operator="containsText" text="1-4">
      <formula>NOT(ISERROR(SEARCH("1-4",E1414)))</formula>
    </cfRule>
    <cfRule type="containsText" dxfId="786" priority="545" operator="containsText" text="0-4">
      <formula>NOT(ISERROR(SEARCH("0-4",E1414)))</formula>
    </cfRule>
    <cfRule type="containsText" dxfId="785" priority="546" operator="containsText" text="2-3">
      <formula>NOT(ISERROR(SEARCH("2-3",E1414)))</formula>
    </cfRule>
    <cfRule type="containsText" dxfId="784" priority="547" operator="containsText" text="1-3">
      <formula>NOT(ISERROR(SEARCH("1-3",E1414)))</formula>
    </cfRule>
    <cfRule type="containsText" dxfId="783" priority="548" operator="containsText" text="0-3">
      <formula>NOT(ISERROR(SEARCH("0-3",E1414)))</formula>
    </cfRule>
    <cfRule type="containsText" dxfId="782" priority="549" operator="containsText" text="1-2">
      <formula>NOT(ISERROR(SEARCH("1-2",E1414)))</formula>
    </cfRule>
    <cfRule type="containsText" dxfId="781" priority="550" operator="containsText" text="0-2">
      <formula>NOT(ISERROR(SEARCH("0-2",E1414)))</formula>
    </cfRule>
    <cfRule type="containsText" dxfId="780" priority="551" operator="containsText" text="0-1">
      <formula>NOT(ISERROR(SEARCH("0-1",E1414)))</formula>
    </cfRule>
    <cfRule type="containsText" dxfId="779" priority="552" operator="containsText" text="4-2">
      <formula>NOT(ISERROR(SEARCH("4-2",E1414)))</formula>
    </cfRule>
    <cfRule type="containsText" dxfId="778" priority="553" operator="containsText" text="4-1">
      <formula>NOT(ISERROR(SEARCH("4-1",E1414)))</formula>
    </cfRule>
    <cfRule type="containsText" dxfId="777" priority="554" operator="containsText" text="3-2">
      <formula>NOT(ISERROR(SEARCH("3-2",E1414)))</formula>
    </cfRule>
    <cfRule type="containsText" dxfId="776" priority="555" operator="containsText" text="3-1">
      <formula>NOT(ISERROR(SEARCH("3-1",E1414)))</formula>
    </cfRule>
    <cfRule type="containsText" dxfId="775" priority="556" operator="containsText" text="3-0">
      <formula>NOT(ISERROR(SEARCH("3-0",E1414)))</formula>
    </cfRule>
    <cfRule type="containsText" dxfId="774" priority="557" operator="containsText" text="2-1">
      <formula>NOT(ISERROR(SEARCH("2-1",E1414)))</formula>
    </cfRule>
    <cfRule type="containsText" dxfId="773" priority="558" operator="containsText" text="2-0">
      <formula>NOT(ISERROR(SEARCH("2-0",E1414)))</formula>
    </cfRule>
    <cfRule type="containsText" dxfId="772" priority="559" operator="containsText" text="1-0">
      <formula>NOT(ISERROR(SEARCH("1-0",E1414)))</formula>
    </cfRule>
    <cfRule type="containsText" dxfId="771" priority="560" operator="containsText" text="4-4">
      <formula>NOT(ISERROR(SEARCH("4-4",E1414)))</formula>
    </cfRule>
    <cfRule type="containsText" dxfId="770" priority="561" operator="containsText" text="3-3">
      <formula>NOT(ISERROR(SEARCH("3-3",E1414)))</formula>
    </cfRule>
    <cfRule type="containsText" dxfId="769" priority="562" operator="containsText" text="2-2">
      <formula>NOT(ISERROR(SEARCH("2-2",E1414)))</formula>
    </cfRule>
    <cfRule type="containsText" dxfId="768" priority="563" operator="containsText" text="1-1">
      <formula>NOT(ISERROR(SEARCH("1-1",E1414)))</formula>
    </cfRule>
    <cfRule type="containsText" dxfId="767" priority="564" operator="containsText" text="0-0">
      <formula>NOT(ISERROR(SEARCH("0-0",E1414)))</formula>
    </cfRule>
  </conditionalFormatting>
  <conditionalFormatting sqref="E1415">
    <cfRule type="containsText" dxfId="766" priority="503" operator="containsText" text="5-2">
      <formula>NOT(ISERROR(SEARCH("5-2",E1415)))</formula>
    </cfRule>
    <cfRule type="containsText" dxfId="765" priority="504" operator="containsText" text="0-5">
      <formula>NOT(ISERROR(SEARCH("0-5",E1415)))</formula>
    </cfRule>
    <cfRule type="containsText" dxfId="764" priority="505" operator="containsText" text="3-4">
      <formula>NOT(ISERROR(SEARCH("3-4",E1415)))</formula>
    </cfRule>
    <cfRule type="containsText" dxfId="763" priority="506" operator="containsText" text="4-0">
      <formula>NOT(ISERROR(SEARCH("4-0",E1415)))</formula>
    </cfRule>
    <cfRule type="containsText" dxfId="762" priority="507" operator="containsText" text="2-4">
      <formula>NOT(ISERROR(SEARCH("2-4",E1415)))</formula>
    </cfRule>
    <cfRule type="containsText" dxfId="761" priority="508" operator="containsText" text="5-0">
      <formula>NOT(ISERROR(SEARCH("5-0",E1415)))</formula>
    </cfRule>
    <cfRule type="containsText" dxfId="760" priority="509" operator="containsText" text="4-3">
      <formula>NOT(ISERROR(SEARCH("4-3",E1415)))</formula>
    </cfRule>
    <cfRule type="containsText" dxfId="759" priority="510" operator="containsText" text="6-0">
      <formula>NOT(ISERROR(SEARCH("6-0",E1415)))</formula>
    </cfRule>
    <cfRule type="containsText" dxfId="758" priority="511" operator="containsText" text="6-0">
      <formula>NOT(ISERROR(SEARCH("6-0",E1415)))</formula>
    </cfRule>
    <cfRule type="containsText" dxfId="757" priority="512" operator="containsText" text="5-1">
      <formula>NOT(ISERROR(SEARCH("5-1",E1415)))</formula>
    </cfRule>
    <cfRule type="containsText" dxfId="756" priority="513" operator="containsText" text="1-4">
      <formula>NOT(ISERROR(SEARCH("1-4",E1415)))</formula>
    </cfRule>
    <cfRule type="containsText" dxfId="755" priority="514" operator="containsText" text="0-4">
      <formula>NOT(ISERROR(SEARCH("0-4",E1415)))</formula>
    </cfRule>
    <cfRule type="containsText" dxfId="754" priority="515" operator="containsText" text="2-3">
      <formula>NOT(ISERROR(SEARCH("2-3",E1415)))</formula>
    </cfRule>
    <cfRule type="containsText" dxfId="753" priority="516" operator="containsText" text="1-3">
      <formula>NOT(ISERROR(SEARCH("1-3",E1415)))</formula>
    </cfRule>
    <cfRule type="containsText" dxfId="752" priority="517" operator="containsText" text="0-3">
      <formula>NOT(ISERROR(SEARCH("0-3",E1415)))</formula>
    </cfRule>
    <cfRule type="containsText" dxfId="751" priority="518" operator="containsText" text="1-2">
      <formula>NOT(ISERROR(SEARCH("1-2",E1415)))</formula>
    </cfRule>
    <cfRule type="containsText" dxfId="750" priority="519" operator="containsText" text="0-2">
      <formula>NOT(ISERROR(SEARCH("0-2",E1415)))</formula>
    </cfRule>
    <cfRule type="containsText" dxfId="749" priority="520" operator="containsText" text="0-1">
      <formula>NOT(ISERROR(SEARCH("0-1",E1415)))</formula>
    </cfRule>
    <cfRule type="containsText" dxfId="748" priority="521" operator="containsText" text="4-2">
      <formula>NOT(ISERROR(SEARCH("4-2",E1415)))</formula>
    </cfRule>
    <cfRule type="containsText" dxfId="747" priority="522" operator="containsText" text="4-1">
      <formula>NOT(ISERROR(SEARCH("4-1",E1415)))</formula>
    </cfRule>
    <cfRule type="containsText" dxfId="746" priority="523" operator="containsText" text="3-2">
      <formula>NOT(ISERROR(SEARCH("3-2",E1415)))</formula>
    </cfRule>
    <cfRule type="containsText" dxfId="745" priority="524" operator="containsText" text="3-1">
      <formula>NOT(ISERROR(SEARCH("3-1",E1415)))</formula>
    </cfRule>
    <cfRule type="containsText" dxfId="744" priority="525" operator="containsText" text="3-0">
      <formula>NOT(ISERROR(SEARCH("3-0",E1415)))</formula>
    </cfRule>
    <cfRule type="containsText" dxfId="743" priority="526" operator="containsText" text="2-1">
      <formula>NOT(ISERROR(SEARCH("2-1",E1415)))</formula>
    </cfRule>
    <cfRule type="containsText" dxfId="742" priority="527" operator="containsText" text="2-0">
      <formula>NOT(ISERROR(SEARCH("2-0",E1415)))</formula>
    </cfRule>
    <cfRule type="containsText" dxfId="741" priority="528" operator="containsText" text="1-0">
      <formula>NOT(ISERROR(SEARCH("1-0",E1415)))</formula>
    </cfRule>
    <cfRule type="containsText" dxfId="740" priority="529" operator="containsText" text="4-4">
      <formula>NOT(ISERROR(SEARCH("4-4",E1415)))</formula>
    </cfRule>
    <cfRule type="containsText" dxfId="739" priority="530" operator="containsText" text="3-3">
      <formula>NOT(ISERROR(SEARCH("3-3",E1415)))</formula>
    </cfRule>
    <cfRule type="containsText" dxfId="738" priority="531" operator="containsText" text="2-2">
      <formula>NOT(ISERROR(SEARCH("2-2",E1415)))</formula>
    </cfRule>
    <cfRule type="containsText" dxfId="737" priority="532" operator="containsText" text="1-1">
      <formula>NOT(ISERROR(SEARCH("1-1",E1415)))</formula>
    </cfRule>
    <cfRule type="containsText" dxfId="736" priority="533" operator="containsText" text="0-0">
      <formula>NOT(ISERROR(SEARCH("0-0",E1415)))</formula>
    </cfRule>
  </conditionalFormatting>
  <conditionalFormatting sqref="E1416">
    <cfRule type="containsText" dxfId="735" priority="472" operator="containsText" text="5-2">
      <formula>NOT(ISERROR(SEARCH("5-2",E1416)))</formula>
    </cfRule>
    <cfRule type="containsText" dxfId="734" priority="473" operator="containsText" text="0-5">
      <formula>NOT(ISERROR(SEARCH("0-5",E1416)))</formula>
    </cfRule>
    <cfRule type="containsText" dxfId="733" priority="474" operator="containsText" text="3-4">
      <formula>NOT(ISERROR(SEARCH("3-4",E1416)))</formula>
    </cfRule>
    <cfRule type="containsText" dxfId="732" priority="475" operator="containsText" text="4-0">
      <formula>NOT(ISERROR(SEARCH("4-0",E1416)))</formula>
    </cfRule>
    <cfRule type="containsText" dxfId="731" priority="476" operator="containsText" text="2-4">
      <formula>NOT(ISERROR(SEARCH("2-4",E1416)))</formula>
    </cfRule>
    <cfRule type="containsText" dxfId="730" priority="477" operator="containsText" text="5-0">
      <formula>NOT(ISERROR(SEARCH("5-0",E1416)))</formula>
    </cfRule>
    <cfRule type="containsText" dxfId="729" priority="478" operator="containsText" text="4-3">
      <formula>NOT(ISERROR(SEARCH("4-3",E1416)))</formula>
    </cfRule>
    <cfRule type="containsText" dxfId="728" priority="479" operator="containsText" text="6-0">
      <formula>NOT(ISERROR(SEARCH("6-0",E1416)))</formula>
    </cfRule>
    <cfRule type="containsText" dxfId="727" priority="480" operator="containsText" text="6-0">
      <formula>NOT(ISERROR(SEARCH("6-0",E1416)))</formula>
    </cfRule>
    <cfRule type="containsText" dxfId="726" priority="481" operator="containsText" text="5-1">
      <formula>NOT(ISERROR(SEARCH("5-1",E1416)))</formula>
    </cfRule>
    <cfRule type="containsText" dxfId="725" priority="482" operator="containsText" text="1-4">
      <formula>NOT(ISERROR(SEARCH("1-4",E1416)))</formula>
    </cfRule>
    <cfRule type="containsText" dxfId="724" priority="483" operator="containsText" text="0-4">
      <formula>NOT(ISERROR(SEARCH("0-4",E1416)))</formula>
    </cfRule>
    <cfRule type="containsText" dxfId="723" priority="484" operator="containsText" text="2-3">
      <formula>NOT(ISERROR(SEARCH("2-3",E1416)))</formula>
    </cfRule>
    <cfRule type="containsText" dxfId="722" priority="485" operator="containsText" text="1-3">
      <formula>NOT(ISERROR(SEARCH("1-3",E1416)))</formula>
    </cfRule>
    <cfRule type="containsText" dxfId="721" priority="486" operator="containsText" text="0-3">
      <formula>NOT(ISERROR(SEARCH("0-3",E1416)))</formula>
    </cfRule>
    <cfRule type="containsText" dxfId="720" priority="487" operator="containsText" text="1-2">
      <formula>NOT(ISERROR(SEARCH("1-2",E1416)))</formula>
    </cfRule>
    <cfRule type="containsText" dxfId="719" priority="488" operator="containsText" text="0-2">
      <formula>NOT(ISERROR(SEARCH("0-2",E1416)))</formula>
    </cfRule>
    <cfRule type="containsText" dxfId="718" priority="489" operator="containsText" text="0-1">
      <formula>NOT(ISERROR(SEARCH("0-1",E1416)))</formula>
    </cfRule>
    <cfRule type="containsText" dxfId="717" priority="490" operator="containsText" text="4-2">
      <formula>NOT(ISERROR(SEARCH("4-2",E1416)))</formula>
    </cfRule>
    <cfRule type="containsText" dxfId="716" priority="491" operator="containsText" text="4-1">
      <formula>NOT(ISERROR(SEARCH("4-1",E1416)))</formula>
    </cfRule>
    <cfRule type="containsText" dxfId="715" priority="492" operator="containsText" text="3-2">
      <formula>NOT(ISERROR(SEARCH("3-2",E1416)))</formula>
    </cfRule>
    <cfRule type="containsText" dxfId="714" priority="493" operator="containsText" text="3-1">
      <formula>NOT(ISERROR(SEARCH("3-1",E1416)))</formula>
    </cfRule>
    <cfRule type="containsText" dxfId="713" priority="494" operator="containsText" text="3-0">
      <formula>NOT(ISERROR(SEARCH("3-0",E1416)))</formula>
    </cfRule>
    <cfRule type="containsText" dxfId="712" priority="495" operator="containsText" text="2-1">
      <formula>NOT(ISERROR(SEARCH("2-1",E1416)))</formula>
    </cfRule>
    <cfRule type="containsText" dxfId="711" priority="496" operator="containsText" text="2-0">
      <formula>NOT(ISERROR(SEARCH("2-0",E1416)))</formula>
    </cfRule>
    <cfRule type="containsText" dxfId="710" priority="497" operator="containsText" text="1-0">
      <formula>NOT(ISERROR(SEARCH("1-0",E1416)))</formula>
    </cfRule>
    <cfRule type="containsText" dxfId="709" priority="498" operator="containsText" text="4-4">
      <formula>NOT(ISERROR(SEARCH("4-4",E1416)))</formula>
    </cfRule>
    <cfRule type="containsText" dxfId="708" priority="499" operator="containsText" text="3-3">
      <formula>NOT(ISERROR(SEARCH("3-3",E1416)))</formula>
    </cfRule>
    <cfRule type="containsText" dxfId="707" priority="500" operator="containsText" text="2-2">
      <formula>NOT(ISERROR(SEARCH("2-2",E1416)))</formula>
    </cfRule>
    <cfRule type="containsText" dxfId="706" priority="501" operator="containsText" text="1-1">
      <formula>NOT(ISERROR(SEARCH("1-1",E1416)))</formula>
    </cfRule>
    <cfRule type="containsText" dxfId="705" priority="502" operator="containsText" text="0-0">
      <formula>NOT(ISERROR(SEARCH("0-0",E1416)))</formula>
    </cfRule>
  </conditionalFormatting>
  <conditionalFormatting sqref="D1417">
    <cfRule type="cellIs" dxfId="704" priority="1" operator="equal">
      <formula>"牙买加"</formula>
    </cfRule>
    <cfRule type="cellIs" dxfId="703" priority="2" operator="equal">
      <formula>"巴拿马"</formula>
    </cfRule>
    <cfRule type="cellIs" dxfId="702" priority="3" operator="equal">
      <formula>"北爱尔兰"</formula>
    </cfRule>
    <cfRule type="cellIs" dxfId="701" priority="4" operator="equal">
      <formula>"瑞士"</formula>
    </cfRule>
    <cfRule type="cellIs" dxfId="700" priority="5" operator="equal">
      <formula>"比利时"</formula>
    </cfRule>
    <cfRule type="cellIs" dxfId="699" priority="6" operator="equal">
      <formula>"威尔士"</formula>
    </cfRule>
    <cfRule type="cellIs" dxfId="698" priority="7" operator="equal">
      <formula>"乌拉圭"</formula>
    </cfRule>
    <cfRule type="cellIs" dxfId="697" priority="8" operator="equal">
      <formula>"波黑"</formula>
    </cfRule>
    <cfRule type="cellIs" dxfId="696" priority="9" operator="equal">
      <formula>"意大利"</formula>
    </cfRule>
    <cfRule type="cellIs" dxfId="695" priority="10" operator="equal">
      <formula>"摩尔多瓦"</formula>
    </cfRule>
    <cfRule type="cellIs" dxfId="694" priority="11" operator="equal">
      <formula>"韩国"</formula>
    </cfRule>
    <cfRule type="cellIs" dxfId="693" priority="12" operator="equal">
      <formula>"巴西"</formula>
    </cfRule>
    <cfRule type="cellIs" dxfId="692" priority="13" operator="equal">
      <formula>"秘鲁"</formula>
    </cfRule>
    <cfRule type="cellIs" dxfId="691" priority="14" operator="equal">
      <formula>"中国"</formula>
    </cfRule>
    <cfRule type="cellIs" dxfId="690" priority="15" operator="equal">
      <formula>"萨尔瓦多"</formula>
    </cfRule>
    <cfRule type="cellIs" dxfId="689" priority="16" operator="equal">
      <formula>"加拿大"</formula>
    </cfRule>
    <cfRule type="cellIs" dxfId="688" priority="17" operator="equal">
      <formula>"法罗群岛"</formula>
    </cfRule>
    <cfRule type="cellIs" dxfId="687" priority="18" operator="equal">
      <formula>"葡萄牙"</formula>
    </cfRule>
    <cfRule type="cellIs" dxfId="686" priority="19" operator="equal">
      <formula>"英格兰"</formula>
    </cfRule>
    <cfRule type="cellIs" dxfId="685" priority="21" operator="equal">
      <formula>"阿尔巴尼亚"</formula>
    </cfRule>
    <cfRule type="cellIs" dxfId="684" priority="22" operator="equal">
      <formula>"丹麦"</formula>
    </cfRule>
    <cfRule type="cellIs" dxfId="683" priority="23" operator="equal">
      <formula>"沙特"</formula>
    </cfRule>
    <cfRule type="cellIs" dxfId="682" priority="24" operator="equal">
      <formula>"伊朗"</formula>
    </cfRule>
    <cfRule type="cellIs" dxfId="681" priority="25" operator="equal">
      <formula>"荷兰"</formula>
    </cfRule>
    <cfRule type="cellIs" dxfId="680" priority="26" operator="equal">
      <formula>"拉脱维亚"</formula>
    </cfRule>
    <cfRule type="containsText" dxfId="679" priority="27" operator="containsText" text="马其顿">
      <formula>NOT(ISERROR(SEARCH("马其顿",D1417)))</formula>
    </cfRule>
    <cfRule type="cellIs" dxfId="678" priority="28" operator="equal">
      <formula>"捷克"</formula>
    </cfRule>
    <cfRule type="cellIs" dxfId="677" priority="29" operator="equal">
      <formula>"挪威"</formula>
    </cfRule>
    <cfRule type="cellIs" dxfId="676" priority="30" operator="equal">
      <formula>"瑞士"</formula>
    </cfRule>
    <cfRule type="cellIs" dxfId="675" priority="31" operator="equal">
      <formula>"玻利维亚"</formula>
    </cfRule>
    <cfRule type="cellIs" dxfId="674" priority="32" operator="equal">
      <formula>"牙买加"</formula>
    </cfRule>
    <cfRule type="cellIs" dxfId="673" priority="33" operator="equal">
      <formula>"巴拿马"</formula>
    </cfRule>
    <cfRule type="cellIs" dxfId="672" priority="34" operator="equal">
      <formula>"北爱尔兰"</formula>
    </cfRule>
    <cfRule type="cellIs" dxfId="671" priority="35" operator="equal">
      <formula>"瑞士"</formula>
    </cfRule>
    <cfRule type="cellIs" dxfId="670" priority="36" operator="equal">
      <formula>"比利时"</formula>
    </cfRule>
    <cfRule type="cellIs" dxfId="669" priority="37" operator="equal">
      <formula>"威尔士"</formula>
    </cfRule>
    <cfRule type="cellIs" dxfId="668" priority="38" operator="equal">
      <formula>"乌拉圭"</formula>
    </cfRule>
    <cfRule type="cellIs" dxfId="667" priority="39" operator="equal">
      <formula>"波黑"</formula>
    </cfRule>
    <cfRule type="cellIs" dxfId="666" priority="40" operator="equal">
      <formula>"意大利"</formula>
    </cfRule>
    <cfRule type="cellIs" dxfId="665" priority="41" operator="equal">
      <formula>"摩尔多瓦"</formula>
    </cfRule>
    <cfRule type="cellIs" dxfId="664" priority="42" operator="equal">
      <formula>"韩国"</formula>
    </cfRule>
    <cfRule type="cellIs" dxfId="663" priority="43" operator="equal">
      <formula>"巴西"</formula>
    </cfRule>
    <cfRule type="cellIs" dxfId="662" priority="44" operator="equal">
      <formula>"秘鲁"</formula>
    </cfRule>
    <cfRule type="cellIs" dxfId="661" priority="45" operator="equal">
      <formula>"中国"</formula>
    </cfRule>
    <cfRule type="cellIs" dxfId="660" priority="46" operator="equal">
      <formula>"萨尔瓦多"</formula>
    </cfRule>
    <cfRule type="cellIs" dxfId="659" priority="47" operator="equal">
      <formula>"加拿大"</formula>
    </cfRule>
    <cfRule type="cellIs" dxfId="658" priority="48" operator="equal">
      <formula>"法罗群岛"</formula>
    </cfRule>
    <cfRule type="cellIs" dxfId="657" priority="49" operator="equal">
      <formula>"葡萄牙"</formula>
    </cfRule>
    <cfRule type="cellIs" dxfId="656" priority="50" operator="equal">
      <formula>"英格兰"</formula>
    </cfRule>
    <cfRule type="cellIs" dxfId="655" priority="51" operator="equal">
      <formula>"瑞典"</formula>
    </cfRule>
    <cfRule type="cellIs" dxfId="654" priority="52" operator="equal">
      <formula>"阿尔巴尼亚"</formula>
    </cfRule>
    <cfRule type="cellIs" dxfId="653" priority="53" operator="equal">
      <formula>"丹麦"</formula>
    </cfRule>
    <cfRule type="cellIs" dxfId="652" priority="54" operator="equal">
      <formula>"沙特"</formula>
    </cfRule>
    <cfRule type="cellIs" dxfId="651" priority="55" operator="equal">
      <formula>"伊朗"</formula>
    </cfRule>
    <cfRule type="cellIs" dxfId="650" priority="56" operator="equal">
      <formula>"荷兰"</formula>
    </cfRule>
    <cfRule type="cellIs" dxfId="649" priority="57" operator="equal">
      <formula>"拉脱维亚"</formula>
    </cfRule>
    <cfRule type="containsText" dxfId="648" priority="58" operator="containsText" text="马其顿">
      <formula>NOT(ISERROR(SEARCH("马其顿",D1417)))</formula>
    </cfRule>
    <cfRule type="cellIs" dxfId="647" priority="59" operator="equal">
      <formula>"捷克"</formula>
    </cfRule>
    <cfRule type="cellIs" dxfId="646" priority="60" operator="equal">
      <formula>"挪威"</formula>
    </cfRule>
    <cfRule type="cellIs" dxfId="645" priority="61" operator="equal">
      <formula>"瑞士"</formula>
    </cfRule>
    <cfRule type="cellIs" dxfId="644" priority="62" operator="equal">
      <formula>"玻利维亚"</formula>
    </cfRule>
  </conditionalFormatting>
  <conditionalFormatting sqref="E1417">
    <cfRule type="containsText" dxfId="643" priority="441" operator="containsText" text="5-2">
      <formula>NOT(ISERROR(SEARCH("5-2",E1417)))</formula>
    </cfRule>
    <cfRule type="containsText" dxfId="642" priority="442" operator="containsText" text="0-5">
      <formula>NOT(ISERROR(SEARCH("0-5",E1417)))</formula>
    </cfRule>
    <cfRule type="containsText" dxfId="641" priority="443" operator="containsText" text="3-4">
      <formula>NOT(ISERROR(SEARCH("3-4",E1417)))</formula>
    </cfRule>
    <cfRule type="containsText" dxfId="640" priority="444" operator="containsText" text="4-0">
      <formula>NOT(ISERROR(SEARCH("4-0",E1417)))</formula>
    </cfRule>
    <cfRule type="containsText" dxfId="639" priority="445" operator="containsText" text="2-4">
      <formula>NOT(ISERROR(SEARCH("2-4",E1417)))</formula>
    </cfRule>
    <cfRule type="containsText" dxfId="638" priority="446" operator="containsText" text="5-0">
      <formula>NOT(ISERROR(SEARCH("5-0",E1417)))</formula>
    </cfRule>
    <cfRule type="containsText" dxfId="637" priority="447" operator="containsText" text="4-3">
      <formula>NOT(ISERROR(SEARCH("4-3",E1417)))</formula>
    </cfRule>
    <cfRule type="containsText" dxfId="636" priority="448" operator="containsText" text="6-0">
      <formula>NOT(ISERROR(SEARCH("6-0",E1417)))</formula>
    </cfRule>
    <cfRule type="containsText" dxfId="635" priority="449" operator="containsText" text="6-0">
      <formula>NOT(ISERROR(SEARCH("6-0",E1417)))</formula>
    </cfRule>
    <cfRule type="containsText" dxfId="634" priority="450" operator="containsText" text="5-1">
      <formula>NOT(ISERROR(SEARCH("5-1",E1417)))</formula>
    </cfRule>
    <cfRule type="containsText" dxfId="633" priority="451" operator="containsText" text="1-4">
      <formula>NOT(ISERROR(SEARCH("1-4",E1417)))</formula>
    </cfRule>
    <cfRule type="containsText" dxfId="632" priority="452" operator="containsText" text="0-4">
      <formula>NOT(ISERROR(SEARCH("0-4",E1417)))</formula>
    </cfRule>
    <cfRule type="containsText" dxfId="631" priority="453" operator="containsText" text="2-3">
      <formula>NOT(ISERROR(SEARCH("2-3",E1417)))</formula>
    </cfRule>
    <cfRule type="containsText" dxfId="630" priority="454" operator="containsText" text="1-3">
      <formula>NOT(ISERROR(SEARCH("1-3",E1417)))</formula>
    </cfRule>
    <cfRule type="containsText" dxfId="629" priority="455" operator="containsText" text="0-3">
      <formula>NOT(ISERROR(SEARCH("0-3",E1417)))</formula>
    </cfRule>
    <cfRule type="containsText" dxfId="628" priority="456" operator="containsText" text="1-2">
      <formula>NOT(ISERROR(SEARCH("1-2",E1417)))</formula>
    </cfRule>
    <cfRule type="containsText" dxfId="627" priority="457" operator="containsText" text="0-2">
      <formula>NOT(ISERROR(SEARCH("0-2",E1417)))</formula>
    </cfRule>
    <cfRule type="containsText" dxfId="626" priority="458" operator="containsText" text="0-1">
      <formula>NOT(ISERROR(SEARCH("0-1",E1417)))</formula>
    </cfRule>
    <cfRule type="containsText" dxfId="625" priority="459" operator="containsText" text="4-2">
      <formula>NOT(ISERROR(SEARCH("4-2",E1417)))</formula>
    </cfRule>
    <cfRule type="containsText" dxfId="624" priority="460" operator="containsText" text="4-1">
      <formula>NOT(ISERROR(SEARCH("4-1",E1417)))</formula>
    </cfRule>
    <cfRule type="containsText" dxfId="623" priority="461" operator="containsText" text="3-2">
      <formula>NOT(ISERROR(SEARCH("3-2",E1417)))</formula>
    </cfRule>
    <cfRule type="containsText" dxfId="622" priority="462" operator="containsText" text="3-1">
      <formula>NOT(ISERROR(SEARCH("3-1",E1417)))</formula>
    </cfRule>
    <cfRule type="containsText" dxfId="621" priority="463" operator="containsText" text="3-0">
      <formula>NOT(ISERROR(SEARCH("3-0",E1417)))</formula>
    </cfRule>
    <cfRule type="containsText" dxfId="620" priority="464" operator="containsText" text="2-1">
      <formula>NOT(ISERROR(SEARCH("2-1",E1417)))</formula>
    </cfRule>
    <cfRule type="containsText" dxfId="619" priority="465" operator="containsText" text="2-0">
      <formula>NOT(ISERROR(SEARCH("2-0",E1417)))</formula>
    </cfRule>
    <cfRule type="containsText" dxfId="618" priority="466" operator="containsText" text="1-0">
      <formula>NOT(ISERROR(SEARCH("1-0",E1417)))</formula>
    </cfRule>
    <cfRule type="containsText" dxfId="617" priority="467" operator="containsText" text="4-4">
      <formula>NOT(ISERROR(SEARCH("4-4",E1417)))</formula>
    </cfRule>
    <cfRule type="containsText" dxfId="616" priority="468" operator="containsText" text="3-3">
      <formula>NOT(ISERROR(SEARCH("3-3",E1417)))</formula>
    </cfRule>
    <cfRule type="containsText" dxfId="615" priority="469" operator="containsText" text="2-2">
      <formula>NOT(ISERROR(SEARCH("2-2",E1417)))</formula>
    </cfRule>
    <cfRule type="containsText" dxfId="614" priority="470" operator="containsText" text="1-1">
      <formula>NOT(ISERROR(SEARCH("1-1",E1417)))</formula>
    </cfRule>
    <cfRule type="containsText" dxfId="613" priority="471" operator="containsText" text="0-0">
      <formula>NOT(ISERROR(SEARCH("0-0",E1417)))</formula>
    </cfRule>
  </conditionalFormatting>
  <conditionalFormatting sqref="F1417">
    <cfRule type="containsText" dxfId="612" priority="143" operator="containsText" text="伊拉克">
      <formula>NOT(ISERROR(SEARCH("伊拉克",F1417)))</formula>
    </cfRule>
    <cfRule type="cellIs" dxfId="611" priority="144" operator="equal">
      <formula>"挪威"</formula>
    </cfRule>
    <cfRule type="cellIs" dxfId="610" priority="145" operator="equal">
      <formula>"洪都拉斯"</formula>
    </cfRule>
    <cfRule type="cellIs" dxfId="609" priority="146" operator="equal">
      <formula>"萨尔瓦多"</formula>
    </cfRule>
    <cfRule type="cellIs" dxfId="608" priority="147" operator="equal">
      <formula>"比利时"</formula>
    </cfRule>
    <cfRule type="cellIs" dxfId="607" priority="148" operator="equal">
      <formula>"土耳其"</formula>
    </cfRule>
    <cfRule type="cellIs" dxfId="606" priority="149" operator="equal">
      <formula>"日本"</formula>
    </cfRule>
    <cfRule type="cellIs" dxfId="605" priority="150" operator="equal">
      <formula>"英格兰"</formula>
    </cfRule>
    <cfRule type="cellIs" dxfId="604" priority="151" operator="equal">
      <formula>"安道尔"</formula>
    </cfRule>
    <cfRule type="cellIs" dxfId="603" priority="152" operator="equal">
      <formula>"塞浦路斯"</formula>
    </cfRule>
    <cfRule type="cellIs" dxfId="602" priority="153" operator="equal">
      <formula>"白俄罗斯"</formula>
    </cfRule>
    <cfRule type="cellIs" dxfId="601" priority="154" operator="equal">
      <formula>"巴拿马"</formula>
    </cfRule>
    <cfRule type="cellIs" dxfId="600" priority="155" operator="equal">
      <formula>"牙买加"</formula>
    </cfRule>
    <cfRule type="cellIs" dxfId="599" priority="156" operator="equal">
      <formula>"芬兰"</formula>
    </cfRule>
    <cfRule type="cellIs" dxfId="598" priority="157" operator="equal">
      <formula>"阿尔巴尼亚"</formula>
    </cfRule>
    <cfRule type="cellIs" dxfId="597" priority="158" operator="equal">
      <formula>"以色列"</formula>
    </cfRule>
    <cfRule type="cellIs" dxfId="596" priority="159" operator="equal">
      <formula>"哥斯达黎加"</formula>
    </cfRule>
    <cfRule type="cellIs" dxfId="595" priority="160" operator="equal">
      <formula>"立陶宛"</formula>
    </cfRule>
    <cfRule type="cellIs" dxfId="594" priority="161" operator="equal">
      <formula>"智利"</formula>
    </cfRule>
    <cfRule type="cellIs" dxfId="593" priority="162" operator="equal">
      <formula>"葡萄牙"</formula>
    </cfRule>
    <cfRule type="cellIs" dxfId="592" priority="163" operator="equal">
      <formula>"斯洛文尼亚"</formula>
    </cfRule>
    <cfRule type="cellIs" dxfId="591" priority="164" operator="equal">
      <formula>"西班牙"</formula>
    </cfRule>
    <cfRule type="cellIs" dxfId="590" priority="165" operator="equal">
      <formula>"玻利维亚"</formula>
    </cfRule>
    <cfRule type="cellIs" dxfId="589" priority="166" operator="equal">
      <formula>"乌拉圭"</formula>
    </cfRule>
    <cfRule type="cellIs" dxfId="588" priority="167" operator="equal">
      <formula>"瑞士"</formula>
    </cfRule>
    <cfRule type="cellIs" dxfId="587" priority="168" operator="equal">
      <formula>"摩尔多瓦"</formula>
    </cfRule>
    <cfRule type="cellIs" dxfId="586" priority="169" operator="equal">
      <formula>"北爱尔兰"</formula>
    </cfRule>
    <cfRule type="cellIs" dxfId="585" priority="170" operator="equal">
      <formula>"中国"</formula>
    </cfRule>
    <cfRule type="cellIs" dxfId="584" priority="171" operator="equal">
      <formula>"韩国"</formula>
    </cfRule>
    <cfRule type="cellIs" dxfId="583" priority="172" operator="equal">
      <formula>"威尔士"</formula>
    </cfRule>
    <cfRule type="cellIs" dxfId="582" priority="173" operator="equal">
      <formula>"俄罗斯"</formula>
    </cfRule>
    <cfRule type="cellIs" dxfId="581" priority="174" operator="equal">
      <formula>"巴西"</formula>
    </cfRule>
    <cfRule type="cellIs" dxfId="580" priority="175" operator="equal">
      <formula>"厄瓜多尔"</formula>
    </cfRule>
  </conditionalFormatting>
  <conditionalFormatting sqref="E1418">
    <cfRule type="containsText" dxfId="579" priority="410" operator="containsText" text="5-2">
      <formula>NOT(ISERROR(SEARCH("5-2",E1418)))</formula>
    </cfRule>
    <cfRule type="containsText" dxfId="578" priority="411" operator="containsText" text="0-5">
      <formula>NOT(ISERROR(SEARCH("0-5",E1418)))</formula>
    </cfRule>
    <cfRule type="containsText" dxfId="577" priority="412" operator="containsText" text="3-4">
      <formula>NOT(ISERROR(SEARCH("3-4",E1418)))</formula>
    </cfRule>
    <cfRule type="containsText" dxfId="576" priority="413" operator="containsText" text="4-0">
      <formula>NOT(ISERROR(SEARCH("4-0",E1418)))</formula>
    </cfRule>
    <cfRule type="containsText" dxfId="575" priority="414" operator="containsText" text="2-4">
      <formula>NOT(ISERROR(SEARCH("2-4",E1418)))</formula>
    </cfRule>
    <cfRule type="containsText" dxfId="574" priority="415" operator="containsText" text="5-0">
      <formula>NOT(ISERROR(SEARCH("5-0",E1418)))</formula>
    </cfRule>
    <cfRule type="containsText" dxfId="573" priority="416" operator="containsText" text="4-3">
      <formula>NOT(ISERROR(SEARCH("4-3",E1418)))</formula>
    </cfRule>
    <cfRule type="containsText" dxfId="572" priority="417" operator="containsText" text="6-0">
      <formula>NOT(ISERROR(SEARCH("6-0",E1418)))</formula>
    </cfRule>
    <cfRule type="containsText" dxfId="571" priority="418" operator="containsText" text="6-0">
      <formula>NOT(ISERROR(SEARCH("6-0",E1418)))</formula>
    </cfRule>
    <cfRule type="containsText" dxfId="570" priority="419" operator="containsText" text="5-1">
      <formula>NOT(ISERROR(SEARCH("5-1",E1418)))</formula>
    </cfRule>
    <cfRule type="containsText" dxfId="569" priority="420" operator="containsText" text="1-4">
      <formula>NOT(ISERROR(SEARCH("1-4",E1418)))</formula>
    </cfRule>
    <cfRule type="containsText" dxfId="568" priority="421" operator="containsText" text="0-4">
      <formula>NOT(ISERROR(SEARCH("0-4",E1418)))</formula>
    </cfRule>
    <cfRule type="containsText" dxfId="567" priority="422" operator="containsText" text="2-3">
      <formula>NOT(ISERROR(SEARCH("2-3",E1418)))</formula>
    </cfRule>
    <cfRule type="containsText" dxfId="566" priority="423" operator="containsText" text="1-3">
      <formula>NOT(ISERROR(SEARCH("1-3",E1418)))</formula>
    </cfRule>
    <cfRule type="containsText" dxfId="565" priority="424" operator="containsText" text="0-3">
      <formula>NOT(ISERROR(SEARCH("0-3",E1418)))</formula>
    </cfRule>
    <cfRule type="containsText" dxfId="564" priority="425" operator="containsText" text="1-2">
      <formula>NOT(ISERROR(SEARCH("1-2",E1418)))</formula>
    </cfRule>
    <cfRule type="containsText" dxfId="563" priority="426" operator="containsText" text="0-2">
      <formula>NOT(ISERROR(SEARCH("0-2",E1418)))</formula>
    </cfRule>
    <cfRule type="containsText" dxfId="562" priority="427" operator="containsText" text="0-1">
      <formula>NOT(ISERROR(SEARCH("0-1",E1418)))</formula>
    </cfRule>
    <cfRule type="containsText" dxfId="561" priority="428" operator="containsText" text="4-2">
      <formula>NOT(ISERROR(SEARCH("4-2",E1418)))</formula>
    </cfRule>
    <cfRule type="containsText" dxfId="560" priority="429" operator="containsText" text="4-1">
      <formula>NOT(ISERROR(SEARCH("4-1",E1418)))</formula>
    </cfRule>
    <cfRule type="containsText" dxfId="559" priority="430" operator="containsText" text="3-2">
      <formula>NOT(ISERROR(SEARCH("3-2",E1418)))</formula>
    </cfRule>
    <cfRule type="containsText" dxfId="558" priority="431" operator="containsText" text="3-1">
      <formula>NOT(ISERROR(SEARCH("3-1",E1418)))</formula>
    </cfRule>
    <cfRule type="containsText" dxfId="557" priority="432" operator="containsText" text="3-0">
      <formula>NOT(ISERROR(SEARCH("3-0",E1418)))</formula>
    </cfRule>
    <cfRule type="containsText" dxfId="556" priority="433" operator="containsText" text="2-1">
      <formula>NOT(ISERROR(SEARCH("2-1",E1418)))</formula>
    </cfRule>
    <cfRule type="containsText" dxfId="555" priority="434" operator="containsText" text="2-0">
      <formula>NOT(ISERROR(SEARCH("2-0",E1418)))</formula>
    </cfRule>
    <cfRule type="containsText" dxfId="554" priority="435" operator="containsText" text="1-0">
      <formula>NOT(ISERROR(SEARCH("1-0",E1418)))</formula>
    </cfRule>
    <cfRule type="containsText" dxfId="553" priority="436" operator="containsText" text="4-4">
      <formula>NOT(ISERROR(SEARCH("4-4",E1418)))</formula>
    </cfRule>
    <cfRule type="containsText" dxfId="552" priority="437" operator="containsText" text="3-3">
      <formula>NOT(ISERROR(SEARCH("3-3",E1418)))</formula>
    </cfRule>
    <cfRule type="containsText" dxfId="551" priority="438" operator="containsText" text="2-2">
      <formula>NOT(ISERROR(SEARCH("2-2",E1418)))</formula>
    </cfRule>
    <cfRule type="containsText" dxfId="550" priority="439" operator="containsText" text="1-1">
      <formula>NOT(ISERROR(SEARCH("1-1",E1418)))</formula>
    </cfRule>
    <cfRule type="containsText" dxfId="549" priority="440" operator="containsText" text="0-0">
      <formula>NOT(ISERROR(SEARCH("0-0",E1418)))</formula>
    </cfRule>
  </conditionalFormatting>
  <conditionalFormatting sqref="F1432">
    <cfRule type="cellIs" dxfId="548" priority="120" operator="equal">
      <formula>"白俄罗斯"</formula>
    </cfRule>
    <cfRule type="cellIs" dxfId="547" priority="121" operator="equal">
      <formula>"巴拿马"</formula>
    </cfRule>
    <cfRule type="cellIs" dxfId="546" priority="122" operator="equal">
      <formula>"牙买加"</formula>
    </cfRule>
    <cfRule type="cellIs" dxfId="545" priority="123" operator="equal">
      <formula>"芬兰"</formula>
    </cfRule>
    <cfRule type="cellIs" dxfId="544" priority="124" operator="equal">
      <formula>"阿尔巴尼亚"</formula>
    </cfRule>
    <cfRule type="cellIs" dxfId="543" priority="125" operator="equal">
      <formula>"以色列"</formula>
    </cfRule>
    <cfRule type="cellIs" dxfId="542" priority="126" operator="equal">
      <formula>"哥斯达黎加"</formula>
    </cfRule>
    <cfRule type="cellIs" dxfId="541" priority="127" operator="equal">
      <formula>"立陶宛"</formula>
    </cfRule>
    <cfRule type="cellIs" dxfId="540" priority="128" operator="equal">
      <formula>"智利"</formula>
    </cfRule>
    <cfRule type="cellIs" dxfId="539" priority="129" operator="equal">
      <formula>"葡萄牙"</formula>
    </cfRule>
    <cfRule type="cellIs" dxfId="538" priority="130" operator="equal">
      <formula>"斯洛文尼亚"</formula>
    </cfRule>
    <cfRule type="cellIs" dxfId="537" priority="131" operator="equal">
      <formula>"西班牙"</formula>
    </cfRule>
    <cfRule type="cellIs" dxfId="536" priority="132" operator="equal">
      <formula>"玻利维亚"</formula>
    </cfRule>
    <cfRule type="cellIs" dxfId="535" priority="133" operator="equal">
      <formula>"乌拉圭"</formula>
    </cfRule>
    <cfRule type="cellIs" dxfId="534" priority="134" operator="equal">
      <formula>"瑞士"</formula>
    </cfRule>
    <cfRule type="cellIs" dxfId="533" priority="135" operator="equal">
      <formula>"摩尔多瓦"</formula>
    </cfRule>
    <cfRule type="cellIs" dxfId="532" priority="136" operator="equal">
      <formula>"北爱尔兰"</formula>
    </cfRule>
    <cfRule type="cellIs" dxfId="531" priority="137" operator="equal">
      <formula>"中国"</formula>
    </cfRule>
    <cfRule type="cellIs" dxfId="530" priority="138" operator="equal">
      <formula>"韩国"</formula>
    </cfRule>
    <cfRule type="cellIs" dxfId="529" priority="139" operator="equal">
      <formula>"威尔士"</formula>
    </cfRule>
    <cfRule type="cellIs" dxfId="528" priority="140" operator="equal">
      <formula>"俄罗斯"</formula>
    </cfRule>
    <cfRule type="cellIs" dxfId="527" priority="141" operator="equal">
      <formula>"巴西"</formula>
    </cfRule>
    <cfRule type="cellIs" dxfId="526" priority="142" operator="equal">
      <formula>"厄瓜多尔"</formula>
    </cfRule>
  </conditionalFormatting>
  <conditionalFormatting sqref="E1459">
    <cfRule type="containsText" dxfId="525" priority="224" operator="containsText" text="5-2">
      <formula>NOT(ISERROR(SEARCH("5-2",E1459)))</formula>
    </cfRule>
    <cfRule type="containsText" dxfId="524" priority="225" operator="containsText" text="0-5">
      <formula>NOT(ISERROR(SEARCH("0-5",E1459)))</formula>
    </cfRule>
    <cfRule type="containsText" dxfId="523" priority="226" operator="containsText" text="3-4">
      <formula>NOT(ISERROR(SEARCH("3-4",E1459)))</formula>
    </cfRule>
    <cfRule type="containsText" dxfId="522" priority="227" operator="containsText" text="4-0">
      <formula>NOT(ISERROR(SEARCH("4-0",E1459)))</formula>
    </cfRule>
    <cfRule type="containsText" dxfId="521" priority="228" operator="containsText" text="2-4">
      <formula>NOT(ISERROR(SEARCH("2-4",E1459)))</formula>
    </cfRule>
    <cfRule type="containsText" dxfId="520" priority="229" operator="containsText" text="5-0">
      <formula>NOT(ISERROR(SEARCH("5-0",E1459)))</formula>
    </cfRule>
    <cfRule type="containsText" dxfId="519" priority="230" operator="containsText" text="4-3">
      <formula>NOT(ISERROR(SEARCH("4-3",E1459)))</formula>
    </cfRule>
    <cfRule type="containsText" dxfId="518" priority="231" operator="containsText" text="6-0">
      <formula>NOT(ISERROR(SEARCH("6-0",E1459)))</formula>
    </cfRule>
    <cfRule type="containsText" dxfId="517" priority="232" operator="containsText" text="6-0">
      <formula>NOT(ISERROR(SEARCH("6-0",E1459)))</formula>
    </cfRule>
    <cfRule type="containsText" dxfId="516" priority="233" operator="containsText" text="5-1">
      <formula>NOT(ISERROR(SEARCH("5-1",E1459)))</formula>
    </cfRule>
    <cfRule type="containsText" dxfId="515" priority="234" operator="containsText" text="1-4">
      <formula>NOT(ISERROR(SEARCH("1-4",E1459)))</formula>
    </cfRule>
    <cfRule type="containsText" dxfId="514" priority="235" operator="containsText" text="0-4">
      <formula>NOT(ISERROR(SEARCH("0-4",E1459)))</formula>
    </cfRule>
    <cfRule type="containsText" dxfId="513" priority="236" operator="containsText" text="2-3">
      <formula>NOT(ISERROR(SEARCH("2-3",E1459)))</formula>
    </cfRule>
    <cfRule type="containsText" dxfId="512" priority="237" operator="containsText" text="1-3">
      <formula>NOT(ISERROR(SEARCH("1-3",E1459)))</formula>
    </cfRule>
    <cfRule type="containsText" dxfId="511" priority="238" operator="containsText" text="0-3">
      <formula>NOT(ISERROR(SEARCH("0-3",E1459)))</formula>
    </cfRule>
    <cfRule type="containsText" dxfId="510" priority="239" operator="containsText" text="1-2">
      <formula>NOT(ISERROR(SEARCH("1-2",E1459)))</formula>
    </cfRule>
    <cfRule type="containsText" dxfId="509" priority="240" operator="containsText" text="0-2">
      <formula>NOT(ISERROR(SEARCH("0-2",E1459)))</formula>
    </cfRule>
    <cfRule type="containsText" dxfId="508" priority="241" operator="containsText" text="0-1">
      <formula>NOT(ISERROR(SEARCH("0-1",E1459)))</formula>
    </cfRule>
    <cfRule type="containsText" dxfId="507" priority="242" operator="containsText" text="4-2">
      <formula>NOT(ISERROR(SEARCH("4-2",E1459)))</formula>
    </cfRule>
    <cfRule type="containsText" dxfId="506" priority="243" operator="containsText" text="4-1">
      <formula>NOT(ISERROR(SEARCH("4-1",E1459)))</formula>
    </cfRule>
    <cfRule type="containsText" dxfId="505" priority="244" operator="containsText" text="3-2">
      <formula>NOT(ISERROR(SEARCH("3-2",E1459)))</formula>
    </cfRule>
    <cfRule type="containsText" dxfId="504" priority="245" operator="containsText" text="3-1">
      <formula>NOT(ISERROR(SEARCH("3-1",E1459)))</formula>
    </cfRule>
    <cfRule type="containsText" dxfId="503" priority="246" operator="containsText" text="3-0">
      <formula>NOT(ISERROR(SEARCH("3-0",E1459)))</formula>
    </cfRule>
    <cfRule type="containsText" dxfId="502" priority="247" operator="containsText" text="2-1">
      <formula>NOT(ISERROR(SEARCH("2-1",E1459)))</formula>
    </cfRule>
    <cfRule type="containsText" dxfId="501" priority="248" operator="containsText" text="2-0">
      <formula>NOT(ISERROR(SEARCH("2-0",E1459)))</formula>
    </cfRule>
    <cfRule type="containsText" dxfId="500" priority="249" operator="containsText" text="1-0">
      <formula>NOT(ISERROR(SEARCH("1-0",E1459)))</formula>
    </cfRule>
    <cfRule type="containsText" dxfId="499" priority="250" operator="containsText" text="4-4">
      <formula>NOT(ISERROR(SEARCH("4-4",E1459)))</formula>
    </cfRule>
    <cfRule type="containsText" dxfId="498" priority="251" operator="containsText" text="3-3">
      <formula>NOT(ISERROR(SEARCH("3-3",E1459)))</formula>
    </cfRule>
    <cfRule type="containsText" dxfId="497" priority="252" operator="containsText" text="2-2">
      <formula>NOT(ISERROR(SEARCH("2-2",E1459)))</formula>
    </cfRule>
    <cfRule type="containsText" dxfId="496" priority="253" operator="containsText" text="1-1">
      <formula>NOT(ISERROR(SEARCH("1-1",E1459)))</formula>
    </cfRule>
    <cfRule type="containsText" dxfId="495" priority="254" operator="containsText" text="0-0">
      <formula>NOT(ISERROR(SEARCH("0-0",E1459)))</formula>
    </cfRule>
  </conditionalFormatting>
  <conditionalFormatting sqref="F1485">
    <cfRule type="containsText" dxfId="494" priority="192" operator="containsText" text="马其顿">
      <formula>NOT(ISERROR(SEARCH("马其顿",F1485)))</formula>
    </cfRule>
  </conditionalFormatting>
  <conditionalFormatting sqref="F1508">
    <cfRule type="containsText" dxfId="493" priority="190" operator="containsText" text="马其顿">
      <formula>NOT(ISERROR(SEARCH("马其顿",F1508)))</formula>
    </cfRule>
  </conditionalFormatting>
  <conditionalFormatting sqref="D1525">
    <cfRule type="cellIs" dxfId="492" priority="63" operator="equal">
      <formula>"捷克"</formula>
    </cfRule>
    <cfRule type="cellIs" dxfId="491" priority="64" operator="equal">
      <formula>"克罗地亚"</formula>
    </cfRule>
    <cfRule type="cellIs" dxfId="490" priority="65" operator="equal">
      <formula>"奥地利"</formula>
    </cfRule>
    <cfRule type="cellIs" dxfId="489" priority="66" operator="equal">
      <formula>"直布罗陀"</formula>
    </cfRule>
    <cfRule type="cellIs" dxfId="488" priority="67" operator="equal">
      <formula>"保加利亚"</formula>
    </cfRule>
    <cfRule type="cellIs" dxfId="487" priority="68" operator="equal">
      <formula>"科索沃"</formula>
    </cfRule>
    <cfRule type="cellIs" dxfId="486" priority="69" operator="equal">
      <formula>"瑞典"</formula>
    </cfRule>
    <cfRule type="cellIs" dxfId="485" priority="70" operator="equal">
      <formula>"苏格兰"</formula>
    </cfRule>
    <cfRule type="cellIs" dxfId="484" priority="71" operator="equal">
      <formula>"斯洛伐克"</formula>
    </cfRule>
    <cfRule type="cellIs" dxfId="483" priority="72" operator="equal">
      <formula>"塞尔维亚"</formula>
    </cfRule>
    <cfRule type="cellIs" dxfId="482" priority="73" operator="equal">
      <formula>"荷兰"</formula>
    </cfRule>
    <cfRule type="cellIs" dxfId="481" priority="74" operator="equal">
      <formula>"阿联酋"</formula>
    </cfRule>
    <cfRule type="cellIs" dxfId="480" priority="75" operator="equal">
      <formula>"亚美尼亚"</formula>
    </cfRule>
    <cfRule type="cellIs" dxfId="479" priority="76" operator="equal">
      <formula>"黑山"</formula>
    </cfRule>
    <cfRule type="cellIs" dxfId="478" priority="77" operator="equal">
      <formula>"卢森堡"</formula>
    </cfRule>
    <cfRule type="cellIs" dxfId="477" priority="78" operator="equal">
      <formula>"波兰"</formula>
    </cfRule>
    <cfRule type="cellIs" dxfId="476" priority="79" operator="equal">
      <formula>"澳大利亚"</formula>
    </cfRule>
    <cfRule type="cellIs" dxfId="475" priority="80" operator="equal">
      <formula>"阿塞拜疆"</formula>
    </cfRule>
    <cfRule type="cellIs" dxfId="474" priority="81" operator="equal">
      <formula>"法国"</formula>
    </cfRule>
    <cfRule type="cellIs" dxfId="473" priority="82" operator="equal">
      <formula>"格鲁吉亚"</formula>
    </cfRule>
    <cfRule type="cellIs" dxfId="472" priority="83" operator="equal">
      <formula>"乌克兰"</formula>
    </cfRule>
    <cfRule type="cellIs" dxfId="471" priority="84" operator="equal">
      <formula>"德国"</formula>
    </cfRule>
    <cfRule type="cellIs" dxfId="470" priority="85" operator="equal">
      <formula>"丹麦"</formula>
    </cfRule>
    <cfRule type="cellIs" dxfId="469" priority="86" operator="equal">
      <formula>"希腊"</formula>
    </cfRule>
    <cfRule type="containsText" dxfId="468" priority="87" operator="containsText" text="伊拉克">
      <formula>NOT(ISERROR(SEARCH("伊拉克",D1525)))</formula>
    </cfRule>
    <cfRule type="cellIs" dxfId="467" priority="88" operator="equal">
      <formula>"挪威"</formula>
    </cfRule>
    <cfRule type="cellIs" dxfId="466" priority="89" operator="equal">
      <formula>"洪都拉斯"</formula>
    </cfRule>
    <cfRule type="cellIs" dxfId="465" priority="90" operator="equal">
      <formula>"萨尔瓦多"</formula>
    </cfRule>
    <cfRule type="cellIs" dxfId="464" priority="91" operator="equal">
      <formula>"比利时"</formula>
    </cfRule>
    <cfRule type="cellIs" dxfId="463" priority="92" operator="equal">
      <formula>"土耳其"</formula>
    </cfRule>
    <cfRule type="cellIs" dxfId="462" priority="93" operator="equal">
      <formula>"日本"</formula>
    </cfRule>
    <cfRule type="cellIs" dxfId="461" priority="94" operator="equal">
      <formula>"英格兰"</formula>
    </cfRule>
    <cfRule type="cellIs" dxfId="460" priority="95" operator="equal">
      <formula>"安道尔"</formula>
    </cfRule>
    <cfRule type="cellIs" dxfId="459" priority="96" operator="equal">
      <formula>"塞浦路斯"</formula>
    </cfRule>
    <cfRule type="cellIs" dxfId="458" priority="97" operator="equal">
      <formula>"白俄罗斯"</formula>
    </cfRule>
    <cfRule type="cellIs" dxfId="457" priority="98" operator="equal">
      <formula>"巴拿马"</formula>
    </cfRule>
    <cfRule type="cellIs" dxfId="456" priority="99" operator="equal">
      <formula>"牙买加"</formula>
    </cfRule>
    <cfRule type="cellIs" dxfId="455" priority="100" operator="equal">
      <formula>"芬兰"</formula>
    </cfRule>
    <cfRule type="cellIs" dxfId="454" priority="101" operator="equal">
      <formula>"阿尔巴尼亚"</formula>
    </cfRule>
    <cfRule type="cellIs" dxfId="453" priority="102" operator="equal">
      <formula>"以色列"</formula>
    </cfRule>
    <cfRule type="cellIs" dxfId="452" priority="103" operator="equal">
      <formula>"哥斯达黎加"</formula>
    </cfRule>
    <cfRule type="cellIs" dxfId="451" priority="104" operator="equal">
      <formula>"立陶宛"</formula>
    </cfRule>
    <cfRule type="cellIs" dxfId="450" priority="105" operator="equal">
      <formula>"智利"</formula>
    </cfRule>
    <cfRule type="cellIs" dxfId="449" priority="106" operator="equal">
      <formula>"葡萄牙"</formula>
    </cfRule>
    <cfRule type="cellIs" dxfId="448" priority="107" operator="equal">
      <formula>"斯洛文尼亚"</formula>
    </cfRule>
    <cfRule type="cellIs" dxfId="447" priority="108" operator="equal">
      <formula>"西班牙"</formula>
    </cfRule>
    <cfRule type="cellIs" dxfId="446" priority="109" operator="equal">
      <formula>"玻利维亚"</formula>
    </cfRule>
    <cfRule type="cellIs" dxfId="445" priority="110" operator="equal">
      <formula>"乌拉圭"</formula>
    </cfRule>
    <cfRule type="cellIs" dxfId="444" priority="111" operator="equal">
      <formula>"瑞士"</formula>
    </cfRule>
    <cfRule type="cellIs" dxfId="443" priority="112" operator="equal">
      <formula>"摩尔多瓦"</formula>
    </cfRule>
    <cfRule type="cellIs" dxfId="442" priority="113" operator="equal">
      <formula>"北爱尔兰"</formula>
    </cfRule>
    <cfRule type="cellIs" dxfId="441" priority="114" operator="equal">
      <formula>"中国"</formula>
    </cfRule>
    <cfRule type="cellIs" dxfId="440" priority="115" operator="equal">
      <formula>"韩国"</formula>
    </cfRule>
    <cfRule type="cellIs" dxfId="439" priority="116" operator="equal">
      <formula>"威尔士"</formula>
    </cfRule>
    <cfRule type="cellIs" dxfId="438" priority="117" operator="equal">
      <formula>"俄罗斯"</formula>
    </cfRule>
    <cfRule type="cellIs" dxfId="437" priority="118" operator="equal">
      <formula>"巴西"</formula>
    </cfRule>
    <cfRule type="cellIs" dxfId="436" priority="119" operator="equal">
      <formula>"厄瓜多尔"</formula>
    </cfRule>
  </conditionalFormatting>
  <conditionalFormatting sqref="E359:E361">
    <cfRule type="containsText" dxfId="435" priority="1479" operator="containsText" text="5-2">
      <formula>NOT(ISERROR(SEARCH("5-2",E359)))</formula>
    </cfRule>
    <cfRule type="containsText" dxfId="434" priority="1480" operator="containsText" text="0-5">
      <formula>NOT(ISERROR(SEARCH("0-5",E359)))</formula>
    </cfRule>
    <cfRule type="containsText" dxfId="433" priority="1481" operator="containsText" text="3-4">
      <formula>NOT(ISERROR(SEARCH("3-4",E359)))</formula>
    </cfRule>
    <cfRule type="containsText" dxfId="432" priority="1482" operator="containsText" text="4-0">
      <formula>NOT(ISERROR(SEARCH("4-0",E359)))</formula>
    </cfRule>
    <cfRule type="containsText" dxfId="431" priority="1483" operator="containsText" text="2-4">
      <formula>NOT(ISERROR(SEARCH("2-4",E359)))</formula>
    </cfRule>
    <cfRule type="containsText" dxfId="430" priority="1484" operator="containsText" text="5-0">
      <formula>NOT(ISERROR(SEARCH("5-0",E359)))</formula>
    </cfRule>
    <cfRule type="containsText" dxfId="429" priority="1485" operator="containsText" text="4-3">
      <formula>NOT(ISERROR(SEARCH("4-3",E359)))</formula>
    </cfRule>
    <cfRule type="containsText" dxfId="428" priority="1486" operator="containsText" text="6-0">
      <formula>NOT(ISERROR(SEARCH("6-0",E359)))</formula>
    </cfRule>
    <cfRule type="containsText" dxfId="427" priority="1487" operator="containsText" text="6-0">
      <formula>NOT(ISERROR(SEARCH("6-0",E359)))</formula>
    </cfRule>
    <cfRule type="containsText" dxfId="426" priority="1488" operator="containsText" text="5-1">
      <formula>NOT(ISERROR(SEARCH("5-1",E359)))</formula>
    </cfRule>
    <cfRule type="containsText" dxfId="425" priority="1489" operator="containsText" text="1-4">
      <formula>NOT(ISERROR(SEARCH("1-4",E359)))</formula>
    </cfRule>
    <cfRule type="containsText" dxfId="424" priority="1490" operator="containsText" text="0-4">
      <formula>NOT(ISERROR(SEARCH("0-4",E359)))</formula>
    </cfRule>
    <cfRule type="containsText" dxfId="423" priority="1491" operator="containsText" text="2-3">
      <formula>NOT(ISERROR(SEARCH("2-3",E359)))</formula>
    </cfRule>
    <cfRule type="containsText" dxfId="422" priority="1492" operator="containsText" text="1-3">
      <formula>NOT(ISERROR(SEARCH("1-3",E359)))</formula>
    </cfRule>
    <cfRule type="containsText" dxfId="421" priority="1493" operator="containsText" text="0-3">
      <formula>NOT(ISERROR(SEARCH("0-3",E359)))</formula>
    </cfRule>
    <cfRule type="containsText" dxfId="420" priority="1494" operator="containsText" text="1-2">
      <formula>NOT(ISERROR(SEARCH("1-2",E359)))</formula>
    </cfRule>
    <cfRule type="containsText" dxfId="419" priority="1495" operator="containsText" text="0-2">
      <formula>NOT(ISERROR(SEARCH("0-2",E359)))</formula>
    </cfRule>
    <cfRule type="containsText" dxfId="418" priority="1496" operator="containsText" text="0-1">
      <formula>NOT(ISERROR(SEARCH("0-1",E359)))</formula>
    </cfRule>
    <cfRule type="containsText" dxfId="417" priority="1497" operator="containsText" text="4-2">
      <formula>NOT(ISERROR(SEARCH("4-2",E359)))</formula>
    </cfRule>
    <cfRule type="containsText" dxfId="416" priority="1498" operator="containsText" text="4-1">
      <formula>NOT(ISERROR(SEARCH("4-1",E359)))</formula>
    </cfRule>
    <cfRule type="containsText" dxfId="415" priority="1499" operator="containsText" text="3-2">
      <formula>NOT(ISERROR(SEARCH("3-2",E359)))</formula>
    </cfRule>
    <cfRule type="containsText" dxfId="414" priority="1500" operator="containsText" text="3-1">
      <formula>NOT(ISERROR(SEARCH("3-1",E359)))</formula>
    </cfRule>
    <cfRule type="containsText" dxfId="413" priority="1501" operator="containsText" text="3-0">
      <formula>NOT(ISERROR(SEARCH("3-0",E359)))</formula>
    </cfRule>
    <cfRule type="containsText" dxfId="412" priority="1502" operator="containsText" text="2-1">
      <formula>NOT(ISERROR(SEARCH("2-1",E359)))</formula>
    </cfRule>
    <cfRule type="containsText" dxfId="411" priority="1503" operator="containsText" text="2-0">
      <formula>NOT(ISERROR(SEARCH("2-0",E359)))</formula>
    </cfRule>
    <cfRule type="containsText" dxfId="410" priority="1504" operator="containsText" text="1-0">
      <formula>NOT(ISERROR(SEARCH("1-0",E359)))</formula>
    </cfRule>
    <cfRule type="containsText" dxfId="409" priority="1505" operator="containsText" text="4-4">
      <formula>NOT(ISERROR(SEARCH("4-4",E359)))</formula>
    </cfRule>
    <cfRule type="containsText" dxfId="408" priority="1506" operator="containsText" text="3-3">
      <formula>NOT(ISERROR(SEARCH("3-3",E359)))</formula>
    </cfRule>
    <cfRule type="containsText" dxfId="407" priority="1507" operator="containsText" text="2-2">
      <formula>NOT(ISERROR(SEARCH("2-2",E359)))</formula>
    </cfRule>
    <cfRule type="containsText" dxfId="406" priority="1508" operator="containsText" text="1-1">
      <formula>NOT(ISERROR(SEARCH("1-1",E359)))</formula>
    </cfRule>
    <cfRule type="containsText" dxfId="405" priority="1509" operator="containsText" text="0-0">
      <formula>NOT(ISERROR(SEARCH("0-0",E359)))</formula>
    </cfRule>
  </conditionalFormatting>
  <conditionalFormatting sqref="E583:E587">
    <cfRule type="containsText" dxfId="404" priority="1248" operator="containsText" text="5-2">
      <formula>NOT(ISERROR(SEARCH("5-2",E583)))</formula>
    </cfRule>
    <cfRule type="containsText" dxfId="403" priority="1249" operator="containsText" text="0-5">
      <formula>NOT(ISERROR(SEARCH("0-5",E583)))</formula>
    </cfRule>
    <cfRule type="containsText" dxfId="402" priority="1250" operator="containsText" text="3-4">
      <formula>NOT(ISERROR(SEARCH("3-4",E583)))</formula>
    </cfRule>
    <cfRule type="containsText" dxfId="401" priority="1251" operator="containsText" text="4-0">
      <formula>NOT(ISERROR(SEARCH("4-0",E583)))</formula>
    </cfRule>
    <cfRule type="containsText" dxfId="400" priority="1252" operator="containsText" text="2-4">
      <formula>NOT(ISERROR(SEARCH("2-4",E583)))</formula>
    </cfRule>
    <cfRule type="containsText" dxfId="399" priority="1253" operator="containsText" text="5-0">
      <formula>NOT(ISERROR(SEARCH("5-0",E583)))</formula>
    </cfRule>
    <cfRule type="containsText" dxfId="398" priority="1254" operator="containsText" text="4-3">
      <formula>NOT(ISERROR(SEARCH("4-3",E583)))</formula>
    </cfRule>
    <cfRule type="containsText" dxfId="397" priority="1255" operator="containsText" text="6-0">
      <formula>NOT(ISERROR(SEARCH("6-0",E583)))</formula>
    </cfRule>
    <cfRule type="containsText" dxfId="396" priority="1256" operator="containsText" text="6-0">
      <formula>NOT(ISERROR(SEARCH("6-0",E583)))</formula>
    </cfRule>
    <cfRule type="containsText" dxfId="395" priority="1257" operator="containsText" text="5-1">
      <formula>NOT(ISERROR(SEARCH("5-1",E583)))</formula>
    </cfRule>
    <cfRule type="containsText" dxfId="394" priority="1258" operator="containsText" text="1-4">
      <formula>NOT(ISERROR(SEARCH("1-4",E583)))</formula>
    </cfRule>
    <cfRule type="containsText" dxfId="393" priority="1259" operator="containsText" text="0-4">
      <formula>NOT(ISERROR(SEARCH("0-4",E583)))</formula>
    </cfRule>
    <cfRule type="containsText" dxfId="392" priority="1260" operator="containsText" text="2-3">
      <formula>NOT(ISERROR(SEARCH("2-3",E583)))</formula>
    </cfRule>
    <cfRule type="containsText" dxfId="391" priority="1261" operator="containsText" text="1-3">
      <formula>NOT(ISERROR(SEARCH("1-3",E583)))</formula>
    </cfRule>
    <cfRule type="containsText" dxfId="390" priority="1262" operator="containsText" text="0-3">
      <formula>NOT(ISERROR(SEARCH("0-3",E583)))</formula>
    </cfRule>
    <cfRule type="containsText" dxfId="389" priority="1263" operator="containsText" text="1-2">
      <formula>NOT(ISERROR(SEARCH("1-2",E583)))</formula>
    </cfRule>
    <cfRule type="containsText" dxfId="388" priority="1264" operator="containsText" text="0-2">
      <formula>NOT(ISERROR(SEARCH("0-2",E583)))</formula>
    </cfRule>
    <cfRule type="containsText" dxfId="387" priority="1265" operator="containsText" text="0-1">
      <formula>NOT(ISERROR(SEARCH("0-1",E583)))</formula>
    </cfRule>
    <cfRule type="containsText" dxfId="386" priority="1266" operator="containsText" text="4-2">
      <formula>NOT(ISERROR(SEARCH("4-2",E583)))</formula>
    </cfRule>
    <cfRule type="containsText" dxfId="385" priority="1267" operator="containsText" text="4-1">
      <formula>NOT(ISERROR(SEARCH("4-1",E583)))</formula>
    </cfRule>
    <cfRule type="containsText" dxfId="384" priority="1268" operator="containsText" text="3-2">
      <formula>NOT(ISERROR(SEARCH("3-2",E583)))</formula>
    </cfRule>
    <cfRule type="containsText" dxfId="383" priority="1269" operator="containsText" text="3-1">
      <formula>NOT(ISERROR(SEARCH("3-1",E583)))</formula>
    </cfRule>
    <cfRule type="containsText" dxfId="382" priority="1270" operator="containsText" text="3-0">
      <formula>NOT(ISERROR(SEARCH("3-0",E583)))</formula>
    </cfRule>
    <cfRule type="containsText" dxfId="381" priority="1271" operator="containsText" text="2-1">
      <formula>NOT(ISERROR(SEARCH("2-1",E583)))</formula>
    </cfRule>
    <cfRule type="containsText" dxfId="380" priority="1272" operator="containsText" text="2-0">
      <formula>NOT(ISERROR(SEARCH("2-0",E583)))</formula>
    </cfRule>
    <cfRule type="containsText" dxfId="379" priority="1273" operator="containsText" text="1-0">
      <formula>NOT(ISERROR(SEARCH("1-0",E583)))</formula>
    </cfRule>
    <cfRule type="containsText" dxfId="378" priority="1274" operator="containsText" text="4-4">
      <formula>NOT(ISERROR(SEARCH("4-4",E583)))</formula>
    </cfRule>
    <cfRule type="containsText" dxfId="377" priority="1275" operator="containsText" text="3-3">
      <formula>NOT(ISERROR(SEARCH("3-3",E583)))</formula>
    </cfRule>
    <cfRule type="containsText" dxfId="376" priority="1276" operator="containsText" text="2-2">
      <formula>NOT(ISERROR(SEARCH("2-2",E583)))</formula>
    </cfRule>
    <cfRule type="containsText" dxfId="375" priority="1277" operator="containsText" text="1-1">
      <formula>NOT(ISERROR(SEARCH("1-1",E583)))</formula>
    </cfRule>
    <cfRule type="containsText" dxfId="374" priority="1278" operator="containsText" text="0-0">
      <formula>NOT(ISERROR(SEARCH("0-0",E583)))</formula>
    </cfRule>
  </conditionalFormatting>
  <conditionalFormatting sqref="E588:E598">
    <cfRule type="containsText" dxfId="373" priority="1213" operator="containsText" text="5-2">
      <formula>NOT(ISERROR(SEARCH("5-2",E588)))</formula>
    </cfRule>
    <cfRule type="containsText" dxfId="372" priority="1214" operator="containsText" text="0-5">
      <formula>NOT(ISERROR(SEARCH("0-5",E588)))</formula>
    </cfRule>
    <cfRule type="containsText" dxfId="371" priority="1215" operator="containsText" text="3-4">
      <formula>NOT(ISERROR(SEARCH("3-4",E588)))</formula>
    </cfRule>
    <cfRule type="containsText" dxfId="370" priority="1216" operator="containsText" text="4-0">
      <formula>NOT(ISERROR(SEARCH("4-0",E588)))</formula>
    </cfRule>
    <cfRule type="containsText" dxfId="369" priority="1217" operator="containsText" text="2-4">
      <formula>NOT(ISERROR(SEARCH("2-4",E588)))</formula>
    </cfRule>
    <cfRule type="containsText" dxfId="368" priority="1218" operator="containsText" text="5-0">
      <formula>NOT(ISERROR(SEARCH("5-0",E588)))</formula>
    </cfRule>
    <cfRule type="containsText" dxfId="367" priority="1219" operator="containsText" text="4-3">
      <formula>NOT(ISERROR(SEARCH("4-3",E588)))</formula>
    </cfRule>
    <cfRule type="containsText" dxfId="366" priority="1220" operator="containsText" text="6-0">
      <formula>NOT(ISERROR(SEARCH("6-0",E588)))</formula>
    </cfRule>
    <cfRule type="containsText" dxfId="365" priority="1221" operator="containsText" text="6-0">
      <formula>NOT(ISERROR(SEARCH("6-0",E588)))</formula>
    </cfRule>
    <cfRule type="containsText" dxfId="364" priority="1222" operator="containsText" text="5-1">
      <formula>NOT(ISERROR(SEARCH("5-1",E588)))</formula>
    </cfRule>
    <cfRule type="containsText" dxfId="363" priority="1223" operator="containsText" text="1-4">
      <formula>NOT(ISERROR(SEARCH("1-4",E588)))</formula>
    </cfRule>
    <cfRule type="containsText" dxfId="362" priority="1224" operator="containsText" text="0-4">
      <formula>NOT(ISERROR(SEARCH("0-4",E588)))</formula>
    </cfRule>
    <cfRule type="containsText" dxfId="361" priority="1225" operator="containsText" text="2-3">
      <formula>NOT(ISERROR(SEARCH("2-3",E588)))</formula>
    </cfRule>
    <cfRule type="containsText" dxfId="360" priority="1226" operator="containsText" text="1-3">
      <formula>NOT(ISERROR(SEARCH("1-3",E588)))</formula>
    </cfRule>
    <cfRule type="containsText" dxfId="359" priority="1227" operator="containsText" text="0-3">
      <formula>NOT(ISERROR(SEARCH("0-3",E588)))</formula>
    </cfRule>
    <cfRule type="containsText" dxfId="358" priority="1228" operator="containsText" text="1-2">
      <formula>NOT(ISERROR(SEARCH("1-2",E588)))</formula>
    </cfRule>
    <cfRule type="containsText" dxfId="357" priority="1229" operator="containsText" text="0-2">
      <formula>NOT(ISERROR(SEARCH("0-2",E588)))</formula>
    </cfRule>
    <cfRule type="containsText" dxfId="356" priority="1230" operator="containsText" text="0-1">
      <formula>NOT(ISERROR(SEARCH("0-1",E588)))</formula>
    </cfRule>
    <cfRule type="containsText" dxfId="355" priority="1231" operator="containsText" text="4-2">
      <formula>NOT(ISERROR(SEARCH("4-2",E588)))</formula>
    </cfRule>
    <cfRule type="containsText" dxfId="354" priority="1232" operator="containsText" text="4-1">
      <formula>NOT(ISERROR(SEARCH("4-1",E588)))</formula>
    </cfRule>
    <cfRule type="containsText" dxfId="353" priority="1233" operator="containsText" text="3-2">
      <formula>NOT(ISERROR(SEARCH("3-2",E588)))</formula>
    </cfRule>
    <cfRule type="containsText" dxfId="352" priority="1234" operator="containsText" text="3-1">
      <formula>NOT(ISERROR(SEARCH("3-1",E588)))</formula>
    </cfRule>
    <cfRule type="containsText" dxfId="351" priority="1235" operator="containsText" text="3-0">
      <formula>NOT(ISERROR(SEARCH("3-0",E588)))</formula>
    </cfRule>
    <cfRule type="containsText" dxfId="350" priority="1236" operator="containsText" text="2-1">
      <formula>NOT(ISERROR(SEARCH("2-1",E588)))</formula>
    </cfRule>
    <cfRule type="containsText" dxfId="349" priority="1237" operator="containsText" text="2-0">
      <formula>NOT(ISERROR(SEARCH("2-0",E588)))</formula>
    </cfRule>
    <cfRule type="containsText" dxfId="348" priority="1238" operator="containsText" text="1-0">
      <formula>NOT(ISERROR(SEARCH("1-0",E588)))</formula>
    </cfRule>
    <cfRule type="containsText" dxfId="347" priority="1239" operator="containsText" text="4-4">
      <formula>NOT(ISERROR(SEARCH("4-4",E588)))</formula>
    </cfRule>
    <cfRule type="containsText" dxfId="346" priority="1240" operator="containsText" text="3-3">
      <formula>NOT(ISERROR(SEARCH("3-3",E588)))</formula>
    </cfRule>
    <cfRule type="containsText" dxfId="345" priority="1241" operator="containsText" text="2-2">
      <formula>NOT(ISERROR(SEARCH("2-2",E588)))</formula>
    </cfRule>
    <cfRule type="containsText" dxfId="344" priority="1242" operator="containsText" text="1-1">
      <formula>NOT(ISERROR(SEARCH("1-1",E588)))</formula>
    </cfRule>
    <cfRule type="containsText" dxfId="343" priority="1243" operator="containsText" text="0-0">
      <formula>NOT(ISERROR(SEARCH("0-0",E588)))</formula>
    </cfRule>
  </conditionalFormatting>
  <conditionalFormatting sqref="E746:E759">
    <cfRule type="containsText" dxfId="342" priority="976" operator="containsText" text="5-2">
      <formula>NOT(ISERROR(SEARCH("5-2",E746)))</formula>
    </cfRule>
    <cfRule type="containsText" dxfId="341" priority="977" operator="containsText" text="0-5">
      <formula>NOT(ISERROR(SEARCH("0-5",E746)))</formula>
    </cfRule>
    <cfRule type="containsText" dxfId="340" priority="978" operator="containsText" text="3-4">
      <formula>NOT(ISERROR(SEARCH("3-4",E746)))</formula>
    </cfRule>
    <cfRule type="containsText" dxfId="339" priority="979" operator="containsText" text="4-0">
      <formula>NOT(ISERROR(SEARCH("4-0",E746)))</formula>
    </cfRule>
    <cfRule type="containsText" dxfId="338" priority="980" operator="containsText" text="2-4">
      <formula>NOT(ISERROR(SEARCH("2-4",E746)))</formula>
    </cfRule>
    <cfRule type="containsText" dxfId="337" priority="981" operator="containsText" text="5-0">
      <formula>NOT(ISERROR(SEARCH("5-0",E746)))</formula>
    </cfRule>
    <cfRule type="containsText" dxfId="336" priority="982" operator="containsText" text="4-3">
      <formula>NOT(ISERROR(SEARCH("4-3",E746)))</formula>
    </cfRule>
    <cfRule type="containsText" dxfId="335" priority="983" operator="containsText" text="6-0">
      <formula>NOT(ISERROR(SEARCH("6-0",E746)))</formula>
    </cfRule>
    <cfRule type="containsText" dxfId="334" priority="984" operator="containsText" text="6-0">
      <formula>NOT(ISERROR(SEARCH("6-0",E746)))</formula>
    </cfRule>
    <cfRule type="containsText" dxfId="333" priority="985" operator="containsText" text="5-1">
      <formula>NOT(ISERROR(SEARCH("5-1",E746)))</formula>
    </cfRule>
    <cfRule type="containsText" dxfId="332" priority="986" operator="containsText" text="1-4">
      <formula>NOT(ISERROR(SEARCH("1-4",E746)))</formula>
    </cfRule>
    <cfRule type="containsText" dxfId="331" priority="987" operator="containsText" text="0-4">
      <formula>NOT(ISERROR(SEARCH("0-4",E746)))</formula>
    </cfRule>
    <cfRule type="containsText" dxfId="330" priority="988" operator="containsText" text="2-3">
      <formula>NOT(ISERROR(SEARCH("2-3",E746)))</formula>
    </cfRule>
    <cfRule type="containsText" dxfId="329" priority="989" operator="containsText" text="1-3">
      <formula>NOT(ISERROR(SEARCH("1-3",E746)))</formula>
    </cfRule>
    <cfRule type="containsText" dxfId="328" priority="990" operator="containsText" text="0-3">
      <formula>NOT(ISERROR(SEARCH("0-3",E746)))</formula>
    </cfRule>
    <cfRule type="containsText" dxfId="327" priority="991" operator="containsText" text="1-2">
      <formula>NOT(ISERROR(SEARCH("1-2",E746)))</formula>
    </cfRule>
    <cfRule type="containsText" dxfId="326" priority="992" operator="containsText" text="0-2">
      <formula>NOT(ISERROR(SEARCH("0-2",E746)))</formula>
    </cfRule>
    <cfRule type="containsText" dxfId="325" priority="993" operator="containsText" text="0-1">
      <formula>NOT(ISERROR(SEARCH("0-1",E746)))</formula>
    </cfRule>
    <cfRule type="containsText" dxfId="324" priority="994" operator="containsText" text="4-2">
      <formula>NOT(ISERROR(SEARCH("4-2",E746)))</formula>
    </cfRule>
    <cfRule type="containsText" dxfId="323" priority="995" operator="containsText" text="4-1">
      <formula>NOT(ISERROR(SEARCH("4-1",E746)))</formula>
    </cfRule>
    <cfRule type="containsText" dxfId="322" priority="996" operator="containsText" text="3-2">
      <formula>NOT(ISERROR(SEARCH("3-2",E746)))</formula>
    </cfRule>
    <cfRule type="containsText" dxfId="321" priority="997" operator="containsText" text="3-1">
      <formula>NOT(ISERROR(SEARCH("3-1",E746)))</formula>
    </cfRule>
    <cfRule type="containsText" dxfId="320" priority="998" operator="containsText" text="3-0">
      <formula>NOT(ISERROR(SEARCH("3-0",E746)))</formula>
    </cfRule>
    <cfRule type="containsText" dxfId="319" priority="999" operator="containsText" text="2-1">
      <formula>NOT(ISERROR(SEARCH("2-1",E746)))</formula>
    </cfRule>
    <cfRule type="containsText" dxfId="318" priority="1000" operator="containsText" text="2-0">
      <formula>NOT(ISERROR(SEARCH("2-0",E746)))</formula>
    </cfRule>
    <cfRule type="containsText" dxfId="317" priority="1001" operator="containsText" text="1-0">
      <formula>NOT(ISERROR(SEARCH("1-0",E746)))</formula>
    </cfRule>
    <cfRule type="containsText" dxfId="316" priority="1002" operator="containsText" text="4-4">
      <formula>NOT(ISERROR(SEARCH("4-4",E746)))</formula>
    </cfRule>
    <cfRule type="containsText" dxfId="315" priority="1003" operator="containsText" text="3-3">
      <formula>NOT(ISERROR(SEARCH("3-3",E746)))</formula>
    </cfRule>
    <cfRule type="containsText" dxfId="314" priority="1004" operator="containsText" text="2-2">
      <formula>NOT(ISERROR(SEARCH("2-2",E746)))</formula>
    </cfRule>
    <cfRule type="containsText" dxfId="313" priority="1005" operator="containsText" text="1-1">
      <formula>NOT(ISERROR(SEARCH("1-1",E746)))</formula>
    </cfRule>
    <cfRule type="containsText" dxfId="312" priority="1006" operator="containsText" text="0-0">
      <formula>NOT(ISERROR(SEARCH("0-0",E746)))</formula>
    </cfRule>
  </conditionalFormatting>
  <conditionalFormatting sqref="E911:E924">
    <cfRule type="containsText" dxfId="311" priority="824" operator="containsText" text="5-2">
      <formula>NOT(ISERROR(SEARCH("5-2",E911)))</formula>
    </cfRule>
    <cfRule type="containsText" dxfId="310" priority="825" operator="containsText" text="0-5">
      <formula>NOT(ISERROR(SEARCH("0-5",E911)))</formula>
    </cfRule>
    <cfRule type="containsText" dxfId="309" priority="826" operator="containsText" text="3-4">
      <formula>NOT(ISERROR(SEARCH("3-4",E911)))</formula>
    </cfRule>
    <cfRule type="containsText" dxfId="308" priority="827" operator="containsText" text="4-0">
      <formula>NOT(ISERROR(SEARCH("4-0",E911)))</formula>
    </cfRule>
    <cfRule type="containsText" dxfId="307" priority="828" operator="containsText" text="2-4">
      <formula>NOT(ISERROR(SEARCH("2-4",E911)))</formula>
    </cfRule>
    <cfRule type="containsText" dxfId="306" priority="829" operator="containsText" text="5-0">
      <formula>NOT(ISERROR(SEARCH("5-0",E911)))</formula>
    </cfRule>
    <cfRule type="containsText" dxfId="305" priority="830" operator="containsText" text="4-3">
      <formula>NOT(ISERROR(SEARCH("4-3",E911)))</formula>
    </cfRule>
    <cfRule type="containsText" dxfId="304" priority="831" operator="containsText" text="6-0">
      <formula>NOT(ISERROR(SEARCH("6-0",E911)))</formula>
    </cfRule>
    <cfRule type="containsText" dxfId="303" priority="832" operator="containsText" text="6-0">
      <formula>NOT(ISERROR(SEARCH("6-0",E911)))</formula>
    </cfRule>
    <cfRule type="containsText" dxfId="302" priority="833" operator="containsText" text="5-1">
      <formula>NOT(ISERROR(SEARCH("5-1",E911)))</formula>
    </cfRule>
    <cfRule type="containsText" dxfId="301" priority="834" operator="containsText" text="1-4">
      <formula>NOT(ISERROR(SEARCH("1-4",E911)))</formula>
    </cfRule>
    <cfRule type="containsText" dxfId="300" priority="835" operator="containsText" text="0-4">
      <formula>NOT(ISERROR(SEARCH("0-4",E911)))</formula>
    </cfRule>
    <cfRule type="containsText" dxfId="299" priority="836" operator="containsText" text="2-3">
      <formula>NOT(ISERROR(SEARCH("2-3",E911)))</formula>
    </cfRule>
    <cfRule type="containsText" dxfId="298" priority="837" operator="containsText" text="1-3">
      <formula>NOT(ISERROR(SEARCH("1-3",E911)))</formula>
    </cfRule>
    <cfRule type="containsText" dxfId="297" priority="838" operator="containsText" text="0-3">
      <formula>NOT(ISERROR(SEARCH("0-3",E911)))</formula>
    </cfRule>
    <cfRule type="containsText" dxfId="296" priority="839" operator="containsText" text="1-2">
      <formula>NOT(ISERROR(SEARCH("1-2",E911)))</formula>
    </cfRule>
    <cfRule type="containsText" dxfId="295" priority="840" operator="containsText" text="0-2">
      <formula>NOT(ISERROR(SEARCH("0-2",E911)))</formula>
    </cfRule>
    <cfRule type="containsText" dxfId="294" priority="841" operator="containsText" text="0-1">
      <formula>NOT(ISERROR(SEARCH("0-1",E911)))</formula>
    </cfRule>
    <cfRule type="containsText" dxfId="293" priority="842" operator="containsText" text="4-2">
      <formula>NOT(ISERROR(SEARCH("4-2",E911)))</formula>
    </cfRule>
    <cfRule type="containsText" dxfId="292" priority="843" operator="containsText" text="4-1">
      <formula>NOT(ISERROR(SEARCH("4-1",E911)))</formula>
    </cfRule>
    <cfRule type="containsText" dxfId="291" priority="844" operator="containsText" text="3-2">
      <formula>NOT(ISERROR(SEARCH("3-2",E911)))</formula>
    </cfRule>
    <cfRule type="containsText" dxfId="290" priority="845" operator="containsText" text="3-1">
      <formula>NOT(ISERROR(SEARCH("3-1",E911)))</formula>
    </cfRule>
    <cfRule type="containsText" dxfId="289" priority="846" operator="containsText" text="3-0">
      <formula>NOT(ISERROR(SEARCH("3-0",E911)))</formula>
    </cfRule>
    <cfRule type="containsText" dxfId="288" priority="847" operator="containsText" text="2-1">
      <formula>NOT(ISERROR(SEARCH("2-1",E911)))</formula>
    </cfRule>
    <cfRule type="containsText" dxfId="287" priority="848" operator="containsText" text="2-0">
      <formula>NOT(ISERROR(SEARCH("2-0",E911)))</formula>
    </cfRule>
    <cfRule type="containsText" dxfId="286" priority="849" operator="containsText" text="1-0">
      <formula>NOT(ISERROR(SEARCH("1-0",E911)))</formula>
    </cfRule>
    <cfRule type="containsText" dxfId="285" priority="850" operator="containsText" text="4-4">
      <formula>NOT(ISERROR(SEARCH("4-4",E911)))</formula>
    </cfRule>
    <cfRule type="containsText" dxfId="284" priority="851" operator="containsText" text="3-3">
      <formula>NOT(ISERROR(SEARCH("3-3",E911)))</formula>
    </cfRule>
    <cfRule type="containsText" dxfId="283" priority="852" operator="containsText" text="2-2">
      <formula>NOT(ISERROR(SEARCH("2-2",E911)))</formula>
    </cfRule>
    <cfRule type="containsText" dxfId="282" priority="853" operator="containsText" text="1-1">
      <formula>NOT(ISERROR(SEARCH("1-1",E911)))</formula>
    </cfRule>
    <cfRule type="containsText" dxfId="281" priority="854" operator="containsText" text="0-0">
      <formula>NOT(ISERROR(SEARCH("0-0",E911)))</formula>
    </cfRule>
  </conditionalFormatting>
  <conditionalFormatting sqref="E1419:E1429">
    <cfRule type="containsText" dxfId="280" priority="255" operator="containsText" text="5-2">
      <formula>NOT(ISERROR(SEARCH("5-2",E1419)))</formula>
    </cfRule>
    <cfRule type="containsText" dxfId="279" priority="256" operator="containsText" text="0-5">
      <formula>NOT(ISERROR(SEARCH("0-5",E1419)))</formula>
    </cfRule>
    <cfRule type="containsText" dxfId="278" priority="257" operator="containsText" text="3-4">
      <formula>NOT(ISERROR(SEARCH("3-4",E1419)))</formula>
    </cfRule>
    <cfRule type="containsText" dxfId="277" priority="258" operator="containsText" text="4-0">
      <formula>NOT(ISERROR(SEARCH("4-0",E1419)))</formula>
    </cfRule>
    <cfRule type="containsText" dxfId="276" priority="259" operator="containsText" text="2-4">
      <formula>NOT(ISERROR(SEARCH("2-4",E1419)))</formula>
    </cfRule>
    <cfRule type="containsText" dxfId="275" priority="260" operator="containsText" text="5-0">
      <formula>NOT(ISERROR(SEARCH("5-0",E1419)))</formula>
    </cfRule>
    <cfRule type="containsText" dxfId="274" priority="261" operator="containsText" text="4-3">
      <formula>NOT(ISERROR(SEARCH("4-3",E1419)))</formula>
    </cfRule>
    <cfRule type="containsText" dxfId="273" priority="262" operator="containsText" text="6-0">
      <formula>NOT(ISERROR(SEARCH("6-0",E1419)))</formula>
    </cfRule>
    <cfRule type="containsText" dxfId="272" priority="263" operator="containsText" text="6-0">
      <formula>NOT(ISERROR(SEARCH("6-0",E1419)))</formula>
    </cfRule>
    <cfRule type="containsText" dxfId="271" priority="264" operator="containsText" text="5-1">
      <formula>NOT(ISERROR(SEARCH("5-1",E1419)))</formula>
    </cfRule>
    <cfRule type="containsText" dxfId="270" priority="265" operator="containsText" text="1-4">
      <formula>NOT(ISERROR(SEARCH("1-4",E1419)))</formula>
    </cfRule>
    <cfRule type="containsText" dxfId="269" priority="266" operator="containsText" text="0-4">
      <formula>NOT(ISERROR(SEARCH("0-4",E1419)))</formula>
    </cfRule>
    <cfRule type="containsText" dxfId="268" priority="267" operator="containsText" text="2-3">
      <formula>NOT(ISERROR(SEARCH("2-3",E1419)))</formula>
    </cfRule>
    <cfRule type="containsText" dxfId="267" priority="268" operator="containsText" text="1-3">
      <formula>NOT(ISERROR(SEARCH("1-3",E1419)))</formula>
    </cfRule>
    <cfRule type="containsText" dxfId="266" priority="269" operator="containsText" text="0-3">
      <formula>NOT(ISERROR(SEARCH("0-3",E1419)))</formula>
    </cfRule>
    <cfRule type="containsText" dxfId="265" priority="270" operator="containsText" text="1-2">
      <formula>NOT(ISERROR(SEARCH("1-2",E1419)))</formula>
    </cfRule>
    <cfRule type="containsText" dxfId="264" priority="271" operator="containsText" text="0-2">
      <formula>NOT(ISERROR(SEARCH("0-2",E1419)))</formula>
    </cfRule>
    <cfRule type="containsText" dxfId="263" priority="272" operator="containsText" text="0-1">
      <formula>NOT(ISERROR(SEARCH("0-1",E1419)))</formula>
    </cfRule>
    <cfRule type="containsText" dxfId="262" priority="273" operator="containsText" text="4-2">
      <formula>NOT(ISERROR(SEARCH("4-2",E1419)))</formula>
    </cfRule>
    <cfRule type="containsText" dxfId="261" priority="274" operator="containsText" text="4-1">
      <formula>NOT(ISERROR(SEARCH("4-1",E1419)))</formula>
    </cfRule>
    <cfRule type="containsText" dxfId="260" priority="275" operator="containsText" text="3-2">
      <formula>NOT(ISERROR(SEARCH("3-2",E1419)))</formula>
    </cfRule>
    <cfRule type="containsText" dxfId="259" priority="276" operator="containsText" text="3-1">
      <formula>NOT(ISERROR(SEARCH("3-1",E1419)))</formula>
    </cfRule>
    <cfRule type="containsText" dxfId="258" priority="277" operator="containsText" text="3-0">
      <formula>NOT(ISERROR(SEARCH("3-0",E1419)))</formula>
    </cfRule>
    <cfRule type="containsText" dxfId="257" priority="278" operator="containsText" text="2-1">
      <formula>NOT(ISERROR(SEARCH("2-1",E1419)))</formula>
    </cfRule>
    <cfRule type="containsText" dxfId="256" priority="279" operator="containsText" text="2-0">
      <formula>NOT(ISERROR(SEARCH("2-0",E1419)))</formula>
    </cfRule>
    <cfRule type="containsText" dxfId="255" priority="280" operator="containsText" text="1-0">
      <formula>NOT(ISERROR(SEARCH("1-0",E1419)))</formula>
    </cfRule>
    <cfRule type="containsText" dxfId="254" priority="281" operator="containsText" text="4-4">
      <formula>NOT(ISERROR(SEARCH("4-4",E1419)))</formula>
    </cfRule>
    <cfRule type="containsText" dxfId="253" priority="282" operator="containsText" text="3-3">
      <formula>NOT(ISERROR(SEARCH("3-3",E1419)))</formula>
    </cfRule>
    <cfRule type="containsText" dxfId="252" priority="283" operator="containsText" text="2-2">
      <formula>NOT(ISERROR(SEARCH("2-2",E1419)))</formula>
    </cfRule>
    <cfRule type="containsText" dxfId="251" priority="284" operator="containsText" text="1-1">
      <formula>NOT(ISERROR(SEARCH("1-1",E1419)))</formula>
    </cfRule>
    <cfRule type="containsText" dxfId="250" priority="285" operator="containsText" text="0-0">
      <formula>NOT(ISERROR(SEARCH("0-0",E1419)))</formula>
    </cfRule>
  </conditionalFormatting>
  <conditionalFormatting sqref="E1430:E1458">
    <cfRule type="containsText" dxfId="249" priority="193" operator="containsText" text="5-2">
      <formula>NOT(ISERROR(SEARCH("5-2",E1430)))</formula>
    </cfRule>
    <cfRule type="containsText" dxfId="248" priority="194" operator="containsText" text="0-5">
      <formula>NOT(ISERROR(SEARCH("0-5",E1430)))</formula>
    </cfRule>
    <cfRule type="containsText" dxfId="247" priority="195" operator="containsText" text="3-4">
      <formula>NOT(ISERROR(SEARCH("3-4",E1430)))</formula>
    </cfRule>
    <cfRule type="containsText" dxfId="246" priority="196" operator="containsText" text="4-0">
      <formula>NOT(ISERROR(SEARCH("4-0",E1430)))</formula>
    </cfRule>
    <cfRule type="containsText" dxfId="245" priority="197" operator="containsText" text="2-4">
      <formula>NOT(ISERROR(SEARCH("2-4",E1430)))</formula>
    </cfRule>
    <cfRule type="containsText" dxfId="244" priority="198" operator="containsText" text="5-0">
      <formula>NOT(ISERROR(SEARCH("5-0",E1430)))</formula>
    </cfRule>
    <cfRule type="containsText" dxfId="243" priority="199" operator="containsText" text="4-3">
      <formula>NOT(ISERROR(SEARCH("4-3",E1430)))</formula>
    </cfRule>
    <cfRule type="containsText" dxfId="242" priority="200" operator="containsText" text="6-0">
      <formula>NOT(ISERROR(SEARCH("6-0",E1430)))</formula>
    </cfRule>
    <cfRule type="containsText" dxfId="241" priority="201" operator="containsText" text="6-0">
      <formula>NOT(ISERROR(SEARCH("6-0",E1430)))</formula>
    </cfRule>
    <cfRule type="containsText" dxfId="240" priority="202" operator="containsText" text="5-1">
      <formula>NOT(ISERROR(SEARCH("5-1",E1430)))</formula>
    </cfRule>
    <cfRule type="containsText" dxfId="239" priority="203" operator="containsText" text="1-4">
      <formula>NOT(ISERROR(SEARCH("1-4",E1430)))</formula>
    </cfRule>
    <cfRule type="containsText" dxfId="238" priority="204" operator="containsText" text="0-4">
      <formula>NOT(ISERROR(SEARCH("0-4",E1430)))</formula>
    </cfRule>
    <cfRule type="containsText" dxfId="237" priority="205" operator="containsText" text="2-3">
      <formula>NOT(ISERROR(SEARCH("2-3",E1430)))</formula>
    </cfRule>
    <cfRule type="containsText" dxfId="236" priority="206" operator="containsText" text="1-3">
      <formula>NOT(ISERROR(SEARCH("1-3",E1430)))</formula>
    </cfRule>
    <cfRule type="containsText" dxfId="235" priority="207" operator="containsText" text="0-3">
      <formula>NOT(ISERROR(SEARCH("0-3",E1430)))</formula>
    </cfRule>
    <cfRule type="containsText" dxfId="234" priority="208" operator="containsText" text="1-2">
      <formula>NOT(ISERROR(SEARCH("1-2",E1430)))</formula>
    </cfRule>
    <cfRule type="containsText" dxfId="233" priority="209" operator="containsText" text="0-2">
      <formula>NOT(ISERROR(SEARCH("0-2",E1430)))</formula>
    </cfRule>
    <cfRule type="containsText" dxfId="232" priority="210" operator="containsText" text="0-1">
      <formula>NOT(ISERROR(SEARCH("0-1",E1430)))</formula>
    </cfRule>
    <cfRule type="containsText" dxfId="231" priority="211" operator="containsText" text="4-2">
      <formula>NOT(ISERROR(SEARCH("4-2",E1430)))</formula>
    </cfRule>
    <cfRule type="containsText" dxfId="230" priority="212" operator="containsText" text="4-1">
      <formula>NOT(ISERROR(SEARCH("4-1",E1430)))</formula>
    </cfRule>
    <cfRule type="containsText" dxfId="229" priority="213" operator="containsText" text="3-2">
      <formula>NOT(ISERROR(SEARCH("3-2",E1430)))</formula>
    </cfRule>
    <cfRule type="containsText" dxfId="228" priority="214" operator="containsText" text="3-1">
      <formula>NOT(ISERROR(SEARCH("3-1",E1430)))</formula>
    </cfRule>
    <cfRule type="containsText" dxfId="227" priority="215" operator="containsText" text="3-0">
      <formula>NOT(ISERROR(SEARCH("3-0",E1430)))</formula>
    </cfRule>
    <cfRule type="containsText" dxfId="226" priority="216" operator="containsText" text="2-1">
      <formula>NOT(ISERROR(SEARCH("2-1",E1430)))</formula>
    </cfRule>
    <cfRule type="containsText" dxfId="225" priority="217" operator="containsText" text="2-0">
      <formula>NOT(ISERROR(SEARCH("2-0",E1430)))</formula>
    </cfRule>
    <cfRule type="containsText" dxfId="224" priority="218" operator="containsText" text="1-0">
      <formula>NOT(ISERROR(SEARCH("1-0",E1430)))</formula>
    </cfRule>
    <cfRule type="containsText" dxfId="223" priority="219" operator="containsText" text="4-4">
      <formula>NOT(ISERROR(SEARCH("4-4",E1430)))</formula>
    </cfRule>
    <cfRule type="containsText" dxfId="222" priority="220" operator="containsText" text="3-3">
      <formula>NOT(ISERROR(SEARCH("3-3",E1430)))</formula>
    </cfRule>
    <cfRule type="containsText" dxfId="221" priority="221" operator="containsText" text="2-2">
      <formula>NOT(ISERROR(SEARCH("2-2",E1430)))</formula>
    </cfRule>
    <cfRule type="containsText" dxfId="220" priority="222" operator="containsText" text="1-1">
      <formula>NOT(ISERROR(SEARCH("1-1",E1430)))</formula>
    </cfRule>
    <cfRule type="containsText" dxfId="219" priority="223" operator="containsText" text="0-0">
      <formula>NOT(ISERROR(SEARCH("0-0",E1430)))</formula>
    </cfRule>
  </conditionalFormatting>
  <conditionalFormatting sqref="I1:I1677">
    <cfRule type="cellIs" dxfId="218" priority="1009" operator="between">
      <formula>-16.21</formula>
      <formula>-15.09</formula>
    </cfRule>
    <cfRule type="cellIs" dxfId="217" priority="1010" operator="between">
      <formula>-15.01</formula>
      <formula>-13.79</formula>
    </cfRule>
    <cfRule type="cellIs" dxfId="216" priority="1011" operator="between">
      <formula>-13.71</formula>
      <formula>-12.59</formula>
    </cfRule>
    <cfRule type="cellIs" dxfId="215" priority="1012" operator="between">
      <formula>-12.51</formula>
      <formula>-11.29</formula>
    </cfRule>
    <cfRule type="cellIs" dxfId="214" priority="1013" operator="between">
      <formula>-11.21</formula>
      <formula>-10.09</formula>
    </cfRule>
    <cfRule type="cellIs" dxfId="213" priority="1014" operator="between">
      <formula>-10.1</formula>
      <formula>-8.79</formula>
    </cfRule>
    <cfRule type="cellIs" dxfId="212" priority="1015" operator="between">
      <formula>-8.71</formula>
      <formula>-7.59</formula>
    </cfRule>
    <cfRule type="cellIs" dxfId="211" priority="1016" operator="between">
      <formula>-7.51</formula>
      <formula>-6.29</formula>
    </cfRule>
    <cfRule type="cellIs" dxfId="210" priority="1017" operator="between">
      <formula>-6.29</formula>
      <formula>-5.09</formula>
    </cfRule>
    <cfRule type="cellIs" dxfId="209" priority="1018" operator="between">
      <formula>-5.01</formula>
      <formula>-3.79</formula>
    </cfRule>
    <cfRule type="cellIs" dxfId="208" priority="1019" operator="between">
      <formula>-3.71</formula>
      <formula>-2.49</formula>
    </cfRule>
    <cfRule type="cellIs" dxfId="207" priority="1020" operator="between">
      <formula>-2.51</formula>
      <formula>-1.39</formula>
    </cfRule>
    <cfRule type="cellIs" dxfId="206" priority="1021" operator="between">
      <formula>17.59</formula>
      <formula>18.71</formula>
    </cfRule>
    <cfRule type="cellIs" dxfId="205" priority="1022" operator="between">
      <formula>16.29</formula>
      <formula>17.51</formula>
    </cfRule>
    <cfRule type="cellIs" dxfId="204" priority="1023" operator="between">
      <formula>15.09</formula>
      <formula>16.21</formula>
    </cfRule>
    <cfRule type="cellIs" dxfId="203" priority="1024" operator="between">
      <formula>13.79</formula>
      <formula>15.01</formula>
    </cfRule>
    <cfRule type="cellIs" dxfId="202" priority="1025" operator="between">
      <formula>11.29</formula>
      <formula>12.51</formula>
    </cfRule>
    <cfRule type="cellIs" dxfId="201" priority="1026" operator="between">
      <formula>12.59</formula>
      <formula>13.71</formula>
    </cfRule>
    <cfRule type="cellIs" dxfId="200" priority="1027" operator="between">
      <formula>10.09</formula>
      <formula>11.21</formula>
    </cfRule>
    <cfRule type="cellIs" dxfId="199" priority="1028" operator="between">
      <formula>8.79</formula>
      <formula>10.01</formula>
    </cfRule>
    <cfRule type="cellIs" dxfId="198" priority="1029" operator="between">
      <formula>7.59</formula>
      <formula>8.71</formula>
    </cfRule>
    <cfRule type="cellIs" dxfId="197" priority="1030" operator="between">
      <formula>6.29</formula>
      <formula>7.51</formula>
    </cfRule>
    <cfRule type="cellIs" dxfId="196" priority="1031" operator="between">
      <formula>5.08</formula>
      <formula>6.21</formula>
    </cfRule>
    <cfRule type="cellIs" dxfId="195" priority="1032" operator="between">
      <formula>3.79</formula>
      <formula>5.01</formula>
    </cfRule>
    <cfRule type="cellIs" dxfId="194" priority="1033" operator="between">
      <formula>2.59</formula>
      <formula>3.71</formula>
    </cfRule>
    <cfRule type="cellIs" dxfId="193" priority="1034" operator="between">
      <formula>1.39</formula>
      <formula>2.51</formula>
    </cfRule>
    <cfRule type="cellIs" dxfId="192" priority="1035" operator="between">
      <formula>0.01</formula>
      <formula>1.31</formula>
    </cfRule>
    <cfRule type="cellIs" dxfId="191" priority="1036" operator="between">
      <formula>-1.31</formula>
      <formula>0</formula>
    </cfRule>
  </conditionalFormatting>
  <conditionalFormatting sqref="N1:N1709">
    <cfRule type="containsText" dxfId="190" priority="892" operator="containsText" text="盘口不变">
      <formula>NOT(ISERROR(SEARCH("盘口不变",N1)))</formula>
    </cfRule>
    <cfRule type="containsText" dxfId="189" priority="893" operator="containsText" text="模糊">
      <formula>NOT(ISERROR(SEARCH("模糊",N1)))</formula>
    </cfRule>
    <cfRule type="containsText" dxfId="188" priority="894" operator="containsText" text="升盘">
      <formula>NOT(ISERROR(SEARCH("升盘",N1)))</formula>
    </cfRule>
    <cfRule type="containsText" dxfId="187" priority="895" operator="containsText" text="降盘">
      <formula>NOT(ISERROR(SEARCH("降盘",N1)))</formula>
    </cfRule>
  </conditionalFormatting>
  <conditionalFormatting sqref="P1:P1048576">
    <cfRule type="cellIs" dxfId="186" priority="178" operator="lessThanOrEqual">
      <formula>-13</formula>
    </cfRule>
    <cfRule type="cellIs" dxfId="185" priority="179" operator="between">
      <formula>-12</formula>
      <formula>-7</formula>
    </cfRule>
    <cfRule type="cellIs" dxfId="184" priority="180" operator="between">
      <formula>-6</formula>
      <formula>-0.1</formula>
    </cfRule>
    <cfRule type="cellIs" dxfId="183" priority="181" operator="between">
      <formula>0.1</formula>
      <formula>6</formula>
    </cfRule>
    <cfRule type="cellIs" dxfId="182" priority="182" operator="between">
      <formula>7</formula>
      <formula>12</formula>
    </cfRule>
    <cfRule type="cellIs" dxfId="181" priority="183" operator="between">
      <formula>13</formula>
      <formula>50</formula>
    </cfRule>
  </conditionalFormatting>
  <conditionalFormatting sqref="Q1:Q1048576">
    <cfRule type="containsText" dxfId="180" priority="1049" operator="containsText" text="T">
      <formula>NOT(ISERROR(SEARCH("T",Q1)))</formula>
    </cfRule>
    <cfRule type="containsText" dxfId="179" priority="1244" operator="containsText" text="F">
      <formula>NOT(ISERROR(SEARCH("F",Q1)))</formula>
    </cfRule>
    <cfRule type="containsText" dxfId="178" priority="1245" operator="containsText" text="G">
      <formula>NOT(ISERROR(SEARCH("G",Q1)))</formula>
    </cfRule>
    <cfRule type="containsText" dxfId="177" priority="1246" operator="containsText" text="A">
      <formula>NOT(ISERROR(SEARCH("A",Q1)))</formula>
    </cfRule>
    <cfRule type="containsText" dxfId="176" priority="1247" operator="containsText" text="S">
      <formula>NOT(ISERROR(SEARCH("S",Q1)))</formula>
    </cfRule>
  </conditionalFormatting>
  <conditionalFormatting sqref="R1:R1048576">
    <cfRule type="cellIs" dxfId="175" priority="176" operator="equal">
      <formula>"错误"</formula>
    </cfRule>
    <cfRule type="cellIs" dxfId="174" priority="177" operator="equal">
      <formula>"正确"</formula>
    </cfRule>
  </conditionalFormatting>
  <conditionalFormatting sqref="S1:S1709">
    <cfRule type="containsText" dxfId="173" priority="184" operator="containsText" text="均">
      <formula>NOT(ISERROR(SEARCH("均",S1)))</formula>
    </cfRule>
    <cfRule type="cellIs" dxfId="172" priority="185" operator="equal">
      <formula>"客拉力"</formula>
    </cfRule>
    <cfRule type="cellIs" dxfId="171" priority="186" operator="equal">
      <formula>"主拉力"</formula>
    </cfRule>
  </conditionalFormatting>
  <conditionalFormatting sqref="T1:T1048576">
    <cfRule type="containsText" dxfId="170" priority="187" operator="containsText" text="两极">
      <formula>NOT(ISERROR(SEARCH("两极",T1)))</formula>
    </cfRule>
    <cfRule type="containsText" dxfId="169" priority="188" operator="containsText" text="虫">
      <formula>NOT(ISERROR(SEARCH("虫",T1)))</formula>
    </cfRule>
    <cfRule type="containsText" dxfId="168" priority="189" operator="containsText" text="龙">
      <formula>NOT(ISERROR(SEARCH("龙",T1)))</formula>
    </cfRule>
  </conditionalFormatting>
  <conditionalFormatting sqref="D1418 D1291:D1416 D1420:D1423 D1425:D1430 D1434:D1435 D1666 D1675:D1677 D1654:D1656 D1684:D1048576 D1:D1289 D1437:D1647">
    <cfRule type="cellIs" dxfId="167" priority="773" operator="equal">
      <formula>"比利时"</formula>
    </cfRule>
    <cfRule type="cellIs" dxfId="166" priority="774" operator="equal">
      <formula>"威尔士"</formula>
    </cfRule>
    <cfRule type="cellIs" dxfId="165" priority="776" operator="equal">
      <formula>"乌拉圭"</formula>
    </cfRule>
    <cfRule type="cellIs" dxfId="164" priority="780" operator="equal">
      <formula>"波黑"</formula>
    </cfRule>
    <cfRule type="cellIs" dxfId="163" priority="783" operator="equal">
      <formula>"意大利"</formula>
    </cfRule>
    <cfRule type="cellIs" dxfId="162" priority="785" operator="equal">
      <formula>"摩尔多瓦"</formula>
    </cfRule>
    <cfRule type="cellIs" dxfId="161" priority="792" operator="equal">
      <formula>"韩国"</formula>
    </cfRule>
    <cfRule type="cellIs" dxfId="160" priority="793" operator="equal">
      <formula>"巴西"</formula>
    </cfRule>
    <cfRule type="cellIs" dxfId="159" priority="794" operator="equal">
      <formula>"秘鲁"</formula>
    </cfRule>
    <cfRule type="cellIs" dxfId="158" priority="796" operator="equal">
      <formula>"中国"</formula>
    </cfRule>
    <cfRule type="cellIs" dxfId="157" priority="798" operator="equal">
      <formula>"萨尔瓦多"</formula>
    </cfRule>
    <cfRule type="cellIs" dxfId="156" priority="799" operator="equal">
      <formula>"加拿大"</formula>
    </cfRule>
    <cfRule type="cellIs" dxfId="155" priority="800" operator="equal">
      <formula>"法罗群岛"</formula>
    </cfRule>
    <cfRule type="cellIs" dxfId="154" priority="801" operator="equal">
      <formula>"葡萄牙"</formula>
    </cfRule>
    <cfRule type="cellIs" dxfId="153" priority="804" operator="equal">
      <formula>"英格兰"</formula>
    </cfRule>
    <cfRule type="cellIs" dxfId="152" priority="806" operator="equal">
      <formula>"阿尔巴尼亚"</formula>
    </cfRule>
    <cfRule type="cellIs" dxfId="151" priority="808" operator="equal">
      <formula>"丹麦"</formula>
    </cfRule>
    <cfRule type="cellIs" dxfId="150" priority="810" operator="equal">
      <formula>"沙特"</formula>
    </cfRule>
    <cfRule type="cellIs" dxfId="149" priority="812" operator="equal">
      <formula>"伊朗"</formula>
    </cfRule>
    <cfRule type="cellIs" dxfId="148" priority="813" operator="equal">
      <formula>"荷兰"</formula>
    </cfRule>
    <cfRule type="cellIs" dxfId="147" priority="814" operator="equal">
      <formula>"拉脱维亚"</formula>
    </cfRule>
    <cfRule type="cellIs" dxfId="146" priority="817" operator="equal">
      <formula>"捷克"</formula>
    </cfRule>
    <cfRule type="cellIs" dxfId="145" priority="818" operator="equal">
      <formula>"挪威"</formula>
    </cfRule>
    <cfRule type="cellIs" dxfId="144" priority="822" operator="equal">
      <formula>"瑞士"</formula>
    </cfRule>
    <cfRule type="cellIs" dxfId="143" priority="823" operator="equal">
      <formula>"玻利维亚"</formula>
    </cfRule>
  </conditionalFormatting>
  <conditionalFormatting sqref="D1291:D1416 D1666 D1675:D1677 D1654:D1656 D1684:D1048576 D1:D1289 D1418:D1647">
    <cfRule type="cellIs" dxfId="142" priority="759" operator="equal">
      <formula>"牙买加"</formula>
    </cfRule>
    <cfRule type="cellIs" dxfId="141" priority="764" operator="equal">
      <formula>"巴拿马"</formula>
    </cfRule>
    <cfRule type="cellIs" dxfId="140" priority="768" operator="equal">
      <formula>"北爱尔兰"</formula>
    </cfRule>
    <cfRule type="cellIs" dxfId="139" priority="770" operator="equal">
      <formula>"瑞士"</formula>
    </cfRule>
  </conditionalFormatting>
  <conditionalFormatting sqref="D1666 D1675:D1677 D1654:D1656 D1684:D1048576 D1:D1289 D1291:D1647">
    <cfRule type="cellIs" dxfId="138" priority="749" operator="equal">
      <formula>"圣马力诺"</formula>
    </cfRule>
    <cfRule type="cellIs" dxfId="137" priority="750" operator="equal">
      <formula>"科索沃"</formula>
    </cfRule>
    <cfRule type="cellIs" dxfId="136" priority="753" operator="equal">
      <formula>"芬兰"</formula>
    </cfRule>
    <cfRule type="cellIs" dxfId="135" priority="755" operator="equal">
      <formula>"立陶宛"</formula>
    </cfRule>
    <cfRule type="cellIs" dxfId="134" priority="758" operator="equal">
      <formula>"塞尔维亚"</formula>
    </cfRule>
  </conditionalFormatting>
  <conditionalFormatting sqref="D1666 D1675:D1677 D1654:D1656 D1684:D1048576 D1:D1647">
    <cfRule type="cellIs" dxfId="133" priority="566" operator="equal">
      <formula>"列支敦士登"</formula>
    </cfRule>
    <cfRule type="cellIs" dxfId="132" priority="574" operator="equal">
      <formula>"斯洛文尼亚"</formula>
    </cfRule>
    <cfRule type="cellIs" dxfId="131" priority="576" operator="equal">
      <formula>"卢森堡"</formula>
    </cfRule>
    <cfRule type="cellIs" dxfId="130" priority="577" operator="equal">
      <formula>"乌克兰"</formula>
    </cfRule>
    <cfRule type="cellIs" dxfId="129" priority="578" operator="equal">
      <formula>"阿塞拜疆"</formula>
    </cfRule>
    <cfRule type="cellIs" dxfId="128" priority="581" operator="equal">
      <formula>"直布罗陀"</formula>
    </cfRule>
    <cfRule type="cellIs" dxfId="127" priority="582" operator="equal">
      <formula>"希腊"</formula>
    </cfRule>
    <cfRule type="cellIs" dxfId="126" priority="583" operator="equal">
      <formula>"马耳他"</formula>
    </cfRule>
    <cfRule type="cellIs" dxfId="125" priority="586" operator="equal">
      <formula>"德国"</formula>
    </cfRule>
    <cfRule type="cellIs" dxfId="124" priority="588" operator="equal">
      <formula>"爱尔兰"</formula>
    </cfRule>
    <cfRule type="cellIs" dxfId="123" priority="624" operator="equal">
      <formula>"安道尔"</formula>
    </cfRule>
    <cfRule type="cellIs" dxfId="122" priority="625" operator="equal">
      <formula>"白俄罗斯"</formula>
    </cfRule>
    <cfRule type="cellIs" dxfId="121" priority="627" operator="equal">
      <formula>"奥地利"</formula>
    </cfRule>
    <cfRule type="cellIs" dxfId="120" priority="628" operator="equal">
      <formula>"克罗地亚"</formula>
    </cfRule>
  </conditionalFormatting>
  <conditionalFormatting sqref="D1418 D1291:D1416 D1420:D1423 D1425:D1430 D1434:D1435 D1675:D1677 D1666 F1675:F1677 F1666 D1654:D1656 F1654:F1656 D1684:D1048576 F1684:F1048576 D1:D1289 F1:F1289 D1437:D1647 F1291:F1647">
    <cfRule type="containsText" dxfId="119" priority="815" operator="containsText" text="马其顿">
      <formula>NOT(ISERROR(SEARCH("马其顿",D1)))</formula>
    </cfRule>
  </conditionalFormatting>
  <conditionalFormatting sqref="E353:E358 V1659:V1665 V1667 E599:E745 E925:E1289 E760:E910 E1291:E1413 E1675:E1677 E1684:E1048576 E1:E351 E362:E582 E1460:E1646">
    <cfRule type="containsText" dxfId="118" priority="1551" operator="containsText" text="2-4">
      <formula>NOT(ISERROR(SEARCH("2-4",E1)))</formula>
    </cfRule>
    <cfRule type="containsText" dxfId="117" priority="1552" operator="containsText" text="5-0">
      <formula>NOT(ISERROR(SEARCH("5-0",E1)))</formula>
    </cfRule>
    <cfRule type="containsText" dxfId="116" priority="1553" operator="containsText" text="4-3">
      <formula>NOT(ISERROR(SEARCH("4-3",E1)))</formula>
    </cfRule>
    <cfRule type="containsText" dxfId="115" priority="1554" operator="containsText" text="6-0">
      <formula>NOT(ISERROR(SEARCH("6-0",E1)))</formula>
    </cfRule>
    <cfRule type="containsText" dxfId="114" priority="1555" operator="containsText" text="6-0">
      <formula>NOT(ISERROR(SEARCH("6-0",E1)))</formula>
    </cfRule>
    <cfRule type="containsText" dxfId="113" priority="1556" operator="containsText" text="5-1">
      <formula>NOT(ISERROR(SEARCH("5-1",E1)))</formula>
    </cfRule>
    <cfRule type="containsText" dxfId="112" priority="1557" operator="containsText" text="1-4">
      <formula>NOT(ISERROR(SEARCH("1-4",E1)))</formula>
    </cfRule>
    <cfRule type="containsText" dxfId="111" priority="1558" operator="containsText" text="0-4">
      <formula>NOT(ISERROR(SEARCH("0-4",E1)))</formula>
    </cfRule>
    <cfRule type="containsText" dxfId="110" priority="1559" operator="containsText" text="2-3">
      <formula>NOT(ISERROR(SEARCH("2-3",E1)))</formula>
    </cfRule>
    <cfRule type="containsText" dxfId="109" priority="1560" operator="containsText" text="1-3">
      <formula>NOT(ISERROR(SEARCH("1-3",E1)))</formula>
    </cfRule>
    <cfRule type="containsText" dxfId="108" priority="1561" operator="containsText" text="0-3">
      <formula>NOT(ISERROR(SEARCH("0-3",E1)))</formula>
    </cfRule>
    <cfRule type="containsText" dxfId="107" priority="1562" operator="containsText" text="1-2">
      <formula>NOT(ISERROR(SEARCH("1-2",E1)))</formula>
    </cfRule>
    <cfRule type="containsText" dxfId="106" priority="1563" operator="containsText" text="0-2">
      <formula>NOT(ISERROR(SEARCH("0-2",E1)))</formula>
    </cfRule>
    <cfRule type="containsText" dxfId="105" priority="1564" operator="containsText" text="0-1">
      <formula>NOT(ISERROR(SEARCH("0-1",E1)))</formula>
    </cfRule>
    <cfRule type="containsText" dxfId="104" priority="1565" operator="containsText" text="4-2">
      <formula>NOT(ISERROR(SEARCH("4-2",E1)))</formula>
    </cfRule>
    <cfRule type="containsText" dxfId="103" priority="1566" operator="containsText" text="4-1">
      <formula>NOT(ISERROR(SEARCH("4-1",E1)))</formula>
    </cfRule>
    <cfRule type="containsText" dxfId="102" priority="1567" operator="containsText" text="3-2">
      <formula>NOT(ISERROR(SEARCH("3-2",E1)))</formula>
    </cfRule>
    <cfRule type="containsText" dxfId="101" priority="1568" operator="containsText" text="3-1">
      <formula>NOT(ISERROR(SEARCH("3-1",E1)))</formula>
    </cfRule>
    <cfRule type="containsText" dxfId="100" priority="1569" operator="containsText" text="3-0">
      <formula>NOT(ISERROR(SEARCH("3-0",E1)))</formula>
    </cfRule>
    <cfRule type="containsText" dxfId="99" priority="1570" operator="containsText" text="2-1">
      <formula>NOT(ISERROR(SEARCH("2-1",E1)))</formula>
    </cfRule>
    <cfRule type="containsText" dxfId="98" priority="1571" operator="containsText" text="2-0">
      <formula>NOT(ISERROR(SEARCH("2-0",E1)))</formula>
    </cfRule>
    <cfRule type="containsText" dxfId="97" priority="1572" operator="containsText" text="1-0">
      <formula>NOT(ISERROR(SEARCH("1-0",E1)))</formula>
    </cfRule>
    <cfRule type="containsText" dxfId="96" priority="1573" operator="containsText" text="4-4">
      <formula>NOT(ISERROR(SEARCH("4-4",E1)))</formula>
    </cfRule>
    <cfRule type="containsText" dxfId="95" priority="1574" operator="containsText" text="3-3">
      <formula>NOT(ISERROR(SEARCH("3-3",E1)))</formula>
    </cfRule>
    <cfRule type="containsText" dxfId="94" priority="1575" operator="containsText" text="2-2">
      <formula>NOT(ISERROR(SEARCH("2-2",E1)))</formula>
    </cfRule>
    <cfRule type="containsText" dxfId="93" priority="1576" operator="containsText" text="1-1">
      <formula>NOT(ISERROR(SEARCH("1-1",E1)))</formula>
    </cfRule>
    <cfRule type="containsText" dxfId="92" priority="1577" operator="containsText" text="0-0">
      <formula>NOT(ISERROR(SEARCH("0-0",E1)))</formula>
    </cfRule>
  </conditionalFormatting>
  <conditionalFormatting sqref="E353:E358 E599:E745 E925:E1289 E760:E910 E1291:E1413 E1675:E1677 E1684:E1048576 E1:E351 E362:E582 E1460:E1646">
    <cfRule type="containsText" dxfId="91" priority="1547" operator="containsText" text="5-2">
      <formula>NOT(ISERROR(SEARCH("5-2",E1)))</formula>
    </cfRule>
    <cfRule type="containsText" dxfId="90" priority="1548" operator="containsText" text="0-5">
      <formula>NOT(ISERROR(SEARCH("0-5",E1)))</formula>
    </cfRule>
    <cfRule type="containsText" dxfId="89" priority="1549" operator="containsText" text="3-4">
      <formula>NOT(ISERROR(SEARCH("3-4",E1)))</formula>
    </cfRule>
    <cfRule type="containsText" dxfId="88" priority="1550" operator="containsText" text="4-0">
      <formula>NOT(ISERROR(SEARCH("4-0",E1)))</formula>
    </cfRule>
  </conditionalFormatting>
  <conditionalFormatting sqref="F1418 F1420:F1423 F1434:F1435 F1666 F1675:F1677 F1654:F1656 F1425:F1430 F1684:F1048576 F1291:F1416 F1:F1289 F1437:F1647">
    <cfRule type="cellIs" dxfId="87" priority="775" operator="equal">
      <formula>"白俄罗斯"</formula>
    </cfRule>
    <cfRule type="cellIs" dxfId="86" priority="777" operator="equal">
      <formula>"巴拿马"</formula>
    </cfRule>
    <cfRule type="cellIs" dxfId="85" priority="778" operator="equal">
      <formula>"牙买加"</formula>
    </cfRule>
    <cfRule type="cellIs" dxfId="84" priority="779" operator="equal">
      <formula>"芬兰"</formula>
    </cfRule>
    <cfRule type="cellIs" dxfId="83" priority="782" operator="equal">
      <formula>"阿尔巴尼亚"</formula>
    </cfRule>
    <cfRule type="cellIs" dxfId="82" priority="784" operator="equal">
      <formula>"以色列"</formula>
    </cfRule>
    <cfRule type="cellIs" dxfId="81" priority="786" operator="equal">
      <formula>"哥斯达黎加"</formula>
    </cfRule>
    <cfRule type="cellIs" dxfId="80" priority="787" operator="equal">
      <formula>"立陶宛"</formula>
    </cfRule>
    <cfRule type="cellIs" dxfId="79" priority="788" operator="equal">
      <formula>"智利"</formula>
    </cfRule>
    <cfRule type="cellIs" dxfId="78" priority="789" operator="equal">
      <formula>"葡萄牙"</formula>
    </cfRule>
    <cfRule type="cellIs" dxfId="77" priority="790" operator="equal">
      <formula>"斯洛文尼亚"</formula>
    </cfRule>
    <cfRule type="cellIs" dxfId="76" priority="791" operator="equal">
      <formula>"西班牙"</formula>
    </cfRule>
    <cfRule type="cellIs" dxfId="75" priority="795" operator="equal">
      <formula>"玻利维亚"</formula>
    </cfRule>
    <cfRule type="cellIs" dxfId="74" priority="797" operator="equal">
      <formula>"乌拉圭"</formula>
    </cfRule>
    <cfRule type="cellIs" dxfId="73" priority="802" operator="equal">
      <formula>"瑞士"</formula>
    </cfRule>
    <cfRule type="cellIs" dxfId="72" priority="803" operator="equal">
      <formula>"摩尔多瓦"</formula>
    </cfRule>
    <cfRule type="cellIs" dxfId="71" priority="807" operator="equal">
      <formula>"北爱尔兰"</formula>
    </cfRule>
    <cfRule type="cellIs" dxfId="70" priority="809" operator="equal">
      <formula>"中国"</formula>
    </cfRule>
    <cfRule type="cellIs" dxfId="69" priority="811" operator="equal">
      <formula>"韩国"</formula>
    </cfRule>
    <cfRule type="cellIs" dxfId="68" priority="816" operator="equal">
      <formula>"威尔士"</formula>
    </cfRule>
    <cfRule type="cellIs" dxfId="67" priority="819" operator="equal">
      <formula>"俄罗斯"</formula>
    </cfRule>
    <cfRule type="cellIs" dxfId="66" priority="820" operator="equal">
      <formula>"巴西"</formula>
    </cfRule>
    <cfRule type="cellIs" dxfId="65" priority="821" operator="equal">
      <formula>"厄瓜多尔"</formula>
    </cfRule>
  </conditionalFormatting>
  <conditionalFormatting sqref="F1675:F1677 F1666 F1654:F1656 F1684:F1048576 F1291:F1416 F1:F1289 F1418:F1647">
    <cfRule type="containsText" dxfId="64" priority="760" operator="containsText" text="伊拉克">
      <formula>NOT(ISERROR(SEARCH("伊拉克",F1)))</formula>
    </cfRule>
    <cfRule type="cellIs" dxfId="63" priority="761" operator="equal">
      <formula>"挪威"</formula>
    </cfRule>
    <cfRule type="cellIs" dxfId="62" priority="762" operator="equal">
      <formula>"洪都拉斯"</formula>
    </cfRule>
    <cfRule type="cellIs" dxfId="61" priority="763" operator="equal">
      <formula>"萨尔瓦多"</formula>
    </cfRule>
    <cfRule type="cellIs" dxfId="60" priority="765" operator="equal">
      <formula>"比利时"</formula>
    </cfRule>
    <cfRule type="cellIs" dxfId="59" priority="766" operator="equal">
      <formula>"土耳其"</formula>
    </cfRule>
    <cfRule type="cellIs" dxfId="58" priority="767" operator="equal">
      <formula>"日本"</formula>
    </cfRule>
    <cfRule type="cellIs" dxfId="57" priority="769" operator="equal">
      <formula>"英格兰"</formula>
    </cfRule>
    <cfRule type="cellIs" dxfId="56" priority="771" operator="equal">
      <formula>"安道尔"</formula>
    </cfRule>
    <cfRule type="cellIs" dxfId="55" priority="772" operator="equal">
      <formula>"塞浦路斯"</formula>
    </cfRule>
  </conditionalFormatting>
  <conditionalFormatting sqref="F1666 F1675:F1677 F1654:F1656 F1684:F1048576 F1:F1289 F1291:F1647">
    <cfRule type="cellIs" dxfId="54" priority="748" operator="equal">
      <formula>"格鲁吉亚"</formula>
    </cfRule>
    <cfRule type="cellIs" dxfId="53" priority="751" operator="equal">
      <formula>"乌克兰"</formula>
    </cfRule>
    <cfRule type="cellIs" dxfId="52" priority="754" operator="equal">
      <formula>"德国"</formula>
    </cfRule>
    <cfRule type="cellIs" dxfId="51" priority="756" operator="equal">
      <formula>"丹麦"</formula>
    </cfRule>
    <cfRule type="cellIs" dxfId="50" priority="757" operator="equal">
      <formula>"希腊"</formula>
    </cfRule>
  </conditionalFormatting>
  <conditionalFormatting sqref="F1666 F1675:F1677 F1654:F1656 F1684:F1048576 F1:F1647">
    <cfRule type="cellIs" dxfId="49" priority="565" operator="equal">
      <formula>"捷克"</formula>
    </cfRule>
    <cfRule type="cellIs" dxfId="48" priority="568" operator="equal">
      <formula>"克罗地亚"</formula>
    </cfRule>
    <cfRule type="cellIs" dxfId="47" priority="569" operator="equal">
      <formula>"奥地利"</formula>
    </cfRule>
    <cfRule type="cellIs" dxfId="46" priority="570" operator="equal">
      <formula>"直布罗陀"</formula>
    </cfRule>
    <cfRule type="cellIs" dxfId="45" priority="571" operator="equal">
      <formula>"保加利亚"</formula>
    </cfRule>
    <cfRule type="cellIs" dxfId="44" priority="573" operator="equal">
      <formula>"瑞典"</formula>
    </cfRule>
    <cfRule type="cellIs" dxfId="43" priority="575" operator="equal">
      <formula>"苏格兰"</formula>
    </cfRule>
    <cfRule type="cellIs" dxfId="42" priority="579" operator="equal">
      <formula>"斯洛伐克"</formula>
    </cfRule>
    <cfRule type="cellIs" dxfId="41" priority="580" operator="equal">
      <formula>"塞尔维亚"</formula>
    </cfRule>
    <cfRule type="cellIs" dxfId="40" priority="584" operator="equal">
      <formula>"荷兰"</formula>
    </cfRule>
    <cfRule type="cellIs" dxfId="39" priority="585" operator="equal">
      <formula>"阿联酋"</formula>
    </cfRule>
    <cfRule type="cellIs" dxfId="38" priority="587" operator="equal">
      <formula>"亚美尼亚"</formula>
    </cfRule>
    <cfRule type="cellIs" dxfId="37" priority="589" operator="equal">
      <formula>"黑山"</formula>
    </cfRule>
    <cfRule type="cellIs" dxfId="36" priority="590" operator="equal">
      <formula>"卢森堡"</formula>
    </cfRule>
    <cfRule type="cellIs" dxfId="35" priority="591" operator="equal">
      <formula>"波兰"</formula>
    </cfRule>
    <cfRule type="cellIs" dxfId="34" priority="592" operator="equal">
      <formula>"澳大利亚"</formula>
    </cfRule>
    <cfRule type="cellIs" dxfId="33" priority="629" operator="equal">
      <formula>"法国"</formula>
    </cfRule>
  </conditionalFormatting>
  <conditionalFormatting sqref="G1:H1048576">
    <cfRule type="cellIs" dxfId="32" priority="1007" operator="between">
      <formula>120</formula>
      <formula>90</formula>
    </cfRule>
    <cfRule type="cellIs" dxfId="31" priority="1008" operator="between">
      <formula>10</formula>
      <formula>70</formula>
    </cfRule>
  </conditionalFormatting>
  <conditionalFormatting sqref="N1710:N1048576 O1:O1048576">
    <cfRule type="cellIs" dxfId="30" priority="896" operator="equal">
      <formula>"模糊"</formula>
    </cfRule>
    <cfRule type="containsText" dxfId="29" priority="897" operator="containsText" text="低一档">
      <formula>NOT(ISERROR(SEARCH("低一档",N1)))</formula>
    </cfRule>
    <cfRule type="containsText" dxfId="28" priority="898" operator="containsText" text="高一档">
      <formula>NOT(ISERROR(SEARCH("高一档",N1)))</formula>
    </cfRule>
    <cfRule type="containsText" dxfId="27" priority="899" operator="containsText" text="中水">
      <formula>NOT(ISERROR(SEARCH("中水",N1)))</formula>
    </cfRule>
    <cfRule type="containsText" dxfId="26" priority="900" operator="containsText" text="高水">
      <formula>NOT(ISERROR(SEARCH("高水",N1)))</formula>
    </cfRule>
    <cfRule type="containsText" dxfId="25" priority="901" operator="containsText" text="低水">
      <formula>NOT(ISERROR(SEARCH("低水",N1)))</formula>
    </cfRule>
  </conditionalFormatting>
  <dataValidations count="8">
    <dataValidation type="list" allowBlank="1" showInputMessage="1" showErrorMessage="1" sqref="J2:K2 K18 J30:K30 J36:K36 K52 J74:K74 J78:K78 J96:K96 K164 K166 J168:K168 K202 J219 J224:K224 J239:K239 J249:K249 K251 K253 K256 J258:K258 K364 J378:K378 J380:K380 K395 K439 J447:K447 K457 J463:K463 J465:K465 J481:K481 J483:K483 J485:K485 J491 J504:K504 J508:K508 J510 J537:K537 J539:K539 J541 J551:K551 J553:K553 K558 K565 K581 K583 J596:K596 K598 K600 J603:K603 J607:K607 K610 K617 K627 J633:K633 J635 J637:K637 K641 K643 J645:K645 J648:K648 J652:K652 J795:K795 J807:K807 K810 J813:K813 J824:K824 J827:K827 J830:K830 K834 K837 K839 K851 K853 J858:K858 J881:K881 K906 K931 K936 K944 J947:K947 K954 K957 J986:K986 J989:K989 J991 J993:K993 J1020:K1020 K1025 K1107 K1109 J1116:K1116 J1134:K1134 J1143:K1143 K1147 K1218 J1264:K1264 K1353 J1422:K1422 K1428 K1464 J1466 J1469:K1469 K1472 J1497:K1497 K1499 K1502 J1504:K1504 K1514 K1519 J1521:K1521 J1523 J1548:K1548 J1553:K1553 K1566 J1582:K1582 J1593 K1610 J3:J21 J23:J28 J38:J39 J41:J42 J44:J47 J49:J51 J53:J61 J103:J111 J139:J150 J164:J166 J170:J202 J204:J207 J209:J216 J229:J230 J241:J246 J251:J256 J260:J268 J276:J356 J358:J360 J362:J364 J382:J386 J388:J395 J418:J422 J439:J440 J452:J457 J467:J475 J487:J489 J512:J514 J522:J529 J555:J558 J560:J565 J575:J577 J581:J583 J598:J600 J610:J611 J617:J621 J627:J628 J640:J643 J674:J788 J797:J805 J810:J811 J834:J835 J837:J839 J851:J856 J884:J893 J896:J904 J906:J907 J913:J929 J931:J933 J935:J941 J944:J945 J949:J954 J956:J963 J974:J980 J996:J1005 J1007:J1017 J1022:J1025 J1056:J1058 J1060:J1070 J1076:J1092 J1094:J1102 J1107:J1109 J1119:J1120 J1122:J1132 J1146:J1150 J1152:J1171 J1173:J1219 J1222:J1230 J1232:J1238 J1241:J1262 J1266:J1298 J1300:J1319 J1321:J1336 J1342:J1373 J1375:J1399 J1424:J1428 J1430:J1435 J1449:J1458 J1460:J1464 J1472:J1476 J1484:J1489 J1499:J1502 J1506:J1511 J1514:J1516 J1518:J1519 J1558:J1566 J1575:J1580 J1595:J1597 J1610:J1645 K3:K9 K11:K16 K21:K27 K38:K42 K45:K50 K54:K61 K103:K110 K139:K149 K170:K171 K173:K176 K178:K187 K189:K196 K198:K200 K204:K209 K211:K214 K241:K243 K245:K246 K260:K262 K264:K268 K276:K281 K283:K285 K287:K302 K304:K326 K328:K356 K358:K362 K382:K383 K385:K386 K388:K393 K418:K419 K421:K422 K451:K455 K467:K468 K470:K474 K487:K488 K512:K513 K522:K525 K527:K529 K555:K556 K560:K563 K575:K576 K619:K621 K674:K705 K707:K725 K727:K730 K732:K771 K773:K784 K786:K788 K797:K802 K804:K805 K855:K856 K885:K890 K892:K893 K895:K904 K913:K914 K916:K919 K921:K928 K938:K941 K949:K952 K959:K963 K974:K975 K977:K980 K997:K1017 K1022:K1023 K1057:K1058 K1060:K1061 K1063:K1065 K1067:K1068 K1077:K1092 K1094:K1101 K1123:K1133 K1150:K1155 K1157:K1171 K1174:K1198 K1200:K1209 K1211:K1216 K1221:K1225 K1227:K1234 K1236:K1238 K1241:K1261 K1266:K1274 K1276:K1282 K1284:K1289 K1291:K1293 K1295:K1298 K1300:K1308 K1310:K1336 K1342:K1351 K1355:K1373 K1376:K1388 K1390:K1393 K1395:K1399 K1424:K1426 K1430:K1431 K1433:K1435 K1451:K1454 K1456:K1458 K1460:K1462 K1474:K1476 K1484:K1485 K1487:K1489 K1506:K1508 K1510:K1511 K1523:K1524 K1558:K1564 K1575:K1579 K1596:K1597 K1612:K1613 K1615:K1645 J32:K33 J226:K227 J398:K399 J568:K569 J660:K661 J820:K821 J1104:K1105 J1446:K1447 J1544:K1545 J1550:K1551 J62:K72 J81:K83 J435:K437 J654:K656 J816:K818 J909:K911 J1338:K1340 J1584:K1586 J1599:K1601 J85:K93 J98:K101 J442:K445 J112:K121 J862:K871 J125:K137 J152:K162 J221:K222 J431:K432 J449:K450 J459:K460 J477:K478 J623:K624 J843:K844 J847:K848 J1111:K1112 J1555:K1556 J1589:K1590 J1603:K1604 J232:K237 J1534:K1539 J269:K274 J401:K406 J366:K370 J372:K376 J1137:K1141 J409:K416 J424:K427 J532:K535 J1492:K1495 J494:K498 J544:K548 J517:K519 J613:K615 J790:K792 J982:K984 J1072:K1074 J1441:K1443 J1606:K1608 J585:K594 J663:K672 J965:K972 J1027:K1035 J1040:K1054 J1402:K1415 J1417:K1420 J1479:K1482 J1526:K1532 J1568:K1573" xr:uid="{00000000-0002-0000-0100-000000000000}">
      <formula1>"0,0.25,0.5,0.75,1.0,1.25,1.5,-0.25,-0.5,-0.75,-1,-1.25"</formula1>
    </dataValidation>
    <dataValidation type="list" allowBlank="1" showInputMessage="1" showErrorMessage="1" sqref="L2:L1645" xr:uid="{00000000-0002-0000-0100-000001000000}">
      <formula1>"亚合,亚高看一档,亚高看二档,亚低看,亚低看一档,亚低看二档,亚远高看,亚远低看"</formula1>
    </dataValidation>
    <dataValidation type="list" allowBlank="1" showInputMessage="1" showErrorMessage="1" sqref="N1:N1048576" xr:uid="{00000000-0002-0000-0100-000002000000}">
      <formula1>"盘口不变,升盘1档,降盘1档,升盘2档,降盘2档,升盘3档,降盘3档,升盘4档,降盘4档"</formula1>
    </dataValidation>
    <dataValidation type="list" allowBlank="1" showInputMessage="1" showErrorMessage="1" sqref="O1:O1048576" xr:uid="{00000000-0002-0000-0100-000003000000}">
      <formula1>"低水上盘突破,低水下盘突破,中水上盘突破,中水下盘突破,高水上盘突破,高水下盘突破,高一档不降盘,低一档不升盘,上盘低水,上盘中水,上盘高水"</formula1>
    </dataValidation>
    <dataValidation type="list" allowBlank="1" showInputMessage="1" showErrorMessage="1" sqref="Q1:Q1048576" xr:uid="{00000000-0002-0000-0100-000004000000}">
      <formula1>"S,SSS,F,G1,G2,G3,A"</formula1>
    </dataValidation>
    <dataValidation type="list" allowBlank="1" showInputMessage="1" showErrorMessage="1" sqref="R2:R1645" xr:uid="{00000000-0002-0000-0100-000005000000}">
      <formula1>"正确,错误"</formula1>
    </dataValidation>
    <dataValidation type="list" allowBlank="1" showInputMessage="1" showErrorMessage="1" sqref="S1:S1048576" xr:uid="{00000000-0002-0000-0100-000006000000}">
      <formula1>"主拉力,客拉力,均佳,均差,均一般"</formula1>
    </dataValidation>
    <dataValidation type="list" allowBlank="1" showInputMessage="1" showErrorMessage="1" sqref="T2:T1048576" xr:uid="{00000000-0002-0000-0100-000007000000}">
      <formula1>"主场龙,客场龙,主场虫,客场虫,主两极分化,客两极分化"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77" operator="containsText" id="{099DDF32-AF00-4ECE-9099-1815ADDC3FD7}">
            <xm:f>NOT(ISERROR(SEARCH(#REF!,U1646)))</xm:f>
            <xm:f>#REF!</xm:f>
            <x14:dxf>
              <fill>
                <patternFill patternType="solid">
                  <bgColor theme="5" tint="0.59996337778862885"/>
                </patternFill>
              </fill>
            </x14:dxf>
          </x14:cfRule>
          <x14:cfRule type="containsText" priority="1478" operator="containsText" id="{3A651175-DA39-4CA7-BA30-F341F7144465}">
            <xm:f>NOT(ISERROR(SEARCH(#REF!,U1646)))</xm:f>
            <xm:f>#REF!</xm:f>
            <x14:dxf>
              <fill>
                <patternFill patternType="solid">
                  <bgColor rgb="FF92D050"/>
                </patternFill>
              </fill>
            </x14:dxf>
          </x14:cfRule>
          <xm:sqref>U1646:U1647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1B213B-1F55-4791-8295-D7634257F7E1}"/>
</file>

<file path=customXml/itemProps2.xml><?xml version="1.0" encoding="utf-8"?>
<ds:datastoreItem xmlns:ds="http://schemas.openxmlformats.org/officeDocument/2006/customXml" ds:itemID="{4BC4835C-6F47-4DDA-B4A5-EB223315AF44}"/>
</file>

<file path=customXml/itemProps3.xml><?xml version="1.0" encoding="utf-8"?>
<ds:datastoreItem xmlns:ds="http://schemas.openxmlformats.org/officeDocument/2006/customXml" ds:itemID="{C224EE68-C3A3-45D8-822B-3C8FF0382B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许裕苧</cp:lastModifiedBy>
  <cp:revision/>
  <dcterms:created xsi:type="dcterms:W3CDTF">2006-09-16T00:00:00Z</dcterms:created>
  <dcterms:modified xsi:type="dcterms:W3CDTF">2026-02-07T06:24:26Z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EC629432C93747678E99EABDA1A4E280_13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
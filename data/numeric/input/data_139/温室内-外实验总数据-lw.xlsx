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xuyuning/Desktop/lab/数据编辑/input/data_139/"/>
    </mc:Choice>
  </mc:AlternateContent>
  <xr:revisionPtr revIDLastSave="0" documentId="8_{1F682D1F-B598-8E4A-820B-5EBD103C7796}" xr6:coauthVersionLast="47" xr6:coauthVersionMax="47" xr10:uidLastSave="{00000000-0000-0000-0000-000000000000}"/>
  <bookViews>
    <workbookView xWindow="28800" yWindow="940" windowWidth="23260" windowHeight="12460" xr2:uid="{00000000-000D-0000-FFFF-FFFF00000000}"/>
  </bookViews>
  <sheets>
    <sheet name="指标汇总" sheetId="1" r:id="rId1"/>
    <sheet name="分析用到的数据lw" sheetId="5" r:id="rId2"/>
    <sheet name="CN测量" sheetId="6" r:id="rId3"/>
    <sheet name="气孔性状" sheetId="2" r:id="rId4"/>
    <sheet name="比叶面积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" i="3" l="1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L56" i="2"/>
  <c r="O56" i="2" s="1"/>
  <c r="P56" i="2" s="1"/>
  <c r="E56" i="2"/>
  <c r="D56" i="2"/>
  <c r="N56" i="2" s="1"/>
  <c r="L55" i="2"/>
  <c r="O55" i="2" s="1"/>
  <c r="P55" i="2" s="1"/>
  <c r="E55" i="2"/>
  <c r="D55" i="2"/>
  <c r="N55" i="2" s="1"/>
  <c r="L54" i="2"/>
  <c r="O54" i="2" s="1"/>
  <c r="P54" i="2" s="1"/>
  <c r="E54" i="2"/>
  <c r="D54" i="2"/>
  <c r="L53" i="2"/>
  <c r="O53" i="2" s="1"/>
  <c r="P53" i="2" s="1"/>
  <c r="E53" i="2"/>
  <c r="D53" i="2"/>
  <c r="N53" i="2" s="1"/>
  <c r="L52" i="2"/>
  <c r="O52" i="2" s="1"/>
  <c r="P52" i="2" s="1"/>
  <c r="E52" i="2"/>
  <c r="D52" i="2"/>
  <c r="L51" i="2"/>
  <c r="O51" i="2" s="1"/>
  <c r="P51" i="2" s="1"/>
  <c r="E51" i="2"/>
  <c r="D51" i="2"/>
  <c r="L50" i="2"/>
  <c r="O50" i="2" s="1"/>
  <c r="P50" i="2" s="1"/>
  <c r="E50" i="2"/>
  <c r="D50" i="2"/>
  <c r="L49" i="2"/>
  <c r="O49" i="2" s="1"/>
  <c r="P49" i="2" s="1"/>
  <c r="Q49" i="2" s="1"/>
  <c r="E49" i="2"/>
  <c r="D49" i="2"/>
  <c r="N49" i="2" s="1"/>
  <c r="L48" i="2"/>
  <c r="O48" i="2" s="1"/>
  <c r="P48" i="2" s="1"/>
  <c r="E48" i="2"/>
  <c r="D48" i="2"/>
  <c r="N48" i="2" s="1"/>
  <c r="L47" i="2"/>
  <c r="O47" i="2" s="1"/>
  <c r="P47" i="2" s="1"/>
  <c r="Q47" i="2" s="1"/>
  <c r="E47" i="2"/>
  <c r="D47" i="2"/>
  <c r="N47" i="2" s="1"/>
  <c r="L46" i="2"/>
  <c r="O46" i="2" s="1"/>
  <c r="P46" i="2" s="1"/>
  <c r="E46" i="2"/>
  <c r="D46" i="2"/>
  <c r="L45" i="2"/>
  <c r="O45" i="2" s="1"/>
  <c r="P45" i="2" s="1"/>
  <c r="E45" i="2"/>
  <c r="D45" i="2"/>
  <c r="N45" i="2" s="1"/>
  <c r="L44" i="2"/>
  <c r="O44" i="2" s="1"/>
  <c r="P44" i="2" s="1"/>
  <c r="E44" i="2"/>
  <c r="D44" i="2"/>
  <c r="L43" i="2"/>
  <c r="O43" i="2" s="1"/>
  <c r="P43" i="2" s="1"/>
  <c r="E43" i="2"/>
  <c r="D43" i="2"/>
  <c r="L42" i="2"/>
  <c r="O42" i="2" s="1"/>
  <c r="P42" i="2" s="1"/>
  <c r="E42" i="2"/>
  <c r="D42" i="2"/>
  <c r="L41" i="2"/>
  <c r="O41" i="2" s="1"/>
  <c r="P41" i="2" s="1"/>
  <c r="Q41" i="2" s="1"/>
  <c r="E41" i="2"/>
  <c r="D41" i="2"/>
  <c r="N41" i="2" s="1"/>
  <c r="L40" i="2"/>
  <c r="O40" i="2" s="1"/>
  <c r="P40" i="2" s="1"/>
  <c r="E40" i="2"/>
  <c r="D40" i="2"/>
  <c r="N40" i="2" s="1"/>
  <c r="L39" i="2"/>
  <c r="O39" i="2" s="1"/>
  <c r="P39" i="2" s="1"/>
  <c r="E39" i="2"/>
  <c r="D39" i="2"/>
  <c r="N39" i="2" s="1"/>
  <c r="L38" i="2"/>
  <c r="O38" i="2" s="1"/>
  <c r="P38" i="2" s="1"/>
  <c r="E38" i="2"/>
  <c r="D38" i="2"/>
  <c r="L37" i="2"/>
  <c r="O37" i="2" s="1"/>
  <c r="P37" i="2" s="1"/>
  <c r="E37" i="2"/>
  <c r="D37" i="2"/>
  <c r="N37" i="2" s="1"/>
  <c r="L36" i="2"/>
  <c r="O36" i="2" s="1"/>
  <c r="P36" i="2" s="1"/>
  <c r="E36" i="2"/>
  <c r="D36" i="2"/>
  <c r="L35" i="2"/>
  <c r="O35" i="2" s="1"/>
  <c r="P35" i="2" s="1"/>
  <c r="E35" i="2"/>
  <c r="D35" i="2"/>
  <c r="L34" i="2"/>
  <c r="O34" i="2" s="1"/>
  <c r="P34" i="2" s="1"/>
  <c r="E34" i="2"/>
  <c r="D34" i="2"/>
  <c r="L33" i="2"/>
  <c r="O33" i="2" s="1"/>
  <c r="P33" i="2" s="1"/>
  <c r="Q33" i="2" s="1"/>
  <c r="E33" i="2"/>
  <c r="D33" i="2"/>
  <c r="N33" i="2" s="1"/>
  <c r="L32" i="2"/>
  <c r="O32" i="2" s="1"/>
  <c r="P32" i="2" s="1"/>
  <c r="E32" i="2"/>
  <c r="D32" i="2"/>
  <c r="N32" i="2" s="1"/>
  <c r="L31" i="2"/>
  <c r="O31" i="2" s="1"/>
  <c r="P31" i="2" s="1"/>
  <c r="E31" i="2"/>
  <c r="D31" i="2"/>
  <c r="N31" i="2" s="1"/>
  <c r="L30" i="2"/>
  <c r="O30" i="2" s="1"/>
  <c r="P30" i="2" s="1"/>
  <c r="E30" i="2"/>
  <c r="D30" i="2"/>
  <c r="L29" i="2"/>
  <c r="O29" i="2" s="1"/>
  <c r="P29" i="2" s="1"/>
  <c r="E29" i="2"/>
  <c r="D29" i="2"/>
  <c r="N29" i="2" s="1"/>
  <c r="L28" i="2"/>
  <c r="O28" i="2" s="1"/>
  <c r="P28" i="2" s="1"/>
  <c r="E28" i="2"/>
  <c r="D28" i="2"/>
  <c r="L27" i="2"/>
  <c r="O27" i="2" s="1"/>
  <c r="P27" i="2" s="1"/>
  <c r="E27" i="2"/>
  <c r="D27" i="2"/>
  <c r="L26" i="2"/>
  <c r="O26" i="2" s="1"/>
  <c r="P26" i="2" s="1"/>
  <c r="E26" i="2"/>
  <c r="D26" i="2"/>
  <c r="L25" i="2"/>
  <c r="O25" i="2" s="1"/>
  <c r="P25" i="2" s="1"/>
  <c r="Q25" i="2" s="1"/>
  <c r="E25" i="2"/>
  <c r="D25" i="2"/>
  <c r="N25" i="2" s="1"/>
  <c r="L24" i="2"/>
  <c r="O24" i="2" s="1"/>
  <c r="P24" i="2" s="1"/>
  <c r="E24" i="2"/>
  <c r="D24" i="2"/>
  <c r="N24" i="2" s="1"/>
  <c r="L23" i="2"/>
  <c r="O23" i="2" s="1"/>
  <c r="P23" i="2" s="1"/>
  <c r="E23" i="2"/>
  <c r="D23" i="2"/>
  <c r="N23" i="2" s="1"/>
  <c r="L22" i="2"/>
  <c r="O22" i="2" s="1"/>
  <c r="P22" i="2" s="1"/>
  <c r="E22" i="2"/>
  <c r="D22" i="2"/>
  <c r="L21" i="2"/>
  <c r="O21" i="2" s="1"/>
  <c r="P21" i="2" s="1"/>
  <c r="E21" i="2"/>
  <c r="D21" i="2"/>
  <c r="N21" i="2" s="1"/>
  <c r="L20" i="2"/>
  <c r="O20" i="2" s="1"/>
  <c r="P20" i="2" s="1"/>
  <c r="E20" i="2"/>
  <c r="D20" i="2"/>
  <c r="L19" i="2"/>
  <c r="O19" i="2" s="1"/>
  <c r="P19" i="2" s="1"/>
  <c r="E19" i="2"/>
  <c r="D19" i="2"/>
  <c r="L18" i="2"/>
  <c r="O18" i="2" s="1"/>
  <c r="P18" i="2" s="1"/>
  <c r="E18" i="2"/>
  <c r="D18" i="2"/>
  <c r="L17" i="2"/>
  <c r="O17" i="2" s="1"/>
  <c r="P17" i="2" s="1"/>
  <c r="Q17" i="2" s="1"/>
  <c r="E17" i="2"/>
  <c r="D17" i="2"/>
  <c r="N17" i="2" s="1"/>
  <c r="L16" i="2"/>
  <c r="O16" i="2" s="1"/>
  <c r="P16" i="2" s="1"/>
  <c r="E16" i="2"/>
  <c r="D16" i="2"/>
  <c r="N16" i="2" s="1"/>
  <c r="L15" i="2"/>
  <c r="O15" i="2" s="1"/>
  <c r="P15" i="2" s="1"/>
  <c r="E15" i="2"/>
  <c r="D15" i="2"/>
  <c r="N15" i="2" s="1"/>
  <c r="L14" i="2"/>
  <c r="O14" i="2" s="1"/>
  <c r="P14" i="2" s="1"/>
  <c r="E14" i="2"/>
  <c r="D14" i="2"/>
  <c r="L13" i="2"/>
  <c r="O13" i="2" s="1"/>
  <c r="P13" i="2" s="1"/>
  <c r="E13" i="2"/>
  <c r="D13" i="2"/>
  <c r="N13" i="2" s="1"/>
  <c r="L12" i="2"/>
  <c r="O12" i="2" s="1"/>
  <c r="P12" i="2" s="1"/>
  <c r="E12" i="2"/>
  <c r="D12" i="2"/>
  <c r="L11" i="2"/>
  <c r="O11" i="2" s="1"/>
  <c r="P11" i="2" s="1"/>
  <c r="E11" i="2"/>
  <c r="D11" i="2"/>
  <c r="L10" i="2"/>
  <c r="O10" i="2" s="1"/>
  <c r="P10" i="2" s="1"/>
  <c r="E10" i="2"/>
  <c r="D10" i="2"/>
  <c r="L9" i="2"/>
  <c r="O9" i="2" s="1"/>
  <c r="P9" i="2" s="1"/>
  <c r="Q9" i="2" s="1"/>
  <c r="E9" i="2"/>
  <c r="D9" i="2"/>
  <c r="N9" i="2" s="1"/>
  <c r="L8" i="2"/>
  <c r="O8" i="2" s="1"/>
  <c r="P8" i="2" s="1"/>
  <c r="E8" i="2"/>
  <c r="D8" i="2"/>
  <c r="N8" i="2" s="1"/>
  <c r="L7" i="2"/>
  <c r="O7" i="2" s="1"/>
  <c r="P7" i="2" s="1"/>
  <c r="E7" i="2"/>
  <c r="D7" i="2"/>
  <c r="N7" i="2" s="1"/>
  <c r="L6" i="2"/>
  <c r="O6" i="2" s="1"/>
  <c r="P6" i="2" s="1"/>
  <c r="E6" i="2"/>
  <c r="D6" i="2"/>
  <c r="L5" i="2"/>
  <c r="O5" i="2" s="1"/>
  <c r="P5" i="2" s="1"/>
  <c r="E5" i="2"/>
  <c r="D5" i="2"/>
  <c r="N5" i="2" s="1"/>
  <c r="L4" i="2"/>
  <c r="O4" i="2" s="1"/>
  <c r="P4" i="2" s="1"/>
  <c r="E4" i="2"/>
  <c r="D4" i="2"/>
  <c r="L3" i="2"/>
  <c r="O3" i="2" s="1"/>
  <c r="P3" i="2" s="1"/>
  <c r="E3" i="2"/>
  <c r="D3" i="2"/>
  <c r="L2" i="2"/>
  <c r="O2" i="2" s="1"/>
  <c r="P2" i="2" s="1"/>
  <c r="E2" i="2"/>
  <c r="D2" i="2"/>
  <c r="N6" i="2" l="1"/>
  <c r="Q8" i="2"/>
  <c r="N14" i="2"/>
  <c r="Q14" i="2" s="1"/>
  <c r="Q16" i="2"/>
  <c r="N22" i="2"/>
  <c r="Q24" i="2"/>
  <c r="N30" i="2"/>
  <c r="Q30" i="2" s="1"/>
  <c r="Q32" i="2"/>
  <c r="N38" i="2"/>
  <c r="Q40" i="2"/>
  <c r="N46" i="2"/>
  <c r="Q46" i="2" s="1"/>
  <c r="Q48" i="2"/>
  <c r="N54" i="2"/>
  <c r="Q56" i="2"/>
  <c r="Q3" i="2"/>
  <c r="Q27" i="2"/>
  <c r="Q35" i="2"/>
  <c r="N4" i="2"/>
  <c r="Q4" i="2" s="1"/>
  <c r="Q6" i="2"/>
  <c r="N12" i="2"/>
  <c r="N20" i="2"/>
  <c r="Q20" i="2" s="1"/>
  <c r="Q22" i="2"/>
  <c r="N28" i="2"/>
  <c r="N36" i="2"/>
  <c r="Q36" i="2" s="1"/>
  <c r="Q38" i="2"/>
  <c r="N44" i="2"/>
  <c r="N52" i="2"/>
  <c r="Q52" i="2" s="1"/>
  <c r="Q54" i="2"/>
  <c r="N2" i="2"/>
  <c r="Q2" i="2" s="1"/>
  <c r="N10" i="2"/>
  <c r="Q10" i="2" s="1"/>
  <c r="Q12" i="2"/>
  <c r="N18" i="2"/>
  <c r="N26" i="2"/>
  <c r="Q28" i="2"/>
  <c r="N34" i="2"/>
  <c r="N42" i="2"/>
  <c r="Q42" i="2" s="1"/>
  <c r="Q44" i="2"/>
  <c r="N50" i="2"/>
  <c r="Q7" i="2"/>
  <c r="Q15" i="2"/>
  <c r="Q23" i="2"/>
  <c r="Q31" i="2"/>
  <c r="Q39" i="2"/>
  <c r="Q55" i="2"/>
  <c r="Q18" i="2"/>
  <c r="Q26" i="2"/>
  <c r="Q34" i="2"/>
  <c r="Q50" i="2"/>
  <c r="N3" i="2"/>
  <c r="Q5" i="2"/>
  <c r="N11" i="2"/>
  <c r="Q11" i="2" s="1"/>
  <c r="Q13" i="2"/>
  <c r="N19" i="2"/>
  <c r="Q19" i="2" s="1"/>
  <c r="Q21" i="2"/>
  <c r="N27" i="2"/>
  <c r="Q29" i="2"/>
  <c r="N35" i="2"/>
  <c r="Q37" i="2"/>
  <c r="N43" i="2"/>
  <c r="Q43" i="2" s="1"/>
  <c r="Q45" i="2"/>
  <c r="N51" i="2"/>
  <c r="Q51" i="2" s="1"/>
  <c r="Q53" i="2"/>
</calcChain>
</file>

<file path=xl/sharedStrings.xml><?xml version="1.0" encoding="utf-8"?>
<sst xmlns="http://schemas.openxmlformats.org/spreadsheetml/2006/main" count="623" uniqueCount="162">
  <si>
    <t>名称</t>
  </si>
  <si>
    <t>Fv/Fm</t>
  </si>
  <si>
    <t>茎直径(mm)</t>
  </si>
  <si>
    <t>叶面积(cm*cm)</t>
  </si>
  <si>
    <t>非完整叶面积（cm*cm)</t>
  </si>
  <si>
    <t>干重（g)</t>
  </si>
  <si>
    <t>比叶面积</t>
  </si>
  <si>
    <t>Chla</t>
  </si>
  <si>
    <t>Chlb</t>
  </si>
  <si>
    <t>Cars</t>
  </si>
  <si>
    <t>Chla+b</t>
  </si>
  <si>
    <t>Chla/b</t>
  </si>
  <si>
    <t>Chls/Cars</t>
  </si>
  <si>
    <t>气孔密度</t>
  </si>
  <si>
    <t>总气孔数(以mm2为叶面积单位）</t>
  </si>
  <si>
    <t>总气孔面积（以mm2为气孔大小单位）</t>
  </si>
  <si>
    <t>内荇菜1</t>
  </si>
  <si>
    <t>内荇菜2</t>
  </si>
  <si>
    <t>内荇菜3</t>
  </si>
  <si>
    <t>内荇菜4</t>
  </si>
  <si>
    <t>内水皮莲1</t>
  </si>
  <si>
    <t>内水皮莲2</t>
  </si>
  <si>
    <t>内水皮莲3</t>
  </si>
  <si>
    <t>内水皮莲4</t>
  </si>
  <si>
    <t>内刺种荇菜1</t>
  </si>
  <si>
    <t>内刺种荇菜2</t>
  </si>
  <si>
    <t>内刺种荇菜3</t>
  </si>
  <si>
    <t>内刺种荇菜4</t>
  </si>
  <si>
    <t>内金银莲花1</t>
  </si>
  <si>
    <t>内金银莲花2</t>
  </si>
  <si>
    <t>内金银莲花3</t>
  </si>
  <si>
    <t>内金银莲花4</t>
  </si>
  <si>
    <t>内圆齿荇菜1</t>
  </si>
  <si>
    <t>内圆齿荇菜2</t>
  </si>
  <si>
    <t>内圆齿荇菜3</t>
  </si>
  <si>
    <t>内圆齿荇菜4</t>
  </si>
  <si>
    <t>内香蕉草1</t>
  </si>
  <si>
    <t>内香蕉草2</t>
  </si>
  <si>
    <t>内香蕉草3</t>
  </si>
  <si>
    <t>内香蕉草4</t>
  </si>
  <si>
    <t>内海丰荇菜1</t>
  </si>
  <si>
    <t>内海丰荇菜2</t>
  </si>
  <si>
    <t>内海丰荇菜3</t>
  </si>
  <si>
    <t>内海丰荇菜4</t>
  </si>
  <si>
    <t>外荇菜1</t>
  </si>
  <si>
    <t>外荇菜2</t>
  </si>
  <si>
    <t>外荇菜3</t>
  </si>
  <si>
    <t>外荇菜4</t>
  </si>
  <si>
    <t>外水皮莲1</t>
  </si>
  <si>
    <t>外水皮莲2</t>
  </si>
  <si>
    <t>外水皮莲3</t>
  </si>
  <si>
    <t>外水皮莲4</t>
  </si>
  <si>
    <t>外刺种荇菜1</t>
  </si>
  <si>
    <t>外刺种荇菜2</t>
  </si>
  <si>
    <t>外刺种荇菜3</t>
  </si>
  <si>
    <t>外刺种荇菜4</t>
  </si>
  <si>
    <t>外金银莲花1</t>
  </si>
  <si>
    <t>外金银莲花2</t>
  </si>
  <si>
    <t>外金银莲花3</t>
  </si>
  <si>
    <t>外金银莲花4</t>
  </si>
  <si>
    <t>外圆齿荇菜1</t>
  </si>
  <si>
    <t>外圆齿荇菜2</t>
  </si>
  <si>
    <t>外圆齿荇菜3</t>
  </si>
  <si>
    <t>外圆齿荇菜4</t>
  </si>
  <si>
    <t>外香蕉草1</t>
  </si>
  <si>
    <t>外香蕉草2</t>
  </si>
  <si>
    <t>外香蕉草3</t>
  </si>
  <si>
    <t>外香蕉草4</t>
  </si>
  <si>
    <t>外海丰荇菜1</t>
  </si>
  <si>
    <t>外海丰荇菜2</t>
  </si>
  <si>
    <t>0.34</t>
  </si>
  <si>
    <t>外海丰荇菜3</t>
  </si>
  <si>
    <t>外海丰荇菜4</t>
  </si>
  <si>
    <t>2a</t>
  </si>
  <si>
    <t>2b</t>
  </si>
  <si>
    <t>a</t>
  </si>
  <si>
    <t>b</t>
  </si>
  <si>
    <t>气孔数</t>
  </si>
  <si>
    <t>处理</t>
    <phoneticPr fontId="4" type="noConversion"/>
  </si>
  <si>
    <t>物种</t>
    <phoneticPr fontId="4" type="noConversion"/>
  </si>
  <si>
    <t>序号</t>
    <phoneticPr fontId="4" type="noConversion"/>
  </si>
  <si>
    <t>温室内</t>
    <phoneticPr fontId="4" type="noConversion"/>
  </si>
  <si>
    <t>温室外</t>
    <phoneticPr fontId="4" type="noConversion"/>
  </si>
  <si>
    <t>荇菜</t>
    <phoneticPr fontId="4" type="noConversion"/>
  </si>
  <si>
    <t>水皮莲</t>
    <phoneticPr fontId="4" type="noConversion"/>
  </si>
  <si>
    <t>刺种荇菜</t>
    <phoneticPr fontId="4" type="noConversion"/>
  </si>
  <si>
    <t>金银莲花</t>
    <phoneticPr fontId="4" type="noConversion"/>
  </si>
  <si>
    <t>圆齿荇菜</t>
    <phoneticPr fontId="4" type="noConversion"/>
  </si>
  <si>
    <t>香蕉草</t>
    <phoneticPr fontId="4" type="noConversion"/>
  </si>
  <si>
    <t>海丰荇菜</t>
    <phoneticPr fontId="4" type="noConversion"/>
  </si>
  <si>
    <t>a</t>
    <phoneticPr fontId="4" type="noConversion"/>
  </si>
  <si>
    <t>ETRmax</t>
    <phoneticPr fontId="4" type="noConversion"/>
  </si>
  <si>
    <t>气孔大小</t>
  </si>
  <si>
    <t>气孔大小</t>
    <phoneticPr fontId="4" type="noConversion"/>
  </si>
  <si>
    <t>气孔密度</t>
    <phoneticPr fontId="4" type="noConversion"/>
  </si>
  <si>
    <t>木质部导管孔径</t>
    <phoneticPr fontId="4" type="noConversion"/>
  </si>
  <si>
    <t>叶柄维管束面积um2</t>
    <phoneticPr fontId="4" type="noConversion"/>
  </si>
  <si>
    <t>叶柄横截面面积mm2</t>
    <phoneticPr fontId="4" type="noConversion"/>
  </si>
  <si>
    <t>叶片厚度（主脉位置）</t>
    <phoneticPr fontId="4" type="noConversion"/>
  </si>
  <si>
    <t>叶片厚度（mm）</t>
    <phoneticPr fontId="4" type="noConversion"/>
  </si>
  <si>
    <t>叶面积(cm2)</t>
    <phoneticPr fontId="6" type="noConversion"/>
  </si>
  <si>
    <t>N%</t>
  </si>
  <si>
    <t>C%</t>
  </si>
  <si>
    <t>C/N</t>
  </si>
  <si>
    <t>plant20mg</t>
  </si>
  <si>
    <t>内金1</t>
    <phoneticPr fontId="9" type="noConversion"/>
  </si>
  <si>
    <t>内金2</t>
  </si>
  <si>
    <t>内金3</t>
  </si>
  <si>
    <t>内金4</t>
  </si>
  <si>
    <t>内刺1</t>
    <phoneticPr fontId="9" type="noConversion"/>
  </si>
  <si>
    <t>内刺2</t>
  </si>
  <si>
    <t>内刺3</t>
  </si>
  <si>
    <t>内刺4</t>
  </si>
  <si>
    <t>内荇1</t>
    <phoneticPr fontId="9" type="noConversion"/>
  </si>
  <si>
    <t>内荇2</t>
  </si>
  <si>
    <t>内荇3</t>
  </si>
  <si>
    <t>内荇4</t>
  </si>
  <si>
    <t>内香1</t>
    <phoneticPr fontId="9" type="noConversion"/>
  </si>
  <si>
    <t>内香2</t>
  </si>
  <si>
    <t>内香3</t>
  </si>
  <si>
    <t>内香4</t>
  </si>
  <si>
    <t>内海1</t>
    <phoneticPr fontId="9" type="noConversion"/>
  </si>
  <si>
    <t>内海2</t>
  </si>
  <si>
    <t>内海3</t>
  </si>
  <si>
    <t>内海4</t>
  </si>
  <si>
    <t>内圆1</t>
    <phoneticPr fontId="9" type="noConversion"/>
  </si>
  <si>
    <t>内圆2</t>
  </si>
  <si>
    <t>内圆3</t>
  </si>
  <si>
    <t>内圆4</t>
  </si>
  <si>
    <t>内水1</t>
    <phoneticPr fontId="9" type="noConversion"/>
  </si>
  <si>
    <t>内水2</t>
  </si>
  <si>
    <t>内水3</t>
  </si>
  <si>
    <t>内水4</t>
  </si>
  <si>
    <t>外金1</t>
    <phoneticPr fontId="9" type="noConversion"/>
  </si>
  <si>
    <t>外金2</t>
  </si>
  <si>
    <t>外金3</t>
  </si>
  <si>
    <t>外金4</t>
  </si>
  <si>
    <t>外刺1</t>
    <phoneticPr fontId="9" type="noConversion"/>
  </si>
  <si>
    <t>外刺2</t>
  </si>
  <si>
    <t>外刺3</t>
  </si>
  <si>
    <t>外刺4</t>
  </si>
  <si>
    <t>外荇1</t>
    <phoneticPr fontId="9" type="noConversion"/>
  </si>
  <si>
    <t>外荇2</t>
  </si>
  <si>
    <t>外荇3</t>
  </si>
  <si>
    <t>外荇4</t>
  </si>
  <si>
    <t>外香1</t>
    <phoneticPr fontId="9" type="noConversion"/>
  </si>
  <si>
    <t>外香2</t>
  </si>
  <si>
    <t>外香3</t>
  </si>
  <si>
    <t>外香4</t>
  </si>
  <si>
    <t>外海1</t>
    <phoneticPr fontId="9" type="noConversion"/>
  </si>
  <si>
    <t>外海2</t>
  </si>
  <si>
    <t>外海3</t>
  </si>
  <si>
    <t>外圆1</t>
    <phoneticPr fontId="9" type="noConversion"/>
  </si>
  <si>
    <t>外圆2</t>
  </si>
  <si>
    <t>外圆3</t>
  </si>
  <si>
    <t>外圆4</t>
  </si>
  <si>
    <t>外水1</t>
    <phoneticPr fontId="9" type="noConversion"/>
  </si>
  <si>
    <t>外水2</t>
  </si>
  <si>
    <t>外水3</t>
  </si>
  <si>
    <t>外水4</t>
  </si>
  <si>
    <t>木质部导管孔径um</t>
    <phoneticPr fontId="4" type="noConversion"/>
  </si>
  <si>
    <t>叶厚（mm)叶片中间位置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</si>
</sst>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.0000_ "/>
    <numFmt numFmtId="178" formatCode="0.00_ "/>
    <numFmt numFmtId="179" formatCode="0.000_ "/>
  </numFmts>
  <fonts count="10">
    <font>
      <sz val="11"/>
      <color theme="1"/>
      <name val="宋体"/>
      <charset val="134"/>
      <scheme val="minor"/>
    </font>
    <font>
      <sz val="11"/>
      <name val="宋体"/>
      <family val="3"/>
      <charset val="134"/>
    </font>
    <font>
      <sz val="11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name val="宋体"/>
      <family val="3"/>
      <charset val="134"/>
    </font>
    <font>
      <sz val="9"/>
      <name val="宋体"/>
      <family val="2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76" fontId="0" fillId="0" borderId="0" xfId="0" applyNumberFormat="1" applyAlignment="1"/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8" fontId="1" fillId="0" borderId="1" xfId="0" applyNumberFormat="1" applyFont="1" applyBorder="1" applyAlignment="1">
      <alignment horizontal="center" vertical="center"/>
    </xf>
    <xf numFmtId="176" fontId="2" fillId="5" borderId="1" xfId="0" applyNumberFormat="1" applyFont="1" applyFill="1" applyBorder="1">
      <alignment vertical="center"/>
    </xf>
    <xf numFmtId="178" fontId="3" fillId="0" borderId="1" xfId="0" applyNumberFormat="1" applyFont="1" applyBorder="1" applyAlignment="1">
      <alignment horizontal="center"/>
    </xf>
    <xf numFmtId="176" fontId="0" fillId="0" borderId="1" xfId="0" quotePrefix="1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176" fontId="5" fillId="9" borderId="1" xfId="0" applyNumberFormat="1" applyFont="1" applyFill="1" applyBorder="1" applyAlignment="1">
      <alignment horizontal="center" vertical="center" wrapText="1"/>
    </xf>
    <xf numFmtId="176" fontId="0" fillId="9" borderId="1" xfId="0" applyNumberFormat="1" applyFill="1" applyBorder="1" applyAlignment="1">
      <alignment horizontal="center" vertical="center" wrapText="1"/>
    </xf>
    <xf numFmtId="178" fontId="1" fillId="10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178" fontId="1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178" fontId="8" fillId="10" borderId="1" xfId="0" applyNumberFormat="1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176" fontId="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8"/>
  <sheetViews>
    <sheetView tabSelected="1" zoomScale="90" zoomScaleNormal="90" workbookViewId="0">
      <pane xSplit="3" topLeftCell="D1" activePane="topRight" state="frozen"/>
      <selection pane="topRight" sqref="A1:XFD1"/>
    </sheetView>
  </sheetViews>
  <sheetFormatPr baseColWidth="10" defaultColWidth="9" defaultRowHeight="14"/>
  <cols>
    <col min="1" max="4" width="12.83203125" customWidth="1"/>
    <col min="5" max="7" width="12.83203125" style="1" customWidth="1"/>
    <col min="8" max="11" width="12.83203125" customWidth="1"/>
    <col min="12" max="12" width="12.83203125" style="1" customWidth="1"/>
    <col min="13" max="27" width="12.83203125" customWidth="1"/>
  </cols>
  <sheetData>
    <row r="1" spans="1:27" s="33" customFormat="1" ht="27" customHeight="1">
      <c r="A1" s="23" t="s">
        <v>80</v>
      </c>
      <c r="B1" s="24" t="s">
        <v>79</v>
      </c>
      <c r="C1" s="24" t="s">
        <v>78</v>
      </c>
      <c r="D1" s="25" t="s">
        <v>1</v>
      </c>
      <c r="E1" s="26" t="s">
        <v>90</v>
      </c>
      <c r="F1" s="26" t="s">
        <v>91</v>
      </c>
      <c r="G1" s="36" t="s">
        <v>161</v>
      </c>
      <c r="H1" s="37" t="s">
        <v>2</v>
      </c>
      <c r="I1" s="27" t="s">
        <v>98</v>
      </c>
      <c r="J1" s="27" t="s">
        <v>97</v>
      </c>
      <c r="K1" s="28" t="s">
        <v>3</v>
      </c>
      <c r="L1" s="29" t="s">
        <v>6</v>
      </c>
      <c r="M1" s="29" t="s">
        <v>7</v>
      </c>
      <c r="N1" s="29" t="s">
        <v>8</v>
      </c>
      <c r="O1" s="29" t="s">
        <v>9</v>
      </c>
      <c r="P1" s="29" t="s">
        <v>10</v>
      </c>
      <c r="Q1" s="29" t="s">
        <v>11</v>
      </c>
      <c r="R1" s="29" t="s">
        <v>12</v>
      </c>
      <c r="S1" s="29" t="s">
        <v>101</v>
      </c>
      <c r="T1" s="29" t="s">
        <v>102</v>
      </c>
      <c r="U1" s="34" t="s">
        <v>103</v>
      </c>
      <c r="V1" s="31" t="s">
        <v>92</v>
      </c>
      <c r="W1" s="30" t="s">
        <v>13</v>
      </c>
      <c r="X1" s="30" t="s">
        <v>14</v>
      </c>
      <c r="Y1" s="30" t="s">
        <v>15</v>
      </c>
      <c r="Z1" s="32" t="s">
        <v>95</v>
      </c>
      <c r="AA1" s="32" t="s">
        <v>96</v>
      </c>
    </row>
    <row r="2" spans="1:27">
      <c r="A2" s="16">
        <v>1</v>
      </c>
      <c r="B2" s="21" t="s">
        <v>83</v>
      </c>
      <c r="C2" s="21" t="s">
        <v>81</v>
      </c>
      <c r="D2" s="13">
        <v>0.81899999999999995</v>
      </c>
      <c r="E2" s="14">
        <v>0.2365197</v>
      </c>
      <c r="F2" s="14">
        <v>129.959</v>
      </c>
      <c r="G2" s="14">
        <v>0.68</v>
      </c>
      <c r="H2" s="13">
        <v>1.25</v>
      </c>
      <c r="I2" s="13">
        <v>0.89529999999999998</v>
      </c>
      <c r="J2" s="13">
        <v>2.4</v>
      </c>
      <c r="K2" s="22">
        <v>39.119999999999997</v>
      </c>
      <c r="L2" s="14">
        <v>491.82879377431908</v>
      </c>
      <c r="M2" s="17">
        <v>1.5596118451025058</v>
      </c>
      <c r="N2" s="17">
        <v>0.89739225512528475</v>
      </c>
      <c r="O2" s="17">
        <v>0.20352722197945261</v>
      </c>
      <c r="P2" s="17">
        <v>2.4570041002277905</v>
      </c>
      <c r="Q2" s="17">
        <v>1.73793771474523</v>
      </c>
      <c r="R2" s="19">
        <v>12.072115348166257</v>
      </c>
      <c r="S2" s="19">
        <v>4.6318999999999999</v>
      </c>
      <c r="T2" s="19">
        <v>42.186799999999998</v>
      </c>
      <c r="U2" s="19">
        <v>9.1079000000000008</v>
      </c>
      <c r="V2" s="19">
        <v>375.36661453124924</v>
      </c>
      <c r="W2" s="16">
        <v>388.1856540084388</v>
      </c>
      <c r="X2" s="13">
        <v>1526734.1772151899</v>
      </c>
      <c r="Y2" s="16">
        <v>573.08503939041816</v>
      </c>
      <c r="Z2" s="16">
        <v>30.7</v>
      </c>
      <c r="AA2" s="16">
        <v>122087.2</v>
      </c>
    </row>
    <row r="3" spans="1:27">
      <c r="A3" s="16">
        <v>2</v>
      </c>
      <c r="B3" s="21" t="s">
        <v>83</v>
      </c>
      <c r="C3" s="21" t="s">
        <v>81</v>
      </c>
      <c r="D3" s="13">
        <v>0.82899999999999996</v>
      </c>
      <c r="E3" s="14">
        <v>0.2122</v>
      </c>
      <c r="F3" s="14">
        <v>18.507000000000001</v>
      </c>
      <c r="G3" s="14">
        <v>0.28999999999999998</v>
      </c>
      <c r="H3" s="13">
        <v>0.87</v>
      </c>
      <c r="I3" s="13">
        <v>0.91190000000000004</v>
      </c>
      <c r="J3" s="13">
        <v>2.1</v>
      </c>
      <c r="K3" s="22">
        <v>38.79</v>
      </c>
      <c r="L3" s="14">
        <v>430.50847457627123</v>
      </c>
      <c r="M3" s="17">
        <v>1.4154288461538462</v>
      </c>
      <c r="N3" s="17">
        <v>0.83388461538461545</v>
      </c>
      <c r="O3" s="17">
        <v>0.17434518720565126</v>
      </c>
      <c r="P3" s="17">
        <v>2.2493134615384616</v>
      </c>
      <c r="Q3" s="17">
        <v>1.6973917254739173</v>
      </c>
      <c r="R3" s="19">
        <v>12.901494429469125</v>
      </c>
      <c r="S3" s="19">
        <v>4.5298999999999996</v>
      </c>
      <c r="T3" s="19">
        <v>42.296700000000001</v>
      </c>
      <c r="U3" s="19">
        <v>9.3371999999999993</v>
      </c>
      <c r="V3" s="19">
        <v>414.46899022963061</v>
      </c>
      <c r="W3" s="16">
        <v>407.17299578059067</v>
      </c>
      <c r="X3" s="13">
        <v>1578609.7046413501</v>
      </c>
      <c r="Y3" s="16">
        <v>654.28477024939571</v>
      </c>
      <c r="Z3" s="16">
        <v>29.52</v>
      </c>
      <c r="AA3" s="16">
        <v>105054.29999999999</v>
      </c>
    </row>
    <row r="4" spans="1:27">
      <c r="A4" s="16">
        <v>3</v>
      </c>
      <c r="B4" s="21" t="s">
        <v>83</v>
      </c>
      <c r="C4" s="21" t="s">
        <v>81</v>
      </c>
      <c r="D4" s="13">
        <v>0.83199999999999996</v>
      </c>
      <c r="E4" s="14">
        <v>0.20499999999999999</v>
      </c>
      <c r="F4" s="14">
        <v>122.18600000000001</v>
      </c>
      <c r="G4" s="14">
        <v>0.37</v>
      </c>
      <c r="H4" s="13">
        <v>1.64</v>
      </c>
      <c r="I4" s="13">
        <v>1.0931</v>
      </c>
      <c r="J4" s="13">
        <v>2.4</v>
      </c>
      <c r="K4" s="22">
        <v>48.73</v>
      </c>
      <c r="L4" s="14">
        <v>441.89315838800371</v>
      </c>
      <c r="M4" s="17">
        <v>1.3713795918367349</v>
      </c>
      <c r="N4" s="17">
        <v>0.7966693877551021</v>
      </c>
      <c r="O4" s="17">
        <v>0.16722090351242533</v>
      </c>
      <c r="P4" s="17">
        <v>2.1680489795918367</v>
      </c>
      <c r="Q4" s="17">
        <v>1.7213910976309534</v>
      </c>
      <c r="R4" s="19">
        <v>12.965179197412601</v>
      </c>
      <c r="S4" s="19">
        <v>4.5948000000000002</v>
      </c>
      <c r="T4" s="19">
        <v>42.265500000000003</v>
      </c>
      <c r="U4" s="19">
        <v>9.1986000000000008</v>
      </c>
      <c r="V4" s="19">
        <v>382.86781377314878</v>
      </c>
      <c r="W4" s="16">
        <v>358.64978902953584</v>
      </c>
      <c r="X4" s="13">
        <v>1758101.2658227845</v>
      </c>
      <c r="Y4" s="16">
        <v>673.12038803737494</v>
      </c>
      <c r="Z4" s="16">
        <v>32.14</v>
      </c>
      <c r="AA4" s="16">
        <v>127768.2</v>
      </c>
    </row>
    <row r="5" spans="1:27">
      <c r="A5" s="16">
        <v>4</v>
      </c>
      <c r="B5" s="21" t="s">
        <v>83</v>
      </c>
      <c r="C5" s="21" t="s">
        <v>81</v>
      </c>
      <c r="D5" s="13">
        <v>0.84099999999999997</v>
      </c>
      <c r="E5" s="14">
        <v>0.23499999999999999</v>
      </c>
      <c r="F5" s="14">
        <v>154.75800000000001</v>
      </c>
      <c r="G5" s="14">
        <v>0.32</v>
      </c>
      <c r="H5" s="13">
        <v>1.64</v>
      </c>
      <c r="I5" s="13"/>
      <c r="J5" s="13"/>
      <c r="K5" s="22">
        <v>46.76</v>
      </c>
      <c r="L5" s="14">
        <v>396.67541557305339</v>
      </c>
      <c r="M5" s="17">
        <v>0.94146086956521746</v>
      </c>
      <c r="N5" s="17">
        <v>0.41567536231884067</v>
      </c>
      <c r="O5" s="17">
        <v>0.19762492438134685</v>
      </c>
      <c r="P5" s="17">
        <v>1.3571362318840581</v>
      </c>
      <c r="Q5" s="17">
        <v>2.2648945665513778</v>
      </c>
      <c r="R5" s="19">
        <v>6.8672321375074166</v>
      </c>
      <c r="S5" s="19">
        <v>4.9249000000000001</v>
      </c>
      <c r="T5" s="19">
        <v>42.754899999999999</v>
      </c>
      <c r="U5" s="19">
        <v>8.6813000000000002</v>
      </c>
      <c r="V5" s="19">
        <v>383.47260539351953</v>
      </c>
      <c r="W5" s="16">
        <v>343.88185654008441</v>
      </c>
      <c r="X5" s="13">
        <v>1575666.6666666667</v>
      </c>
      <c r="Y5" s="16">
        <v>604.225001898389</v>
      </c>
      <c r="Z5" s="16"/>
      <c r="AA5" s="16"/>
    </row>
    <row r="6" spans="1:27">
      <c r="A6" s="16">
        <v>5</v>
      </c>
      <c r="B6" s="21" t="s">
        <v>84</v>
      </c>
      <c r="C6" s="21" t="s">
        <v>81</v>
      </c>
      <c r="D6" s="13">
        <v>0.80900000000000005</v>
      </c>
      <c r="E6" s="14">
        <v>0.14130000000000001</v>
      </c>
      <c r="F6" s="14">
        <v>77.436899999999994</v>
      </c>
      <c r="G6" s="14">
        <v>0.28999999999999998</v>
      </c>
      <c r="H6" s="13">
        <v>1.87</v>
      </c>
      <c r="I6" s="13">
        <v>1.1022000000000001</v>
      </c>
      <c r="J6" s="13">
        <v>3.3</v>
      </c>
      <c r="K6" s="22">
        <v>71.45</v>
      </c>
      <c r="L6" s="14">
        <v>739.2655367231639</v>
      </c>
      <c r="M6" s="17">
        <v>0.83572735426008982</v>
      </c>
      <c r="N6" s="17">
        <v>0.40014349775784747</v>
      </c>
      <c r="O6" s="17">
        <v>0.14522034666422601</v>
      </c>
      <c r="P6" s="17">
        <v>1.2358708520179373</v>
      </c>
      <c r="Q6" s="17">
        <v>2.0885691231845085</v>
      </c>
      <c r="R6" s="19">
        <v>8.5103147073149437</v>
      </c>
      <c r="S6" s="19">
        <v>4.7037000000000004</v>
      </c>
      <c r="T6" s="19">
        <v>40.951799999999999</v>
      </c>
      <c r="U6" s="19">
        <v>8.7063000000000006</v>
      </c>
      <c r="V6" s="19">
        <v>263.05187206990684</v>
      </c>
      <c r="W6" s="16">
        <v>367.08860759493672</v>
      </c>
      <c r="X6" s="13">
        <v>2663962.0253164554</v>
      </c>
      <c r="Y6" s="16">
        <v>700.76019788263409</v>
      </c>
      <c r="Z6" s="16">
        <v>26.66</v>
      </c>
      <c r="AA6" s="16">
        <v>104616.50000000001</v>
      </c>
    </row>
    <row r="7" spans="1:27">
      <c r="A7" s="16">
        <v>6</v>
      </c>
      <c r="B7" s="21" t="s">
        <v>84</v>
      </c>
      <c r="C7" s="21" t="s">
        <v>81</v>
      </c>
      <c r="D7" s="13">
        <v>0.80800000000000005</v>
      </c>
      <c r="E7" s="14">
        <v>0.13669999999999999</v>
      </c>
      <c r="F7" s="14">
        <v>88.598489999999998</v>
      </c>
      <c r="G7" s="14">
        <v>0.26</v>
      </c>
      <c r="H7" s="13">
        <v>1.55</v>
      </c>
      <c r="I7" s="13">
        <v>1.0491999999999999</v>
      </c>
      <c r="J7" s="13">
        <v>4.3</v>
      </c>
      <c r="K7" s="22">
        <v>122.66</v>
      </c>
      <c r="L7" s="14">
        <v>687.21518987341767</v>
      </c>
      <c r="M7" s="17">
        <v>0.75327965367965366</v>
      </c>
      <c r="N7" s="17">
        <v>0.33302857142857145</v>
      </c>
      <c r="O7" s="17">
        <v>0.13767587843449092</v>
      </c>
      <c r="P7" s="17">
        <v>1.0863082251082252</v>
      </c>
      <c r="Q7" s="17">
        <v>2.2619069902872235</v>
      </c>
      <c r="R7" s="19">
        <v>7.8903308078409218</v>
      </c>
      <c r="S7" s="19">
        <v>4.3464999999999998</v>
      </c>
      <c r="T7" s="19">
        <v>39.881900000000002</v>
      </c>
      <c r="U7" s="19">
        <v>9.1755999999999993</v>
      </c>
      <c r="V7" s="19">
        <v>300.48401864120359</v>
      </c>
      <c r="W7" s="16">
        <v>291.13924050632909</v>
      </c>
      <c r="X7" s="13">
        <v>3529189.8734177207</v>
      </c>
      <c r="Y7" s="16">
        <v>1060.4651557123973</v>
      </c>
      <c r="Z7" s="16">
        <v>30.36</v>
      </c>
      <c r="AA7" s="16">
        <v>128025.59999999999</v>
      </c>
    </row>
    <row r="8" spans="1:27">
      <c r="A8" s="16">
        <v>7</v>
      </c>
      <c r="B8" s="21" t="s">
        <v>84</v>
      </c>
      <c r="C8" s="21" t="s">
        <v>81</v>
      </c>
      <c r="D8" s="13">
        <v>0.80800000000000005</v>
      </c>
      <c r="E8" s="14">
        <v>0.1142</v>
      </c>
      <c r="F8" s="14">
        <v>69.056700000000006</v>
      </c>
      <c r="G8" s="14">
        <v>0.23</v>
      </c>
      <c r="H8" s="13">
        <v>2.27</v>
      </c>
      <c r="I8" s="13">
        <v>1.1392</v>
      </c>
      <c r="J8" s="13">
        <v>5.0999999999999996</v>
      </c>
      <c r="K8" s="22">
        <v>121.52</v>
      </c>
      <c r="L8" s="14">
        <v>692.89871944121069</v>
      </c>
      <c r="M8" s="17">
        <v>0.58024107883817433</v>
      </c>
      <c r="N8" s="17">
        <v>0.33602489626556009</v>
      </c>
      <c r="O8" s="17">
        <v>8.1066953933440586E-2</v>
      </c>
      <c r="P8" s="17">
        <v>0.91626597510373442</v>
      </c>
      <c r="Q8" s="17">
        <v>1.7267800251907837</v>
      </c>
      <c r="R8" s="19">
        <v>11.302582996470148</v>
      </c>
      <c r="S8" s="19">
        <v>5.1504000000000003</v>
      </c>
      <c r="T8" s="19">
        <v>41.387599999999999</v>
      </c>
      <c r="U8" s="19">
        <v>8.0358000000000001</v>
      </c>
      <c r="V8" s="19">
        <v>262.57943784583398</v>
      </c>
      <c r="W8" s="16">
        <v>343.88185654008441</v>
      </c>
      <c r="X8" s="13">
        <v>4212208.8607594939</v>
      </c>
      <c r="Y8" s="16">
        <v>1106.0394347474687</v>
      </c>
      <c r="Z8" s="16">
        <v>29</v>
      </c>
      <c r="AA8" s="16">
        <v>149044.1</v>
      </c>
    </row>
    <row r="9" spans="1:27">
      <c r="A9" s="16">
        <v>8</v>
      </c>
      <c r="B9" s="21" t="s">
        <v>84</v>
      </c>
      <c r="C9" s="21" t="s">
        <v>81</v>
      </c>
      <c r="D9" s="13">
        <v>0.81699999999999995</v>
      </c>
      <c r="E9" s="14">
        <v>0.13150000000000001</v>
      </c>
      <c r="F9" s="14">
        <v>84.900819999999996</v>
      </c>
      <c r="G9" s="14">
        <v>0.28000000000000003</v>
      </c>
      <c r="H9" s="13">
        <v>1.86</v>
      </c>
      <c r="I9" s="13"/>
      <c r="J9" s="13"/>
      <c r="K9" s="22">
        <v>80.77</v>
      </c>
      <c r="L9" s="14">
        <v>700.70609002647836</v>
      </c>
      <c r="M9" s="17">
        <v>0.87776625916870432</v>
      </c>
      <c r="N9" s="17">
        <v>0.42263471882640591</v>
      </c>
      <c r="O9" s="17">
        <v>0.15109010927598435</v>
      </c>
      <c r="P9" s="17">
        <v>1.3004009779951102</v>
      </c>
      <c r="Q9" s="17">
        <v>2.0768910363212263</v>
      </c>
      <c r="R9" s="19">
        <v>8.606790902637913</v>
      </c>
      <c r="S9" s="19">
        <v>4.5052000000000003</v>
      </c>
      <c r="T9" s="19">
        <v>39.976100000000002</v>
      </c>
      <c r="U9" s="19">
        <v>8.8734000000000002</v>
      </c>
      <c r="V9" s="19">
        <v>333.66086408178995</v>
      </c>
      <c r="W9" s="16">
        <v>348.1012658227848</v>
      </c>
      <c r="X9" s="13">
        <v>2788639.2405063286</v>
      </c>
      <c r="Y9" s="16">
        <v>930.45977859972811</v>
      </c>
      <c r="Z9" s="16"/>
      <c r="AA9" s="16"/>
    </row>
    <row r="10" spans="1:27">
      <c r="A10" s="16">
        <v>9</v>
      </c>
      <c r="B10" s="21" t="s">
        <v>85</v>
      </c>
      <c r="C10" s="21" t="s">
        <v>81</v>
      </c>
      <c r="D10" s="13">
        <v>0.80800000000000005</v>
      </c>
      <c r="E10" s="14">
        <v>0.23380000000000001</v>
      </c>
      <c r="F10" s="14">
        <v>143.02160000000001</v>
      </c>
      <c r="G10" s="14">
        <v>0.38</v>
      </c>
      <c r="H10" s="13">
        <v>1.25</v>
      </c>
      <c r="I10" s="13">
        <v>0.91639999999999999</v>
      </c>
      <c r="J10" s="13">
        <v>3.1</v>
      </c>
      <c r="K10" s="22">
        <v>42.1</v>
      </c>
      <c r="L10" s="14">
        <v>520.51983584131324</v>
      </c>
      <c r="M10" s="17">
        <v>1.2196157248157247</v>
      </c>
      <c r="N10" s="17">
        <v>0.77006388206388199</v>
      </c>
      <c r="O10" s="17">
        <v>0.12838847535476108</v>
      </c>
      <c r="P10" s="17">
        <v>1.9896796068796068</v>
      </c>
      <c r="Q10" s="17">
        <v>1.5837851290297877</v>
      </c>
      <c r="R10" s="19">
        <v>15.497338070116919</v>
      </c>
      <c r="S10" s="19">
        <v>6.2866999999999997</v>
      </c>
      <c r="T10" s="19">
        <v>42.282600000000002</v>
      </c>
      <c r="U10" s="19">
        <v>6.7256999999999998</v>
      </c>
      <c r="V10" s="19">
        <v>305.20205151713049</v>
      </c>
      <c r="W10" s="16">
        <v>415.6118143459916</v>
      </c>
      <c r="X10" s="13">
        <v>1713567.5105485232</v>
      </c>
      <c r="Y10" s="16">
        <v>522.9843196325113</v>
      </c>
      <c r="Z10" s="16">
        <v>25</v>
      </c>
      <c r="AA10" s="16">
        <v>100728.29999999999</v>
      </c>
    </row>
    <row r="11" spans="1:27">
      <c r="A11" s="16">
        <v>10</v>
      </c>
      <c r="B11" s="21" t="s">
        <v>85</v>
      </c>
      <c r="C11" s="21" t="s">
        <v>81</v>
      </c>
      <c r="D11" s="13">
        <v>0.81100000000000005</v>
      </c>
      <c r="E11" s="14">
        <v>0.1787</v>
      </c>
      <c r="F11" s="14">
        <v>77.903300000000002</v>
      </c>
      <c r="G11" s="14">
        <v>0.24</v>
      </c>
      <c r="H11" s="13">
        <v>1.19</v>
      </c>
      <c r="I11" s="13">
        <v>0.94769999999999999</v>
      </c>
      <c r="J11" s="13">
        <v>2.2999999999999998</v>
      </c>
      <c r="K11" s="22">
        <v>34.19</v>
      </c>
      <c r="L11" s="14">
        <v>596.43527204502811</v>
      </c>
      <c r="M11" s="17">
        <v>1.4380045360824742</v>
      </c>
      <c r="N11" s="17">
        <v>0.70074556701030932</v>
      </c>
      <c r="O11" s="17">
        <v>0.21758175729013238</v>
      </c>
      <c r="P11" s="17">
        <v>2.1387501030927836</v>
      </c>
      <c r="Q11" s="17">
        <v>2.0521065045300793</v>
      </c>
      <c r="R11" s="19">
        <v>9.8296388894446096</v>
      </c>
      <c r="S11" s="19">
        <v>5.3413000000000004</v>
      </c>
      <c r="T11" s="19">
        <v>42.405099999999997</v>
      </c>
      <c r="U11" s="19">
        <v>7.9391999999999996</v>
      </c>
      <c r="V11" s="19">
        <v>302.67596318996885</v>
      </c>
      <c r="W11" s="16">
        <v>426.16033755274259</v>
      </c>
      <c r="X11" s="13">
        <v>1445109.7046413498</v>
      </c>
      <c r="Y11" s="16">
        <v>437.39997176749199</v>
      </c>
      <c r="Z11" s="16">
        <v>26.68</v>
      </c>
      <c r="AA11" s="16">
        <v>80991.199999999997</v>
      </c>
    </row>
    <row r="12" spans="1:27">
      <c r="A12" s="16">
        <v>11</v>
      </c>
      <c r="B12" s="21" t="s">
        <v>85</v>
      </c>
      <c r="C12" s="21" t="s">
        <v>81</v>
      </c>
      <c r="D12" s="13">
        <v>0.79200000000000004</v>
      </c>
      <c r="E12" s="14">
        <v>0.20349999999999999</v>
      </c>
      <c r="F12" s="14">
        <v>134.13130000000001</v>
      </c>
      <c r="G12" s="14">
        <v>0.27</v>
      </c>
      <c r="H12" s="13">
        <v>1.2</v>
      </c>
      <c r="I12" s="13">
        <v>0.78220000000000001</v>
      </c>
      <c r="J12" s="13">
        <v>2.2999999999999998</v>
      </c>
      <c r="K12" s="14">
        <v>40.22</v>
      </c>
      <c r="L12" s="14">
        <v>659.58904109589048</v>
      </c>
      <c r="M12" s="17">
        <v>1.2496050420168068</v>
      </c>
      <c r="N12" s="17">
        <v>0.65398991596638645</v>
      </c>
      <c r="O12" s="17">
        <v>0.18867678991596637</v>
      </c>
      <c r="P12" s="17">
        <v>1.9035949579831932</v>
      </c>
      <c r="Q12" s="17">
        <v>1.9107405351507492</v>
      </c>
      <c r="R12" s="19">
        <v>10.089184572363267</v>
      </c>
      <c r="S12" s="19">
        <v>6.2641</v>
      </c>
      <c r="T12" s="19">
        <v>41.972499999999997</v>
      </c>
      <c r="U12" s="19">
        <v>6.7004999999999999</v>
      </c>
      <c r="V12" s="19">
        <v>282.8592881651237</v>
      </c>
      <c r="W12" s="16">
        <v>383.96624472573836</v>
      </c>
      <c r="X12" s="13">
        <v>1551991.5611814347</v>
      </c>
      <c r="Y12" s="16">
        <v>438.9952282340596</v>
      </c>
      <c r="Z12" s="16">
        <v>28.4</v>
      </c>
      <c r="AA12" s="16">
        <v>76809.2</v>
      </c>
    </row>
    <row r="13" spans="1:27">
      <c r="A13" s="16">
        <v>12</v>
      </c>
      <c r="B13" s="21" t="s">
        <v>85</v>
      </c>
      <c r="C13" s="21" t="s">
        <v>81</v>
      </c>
      <c r="D13" s="13">
        <v>0.82399999999999995</v>
      </c>
      <c r="E13" s="14">
        <v>0.2152</v>
      </c>
      <c r="F13" s="14">
        <v>95.064269999999993</v>
      </c>
      <c r="G13" s="14">
        <v>0.2</v>
      </c>
      <c r="H13" s="13">
        <v>1.19</v>
      </c>
      <c r="I13" s="13"/>
      <c r="J13" s="13"/>
      <c r="K13" s="14">
        <v>33.159999999999997</v>
      </c>
      <c r="L13" s="14">
        <v>628.48722986247537</v>
      </c>
      <c r="M13" s="17">
        <v>0.95892505543237239</v>
      </c>
      <c r="N13" s="17">
        <v>0.62159467849223948</v>
      </c>
      <c r="O13" s="17">
        <v>9.9284905923344824E-2</v>
      </c>
      <c r="P13" s="17">
        <v>1.580519733924612</v>
      </c>
      <c r="Q13" s="17">
        <v>1.5426854325046226</v>
      </c>
      <c r="R13" s="19">
        <v>15.919033404180171</v>
      </c>
      <c r="S13" s="19">
        <v>4.5000999999999998</v>
      </c>
      <c r="T13" s="19">
        <v>40.683799999999998</v>
      </c>
      <c r="U13" s="19">
        <v>9.0405999999999995</v>
      </c>
      <c r="V13" s="19">
        <v>303.05159506635766</v>
      </c>
      <c r="W13" s="16">
        <v>354.43037974683546</v>
      </c>
      <c r="X13" s="13">
        <v>1179898.7341772153</v>
      </c>
      <c r="Y13" s="16">
        <v>357.5701934091814</v>
      </c>
      <c r="Z13" s="16"/>
      <c r="AA13" s="16"/>
    </row>
    <row r="14" spans="1:27">
      <c r="A14" s="16">
        <v>13</v>
      </c>
      <c r="B14" s="21" t="s">
        <v>86</v>
      </c>
      <c r="C14" s="21" t="s">
        <v>81</v>
      </c>
      <c r="D14" s="13">
        <v>0.81499999999999995</v>
      </c>
      <c r="E14" s="14">
        <v>0.1176</v>
      </c>
      <c r="F14" s="14">
        <v>132.70189999999999</v>
      </c>
      <c r="G14" s="14">
        <v>0.63</v>
      </c>
      <c r="H14" s="13">
        <v>5.18</v>
      </c>
      <c r="I14" s="13">
        <v>2.411</v>
      </c>
      <c r="J14" s="13">
        <v>22.4</v>
      </c>
      <c r="K14" s="14">
        <v>226.86</v>
      </c>
      <c r="L14" s="14">
        <v>318.66618339978254</v>
      </c>
      <c r="M14" s="17">
        <v>0.601458568329718</v>
      </c>
      <c r="N14" s="17">
        <v>0.33832190889370933</v>
      </c>
      <c r="O14" s="17">
        <v>8.1868598521404254E-2</v>
      </c>
      <c r="P14" s="17">
        <v>0.93978047722342728</v>
      </c>
      <c r="Q14" s="17">
        <v>1.7777700838129238</v>
      </c>
      <c r="R14" s="19">
        <v>11.47913234373647</v>
      </c>
      <c r="S14" s="19">
        <v>4.4669999999999996</v>
      </c>
      <c r="T14" s="19">
        <v>39.922499999999999</v>
      </c>
      <c r="U14" s="19">
        <v>8.9372000000000007</v>
      </c>
      <c r="V14" s="19">
        <v>438.5033113888876</v>
      </c>
      <c r="W14" s="16">
        <v>324.89451476793249</v>
      </c>
      <c r="X14" s="13">
        <v>7262691.9831223628</v>
      </c>
      <c r="Y14" s="16">
        <v>3184.7144841966829</v>
      </c>
      <c r="Z14" s="16">
        <v>34.92</v>
      </c>
      <c r="AA14" s="16">
        <v>747043.49999999988</v>
      </c>
    </row>
    <row r="15" spans="1:27">
      <c r="A15" s="16">
        <v>14</v>
      </c>
      <c r="B15" s="21" t="s">
        <v>86</v>
      </c>
      <c r="C15" s="21" t="s">
        <v>81</v>
      </c>
      <c r="D15" s="13">
        <v>0.80800000000000005</v>
      </c>
      <c r="E15" s="14">
        <v>8.8999999999999996E-2</v>
      </c>
      <c r="F15" s="14">
        <v>42.633000000000003</v>
      </c>
      <c r="G15" s="14">
        <v>0.73</v>
      </c>
      <c r="H15" s="13">
        <v>5.12</v>
      </c>
      <c r="I15" s="13">
        <v>2.4895</v>
      </c>
      <c r="J15" s="13">
        <v>25.1</v>
      </c>
      <c r="K15" s="14">
        <v>389.51</v>
      </c>
      <c r="L15" s="14">
        <v>321.152030217186</v>
      </c>
      <c r="M15" s="17">
        <v>0.61962767857142864</v>
      </c>
      <c r="N15" s="17">
        <v>0.3687321428571429</v>
      </c>
      <c r="O15" s="17">
        <v>7.2402444788629741E-2</v>
      </c>
      <c r="P15" s="17">
        <v>0.98835982142857159</v>
      </c>
      <c r="Q15" s="17">
        <v>1.6804276236137343</v>
      </c>
      <c r="R15" s="19">
        <v>13.650917787568771</v>
      </c>
      <c r="S15" s="19">
        <v>3.7913000000000001</v>
      </c>
      <c r="T15" s="19">
        <v>39.721600000000002</v>
      </c>
      <c r="U15" s="19">
        <v>10.4771</v>
      </c>
      <c r="V15" s="19">
        <v>420.70469659251455</v>
      </c>
      <c r="W15" s="16">
        <v>253.1645569620253</v>
      </c>
      <c r="X15" s="13">
        <v>9791139.2405063286</v>
      </c>
      <c r="Y15" s="16">
        <v>4119.1782634722776</v>
      </c>
      <c r="Z15" s="16">
        <v>37.5</v>
      </c>
      <c r="AA15" s="16">
        <v>729030.5</v>
      </c>
    </row>
    <row r="16" spans="1:27">
      <c r="A16" s="16">
        <v>15</v>
      </c>
      <c r="B16" s="21" t="s">
        <v>86</v>
      </c>
      <c r="C16" s="21" t="s">
        <v>81</v>
      </c>
      <c r="D16" s="13">
        <v>0.81299999999999994</v>
      </c>
      <c r="E16" s="14">
        <v>0.13919999999999999</v>
      </c>
      <c r="F16" s="14">
        <v>113.5909</v>
      </c>
      <c r="G16" s="14">
        <v>0.62</v>
      </c>
      <c r="H16" s="13">
        <v>8.01</v>
      </c>
      <c r="I16" s="13">
        <v>3.4407999999999999</v>
      </c>
      <c r="J16" s="13">
        <v>46.8</v>
      </c>
      <c r="K16" s="14">
        <v>783.73</v>
      </c>
      <c r="L16" s="14">
        <v>250.2222222222222</v>
      </c>
      <c r="M16" s="17">
        <v>0.5253441441441441</v>
      </c>
      <c r="N16" s="17">
        <v>0.29366486486486487</v>
      </c>
      <c r="O16" s="17">
        <v>6.4656933259790356E-2</v>
      </c>
      <c r="P16" s="17">
        <v>0.81900900900900897</v>
      </c>
      <c r="Q16" s="17">
        <v>1.7889240661660037</v>
      </c>
      <c r="R16" s="19">
        <v>12.666994361118954</v>
      </c>
      <c r="S16" s="19">
        <v>3.0491999999999999</v>
      </c>
      <c r="T16" s="19">
        <v>41.022399999999998</v>
      </c>
      <c r="U16" s="19">
        <v>13.4535</v>
      </c>
      <c r="V16" s="19">
        <v>524.30014969097078</v>
      </c>
      <c r="W16" s="16">
        <v>255.27426160337555</v>
      </c>
      <c r="X16" s="13">
        <v>45480683.544303805</v>
      </c>
      <c r="Y16" s="16">
        <v>23845.529190326157</v>
      </c>
      <c r="Z16" s="16">
        <v>43.78</v>
      </c>
      <c r="AA16" s="16">
        <v>1591336.7</v>
      </c>
    </row>
    <row r="17" spans="1:27">
      <c r="A17" s="16">
        <v>16</v>
      </c>
      <c r="B17" s="21" t="s">
        <v>86</v>
      </c>
      <c r="C17" s="21" t="s">
        <v>81</v>
      </c>
      <c r="D17" s="13">
        <v>0.83499999999999996</v>
      </c>
      <c r="E17" s="14">
        <v>9.7699999999999995E-2</v>
      </c>
      <c r="F17" s="14">
        <v>8.6029999999999998</v>
      </c>
      <c r="G17" s="14">
        <v>0.46</v>
      </c>
      <c r="H17" s="13">
        <v>5.48</v>
      </c>
      <c r="I17" s="13"/>
      <c r="J17" s="13"/>
      <c r="K17" s="14">
        <v>479.89</v>
      </c>
      <c r="L17" s="14">
        <v>359.05915230554263</v>
      </c>
      <c r="M17" s="17">
        <v>0.47782869955156954</v>
      </c>
      <c r="N17" s="17">
        <v>0.28923766816143498</v>
      </c>
      <c r="O17" s="17">
        <v>5.1925699826118839E-2</v>
      </c>
      <c r="P17" s="17">
        <v>0.76706636771300452</v>
      </c>
      <c r="Q17" s="17">
        <v>1.6520279069767443</v>
      </c>
      <c r="R17" s="19">
        <v>14.7723838153678</v>
      </c>
      <c r="S17" s="19">
        <v>4.2354000000000003</v>
      </c>
      <c r="T17" s="19">
        <v>41.557899999999997</v>
      </c>
      <c r="U17" s="19">
        <v>9.8120999999999992</v>
      </c>
      <c r="V17" s="19">
        <v>446.35318152469137</v>
      </c>
      <c r="W17" s="16">
        <v>303.79746835443035</v>
      </c>
      <c r="X17" s="13">
        <v>14756354.430379745</v>
      </c>
      <c r="Y17" s="16">
        <v>6586.5457477059736</v>
      </c>
      <c r="Z17" s="16"/>
      <c r="AA17" s="16"/>
    </row>
    <row r="18" spans="1:27">
      <c r="A18" s="16">
        <v>17</v>
      </c>
      <c r="B18" s="21" t="s">
        <v>87</v>
      </c>
      <c r="C18" s="21" t="s">
        <v>81</v>
      </c>
      <c r="D18" s="13">
        <v>0.80200000000000005</v>
      </c>
      <c r="E18" s="14">
        <v>0.16800000000000001</v>
      </c>
      <c r="F18" s="14">
        <v>109.1318</v>
      </c>
      <c r="G18" s="14">
        <v>0.33</v>
      </c>
      <c r="H18" s="13">
        <v>1.99</v>
      </c>
      <c r="I18" s="13">
        <v>1.0851999999999999</v>
      </c>
      <c r="J18" s="13">
        <v>6.8</v>
      </c>
      <c r="K18" s="14">
        <v>95.51</v>
      </c>
      <c r="L18" s="14">
        <v>536.22597553873038</v>
      </c>
      <c r="M18" s="17">
        <v>0.88241876430205957</v>
      </c>
      <c r="N18" s="17">
        <v>0.48964942791762017</v>
      </c>
      <c r="O18" s="17">
        <v>0.1296870920468875</v>
      </c>
      <c r="P18" s="17">
        <v>1.3720681922196798</v>
      </c>
      <c r="Q18" s="17">
        <v>1.8021439707482307</v>
      </c>
      <c r="R18" s="19">
        <v>10.579836208553568</v>
      </c>
      <c r="S18" s="19">
        <v>5.0416999999999996</v>
      </c>
      <c r="T18" s="19">
        <v>43.844099999999997</v>
      </c>
      <c r="U18" s="19">
        <v>8.6961999999999993</v>
      </c>
      <c r="V18" s="19">
        <v>294.03104881562479</v>
      </c>
      <c r="W18" s="16">
        <v>500</v>
      </c>
      <c r="X18" s="13">
        <v>4748000</v>
      </c>
      <c r="Y18" s="16">
        <v>1396.0594197765865</v>
      </c>
      <c r="Z18" s="16">
        <v>33.92</v>
      </c>
      <c r="AA18" s="16">
        <v>280037.5</v>
      </c>
    </row>
    <row r="19" spans="1:27">
      <c r="A19" s="16">
        <v>18</v>
      </c>
      <c r="B19" s="21" t="s">
        <v>87</v>
      </c>
      <c r="C19" s="21" t="s">
        <v>81</v>
      </c>
      <c r="D19" s="13">
        <v>0.84699999999999998</v>
      </c>
      <c r="E19" s="14">
        <v>0.109</v>
      </c>
      <c r="F19" s="14">
        <v>68.528999999999996</v>
      </c>
      <c r="G19" s="14">
        <v>0.36</v>
      </c>
      <c r="H19" s="13">
        <v>2.2799999999999998</v>
      </c>
      <c r="I19" s="13">
        <v>0.96330000000000005</v>
      </c>
      <c r="J19" s="13">
        <v>5.4</v>
      </c>
      <c r="K19" s="14">
        <v>91.75</v>
      </c>
      <c r="L19" s="14">
        <v>559.08233815210565</v>
      </c>
      <c r="M19" s="17">
        <v>0.93063733333333343</v>
      </c>
      <c r="N19" s="17">
        <v>0.49091200000000002</v>
      </c>
      <c r="O19" s="17">
        <v>0.14585916680272135</v>
      </c>
      <c r="P19" s="17">
        <v>1.4215493333333336</v>
      </c>
      <c r="Q19" s="17">
        <v>1.8957314820850446</v>
      </c>
      <c r="R19" s="19">
        <v>9.7460404066068698</v>
      </c>
      <c r="S19" s="19">
        <v>5.2042999999999999</v>
      </c>
      <c r="T19" s="19">
        <v>44.1556</v>
      </c>
      <c r="U19" s="19">
        <v>8.4845000000000006</v>
      </c>
      <c r="V19" s="19">
        <v>292.65535998070914</v>
      </c>
      <c r="W19" s="16">
        <v>510.5485232067511</v>
      </c>
      <c r="X19" s="13">
        <v>4642417.7215189887</v>
      </c>
      <c r="Y19" s="16">
        <v>1358.628429471963</v>
      </c>
      <c r="Z19" s="16">
        <v>32.36</v>
      </c>
      <c r="AA19" s="16">
        <v>229699.89999999997</v>
      </c>
    </row>
    <row r="20" spans="1:27">
      <c r="A20" s="16">
        <v>19</v>
      </c>
      <c r="B20" s="21" t="s">
        <v>87</v>
      </c>
      <c r="C20" s="21" t="s">
        <v>81</v>
      </c>
      <c r="D20" s="13">
        <v>0.80900000000000005</v>
      </c>
      <c r="E20" s="14">
        <v>0.15390000000000001</v>
      </c>
      <c r="F20" s="14">
        <v>70.471999999999994</v>
      </c>
      <c r="G20" s="14">
        <v>0.35</v>
      </c>
      <c r="H20" s="13">
        <v>2.97</v>
      </c>
      <c r="I20" s="13">
        <v>1.1660999999999999</v>
      </c>
      <c r="J20" s="13">
        <v>7.3</v>
      </c>
      <c r="K20" s="14">
        <v>131.91999999999999</v>
      </c>
      <c r="L20" s="14">
        <v>520.78494193031634</v>
      </c>
      <c r="M20" s="17">
        <v>0.8903602564102564</v>
      </c>
      <c r="N20" s="17">
        <v>0.47164615384615383</v>
      </c>
      <c r="O20" s="17">
        <v>0.14412993589743592</v>
      </c>
      <c r="P20" s="17">
        <v>1.3620064102564102</v>
      </c>
      <c r="Q20" s="17">
        <v>1.8877716889019365</v>
      </c>
      <c r="R20" s="19">
        <v>9.4498509402351054</v>
      </c>
      <c r="S20" s="19">
        <v>4.2117000000000004</v>
      </c>
      <c r="T20" s="19">
        <v>39.249200000000002</v>
      </c>
      <c r="U20" s="19">
        <v>9.3191000000000006</v>
      </c>
      <c r="V20" s="19">
        <v>355.83773602469256</v>
      </c>
      <c r="W20" s="16">
        <v>341.77215189873419</v>
      </c>
      <c r="X20" s="13">
        <v>4537367.0886075944</v>
      </c>
      <c r="Y20" s="16">
        <v>1614.5664323230769</v>
      </c>
      <c r="Z20" s="16">
        <v>32.54</v>
      </c>
      <c r="AA20" s="16">
        <v>276242.10000000003</v>
      </c>
    </row>
    <row r="21" spans="1:27">
      <c r="A21" s="16">
        <v>20</v>
      </c>
      <c r="B21" s="21" t="s">
        <v>87</v>
      </c>
      <c r="C21" s="21" t="s">
        <v>81</v>
      </c>
      <c r="D21" s="13">
        <v>0.81599999999999995</v>
      </c>
      <c r="E21" s="14">
        <v>0.10829999999999999</v>
      </c>
      <c r="F21" s="14">
        <v>57.116</v>
      </c>
      <c r="G21" s="14">
        <v>0.33</v>
      </c>
      <c r="H21" s="13">
        <v>2.37</v>
      </c>
      <c r="I21" s="13"/>
      <c r="J21" s="13"/>
      <c r="K21" s="14">
        <v>105.55</v>
      </c>
      <c r="L21" s="14">
        <v>522.07274539113109</v>
      </c>
      <c r="M21" s="17">
        <v>0.90959136690647457</v>
      </c>
      <c r="N21" s="17">
        <v>0.49957985611510791</v>
      </c>
      <c r="O21" s="17">
        <v>0.13944842930553525</v>
      </c>
      <c r="P21" s="17">
        <v>1.4091712230215825</v>
      </c>
      <c r="Q21" s="17">
        <v>1.8207126563904052</v>
      </c>
      <c r="R21" s="19">
        <v>10.105321587624703</v>
      </c>
      <c r="S21" s="19">
        <v>4.7995999999999999</v>
      </c>
      <c r="T21" s="19">
        <v>40.815899999999999</v>
      </c>
      <c r="U21" s="19">
        <v>8.5039999999999996</v>
      </c>
      <c r="V21" s="19">
        <v>345.77935112885956</v>
      </c>
      <c r="W21" s="16">
        <v>402.95358649789029</v>
      </c>
      <c r="X21" s="13">
        <v>4350286.9198312238</v>
      </c>
      <c r="Y21" s="16">
        <v>1504.2393883636057</v>
      </c>
      <c r="Z21" s="16"/>
      <c r="AA21" s="16"/>
    </row>
    <row r="22" spans="1:27">
      <c r="A22" s="16">
        <v>21</v>
      </c>
      <c r="B22" s="21" t="s">
        <v>88</v>
      </c>
      <c r="C22" s="21" t="s">
        <v>81</v>
      </c>
      <c r="D22" s="13">
        <v>0.80100000000000005</v>
      </c>
      <c r="E22" s="14"/>
      <c r="F22" s="14"/>
      <c r="G22" s="14">
        <v>0.83</v>
      </c>
      <c r="H22" s="13">
        <v>3.61</v>
      </c>
      <c r="I22" s="13">
        <v>1.8541000000000001</v>
      </c>
      <c r="J22" s="13">
        <v>14.2</v>
      </c>
      <c r="K22" s="14">
        <v>68.94</v>
      </c>
      <c r="L22" s="14">
        <v>158.15948527978165</v>
      </c>
      <c r="M22" s="17">
        <v>0.39576625916870417</v>
      </c>
      <c r="N22" s="17">
        <v>0.27883422982885087</v>
      </c>
      <c r="O22" s="17">
        <v>4.606566957736636E-2</v>
      </c>
      <c r="P22" s="17">
        <v>0.67460048899755498</v>
      </c>
      <c r="Q22" s="17">
        <v>1.4193603827321577</v>
      </c>
      <c r="R22" s="19">
        <v>14.644321795096825</v>
      </c>
      <c r="S22" s="19">
        <v>1.915</v>
      </c>
      <c r="T22" s="19">
        <v>37.806800000000003</v>
      </c>
      <c r="U22" s="19">
        <v>19.7422</v>
      </c>
      <c r="V22" s="19">
        <v>434.22849752044868</v>
      </c>
      <c r="W22" s="16">
        <v>234.17721518987341</v>
      </c>
      <c r="X22" s="13">
        <v>1630810.1265822784</v>
      </c>
      <c r="Y22" s="16">
        <v>708.14423100695547</v>
      </c>
      <c r="Z22" s="16">
        <v>33.479999999999997</v>
      </c>
      <c r="AA22" s="16">
        <v>273536.10000000003</v>
      </c>
    </row>
    <row r="23" spans="1:27">
      <c r="A23" s="16">
        <v>22</v>
      </c>
      <c r="B23" s="21" t="s">
        <v>88</v>
      </c>
      <c r="C23" s="21" t="s">
        <v>81</v>
      </c>
      <c r="D23" s="13">
        <v>0.77</v>
      </c>
      <c r="E23" s="14">
        <v>0.18659999999999999</v>
      </c>
      <c r="F23" s="14">
        <v>116.601</v>
      </c>
      <c r="G23" s="14">
        <v>1.07</v>
      </c>
      <c r="H23" s="13">
        <v>1.61</v>
      </c>
      <c r="I23" s="13">
        <v>1.6528</v>
      </c>
      <c r="J23" s="13">
        <v>12.9</v>
      </c>
      <c r="K23" s="14">
        <v>81.91</v>
      </c>
      <c r="L23" s="14">
        <v>186.40875025319019</v>
      </c>
      <c r="M23" s="17">
        <v>0.32453360488798372</v>
      </c>
      <c r="N23" s="17">
        <v>0.2297450101832994</v>
      </c>
      <c r="O23" s="17">
        <v>3.6937110104326924E-2</v>
      </c>
      <c r="P23" s="17">
        <v>0.55427861507128307</v>
      </c>
      <c r="Q23" s="17">
        <v>1.4125817341106053</v>
      </c>
      <c r="R23" s="19">
        <v>15.00600922773201</v>
      </c>
      <c r="S23" s="19">
        <v>2.1318000000000001</v>
      </c>
      <c r="T23" s="19">
        <v>40.010800000000003</v>
      </c>
      <c r="U23" s="19">
        <v>18.7683</v>
      </c>
      <c r="V23" s="19">
        <v>399.82824635802467</v>
      </c>
      <c r="W23" s="16">
        <v>257.38396624472574</v>
      </c>
      <c r="X23" s="13">
        <v>2098194.0928270039</v>
      </c>
      <c r="Y23" s="16">
        <v>838.91726465378736</v>
      </c>
      <c r="Z23" s="16">
        <v>30.8</v>
      </c>
      <c r="AA23" s="16">
        <v>250709.1</v>
      </c>
    </row>
    <row r="24" spans="1:27">
      <c r="A24" s="16">
        <v>23</v>
      </c>
      <c r="B24" s="21" t="s">
        <v>88</v>
      </c>
      <c r="C24" s="21" t="s">
        <v>81</v>
      </c>
      <c r="D24" s="13">
        <v>0.81799999999999995</v>
      </c>
      <c r="E24" s="14">
        <v>0.13150000000000001</v>
      </c>
      <c r="F24" s="14">
        <v>159.37899999999999</v>
      </c>
      <c r="G24" s="14">
        <v>0.93</v>
      </c>
      <c r="H24" s="13">
        <v>2.61</v>
      </c>
      <c r="I24" s="13">
        <v>1.5181</v>
      </c>
      <c r="J24" s="13">
        <v>14.2</v>
      </c>
      <c r="K24" s="14">
        <v>70.930000000000007</v>
      </c>
      <c r="L24" s="14">
        <v>182.90498442367604</v>
      </c>
      <c r="M24" s="17">
        <v>0.2965709473684211</v>
      </c>
      <c r="N24" s="17">
        <v>0.22912673684210527</v>
      </c>
      <c r="O24" s="17">
        <v>3.4517147841031159E-2</v>
      </c>
      <c r="P24" s="17">
        <v>0.52569768421052632</v>
      </c>
      <c r="Q24" s="17">
        <v>1.2943532974625858</v>
      </c>
      <c r="R24" s="19">
        <v>15.230044111165522</v>
      </c>
      <c r="S24" s="19">
        <v>2.5070999999999999</v>
      </c>
      <c r="T24" s="19">
        <v>38.4694</v>
      </c>
      <c r="U24" s="19">
        <v>15.344099999999999</v>
      </c>
      <c r="V24" s="19">
        <v>357.50866226327099</v>
      </c>
      <c r="W24" s="16">
        <v>181.43459915611814</v>
      </c>
      <c r="X24" s="13">
        <v>1302337.552742616</v>
      </c>
      <c r="Y24" s="16">
        <v>465.59695629623479</v>
      </c>
      <c r="Z24" s="16">
        <v>28.26</v>
      </c>
      <c r="AA24" s="16">
        <v>326549.40000000002</v>
      </c>
    </row>
    <row r="25" spans="1:27">
      <c r="A25" s="16">
        <v>24</v>
      </c>
      <c r="B25" s="21" t="s">
        <v>88</v>
      </c>
      <c r="C25" s="21" t="s">
        <v>81</v>
      </c>
      <c r="D25" s="13">
        <v>0.78200000000000003</v>
      </c>
      <c r="E25" s="14">
        <v>0.26569999999999999</v>
      </c>
      <c r="F25" s="14">
        <v>157.142</v>
      </c>
      <c r="G25" s="14">
        <v>0.77</v>
      </c>
      <c r="H25" s="13">
        <v>1.52</v>
      </c>
      <c r="I25" s="13"/>
      <c r="J25" s="13"/>
      <c r="K25" s="14">
        <v>32.51</v>
      </c>
      <c r="L25" s="14">
        <v>248.42396951853132</v>
      </c>
      <c r="M25" s="17">
        <v>0.35488333333333333</v>
      </c>
      <c r="N25" s="17">
        <v>0.27008235294117644</v>
      </c>
      <c r="O25" s="17">
        <v>3.614396058423372E-2</v>
      </c>
      <c r="P25" s="17">
        <v>0.62496568627450977</v>
      </c>
      <c r="Q25" s="17">
        <v>1.3139819372449943</v>
      </c>
      <c r="R25" s="19">
        <v>17.291012832365823</v>
      </c>
      <c r="S25" s="19">
        <v>3.5607000000000002</v>
      </c>
      <c r="T25" s="19">
        <v>42.505299999999998</v>
      </c>
      <c r="U25" s="19">
        <v>11.9375</v>
      </c>
      <c r="V25" s="19">
        <v>374.15586661944371</v>
      </c>
      <c r="W25" s="16">
        <v>227.84810126582278</v>
      </c>
      <c r="X25" s="13">
        <v>741189.8734177216</v>
      </c>
      <c r="Y25" s="16">
        <v>277.32053941816338</v>
      </c>
      <c r="Z25" s="16"/>
      <c r="AA25" s="16"/>
    </row>
    <row r="26" spans="1:27">
      <c r="A26" s="16">
        <v>25</v>
      </c>
      <c r="B26" s="21" t="s">
        <v>89</v>
      </c>
      <c r="C26" s="21" t="s">
        <v>81</v>
      </c>
      <c r="D26" s="13">
        <v>0.80500000000000005</v>
      </c>
      <c r="E26" s="14">
        <v>0.14399999999999999</v>
      </c>
      <c r="F26" s="14">
        <v>93.549000000000007</v>
      </c>
      <c r="G26" s="14">
        <v>0.27</v>
      </c>
      <c r="H26" s="13">
        <v>1.06</v>
      </c>
      <c r="I26" s="13">
        <v>0.56269999999999998</v>
      </c>
      <c r="J26" s="13">
        <v>1.2</v>
      </c>
      <c r="K26" s="14">
        <v>21.9</v>
      </c>
      <c r="L26" s="14">
        <v>381.94789081885853</v>
      </c>
      <c r="M26" s="17">
        <v>1.0819795744680851</v>
      </c>
      <c r="N26" s="17">
        <v>0.59150297872340429</v>
      </c>
      <c r="O26" s="17">
        <v>0.15286476734693874</v>
      </c>
      <c r="P26" s="17">
        <v>1.6734825531914894</v>
      </c>
      <c r="Q26" s="17">
        <v>1.82920393199581</v>
      </c>
      <c r="R26" s="19">
        <v>10.947470645040056</v>
      </c>
      <c r="S26" s="19">
        <v>4.0875000000000004</v>
      </c>
      <c r="T26" s="19">
        <v>43.886499999999998</v>
      </c>
      <c r="U26" s="19">
        <v>10.736700000000001</v>
      </c>
      <c r="V26" s="19">
        <v>786.89447611573951</v>
      </c>
      <c r="W26" s="16">
        <v>145.56962025316454</v>
      </c>
      <c r="X26" s="13">
        <v>308898.73417721514</v>
      </c>
      <c r="Y26" s="16">
        <v>243.07070760319476</v>
      </c>
      <c r="Z26" s="16">
        <v>27.3</v>
      </c>
      <c r="AA26" s="16">
        <v>40475.599999999999</v>
      </c>
    </row>
    <row r="27" spans="1:27">
      <c r="A27" s="16">
        <v>26</v>
      </c>
      <c r="B27" s="21" t="s">
        <v>89</v>
      </c>
      <c r="C27" s="21" t="s">
        <v>81</v>
      </c>
      <c r="D27" s="13">
        <v>0.79600000000000004</v>
      </c>
      <c r="E27" s="14">
        <v>0.13</v>
      </c>
      <c r="F27" s="14">
        <v>106.003</v>
      </c>
      <c r="G27" s="14">
        <v>0.28999999999999998</v>
      </c>
      <c r="H27" s="13">
        <v>1.1499999999999999</v>
      </c>
      <c r="I27" s="13">
        <v>0.62860000000000005</v>
      </c>
      <c r="J27" s="13">
        <v>1.5</v>
      </c>
      <c r="K27" s="14">
        <v>24.48</v>
      </c>
      <c r="L27" s="14">
        <v>380.4030576789437</v>
      </c>
      <c r="M27" s="17">
        <v>1.0216728051391863</v>
      </c>
      <c r="N27" s="17">
        <v>0.68728394004282656</v>
      </c>
      <c r="O27" s="17">
        <v>0.10781374697373586</v>
      </c>
      <c r="P27" s="17">
        <v>1.7089567451820129</v>
      </c>
      <c r="Q27" s="17">
        <v>1.4865367071948794</v>
      </c>
      <c r="R27" s="19">
        <v>15.851009663900523</v>
      </c>
      <c r="S27" s="19">
        <v>4.2465000000000002</v>
      </c>
      <c r="T27" s="19">
        <v>44.188699999999997</v>
      </c>
      <c r="U27" s="19">
        <v>10.405799999999999</v>
      </c>
      <c r="V27" s="19">
        <v>693.84195858796238</v>
      </c>
      <c r="W27" s="16">
        <v>187.76371308016877</v>
      </c>
      <c r="X27" s="13">
        <v>452135.02109704644</v>
      </c>
      <c r="Y27" s="16">
        <v>313.7102485841844</v>
      </c>
      <c r="Z27" s="16">
        <v>33.700000000000003</v>
      </c>
      <c r="AA27" s="16">
        <v>54659</v>
      </c>
    </row>
    <row r="28" spans="1:27">
      <c r="A28" s="16">
        <v>27</v>
      </c>
      <c r="B28" s="21" t="s">
        <v>89</v>
      </c>
      <c r="C28" s="21" t="s">
        <v>81</v>
      </c>
      <c r="D28" s="13">
        <v>0.79800000000000004</v>
      </c>
      <c r="E28" s="14">
        <v>0.1434</v>
      </c>
      <c r="F28" s="14">
        <v>102.4028</v>
      </c>
      <c r="G28" s="14">
        <v>0.28000000000000003</v>
      </c>
      <c r="H28" s="13">
        <v>1.17</v>
      </c>
      <c r="I28" s="13">
        <v>0.68969999999999998</v>
      </c>
      <c r="J28" s="13">
        <v>1.7</v>
      </c>
      <c r="K28" s="14">
        <v>28.81</v>
      </c>
      <c r="L28" s="14">
        <v>375.52447552447552</v>
      </c>
      <c r="M28" s="17">
        <v>0.86717163814180942</v>
      </c>
      <c r="N28" s="17">
        <v>0.34676185819070904</v>
      </c>
      <c r="O28" s="17">
        <v>0.1659731656104988</v>
      </c>
      <c r="P28" s="17">
        <v>1.2139334963325186</v>
      </c>
      <c r="Q28" s="17">
        <v>2.5007699597251842</v>
      </c>
      <c r="R28" s="19">
        <v>7.3140347228258804</v>
      </c>
      <c r="S28" s="19">
        <v>4.0816999999999997</v>
      </c>
      <c r="T28" s="19">
        <v>44.621499999999997</v>
      </c>
      <c r="U28" s="19">
        <v>10.9322</v>
      </c>
      <c r="V28" s="19">
        <v>775.66691518788582</v>
      </c>
      <c r="W28" s="16">
        <v>141.35021097046413</v>
      </c>
      <c r="X28" s="13">
        <v>404544.30379746837</v>
      </c>
      <c r="Y28" s="16">
        <v>313.79163218341318</v>
      </c>
      <c r="Z28" s="16">
        <v>30.98</v>
      </c>
      <c r="AA28" s="16">
        <v>54064.1</v>
      </c>
    </row>
    <row r="29" spans="1:27">
      <c r="A29" s="16">
        <v>28</v>
      </c>
      <c r="B29" s="21" t="s">
        <v>89</v>
      </c>
      <c r="C29" s="21" t="s">
        <v>81</v>
      </c>
      <c r="D29" s="15">
        <v>0.8</v>
      </c>
      <c r="E29" s="14">
        <v>0.1145</v>
      </c>
      <c r="F29" s="14">
        <v>61.656999999999996</v>
      </c>
      <c r="G29" s="14">
        <v>0.26</v>
      </c>
      <c r="H29" s="13">
        <v>0.96</v>
      </c>
      <c r="I29" s="13"/>
      <c r="J29" s="13"/>
      <c r="K29" s="14">
        <v>27.52</v>
      </c>
      <c r="L29" s="14">
        <v>340.5115089514066</v>
      </c>
      <c r="M29" s="17">
        <v>0.90730612244897957</v>
      </c>
      <c r="N29" s="17">
        <v>0.39533061224489796</v>
      </c>
      <c r="O29" s="17">
        <v>0.17220071322134331</v>
      </c>
      <c r="P29" s="17">
        <v>1.3026367346938774</v>
      </c>
      <c r="Q29" s="17">
        <v>2.2950565788386883</v>
      </c>
      <c r="R29" s="19">
        <v>7.5646419246794556</v>
      </c>
      <c r="S29" s="19">
        <v>4.3144</v>
      </c>
      <c r="T29" s="19">
        <v>44.783299999999997</v>
      </c>
      <c r="U29" s="19">
        <v>10.379899999999999</v>
      </c>
      <c r="V29" s="19">
        <v>684.92819502106511</v>
      </c>
      <c r="W29" s="16">
        <v>160.33755274261603</v>
      </c>
      <c r="X29" s="13">
        <v>437080.16877637128</v>
      </c>
      <c r="Y29" s="16">
        <v>299.36853107950247</v>
      </c>
      <c r="Z29" s="16"/>
      <c r="AA29" s="16"/>
    </row>
    <row r="30" spans="1:27">
      <c r="A30" s="16">
        <v>29</v>
      </c>
      <c r="B30" s="21" t="s">
        <v>83</v>
      </c>
      <c r="C30" s="21" t="s">
        <v>82</v>
      </c>
      <c r="D30" s="13">
        <v>0.65900000000000003</v>
      </c>
      <c r="E30" s="14">
        <v>0.1517</v>
      </c>
      <c r="F30" s="14">
        <v>136.791</v>
      </c>
      <c r="G30" s="14">
        <v>0.32</v>
      </c>
      <c r="H30" s="13">
        <v>1.1100000000000001</v>
      </c>
      <c r="I30" s="13">
        <v>0.85370000000000001</v>
      </c>
      <c r="J30" s="13">
        <v>2.2000000000000002</v>
      </c>
      <c r="K30" s="14">
        <v>22.82</v>
      </c>
      <c r="L30" s="14">
        <v>250.62429057888761</v>
      </c>
      <c r="M30" s="17">
        <v>0.58786220095693786</v>
      </c>
      <c r="N30" s="17">
        <v>0.40251100478468904</v>
      </c>
      <c r="O30" s="17">
        <v>0.12050782931354355</v>
      </c>
      <c r="P30" s="17">
        <v>0.99037320574162691</v>
      </c>
      <c r="Q30" s="17">
        <v>1.4604872760470158</v>
      </c>
      <c r="R30" s="19">
        <v>8.2183308037590006</v>
      </c>
      <c r="S30" s="19">
        <v>2.0630999999999999</v>
      </c>
      <c r="T30" s="19">
        <v>42.668300000000002</v>
      </c>
      <c r="U30" s="19">
        <v>20.681999999999999</v>
      </c>
      <c r="V30" s="19">
        <v>360.93558774652757</v>
      </c>
      <c r="W30" s="16">
        <v>609.70464135021098</v>
      </c>
      <c r="X30" s="13">
        <v>1393175.1054852323</v>
      </c>
      <c r="Y30" s="16">
        <v>502.84647553214285</v>
      </c>
      <c r="Z30" s="16">
        <v>38.119999999999997</v>
      </c>
      <c r="AA30" s="16">
        <v>96733.10000000002</v>
      </c>
    </row>
    <row r="31" spans="1:27">
      <c r="A31" s="16">
        <v>30</v>
      </c>
      <c r="B31" s="21" t="s">
        <v>83</v>
      </c>
      <c r="C31" s="21" t="s">
        <v>82</v>
      </c>
      <c r="D31" s="13">
        <v>0.71099999999999997</v>
      </c>
      <c r="E31" s="14">
        <v>0.15620000000000001</v>
      </c>
      <c r="F31" s="14">
        <v>158.971</v>
      </c>
      <c r="G31" s="14">
        <v>0.42</v>
      </c>
      <c r="H31" s="13">
        <v>1.1200000000000001</v>
      </c>
      <c r="I31" s="13">
        <v>1.0925</v>
      </c>
      <c r="J31" s="13">
        <v>2.2999999999999998</v>
      </c>
      <c r="K31" s="14">
        <v>26</v>
      </c>
      <c r="L31" s="14">
        <v>217.09251101321587</v>
      </c>
      <c r="M31" s="17">
        <v>0.49492928416485904</v>
      </c>
      <c r="N31" s="17">
        <v>0.25528503253796098</v>
      </c>
      <c r="O31" s="17">
        <v>0.10396093992651279</v>
      </c>
      <c r="P31" s="17">
        <v>0.75021431670282002</v>
      </c>
      <c r="Q31" s="17">
        <v>1.9387320879897763</v>
      </c>
      <c r="R31" s="19">
        <v>7.2163094834764525</v>
      </c>
      <c r="S31" s="19">
        <v>2.1465999999999998</v>
      </c>
      <c r="T31" s="19">
        <v>43.014499999999998</v>
      </c>
      <c r="U31" s="19">
        <v>20.038599999999999</v>
      </c>
      <c r="V31" s="19">
        <v>371.64534699861082</v>
      </c>
      <c r="W31" s="16">
        <v>529.53586497890296</v>
      </c>
      <c r="X31" s="13">
        <v>1340784.8101265824</v>
      </c>
      <c r="Y31" s="16">
        <v>498.29643600996019</v>
      </c>
      <c r="Z31" s="16">
        <v>28.8</v>
      </c>
      <c r="AA31" s="16">
        <v>104905.20000000001</v>
      </c>
    </row>
    <row r="32" spans="1:27">
      <c r="A32" s="16">
        <v>31</v>
      </c>
      <c r="B32" s="21" t="s">
        <v>83</v>
      </c>
      <c r="C32" s="21" t="s">
        <v>82</v>
      </c>
      <c r="D32" s="13">
        <v>0.72599999999999998</v>
      </c>
      <c r="E32" s="14">
        <v>0.20219999999999999</v>
      </c>
      <c r="F32" s="14">
        <v>189.0633</v>
      </c>
      <c r="G32" s="14">
        <v>0.38</v>
      </c>
      <c r="H32" s="13">
        <v>1.1499999999999999</v>
      </c>
      <c r="I32" s="13">
        <v>1.1149</v>
      </c>
      <c r="J32" s="13">
        <v>2.2999999999999998</v>
      </c>
      <c r="K32" s="14">
        <v>23.26</v>
      </c>
      <c r="L32" s="14">
        <v>236.83640303358615</v>
      </c>
      <c r="M32" s="17">
        <v>0.64988950749464669</v>
      </c>
      <c r="N32" s="17">
        <v>0.30450706638115632</v>
      </c>
      <c r="O32" s="17">
        <v>0.17246617349123769</v>
      </c>
      <c r="P32" s="17">
        <v>0.95439657387580301</v>
      </c>
      <c r="Q32" s="17">
        <v>2.1342345687346702</v>
      </c>
      <c r="R32" s="19">
        <v>5.5338189197100265</v>
      </c>
      <c r="S32" s="19">
        <v>3.0190000000000001</v>
      </c>
      <c r="T32" s="19">
        <v>43.382599999999996</v>
      </c>
      <c r="U32" s="19">
        <v>14.369899999999999</v>
      </c>
      <c r="V32" s="19">
        <v>388.48929435416738</v>
      </c>
      <c r="W32" s="16">
        <v>607.5949367088607</v>
      </c>
      <c r="X32" s="13">
        <v>1420556.9620253162</v>
      </c>
      <c r="Y32" s="16">
        <v>551.8711717671149</v>
      </c>
      <c r="Z32" s="16">
        <v>36.18</v>
      </c>
      <c r="AA32" s="16">
        <v>112462.89999999998</v>
      </c>
    </row>
    <row r="33" spans="1:27">
      <c r="A33" s="16">
        <v>32</v>
      </c>
      <c r="B33" s="21" t="s">
        <v>83</v>
      </c>
      <c r="C33" s="21" t="s">
        <v>82</v>
      </c>
      <c r="D33" s="15">
        <v>0.81</v>
      </c>
      <c r="E33" s="14">
        <v>0.23089999999999999</v>
      </c>
      <c r="F33" s="14">
        <v>183.48699999999999</v>
      </c>
      <c r="G33" s="14">
        <v>0.34</v>
      </c>
      <c r="H33" s="13">
        <v>1.25</v>
      </c>
      <c r="I33" s="13"/>
      <c r="J33" s="13"/>
      <c r="K33" s="14">
        <v>23.8</v>
      </c>
      <c r="L33" s="14">
        <v>200.26315789473682</v>
      </c>
      <c r="M33" s="17">
        <v>0.68079043062200961</v>
      </c>
      <c r="N33" s="17">
        <v>0.537622966507177</v>
      </c>
      <c r="O33" s="17">
        <v>5.7592422224392252E-2</v>
      </c>
      <c r="P33" s="17">
        <v>1.2184133971291866</v>
      </c>
      <c r="Q33" s="17">
        <v>1.2662971506685465</v>
      </c>
      <c r="R33" s="19">
        <v>21.155793593504203</v>
      </c>
      <c r="S33" s="19">
        <v>2.7006000000000001</v>
      </c>
      <c r="T33" s="19">
        <v>43.7684</v>
      </c>
      <c r="U33" s="19">
        <v>16.206800000000001</v>
      </c>
      <c r="V33" s="19">
        <v>377.14835004938232</v>
      </c>
      <c r="W33" s="16">
        <v>552.74261603375521</v>
      </c>
      <c r="X33" s="13">
        <v>1324924.0506329113</v>
      </c>
      <c r="Y33" s="16">
        <v>499.69291963694673</v>
      </c>
      <c r="Z33" s="16"/>
      <c r="AA33" s="16"/>
    </row>
    <row r="34" spans="1:27">
      <c r="A34" s="16">
        <v>33</v>
      </c>
      <c r="B34" s="21" t="s">
        <v>84</v>
      </c>
      <c r="C34" s="21" t="s">
        <v>82</v>
      </c>
      <c r="D34" s="13">
        <v>0.68899999999999995</v>
      </c>
      <c r="E34" s="14">
        <v>8.8700000000000001E-2</v>
      </c>
      <c r="F34" s="14">
        <v>97.662999999999997</v>
      </c>
      <c r="G34" s="14">
        <v>0.42</v>
      </c>
      <c r="H34" s="13">
        <v>1.91</v>
      </c>
      <c r="I34" s="13">
        <v>1.1051</v>
      </c>
      <c r="J34" s="13">
        <v>4.2</v>
      </c>
      <c r="K34" s="14">
        <v>44.09</v>
      </c>
      <c r="L34" s="14">
        <v>312.09735146743026</v>
      </c>
      <c r="M34" s="17">
        <v>0.34101971830985917</v>
      </c>
      <c r="N34" s="17">
        <v>0.21798309859154932</v>
      </c>
      <c r="O34" s="17">
        <v>7.0535284468716999E-2</v>
      </c>
      <c r="P34" s="17">
        <v>0.55900281690140852</v>
      </c>
      <c r="Q34" s="17">
        <v>1.5644319239119195</v>
      </c>
      <c r="R34" s="19">
        <v>7.9251515197238769</v>
      </c>
      <c r="S34" s="19">
        <v>1.8080000000000001</v>
      </c>
      <c r="T34" s="19">
        <v>41.690800000000003</v>
      </c>
      <c r="U34" s="19">
        <v>23.0593</v>
      </c>
      <c r="V34" s="19">
        <v>418.7695516377309</v>
      </c>
      <c r="W34" s="16">
        <v>500</v>
      </c>
      <c r="X34" s="13">
        <v>2268500</v>
      </c>
      <c r="Y34" s="16">
        <v>949.97872789019243</v>
      </c>
      <c r="Z34" s="16">
        <v>29.36</v>
      </c>
      <c r="AA34" s="16">
        <v>152273.70000000001</v>
      </c>
    </row>
    <row r="35" spans="1:27">
      <c r="A35" s="16">
        <v>34</v>
      </c>
      <c r="B35" s="21" t="s">
        <v>84</v>
      </c>
      <c r="C35" s="21" t="s">
        <v>82</v>
      </c>
      <c r="D35" s="13">
        <v>0.67400000000000004</v>
      </c>
      <c r="E35" s="14"/>
      <c r="F35" s="14"/>
      <c r="G35" s="14">
        <v>0.33</v>
      </c>
      <c r="H35" s="13">
        <v>2.0299999999999998</v>
      </c>
      <c r="I35" s="13">
        <v>0.85519999999999996</v>
      </c>
      <c r="J35" s="13">
        <v>5.3</v>
      </c>
      <c r="K35" s="14">
        <v>32.74</v>
      </c>
      <c r="L35" s="14">
        <v>311.00478468899524</v>
      </c>
      <c r="M35" s="17">
        <v>0.27743923444976076</v>
      </c>
      <c r="N35" s="17">
        <v>0.10367081339712922</v>
      </c>
      <c r="O35" s="17">
        <v>9.361852553461579E-2</v>
      </c>
      <c r="P35" s="17">
        <v>0.38111004784688995</v>
      </c>
      <c r="Q35" s="17">
        <v>2.6761556638605812</v>
      </c>
      <c r="R35" s="19">
        <v>4.0708828265616415</v>
      </c>
      <c r="S35" s="19">
        <v>1.8915999999999999</v>
      </c>
      <c r="T35" s="19">
        <v>41.7119</v>
      </c>
      <c r="U35" s="19">
        <v>22.050999999999998</v>
      </c>
      <c r="V35" s="19">
        <v>304.99179864351862</v>
      </c>
      <c r="W35" s="16">
        <v>548.52320675105489</v>
      </c>
      <c r="X35" s="13">
        <v>1795864.9789029539</v>
      </c>
      <c r="Y35" s="16">
        <v>547.72409003651649</v>
      </c>
      <c r="Z35" s="16">
        <v>21.64</v>
      </c>
      <c r="AA35" s="16">
        <v>161113.9</v>
      </c>
    </row>
    <row r="36" spans="1:27">
      <c r="A36" s="16">
        <v>35</v>
      </c>
      <c r="B36" s="21" t="s">
        <v>84</v>
      </c>
      <c r="C36" s="21" t="s">
        <v>82</v>
      </c>
      <c r="D36" s="13">
        <v>0.69699999999999995</v>
      </c>
      <c r="E36" s="14"/>
      <c r="F36" s="14"/>
      <c r="G36" s="14">
        <v>0.3</v>
      </c>
      <c r="H36" s="13">
        <v>2.5099999999999998</v>
      </c>
      <c r="I36" s="13">
        <v>1.2269000000000001</v>
      </c>
      <c r="J36" s="13">
        <v>4.5999999999999996</v>
      </c>
      <c r="K36" s="14">
        <v>36.28</v>
      </c>
      <c r="L36" s="14">
        <v>401.15874855156426</v>
      </c>
      <c r="M36" s="17">
        <v>0.30183410138248851</v>
      </c>
      <c r="N36" s="17">
        <v>0.20564792626728109</v>
      </c>
      <c r="O36" s="17">
        <v>6.3250450860528482E-2</v>
      </c>
      <c r="P36" s="17">
        <v>0.50748202764976957</v>
      </c>
      <c r="Q36" s="17">
        <v>1.4677225628338892</v>
      </c>
      <c r="R36" s="19">
        <v>8.0233740747366653</v>
      </c>
      <c r="S36" s="19">
        <v>2.1798999999999999</v>
      </c>
      <c r="T36" s="19">
        <v>40.855600000000003</v>
      </c>
      <c r="U36" s="19">
        <v>18.741900000000001</v>
      </c>
      <c r="V36" s="19">
        <v>316.2127712650464</v>
      </c>
      <c r="W36" s="16">
        <v>550.63291139240505</v>
      </c>
      <c r="X36" s="13">
        <v>2018620.2531645566</v>
      </c>
      <c r="Y36" s="16">
        <v>638.31350438491404</v>
      </c>
      <c r="Z36" s="16">
        <v>26.14</v>
      </c>
      <c r="AA36" s="16">
        <v>135751.19999999998</v>
      </c>
    </row>
    <row r="37" spans="1:27">
      <c r="A37" s="16">
        <v>36</v>
      </c>
      <c r="B37" s="21" t="s">
        <v>84</v>
      </c>
      <c r="C37" s="21" t="s">
        <v>82</v>
      </c>
      <c r="D37" s="13">
        <v>0.69699999999999995</v>
      </c>
      <c r="E37" s="14"/>
      <c r="F37" s="14"/>
      <c r="G37" s="14">
        <v>0.36</v>
      </c>
      <c r="H37" s="13">
        <v>1.8</v>
      </c>
      <c r="I37" s="13"/>
      <c r="J37" s="13"/>
      <c r="K37" s="14">
        <v>42.98</v>
      </c>
      <c r="L37" s="14">
        <v>267.45213549337262</v>
      </c>
      <c r="M37" s="17">
        <v>0.25663153347732182</v>
      </c>
      <c r="N37" s="17">
        <v>0.11987559395248379</v>
      </c>
      <c r="O37" s="17">
        <v>7.2153591572266085E-2</v>
      </c>
      <c r="P37" s="17">
        <v>0.37650712742980563</v>
      </c>
      <c r="Q37" s="17">
        <v>2.1408155323013061</v>
      </c>
      <c r="R37" s="19">
        <v>5.2181342498066989</v>
      </c>
      <c r="S37" s="19">
        <v>1.4588000000000001</v>
      </c>
      <c r="T37" s="19">
        <v>41.460999999999999</v>
      </c>
      <c r="U37" s="19">
        <v>28.4209</v>
      </c>
      <c r="V37" s="19">
        <v>326.45695930092648</v>
      </c>
      <c r="W37" s="16">
        <v>470.46413502109704</v>
      </c>
      <c r="X37" s="13">
        <v>1545945.147679325</v>
      </c>
      <c r="Y37" s="16">
        <v>504.6845521574142</v>
      </c>
      <c r="Z37" s="16"/>
      <c r="AA37" s="16"/>
    </row>
    <row r="38" spans="1:27">
      <c r="A38" s="16">
        <v>37</v>
      </c>
      <c r="B38" s="21" t="s">
        <v>85</v>
      </c>
      <c r="C38" s="21" t="s">
        <v>82</v>
      </c>
      <c r="D38" s="13">
        <v>0.76800000000000002</v>
      </c>
      <c r="E38" s="14">
        <v>0.1898</v>
      </c>
      <c r="F38" s="14">
        <v>83.645200000000003</v>
      </c>
      <c r="G38" s="14">
        <v>0.28000000000000003</v>
      </c>
      <c r="H38" s="13">
        <v>1.21</v>
      </c>
      <c r="I38" s="13">
        <v>1.0278</v>
      </c>
      <c r="J38" s="13">
        <v>3.8</v>
      </c>
      <c r="K38" s="14">
        <v>32.86</v>
      </c>
      <c r="L38" s="14">
        <v>301.35593220338984</v>
      </c>
      <c r="M38" s="17">
        <v>0.52494620123203284</v>
      </c>
      <c r="N38" s="17">
        <v>0.27867597535934291</v>
      </c>
      <c r="O38" s="17">
        <v>0.11612802246155154</v>
      </c>
      <c r="P38" s="17">
        <v>0.8036221765913758</v>
      </c>
      <c r="Q38" s="17">
        <v>1.8837153097073873</v>
      </c>
      <c r="R38" s="19">
        <v>6.9201400278511116</v>
      </c>
      <c r="S38" s="19">
        <v>2.1082999999999998</v>
      </c>
      <c r="T38" s="19">
        <v>41.559399999999997</v>
      </c>
      <c r="U38" s="19">
        <v>19.712299999999999</v>
      </c>
      <c r="V38" s="19">
        <v>307.06465474305509</v>
      </c>
      <c r="W38" s="16">
        <v>525.31645569620252</v>
      </c>
      <c r="X38" s="13">
        <v>1474563.2911392406</v>
      </c>
      <c r="Y38" s="16">
        <v>452.78626789045393</v>
      </c>
      <c r="Z38" s="16">
        <v>26.42</v>
      </c>
      <c r="AA38" s="16">
        <v>102262.2</v>
      </c>
    </row>
    <row r="39" spans="1:27">
      <c r="A39" s="16">
        <v>38</v>
      </c>
      <c r="B39" s="21" t="s">
        <v>85</v>
      </c>
      <c r="C39" s="21" t="s">
        <v>82</v>
      </c>
      <c r="D39" s="13">
        <v>0.85199999999999998</v>
      </c>
      <c r="E39" s="14">
        <v>0.158</v>
      </c>
      <c r="F39" s="14">
        <v>125.1044</v>
      </c>
      <c r="G39" s="14">
        <v>0.31</v>
      </c>
      <c r="H39" s="13">
        <v>1.49</v>
      </c>
      <c r="I39" s="13">
        <v>1.1256999999999999</v>
      </c>
      <c r="J39" s="13">
        <v>3.2</v>
      </c>
      <c r="K39" s="14">
        <v>29.9</v>
      </c>
      <c r="L39" s="14">
        <v>259.40212150433945</v>
      </c>
      <c r="M39" s="17">
        <v>0.57577002457002457</v>
      </c>
      <c r="N39" s="17">
        <v>0.30217592137592136</v>
      </c>
      <c r="O39" s="17">
        <v>0.12596760166474494</v>
      </c>
      <c r="P39" s="17">
        <v>0.87794594594594599</v>
      </c>
      <c r="Q39" s="17">
        <v>1.9054133166809775</v>
      </c>
      <c r="R39" s="19">
        <v>6.9696170629853329</v>
      </c>
      <c r="S39" s="19">
        <v>2.0057999999999998</v>
      </c>
      <c r="T39" s="19">
        <v>41.473300000000002</v>
      </c>
      <c r="U39" s="19">
        <v>20.677</v>
      </c>
      <c r="V39" s="19">
        <v>317.84622282716225</v>
      </c>
      <c r="W39" s="16">
        <v>476.79324894514764</v>
      </c>
      <c r="X39" s="13">
        <v>1403679.3248945146</v>
      </c>
      <c r="Y39" s="16">
        <v>446.1541714783026</v>
      </c>
      <c r="Z39" s="16">
        <v>32.22</v>
      </c>
      <c r="AA39" s="16">
        <v>112035.70000000001</v>
      </c>
    </row>
    <row r="40" spans="1:27">
      <c r="A40" s="16">
        <v>39</v>
      </c>
      <c r="B40" s="21" t="s">
        <v>85</v>
      </c>
      <c r="C40" s="21" t="s">
        <v>82</v>
      </c>
      <c r="D40" s="13">
        <v>0.80600000000000005</v>
      </c>
      <c r="E40" s="14">
        <v>0.1658</v>
      </c>
      <c r="F40" s="14">
        <v>104.5626</v>
      </c>
      <c r="G40" s="14">
        <v>0.36</v>
      </c>
      <c r="H40" s="13">
        <v>1.72</v>
      </c>
      <c r="I40" s="13">
        <v>1.1264000000000001</v>
      </c>
      <c r="J40" s="13">
        <v>3</v>
      </c>
      <c r="K40" s="14">
        <v>22.94</v>
      </c>
      <c r="L40" s="14">
        <v>418.80998080614205</v>
      </c>
      <c r="M40" s="17">
        <v>0.72816318407960201</v>
      </c>
      <c r="N40" s="17">
        <v>0.27008955223880599</v>
      </c>
      <c r="O40" s="17">
        <v>0.18819571448878111</v>
      </c>
      <c r="P40" s="17">
        <v>0.99825273631840794</v>
      </c>
      <c r="Q40" s="17">
        <v>2.6960064839375182</v>
      </c>
      <c r="R40" s="19">
        <v>5.3043329866999533</v>
      </c>
      <c r="S40" s="19">
        <v>3.1147</v>
      </c>
      <c r="T40" s="19">
        <v>40.573799999999999</v>
      </c>
      <c r="U40" s="19">
        <v>13.0266</v>
      </c>
      <c r="V40" s="19">
        <v>321.16673394058648</v>
      </c>
      <c r="W40" s="16">
        <v>478.90295358649792</v>
      </c>
      <c r="X40" s="13">
        <v>1091898.7341772153</v>
      </c>
      <c r="Y40" s="16">
        <v>350.68155024955684</v>
      </c>
      <c r="Z40" s="16">
        <v>31.42</v>
      </c>
      <c r="AA40" s="16">
        <v>98463.9</v>
      </c>
    </row>
    <row r="41" spans="1:27">
      <c r="A41" s="16">
        <v>40</v>
      </c>
      <c r="B41" s="21" t="s">
        <v>85</v>
      </c>
      <c r="C41" s="21" t="s">
        <v>82</v>
      </c>
      <c r="D41" s="13">
        <v>0.79200000000000004</v>
      </c>
      <c r="E41" s="14">
        <v>5.2200000000000003E-2</v>
      </c>
      <c r="F41" s="14">
        <v>22.83</v>
      </c>
      <c r="G41" s="14">
        <v>0.28999999999999998</v>
      </c>
      <c r="H41" s="13">
        <v>1.56</v>
      </c>
      <c r="I41" s="13"/>
      <c r="J41" s="13"/>
      <c r="K41" s="14">
        <v>28.29</v>
      </c>
      <c r="L41" s="14">
        <v>266.09829488465397</v>
      </c>
      <c r="M41" s="17">
        <v>0.30529671361502347</v>
      </c>
      <c r="N41" s="17">
        <v>0.15654084507042254</v>
      </c>
      <c r="O41" s="17">
        <v>8.2761192488262914E-2</v>
      </c>
      <c r="P41" s="17">
        <v>0.46183755868544601</v>
      </c>
      <c r="Q41" s="17">
        <v>1.9502687204587441</v>
      </c>
      <c r="R41" s="19">
        <v>5.5803637526240726</v>
      </c>
      <c r="S41" s="19">
        <v>1.3703000000000001</v>
      </c>
      <c r="T41" s="19">
        <v>41.285800000000002</v>
      </c>
      <c r="U41" s="19">
        <v>30.1297</v>
      </c>
      <c r="V41" s="19">
        <v>289.32637438040251</v>
      </c>
      <c r="W41" s="16">
        <v>533.75527426160329</v>
      </c>
      <c r="X41" s="13">
        <v>1515331.2236286919</v>
      </c>
      <c r="Y41" s="16">
        <v>438.42528891790835</v>
      </c>
      <c r="Z41" s="16"/>
      <c r="AA41" s="16"/>
    </row>
    <row r="42" spans="1:27">
      <c r="A42" s="16">
        <v>41</v>
      </c>
      <c r="B42" s="21" t="s">
        <v>86</v>
      </c>
      <c r="C42" s="21" t="s">
        <v>82</v>
      </c>
      <c r="D42" s="13">
        <v>0.71799999999999997</v>
      </c>
      <c r="E42" s="14">
        <v>0.1759</v>
      </c>
      <c r="F42" s="14">
        <v>146.517</v>
      </c>
      <c r="G42" s="14">
        <v>0.46</v>
      </c>
      <c r="H42" s="13">
        <v>3.57</v>
      </c>
      <c r="I42" s="13">
        <v>1.5348999999999999</v>
      </c>
      <c r="J42" s="13">
        <v>13</v>
      </c>
      <c r="K42" s="14">
        <v>107.48</v>
      </c>
      <c r="L42" s="14">
        <v>199.34259954921112</v>
      </c>
      <c r="M42" s="17">
        <v>0.15667500000000001</v>
      </c>
      <c r="N42" s="17">
        <v>0.14907777777777775</v>
      </c>
      <c r="O42" s="17">
        <v>2.1428051209372592E-2</v>
      </c>
      <c r="P42" s="17">
        <v>0.30575277777777776</v>
      </c>
      <c r="Q42" s="17">
        <v>1.0509614667958562</v>
      </c>
      <c r="R42" s="19">
        <v>14.268809365363195</v>
      </c>
      <c r="S42" s="19">
        <v>0.81069999999999998</v>
      </c>
      <c r="T42" s="19">
        <v>40.639699999999998</v>
      </c>
      <c r="U42" s="19">
        <v>50.127400000000002</v>
      </c>
      <c r="V42" s="19">
        <v>489.17449056790218</v>
      </c>
      <c r="W42" s="16">
        <v>358.64978902953584</v>
      </c>
      <c r="X42" s="13">
        <v>3868396.6244725734</v>
      </c>
      <c r="Y42" s="16">
        <v>1892.3209480909636</v>
      </c>
      <c r="Z42" s="16">
        <v>34.92</v>
      </c>
      <c r="AA42" s="16">
        <v>397892.20000000007</v>
      </c>
    </row>
    <row r="43" spans="1:27">
      <c r="A43" s="16">
        <v>42</v>
      </c>
      <c r="B43" s="21" t="s">
        <v>86</v>
      </c>
      <c r="C43" s="21" t="s">
        <v>82</v>
      </c>
      <c r="D43" s="13">
        <v>0.72599999999999998</v>
      </c>
      <c r="E43" s="14">
        <v>0.161</v>
      </c>
      <c r="F43" s="14">
        <v>137.46899999999999</v>
      </c>
      <c r="G43" s="14">
        <v>0.57999999999999996</v>
      </c>
      <c r="H43" s="13">
        <v>4.3</v>
      </c>
      <c r="I43" s="13">
        <v>1.9636</v>
      </c>
      <c r="J43" s="13">
        <v>19.7</v>
      </c>
      <c r="K43" s="14">
        <v>248.33</v>
      </c>
      <c r="L43" s="14">
        <v>230.3925619834711</v>
      </c>
      <c r="M43" s="17">
        <v>0.18010068027210885</v>
      </c>
      <c r="N43" s="17">
        <v>0.1436843537414966</v>
      </c>
      <c r="O43" s="17">
        <v>2.7052625665232106E-2</v>
      </c>
      <c r="P43" s="17">
        <v>0.32378503401360548</v>
      </c>
      <c r="Q43" s="17">
        <v>1.253446708582683</v>
      </c>
      <c r="R43" s="19">
        <v>11.968710099357651</v>
      </c>
      <c r="S43" s="19">
        <v>1.1749000000000001</v>
      </c>
      <c r="T43" s="19">
        <v>39.689799999999998</v>
      </c>
      <c r="U43" s="19">
        <v>33.7819</v>
      </c>
      <c r="V43" s="19">
        <v>466.17542543402919</v>
      </c>
      <c r="W43" s="16">
        <v>291.13924050632909</v>
      </c>
      <c r="X43" s="13">
        <v>6269101.265822785</v>
      </c>
      <c r="Y43" s="16">
        <v>2922.5009496839475</v>
      </c>
      <c r="Z43" s="16">
        <v>37.5</v>
      </c>
      <c r="AA43" s="16">
        <v>680500.20000000007</v>
      </c>
    </row>
    <row r="44" spans="1:27">
      <c r="A44" s="16">
        <v>43</v>
      </c>
      <c r="B44" s="21" t="s">
        <v>86</v>
      </c>
      <c r="C44" s="21" t="s">
        <v>82</v>
      </c>
      <c r="D44" s="13">
        <v>0.73799999999999999</v>
      </c>
      <c r="E44" s="14">
        <v>0.16020000000000001</v>
      </c>
      <c r="F44" s="14">
        <v>93.421099999999996</v>
      </c>
      <c r="G44" s="14">
        <v>0.44</v>
      </c>
      <c r="H44" s="13">
        <v>3.44</v>
      </c>
      <c r="I44" s="13">
        <v>2.0691000000000002</v>
      </c>
      <c r="J44" s="13">
        <v>14.4</v>
      </c>
      <c r="K44" s="14">
        <v>194.95</v>
      </c>
      <c r="L44" s="14">
        <v>197.81547160113081</v>
      </c>
      <c r="M44" s="17">
        <v>0.1261429158110883</v>
      </c>
      <c r="N44" s="17">
        <v>8.6370431211498969E-2</v>
      </c>
      <c r="O44" s="17">
        <v>3.5915867242174042E-2</v>
      </c>
      <c r="P44" s="17">
        <v>0.21251334702258728</v>
      </c>
      <c r="Q44" s="17">
        <v>1.460487276047016</v>
      </c>
      <c r="R44" s="19">
        <v>5.9169766273399205</v>
      </c>
      <c r="S44" s="19">
        <v>0.91210000000000002</v>
      </c>
      <c r="T44" s="19">
        <v>39.68</v>
      </c>
      <c r="U44" s="19">
        <v>43.505000000000003</v>
      </c>
      <c r="V44" s="19">
        <v>471.26747142669763</v>
      </c>
      <c r="W44" s="16">
        <v>335.44303797468353</v>
      </c>
      <c r="X44" s="13">
        <v>6578373.4177215202</v>
      </c>
      <c r="Y44" s="16">
        <v>3100.1734066702234</v>
      </c>
      <c r="Z44" s="16">
        <v>43.78</v>
      </c>
      <c r="AA44" s="16">
        <v>457479.3000000001</v>
      </c>
    </row>
    <row r="45" spans="1:27">
      <c r="A45" s="16">
        <v>44</v>
      </c>
      <c r="B45" s="21" t="s">
        <v>86</v>
      </c>
      <c r="C45" s="21" t="s">
        <v>82</v>
      </c>
      <c r="D45" s="13">
        <v>0.749</v>
      </c>
      <c r="E45" s="14">
        <v>8.72E-2</v>
      </c>
      <c r="F45" s="14">
        <v>100.0976</v>
      </c>
      <c r="G45" s="14">
        <v>0.4</v>
      </c>
      <c r="H45" s="13">
        <v>3.02</v>
      </c>
      <c r="I45" s="13"/>
      <c r="J45" s="13"/>
      <c r="K45" s="14">
        <v>182.21</v>
      </c>
      <c r="L45" s="14">
        <v>239.24672489082968</v>
      </c>
      <c r="M45" s="17">
        <v>0.14990041152263375</v>
      </c>
      <c r="N45" s="17">
        <v>6.5432098765432101E-2</v>
      </c>
      <c r="O45" s="17">
        <v>4.8039088099437292E-2</v>
      </c>
      <c r="P45" s="17">
        <v>0.21533251028806585</v>
      </c>
      <c r="Q45" s="17">
        <v>2.2909308176100631</v>
      </c>
      <c r="R45" s="19">
        <v>4.4824437516870388</v>
      </c>
      <c r="S45" s="19">
        <v>1.0918000000000001</v>
      </c>
      <c r="T45" s="19">
        <v>40.055599999999998</v>
      </c>
      <c r="U45" s="19">
        <v>36.689100000000003</v>
      </c>
      <c r="V45" s="19">
        <v>512.57795238888855</v>
      </c>
      <c r="W45" s="16">
        <v>318.56540084388189</v>
      </c>
      <c r="X45" s="13">
        <v>5920537.9746835446</v>
      </c>
      <c r="Y45" s="16">
        <v>3034.7372321039484</v>
      </c>
      <c r="Z45" s="16"/>
      <c r="AA45" s="16"/>
    </row>
    <row r="46" spans="1:27">
      <c r="A46" s="16">
        <v>45</v>
      </c>
      <c r="B46" s="21" t="s">
        <v>87</v>
      </c>
      <c r="C46" s="21" t="s">
        <v>82</v>
      </c>
      <c r="D46" s="15">
        <v>0.76</v>
      </c>
      <c r="E46" s="14">
        <v>0.29699999999999999</v>
      </c>
      <c r="F46" s="14">
        <v>179.53550000000001</v>
      </c>
      <c r="G46" s="14">
        <v>0.3</v>
      </c>
      <c r="H46" s="13">
        <v>1.86</v>
      </c>
      <c r="I46" s="13">
        <v>0.92910000000000004</v>
      </c>
      <c r="J46" s="13">
        <v>4.8</v>
      </c>
      <c r="K46" s="14">
        <v>33.979999999999997</v>
      </c>
      <c r="L46" s="14">
        <v>297.51984126984127</v>
      </c>
      <c r="M46" s="17">
        <v>0.47671081081081074</v>
      </c>
      <c r="N46" s="17">
        <v>0.26340540540540536</v>
      </c>
      <c r="O46" s="17">
        <v>9.5422028130171171E-2</v>
      </c>
      <c r="P46" s="17">
        <v>0.74011621621621604</v>
      </c>
      <c r="Q46" s="17">
        <v>1.8097988918530681</v>
      </c>
      <c r="R46" s="19">
        <v>7.7562406785839544</v>
      </c>
      <c r="S46" s="19">
        <v>2.4847000000000001</v>
      </c>
      <c r="T46" s="19">
        <v>43.933999999999997</v>
      </c>
      <c r="U46" s="19">
        <v>17.681899999999999</v>
      </c>
      <c r="V46" s="19">
        <v>343.34212468055529</v>
      </c>
      <c r="W46" s="16">
        <v>624.47257383966246</v>
      </c>
      <c r="X46" s="13">
        <v>2170042.1940928269</v>
      </c>
      <c r="Y46" s="16">
        <v>745.06689756628509</v>
      </c>
      <c r="Z46" s="16">
        <v>31.88</v>
      </c>
      <c r="AA46" s="16">
        <v>169113.99999999997</v>
      </c>
    </row>
    <row r="47" spans="1:27">
      <c r="A47" s="16">
        <v>46</v>
      </c>
      <c r="B47" s="21" t="s">
        <v>87</v>
      </c>
      <c r="C47" s="21" t="s">
        <v>82</v>
      </c>
      <c r="D47" s="13">
        <v>0.81699999999999995</v>
      </c>
      <c r="E47" s="14">
        <v>0.28170000000000001</v>
      </c>
      <c r="F47" s="14">
        <v>145.846</v>
      </c>
      <c r="G47" s="14">
        <v>0.23</v>
      </c>
      <c r="H47" s="13">
        <v>1.76</v>
      </c>
      <c r="I47" s="13">
        <v>0.6583</v>
      </c>
      <c r="J47" s="13">
        <v>3.3</v>
      </c>
      <c r="K47" s="14">
        <v>29.3</v>
      </c>
      <c r="L47" s="14">
        <v>313.86768447837153</v>
      </c>
      <c r="M47" s="17">
        <v>0.59605339168490157</v>
      </c>
      <c r="N47" s="17">
        <v>0.28147746170678339</v>
      </c>
      <c r="O47" s="17">
        <v>0.12784590202295321</v>
      </c>
      <c r="P47" s="17">
        <v>0.87753085339168502</v>
      </c>
      <c r="Q47" s="17">
        <v>2.1175883428486135</v>
      </c>
      <c r="R47" s="19">
        <v>6.8639732639544038</v>
      </c>
      <c r="S47" s="19">
        <v>2.7875000000000001</v>
      </c>
      <c r="T47" s="19">
        <v>43.976999999999997</v>
      </c>
      <c r="U47" s="19">
        <v>15.776300000000001</v>
      </c>
      <c r="V47" s="19">
        <v>325.49315677391888</v>
      </c>
      <c r="W47" s="16">
        <v>582.27848101265818</v>
      </c>
      <c r="X47" s="13">
        <v>1701417.7215189869</v>
      </c>
      <c r="Y47" s="16">
        <v>553.79982516830341</v>
      </c>
      <c r="Z47" s="16">
        <v>30.78</v>
      </c>
      <c r="AA47" s="16">
        <v>111300.79999999999</v>
      </c>
    </row>
    <row r="48" spans="1:27">
      <c r="A48" s="16">
        <v>47</v>
      </c>
      <c r="B48" s="21" t="s">
        <v>87</v>
      </c>
      <c r="C48" s="21" t="s">
        <v>82</v>
      </c>
      <c r="D48" s="13">
        <v>0.78100000000000003</v>
      </c>
      <c r="E48" s="14">
        <v>0.31330000000000002</v>
      </c>
      <c r="F48" s="14">
        <v>170.05250000000001</v>
      </c>
      <c r="G48" s="14">
        <v>0.26</v>
      </c>
      <c r="H48" s="13">
        <v>2.21</v>
      </c>
      <c r="I48" s="13">
        <v>0.93089999999999995</v>
      </c>
      <c r="J48" s="13">
        <v>5.3</v>
      </c>
      <c r="K48" s="14">
        <v>35.950000000000003</v>
      </c>
      <c r="L48" s="14">
        <v>296.75251959686449</v>
      </c>
      <c r="M48" s="17">
        <v>0.48944332603938739</v>
      </c>
      <c r="N48" s="17">
        <v>0.2514590809628009</v>
      </c>
      <c r="O48" s="17">
        <v>0.10743550555977331</v>
      </c>
      <c r="P48" s="17">
        <v>0.74090240700218835</v>
      </c>
      <c r="Q48" s="17">
        <v>1.9464134051766149</v>
      </c>
      <c r="R48" s="19">
        <v>6.8962528089931725</v>
      </c>
      <c r="S48" s="19">
        <v>2.3601999999999999</v>
      </c>
      <c r="T48" s="19">
        <v>42.262799999999999</v>
      </c>
      <c r="U48" s="19">
        <v>17.9068</v>
      </c>
      <c r="V48" s="19">
        <v>267.00885515046349</v>
      </c>
      <c r="W48" s="16">
        <v>696.20253164556959</v>
      </c>
      <c r="X48" s="13">
        <v>2519556.962025316</v>
      </c>
      <c r="Y48" s="16">
        <v>672.74401991675938</v>
      </c>
      <c r="Z48" s="16">
        <v>31.74</v>
      </c>
      <c r="AA48" s="16">
        <v>184348.79999999996</v>
      </c>
    </row>
    <row r="49" spans="1:27">
      <c r="A49" s="16">
        <v>48</v>
      </c>
      <c r="B49" s="21" t="s">
        <v>87</v>
      </c>
      <c r="C49" s="21" t="s">
        <v>82</v>
      </c>
      <c r="D49" s="13">
        <v>0.76100000000000001</v>
      </c>
      <c r="E49" s="14"/>
      <c r="F49" s="14"/>
      <c r="G49" s="14">
        <v>0.25</v>
      </c>
      <c r="H49" s="13">
        <v>1.76</v>
      </c>
      <c r="I49" s="13"/>
      <c r="J49" s="13"/>
      <c r="K49" s="14">
        <v>30.95</v>
      </c>
      <c r="L49" s="14">
        <v>321.74603174603175</v>
      </c>
      <c r="M49" s="17">
        <v>0.47548115299334809</v>
      </c>
      <c r="N49" s="17">
        <v>0.25229268292682921</v>
      </c>
      <c r="O49" s="17">
        <v>0.10297290103624566</v>
      </c>
      <c r="P49" s="17">
        <v>0.7277738359201773</v>
      </c>
      <c r="Q49" s="17">
        <v>1.8846410743162487</v>
      </c>
      <c r="R49" s="19">
        <v>7.0676248663131922</v>
      </c>
      <c r="S49" s="19">
        <v>2.4466999999999999</v>
      </c>
      <c r="T49" s="19">
        <v>44.257899999999999</v>
      </c>
      <c r="U49" s="19">
        <v>18.089099999999998</v>
      </c>
      <c r="V49" s="19">
        <v>362.62620723649542</v>
      </c>
      <c r="W49" s="16">
        <v>578.05907172995774</v>
      </c>
      <c r="X49" s="13">
        <v>1209877.6371308016</v>
      </c>
      <c r="Y49" s="16">
        <v>438.73333877299547</v>
      </c>
      <c r="Z49" s="16"/>
      <c r="AA49" s="16"/>
    </row>
    <row r="50" spans="1:27">
      <c r="A50" s="16">
        <v>49</v>
      </c>
      <c r="B50" s="21" t="s">
        <v>88</v>
      </c>
      <c r="C50" s="21" t="s">
        <v>82</v>
      </c>
      <c r="D50" s="13">
        <v>0.72899999999999998</v>
      </c>
      <c r="E50" s="14">
        <v>0.22409999999999999</v>
      </c>
      <c r="F50" s="14">
        <v>229.98609999999999</v>
      </c>
      <c r="G50" s="14">
        <v>0.93</v>
      </c>
      <c r="H50" s="13">
        <v>4.1100000000000003</v>
      </c>
      <c r="I50" s="13">
        <v>2.2334000000000001</v>
      </c>
      <c r="J50" s="13">
        <v>15.9</v>
      </c>
      <c r="K50" s="14">
        <v>55.37</v>
      </c>
      <c r="L50" s="14">
        <v>115.66975568660489</v>
      </c>
      <c r="M50" s="17">
        <v>0.31902372881355928</v>
      </c>
      <c r="N50" s="17">
        <v>0.19265084745762714</v>
      </c>
      <c r="O50" s="17">
        <v>6.0294109996540939E-2</v>
      </c>
      <c r="P50" s="17">
        <v>0.5116745762711864</v>
      </c>
      <c r="Q50" s="17">
        <v>1.6559684684684681</v>
      </c>
      <c r="R50" s="19">
        <v>8.4863111222728236</v>
      </c>
      <c r="S50" s="19">
        <v>1.5470999999999999</v>
      </c>
      <c r="T50" s="19">
        <v>43.080100000000002</v>
      </c>
      <c r="U50" s="19">
        <v>27.846499999999999</v>
      </c>
      <c r="V50" s="19">
        <v>457.74001101774951</v>
      </c>
      <c r="W50" s="16">
        <v>270.042194092827</v>
      </c>
      <c r="X50" s="13">
        <v>1516016.8776371309</v>
      </c>
      <c r="Y50" s="16">
        <v>693.94158227271441</v>
      </c>
      <c r="Z50" s="16">
        <v>32.9</v>
      </c>
      <c r="AA50" s="16">
        <v>330595.80000000005</v>
      </c>
    </row>
    <row r="51" spans="1:27">
      <c r="A51" s="16">
        <v>50</v>
      </c>
      <c r="B51" s="21" t="s">
        <v>88</v>
      </c>
      <c r="C51" s="21" t="s">
        <v>82</v>
      </c>
      <c r="D51" s="13">
        <v>0.60499999999999998</v>
      </c>
      <c r="E51" s="14">
        <v>0.1295</v>
      </c>
      <c r="F51" s="14">
        <v>128.53919999999999</v>
      </c>
      <c r="G51" s="14">
        <v>1.18</v>
      </c>
      <c r="H51" s="13">
        <v>3.92</v>
      </c>
      <c r="I51" s="13">
        <v>1.7435</v>
      </c>
      <c r="J51" s="13">
        <v>14</v>
      </c>
      <c r="K51" s="14">
        <v>48.87</v>
      </c>
      <c r="L51" s="14">
        <v>127.61717653662643</v>
      </c>
      <c r="M51" s="17">
        <v>0.23896267942583735</v>
      </c>
      <c r="N51" s="17">
        <v>0.1769799043062201</v>
      </c>
      <c r="O51" s="17">
        <v>4.084175764085541E-2</v>
      </c>
      <c r="P51" s="17">
        <v>0.41594258373205745</v>
      </c>
      <c r="Q51" s="17">
        <v>1.3502249329526776</v>
      </c>
      <c r="R51" s="19">
        <v>10.18424788153524</v>
      </c>
      <c r="S51" s="19">
        <v>1.4957</v>
      </c>
      <c r="T51" s="19">
        <v>42.815100000000001</v>
      </c>
      <c r="U51" s="19">
        <v>28.6251</v>
      </c>
      <c r="V51" s="19">
        <v>392.55004520370397</v>
      </c>
      <c r="W51" s="16">
        <v>265.82278481012656</v>
      </c>
      <c r="X51" s="13">
        <v>1317949.3670886075</v>
      </c>
      <c r="Y51" s="16">
        <v>517.36108362682592</v>
      </c>
      <c r="Z51" s="16">
        <v>29.96</v>
      </c>
      <c r="AA51" s="16">
        <v>229733.80000000002</v>
      </c>
    </row>
    <row r="52" spans="1:27">
      <c r="A52" s="16">
        <v>51</v>
      </c>
      <c r="B52" s="21" t="s">
        <v>88</v>
      </c>
      <c r="C52" s="21" t="s">
        <v>82</v>
      </c>
      <c r="D52" s="13">
        <v>0.64100000000000001</v>
      </c>
      <c r="E52" s="14">
        <v>0.1595</v>
      </c>
      <c r="F52" s="14">
        <v>189.3288</v>
      </c>
      <c r="G52" s="14">
        <v>1.1200000000000001</v>
      </c>
      <c r="H52" s="13">
        <v>3.61</v>
      </c>
      <c r="I52" s="13">
        <v>2.1375000000000002</v>
      </c>
      <c r="J52" s="13">
        <v>15.9</v>
      </c>
      <c r="K52" s="14">
        <v>62.31</v>
      </c>
      <c r="L52" s="14">
        <v>122.06582936336076</v>
      </c>
      <c r="M52" s="17">
        <v>0.25069674620390453</v>
      </c>
      <c r="N52" s="17">
        <v>0.17225856832971798</v>
      </c>
      <c r="O52" s="17">
        <v>4.4328418964982914E-2</v>
      </c>
      <c r="P52" s="17">
        <v>0.42295531453362251</v>
      </c>
      <c r="Q52" s="17">
        <v>1.4553513862024501</v>
      </c>
      <c r="R52" s="19">
        <v>9.5414031090920393</v>
      </c>
      <c r="S52" s="19">
        <v>1.5577000000000001</v>
      </c>
      <c r="T52" s="19">
        <v>43.472700000000003</v>
      </c>
      <c r="U52" s="19">
        <v>27.907399999999999</v>
      </c>
      <c r="V52" s="19">
        <v>497.52401465740826</v>
      </c>
      <c r="W52" s="16">
        <v>225.73839662447256</v>
      </c>
      <c r="X52" s="13">
        <v>1411993.6708860758</v>
      </c>
      <c r="Y52" s="16">
        <v>702.50075981009172</v>
      </c>
      <c r="Z52" s="16">
        <v>30.14</v>
      </c>
      <c r="AA52" s="16">
        <v>288772.10000000003</v>
      </c>
    </row>
    <row r="53" spans="1:27">
      <c r="A53" s="16">
        <v>52</v>
      </c>
      <c r="B53" s="21" t="s">
        <v>88</v>
      </c>
      <c r="C53" s="21" t="s">
        <v>82</v>
      </c>
      <c r="D53" s="15">
        <v>0.75</v>
      </c>
      <c r="E53" s="14">
        <v>0.1205</v>
      </c>
      <c r="F53" s="14">
        <v>118.1618</v>
      </c>
      <c r="G53" s="14">
        <v>1.1599999999999999</v>
      </c>
      <c r="H53" s="13">
        <v>3.02</v>
      </c>
      <c r="I53" s="13"/>
      <c r="J53" s="13"/>
      <c r="K53" s="14">
        <v>47.81</v>
      </c>
      <c r="L53" s="14">
        <v>89.640087492543245</v>
      </c>
      <c r="M53" s="17">
        <v>0.21029880668257755</v>
      </c>
      <c r="N53" s="17">
        <v>0.16276467780429596</v>
      </c>
      <c r="O53" s="17">
        <v>3.0297477180848496E-2</v>
      </c>
      <c r="P53" s="17">
        <v>0.37306348448687354</v>
      </c>
      <c r="Q53" s="17">
        <v>1.2920420420420418</v>
      </c>
      <c r="R53" s="19">
        <v>12.313351447053577</v>
      </c>
      <c r="S53" s="19">
        <v>1.0947</v>
      </c>
      <c r="T53" s="19">
        <v>42.527000000000001</v>
      </c>
      <c r="U53" s="19">
        <v>38.8491</v>
      </c>
      <c r="V53" s="19">
        <v>494.90698145389018</v>
      </c>
      <c r="W53" s="16">
        <v>327.00421940928265</v>
      </c>
      <c r="X53" s="13">
        <v>1554578.0590717297</v>
      </c>
      <c r="Y53" s="16">
        <v>769.37153464963706</v>
      </c>
      <c r="Z53" s="16"/>
      <c r="AA53" s="16"/>
    </row>
    <row r="54" spans="1:27">
      <c r="A54" s="16">
        <v>53</v>
      </c>
      <c r="B54" s="21" t="s">
        <v>89</v>
      </c>
      <c r="C54" s="21" t="s">
        <v>82</v>
      </c>
      <c r="D54" s="13">
        <v>0.83299999999999996</v>
      </c>
      <c r="E54" s="14">
        <v>0.23169999999999999</v>
      </c>
      <c r="F54" s="14">
        <v>228.02099999999999</v>
      </c>
      <c r="G54" s="14">
        <v>0.31</v>
      </c>
      <c r="H54" s="13">
        <v>0.76</v>
      </c>
      <c r="I54" s="13">
        <v>0.60709999999999997</v>
      </c>
      <c r="J54" s="13">
        <v>2.1</v>
      </c>
      <c r="K54" s="14">
        <v>17.84</v>
      </c>
      <c r="L54" s="14">
        <v>280.18867924528303</v>
      </c>
      <c r="M54" s="17">
        <v>0.78867842227378193</v>
      </c>
      <c r="N54" s="17">
        <v>0.36485568445475641</v>
      </c>
      <c r="O54" s="17">
        <v>0.18760871007149979</v>
      </c>
      <c r="P54" s="17">
        <v>1.1535341067285383</v>
      </c>
      <c r="Q54" s="17">
        <v>2.1616174719941394</v>
      </c>
      <c r="R54" s="19">
        <v>6.1486170140443557</v>
      </c>
      <c r="S54" s="19">
        <v>3.1328</v>
      </c>
      <c r="T54" s="19">
        <v>45.970799999999997</v>
      </c>
      <c r="U54" s="19">
        <v>14.674200000000001</v>
      </c>
      <c r="V54" s="19">
        <v>904.74613652314667</v>
      </c>
      <c r="W54" s="16">
        <v>139.24050632911391</v>
      </c>
      <c r="X54" s="13">
        <v>245341.77215189874</v>
      </c>
      <c r="Y54" s="16">
        <v>221.9720204821725</v>
      </c>
      <c r="Z54" s="16">
        <v>27.02</v>
      </c>
      <c r="AA54" s="16">
        <v>59146.399999999994</v>
      </c>
    </row>
    <row r="55" spans="1:27">
      <c r="A55" s="16">
        <v>54</v>
      </c>
      <c r="B55" s="21" t="s">
        <v>89</v>
      </c>
      <c r="C55" s="21" t="s">
        <v>82</v>
      </c>
      <c r="D55" s="13">
        <v>0.77600000000000002</v>
      </c>
      <c r="E55" s="14">
        <v>0.1414</v>
      </c>
      <c r="F55" s="14">
        <v>141.37700000000001</v>
      </c>
      <c r="G55" s="20" t="s">
        <v>70</v>
      </c>
      <c r="H55" s="13">
        <v>1.1499999999999999</v>
      </c>
      <c r="I55" s="13">
        <v>0.76890000000000003</v>
      </c>
      <c r="J55" s="13">
        <v>2.2999999999999998</v>
      </c>
      <c r="K55" s="14">
        <v>24.85</v>
      </c>
      <c r="L55" s="14">
        <v>208.4985835694051</v>
      </c>
      <c r="M55" s="17">
        <v>0.54965350877192987</v>
      </c>
      <c r="N55" s="17">
        <v>0.3108736842105263</v>
      </c>
      <c r="O55" s="17">
        <v>0.11683064428929472</v>
      </c>
      <c r="P55" s="17">
        <v>0.86052719298245617</v>
      </c>
      <c r="Q55" s="17">
        <v>1.7680927549972349</v>
      </c>
      <c r="R55" s="19">
        <v>7.3655948592702138</v>
      </c>
      <c r="S55" s="19">
        <v>1.7626999999999999</v>
      </c>
      <c r="T55" s="19">
        <v>45.348599999999998</v>
      </c>
      <c r="U55" s="19">
        <v>25.7273</v>
      </c>
      <c r="V55" s="19">
        <v>926.46880619406045</v>
      </c>
      <c r="W55" s="16">
        <v>132.91139240506328</v>
      </c>
      <c r="X55" s="13">
        <v>327892.40506329114</v>
      </c>
      <c r="Y55" s="16">
        <v>303.78208507908664</v>
      </c>
      <c r="Z55" s="16">
        <v>30.36</v>
      </c>
      <c r="AA55" s="16">
        <v>83816.2</v>
      </c>
    </row>
    <row r="56" spans="1:27">
      <c r="A56" s="16">
        <v>55</v>
      </c>
      <c r="B56" s="21" t="s">
        <v>89</v>
      </c>
      <c r="C56" s="21" t="s">
        <v>82</v>
      </c>
      <c r="D56" s="13">
        <v>0.76800000000000002</v>
      </c>
      <c r="E56" s="14">
        <v>0.17519999999999999</v>
      </c>
      <c r="F56" s="14">
        <v>138.35300000000001</v>
      </c>
      <c r="G56" s="14">
        <v>0.32</v>
      </c>
      <c r="H56" s="13">
        <v>1.24</v>
      </c>
      <c r="I56" s="13">
        <v>0.6875</v>
      </c>
      <c r="J56" s="13">
        <v>1.8</v>
      </c>
      <c r="K56" s="14">
        <v>21.11</v>
      </c>
      <c r="L56" s="14">
        <v>206.09318996415772</v>
      </c>
      <c r="M56" s="17">
        <v>0.57950048780487806</v>
      </c>
      <c r="N56" s="17">
        <v>0.24580682926829267</v>
      </c>
      <c r="O56" s="17">
        <v>0.15593124937780001</v>
      </c>
      <c r="P56" s="17">
        <v>0.82530731707317073</v>
      </c>
      <c r="Q56" s="17">
        <v>2.3575442941512672</v>
      </c>
      <c r="R56" s="19">
        <v>5.292764089086238</v>
      </c>
      <c r="S56" s="19">
        <v>1.5483</v>
      </c>
      <c r="T56" s="19">
        <v>44.995399999999997</v>
      </c>
      <c r="U56" s="19">
        <v>29.061900000000001</v>
      </c>
      <c r="V56" s="19">
        <v>859.83762671681927</v>
      </c>
      <c r="W56" s="16">
        <v>145.56962025316454</v>
      </c>
      <c r="X56" s="13">
        <v>302930.37974683539</v>
      </c>
      <c r="Y56" s="16">
        <v>260.47093878194374</v>
      </c>
      <c r="Z56" s="16">
        <v>25.24</v>
      </c>
      <c r="AA56" s="16">
        <v>69017.799999999988</v>
      </c>
    </row>
    <row r="57" spans="1:27">
      <c r="A57" s="16">
        <v>56</v>
      </c>
      <c r="B57" s="21" t="s">
        <v>89</v>
      </c>
      <c r="C57" s="21" t="s">
        <v>82</v>
      </c>
      <c r="D57" s="13"/>
      <c r="E57" s="14"/>
      <c r="F57" s="14"/>
      <c r="G57" s="14"/>
      <c r="H57" s="14"/>
      <c r="I57" s="14"/>
      <c r="J57" s="14"/>
      <c r="K57" s="16"/>
      <c r="L57" s="14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6"/>
      <c r="Z57" s="16"/>
      <c r="AA57" s="16"/>
    </row>
    <row r="58" spans="1:27">
      <c r="B58" s="2"/>
      <c r="C58" s="2"/>
      <c r="D58" s="2"/>
      <c r="E58" s="3"/>
      <c r="F58" s="3"/>
      <c r="G58" s="3"/>
      <c r="H58" s="2"/>
      <c r="I58" s="2"/>
      <c r="J58" s="2"/>
      <c r="K58" s="2"/>
      <c r="L58" s="3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1930F-7906-4114-A2DF-974D55DA2E86}">
  <dimension ref="A1:P58"/>
  <sheetViews>
    <sheetView workbookViewId="0">
      <selection activeCell="G1" sqref="G1"/>
    </sheetView>
  </sheetViews>
  <sheetFormatPr baseColWidth="10" defaultColWidth="8.83203125" defaultRowHeight="14"/>
  <sheetData>
    <row r="1" spans="1:16" ht="75">
      <c r="A1" s="23" t="s">
        <v>80</v>
      </c>
      <c r="B1" s="24" t="s">
        <v>79</v>
      </c>
      <c r="C1" s="24" t="s">
        <v>78</v>
      </c>
      <c r="D1" s="27" t="s">
        <v>99</v>
      </c>
      <c r="E1" s="27" t="s">
        <v>97</v>
      </c>
      <c r="F1" s="27" t="s">
        <v>100</v>
      </c>
      <c r="G1" s="29" t="s">
        <v>6</v>
      </c>
      <c r="H1" s="29" t="s">
        <v>10</v>
      </c>
      <c r="I1" s="34" t="s">
        <v>101</v>
      </c>
      <c r="J1" s="34" t="s">
        <v>102</v>
      </c>
      <c r="K1" s="31" t="s">
        <v>92</v>
      </c>
      <c r="L1" s="30" t="s">
        <v>13</v>
      </c>
      <c r="M1" s="30" t="s">
        <v>14</v>
      </c>
      <c r="N1" s="30" t="s">
        <v>15</v>
      </c>
      <c r="O1" s="32" t="s">
        <v>160</v>
      </c>
      <c r="P1" s="32" t="s">
        <v>96</v>
      </c>
    </row>
    <row r="2" spans="1:16">
      <c r="A2" s="16">
        <v>1</v>
      </c>
      <c r="B2" s="21" t="s">
        <v>83</v>
      </c>
      <c r="C2" s="21" t="s">
        <v>81</v>
      </c>
      <c r="D2" s="13">
        <v>0.89529999999999998</v>
      </c>
      <c r="E2" s="13">
        <v>2.4</v>
      </c>
      <c r="F2" s="22">
        <v>39.119999999999997</v>
      </c>
      <c r="G2" s="14">
        <v>491.82879377431908</v>
      </c>
      <c r="H2" s="17">
        <v>2.4570041002277905</v>
      </c>
      <c r="I2" s="17">
        <v>4.6318999999999999</v>
      </c>
      <c r="J2" s="17">
        <v>42.186799999999998</v>
      </c>
      <c r="K2" s="19">
        <v>375.36661453124924</v>
      </c>
      <c r="L2" s="16">
        <v>388.1856540084388</v>
      </c>
      <c r="M2" s="13">
        <v>1526734.1772151899</v>
      </c>
      <c r="N2" s="16">
        <v>573.08503939041816</v>
      </c>
      <c r="O2" s="16">
        <v>30.7</v>
      </c>
      <c r="P2" s="16">
        <v>122087.2</v>
      </c>
    </row>
    <row r="3" spans="1:16">
      <c r="A3" s="16">
        <v>2</v>
      </c>
      <c r="B3" s="21" t="s">
        <v>83</v>
      </c>
      <c r="C3" s="21" t="s">
        <v>81</v>
      </c>
      <c r="D3" s="13">
        <v>0.91190000000000004</v>
      </c>
      <c r="E3" s="13">
        <v>2.1</v>
      </c>
      <c r="F3" s="22">
        <v>38.79</v>
      </c>
      <c r="G3" s="14">
        <v>430.50847457627123</v>
      </c>
      <c r="H3" s="17">
        <v>2.2493134615384616</v>
      </c>
      <c r="I3" s="17">
        <v>4.5298999999999996</v>
      </c>
      <c r="J3" s="17">
        <v>42.296700000000001</v>
      </c>
      <c r="K3" s="19">
        <v>414.46899022963061</v>
      </c>
      <c r="L3" s="16">
        <v>407.17299578059067</v>
      </c>
      <c r="M3" s="13">
        <v>1578609.7046413501</v>
      </c>
      <c r="N3" s="16">
        <v>654.28477024939571</v>
      </c>
      <c r="O3" s="16">
        <v>29.52</v>
      </c>
      <c r="P3" s="16">
        <v>105054.29999999999</v>
      </c>
    </row>
    <row r="4" spans="1:16">
      <c r="A4" s="16">
        <v>3</v>
      </c>
      <c r="B4" s="21" t="s">
        <v>83</v>
      </c>
      <c r="C4" s="21" t="s">
        <v>81</v>
      </c>
      <c r="D4" s="13">
        <v>1.0931</v>
      </c>
      <c r="E4" s="13">
        <v>2.4</v>
      </c>
      <c r="F4" s="22">
        <v>48.73</v>
      </c>
      <c r="G4" s="14">
        <v>441.89315838800371</v>
      </c>
      <c r="H4" s="17">
        <v>2.1680489795918367</v>
      </c>
      <c r="I4" s="17">
        <v>4.5948000000000002</v>
      </c>
      <c r="J4" s="17">
        <v>42.265500000000003</v>
      </c>
      <c r="K4" s="19">
        <v>382.86781377314878</v>
      </c>
      <c r="L4" s="16">
        <v>358.64978902953584</v>
      </c>
      <c r="M4" s="13">
        <v>1758101.2658227845</v>
      </c>
      <c r="N4" s="16">
        <v>673.12038803737494</v>
      </c>
      <c r="O4" s="16">
        <v>32.14</v>
      </c>
      <c r="P4" s="16">
        <v>127768.2</v>
      </c>
    </row>
    <row r="5" spans="1:16">
      <c r="A5" s="16">
        <v>4</v>
      </c>
      <c r="B5" s="21" t="s">
        <v>83</v>
      </c>
      <c r="C5" s="21" t="s">
        <v>81</v>
      </c>
      <c r="D5" s="13"/>
      <c r="E5" s="13"/>
      <c r="F5" s="22">
        <v>46.76</v>
      </c>
      <c r="G5" s="14">
        <v>396.67541557305339</v>
      </c>
      <c r="H5" s="17">
        <v>1.3571362318840581</v>
      </c>
      <c r="I5" s="17">
        <v>4.9249000000000001</v>
      </c>
      <c r="J5" s="17">
        <v>42.754899999999999</v>
      </c>
      <c r="K5" s="19">
        <v>383.47260539351953</v>
      </c>
      <c r="L5" s="16">
        <v>343.88185654008441</v>
      </c>
      <c r="M5" s="13">
        <v>1575666.6666666667</v>
      </c>
      <c r="N5" s="16">
        <v>604.225001898389</v>
      </c>
      <c r="O5" s="16"/>
      <c r="P5" s="16"/>
    </row>
    <row r="6" spans="1:16">
      <c r="A6" s="16">
        <v>5</v>
      </c>
      <c r="B6" s="21" t="s">
        <v>84</v>
      </c>
      <c r="C6" s="21" t="s">
        <v>81</v>
      </c>
      <c r="D6" s="13">
        <v>1.1022000000000001</v>
      </c>
      <c r="E6" s="13">
        <v>3.3</v>
      </c>
      <c r="F6" s="22">
        <v>71.45</v>
      </c>
      <c r="G6" s="14">
        <v>739.2655367231639</v>
      </c>
      <c r="H6" s="17">
        <v>1.2358708520179373</v>
      </c>
      <c r="I6" s="17">
        <v>4.7037000000000004</v>
      </c>
      <c r="J6" s="17">
        <v>40.951799999999999</v>
      </c>
      <c r="K6" s="19">
        <v>263.05187206990684</v>
      </c>
      <c r="L6" s="16">
        <v>367.08860759493672</v>
      </c>
      <c r="M6" s="13">
        <v>2663962.0253164554</v>
      </c>
      <c r="N6" s="16">
        <v>700.76019788263409</v>
      </c>
      <c r="O6" s="16">
        <v>26.66</v>
      </c>
      <c r="P6" s="16">
        <v>104616.50000000001</v>
      </c>
    </row>
    <row r="7" spans="1:16">
      <c r="A7" s="16">
        <v>6</v>
      </c>
      <c r="B7" s="21" t="s">
        <v>84</v>
      </c>
      <c r="C7" s="21" t="s">
        <v>81</v>
      </c>
      <c r="D7" s="13">
        <v>1.0491999999999999</v>
      </c>
      <c r="E7" s="13">
        <v>4.3</v>
      </c>
      <c r="F7" s="22">
        <v>122.66</v>
      </c>
      <c r="G7" s="14">
        <v>687.21518987341767</v>
      </c>
      <c r="H7" s="17">
        <v>1.0863082251082252</v>
      </c>
      <c r="I7" s="17">
        <v>4.3464999999999998</v>
      </c>
      <c r="J7" s="17">
        <v>39.881900000000002</v>
      </c>
      <c r="K7" s="19">
        <v>300.48401864120359</v>
      </c>
      <c r="L7" s="16">
        <v>291.13924050632909</v>
      </c>
      <c r="M7" s="13">
        <v>3529189.8734177207</v>
      </c>
      <c r="N7" s="16">
        <v>1060.4651557123973</v>
      </c>
      <c r="O7" s="16">
        <v>30.36</v>
      </c>
      <c r="P7" s="16">
        <v>128025.59999999999</v>
      </c>
    </row>
    <row r="8" spans="1:16">
      <c r="A8" s="16">
        <v>7</v>
      </c>
      <c r="B8" s="21" t="s">
        <v>84</v>
      </c>
      <c r="C8" s="21" t="s">
        <v>81</v>
      </c>
      <c r="D8" s="13">
        <v>1.1392</v>
      </c>
      <c r="E8" s="13">
        <v>5.0999999999999996</v>
      </c>
      <c r="F8" s="22">
        <v>121.52</v>
      </c>
      <c r="G8" s="14">
        <v>692.89871944121069</v>
      </c>
      <c r="H8" s="17">
        <v>0.91626597510373442</v>
      </c>
      <c r="I8" s="17">
        <v>5.1504000000000003</v>
      </c>
      <c r="J8" s="17">
        <v>41.387599999999999</v>
      </c>
      <c r="K8" s="19">
        <v>262.57943784583398</v>
      </c>
      <c r="L8" s="16">
        <v>343.88185654008441</v>
      </c>
      <c r="M8" s="13">
        <v>4212208.8607594939</v>
      </c>
      <c r="N8" s="16">
        <v>1106.0394347474687</v>
      </c>
      <c r="O8" s="16">
        <v>29</v>
      </c>
      <c r="P8" s="16">
        <v>149044.1</v>
      </c>
    </row>
    <row r="9" spans="1:16">
      <c r="A9" s="16">
        <v>8</v>
      </c>
      <c r="B9" s="21" t="s">
        <v>84</v>
      </c>
      <c r="C9" s="21" t="s">
        <v>81</v>
      </c>
      <c r="D9" s="13"/>
      <c r="E9" s="13"/>
      <c r="F9" s="22">
        <v>80.77</v>
      </c>
      <c r="G9" s="14">
        <v>700.70609002647836</v>
      </c>
      <c r="H9" s="17">
        <v>1.3004009779951102</v>
      </c>
      <c r="I9" s="17">
        <v>4.5052000000000003</v>
      </c>
      <c r="J9" s="17">
        <v>39.976100000000002</v>
      </c>
      <c r="K9" s="19">
        <v>333.66086408178995</v>
      </c>
      <c r="L9" s="16">
        <v>348.1012658227848</v>
      </c>
      <c r="M9" s="13">
        <v>2788639.2405063286</v>
      </c>
      <c r="N9" s="16">
        <v>930.45977859972811</v>
      </c>
      <c r="O9" s="16"/>
      <c r="P9" s="16"/>
    </row>
    <row r="10" spans="1:16">
      <c r="A10" s="16">
        <v>9</v>
      </c>
      <c r="B10" s="21" t="s">
        <v>85</v>
      </c>
      <c r="C10" s="21" t="s">
        <v>81</v>
      </c>
      <c r="D10" s="13">
        <v>0.91639999999999999</v>
      </c>
      <c r="E10" s="13">
        <v>3.1</v>
      </c>
      <c r="F10" s="22">
        <v>42.1</v>
      </c>
      <c r="G10" s="14">
        <v>520.51983584131324</v>
      </c>
      <c r="H10" s="17">
        <v>1.9896796068796068</v>
      </c>
      <c r="I10" s="17">
        <v>6.2866999999999997</v>
      </c>
      <c r="J10" s="17">
        <v>42.282600000000002</v>
      </c>
      <c r="K10" s="19">
        <v>305.20205151713049</v>
      </c>
      <c r="L10" s="16">
        <v>415.6118143459916</v>
      </c>
      <c r="M10" s="13">
        <v>1713567.5105485232</v>
      </c>
      <c r="N10" s="16">
        <v>522.9843196325113</v>
      </c>
      <c r="O10" s="16">
        <v>25</v>
      </c>
      <c r="P10" s="16">
        <v>100728.29999999999</v>
      </c>
    </row>
    <row r="11" spans="1:16">
      <c r="A11" s="16">
        <v>10</v>
      </c>
      <c r="B11" s="21" t="s">
        <v>85</v>
      </c>
      <c r="C11" s="21" t="s">
        <v>81</v>
      </c>
      <c r="D11" s="13">
        <v>0.94769999999999999</v>
      </c>
      <c r="E11" s="13">
        <v>2.2999999999999998</v>
      </c>
      <c r="F11" s="22">
        <v>34.19</v>
      </c>
      <c r="G11" s="14">
        <v>596.43527204502811</v>
      </c>
      <c r="H11" s="17">
        <v>2.1387501030927836</v>
      </c>
      <c r="I11" s="17">
        <v>5.3413000000000004</v>
      </c>
      <c r="J11" s="17">
        <v>42.405099999999997</v>
      </c>
      <c r="K11" s="19">
        <v>302.67596318996885</v>
      </c>
      <c r="L11" s="16">
        <v>426.16033755274259</v>
      </c>
      <c r="M11" s="13">
        <v>1445109.7046413498</v>
      </c>
      <c r="N11" s="16">
        <v>437.39997176749199</v>
      </c>
      <c r="O11" s="16">
        <v>26.68</v>
      </c>
      <c r="P11" s="16">
        <v>80991.199999999997</v>
      </c>
    </row>
    <row r="12" spans="1:16">
      <c r="A12" s="16">
        <v>11</v>
      </c>
      <c r="B12" s="21" t="s">
        <v>85</v>
      </c>
      <c r="C12" s="21" t="s">
        <v>81</v>
      </c>
      <c r="D12" s="13">
        <v>0.78220000000000001</v>
      </c>
      <c r="E12" s="13">
        <v>2.2999999999999998</v>
      </c>
      <c r="F12" s="14">
        <v>40.22</v>
      </c>
      <c r="G12" s="14">
        <v>659.58904109589048</v>
      </c>
      <c r="H12" s="17">
        <v>1.9035949579831932</v>
      </c>
      <c r="I12" s="17">
        <v>6.2641</v>
      </c>
      <c r="J12" s="17">
        <v>41.972499999999997</v>
      </c>
      <c r="K12" s="19">
        <v>282.8592881651237</v>
      </c>
      <c r="L12" s="16">
        <v>383.96624472573836</v>
      </c>
      <c r="M12" s="13">
        <v>1551991.5611814347</v>
      </c>
      <c r="N12" s="16">
        <v>438.9952282340596</v>
      </c>
      <c r="O12" s="16">
        <v>28.4</v>
      </c>
      <c r="P12" s="16">
        <v>76809.2</v>
      </c>
    </row>
    <row r="13" spans="1:16">
      <c r="A13" s="16">
        <v>12</v>
      </c>
      <c r="B13" s="21" t="s">
        <v>85</v>
      </c>
      <c r="C13" s="21" t="s">
        <v>81</v>
      </c>
      <c r="D13" s="13"/>
      <c r="E13" s="13"/>
      <c r="F13" s="14">
        <v>33.159999999999997</v>
      </c>
      <c r="G13" s="14">
        <v>628.48722986247537</v>
      </c>
      <c r="H13" s="17">
        <v>1.580519733924612</v>
      </c>
      <c r="I13" s="17">
        <v>4.5000999999999998</v>
      </c>
      <c r="J13" s="17">
        <v>40.683799999999998</v>
      </c>
      <c r="K13" s="19">
        <v>303.05159506635766</v>
      </c>
      <c r="L13" s="16">
        <v>354.43037974683546</v>
      </c>
      <c r="M13" s="13">
        <v>1179898.7341772153</v>
      </c>
      <c r="N13" s="16">
        <v>357.5701934091814</v>
      </c>
      <c r="O13" s="16"/>
      <c r="P13" s="16"/>
    </row>
    <row r="14" spans="1:16">
      <c r="A14" s="16">
        <v>13</v>
      </c>
      <c r="B14" s="21" t="s">
        <v>86</v>
      </c>
      <c r="C14" s="21" t="s">
        <v>81</v>
      </c>
      <c r="D14" s="13">
        <v>2.411</v>
      </c>
      <c r="E14" s="13">
        <v>22.4</v>
      </c>
      <c r="F14" s="14">
        <v>226.86</v>
      </c>
      <c r="G14" s="14">
        <v>318.66618339978254</v>
      </c>
      <c r="H14" s="17">
        <v>0.93978047722342728</v>
      </c>
      <c r="I14" s="17">
        <v>4.4669999999999996</v>
      </c>
      <c r="J14" s="17">
        <v>39.922499999999999</v>
      </c>
      <c r="K14" s="19">
        <v>438.5033113888876</v>
      </c>
      <c r="L14" s="16">
        <v>324.89451476793249</v>
      </c>
      <c r="M14" s="13">
        <v>7262691.9831223628</v>
      </c>
      <c r="N14" s="16">
        <v>3184.7144841966829</v>
      </c>
      <c r="O14" s="16">
        <v>34.92</v>
      </c>
      <c r="P14" s="16">
        <v>747043.49999999988</v>
      </c>
    </row>
    <row r="15" spans="1:16">
      <c r="A15" s="16">
        <v>14</v>
      </c>
      <c r="B15" s="21" t="s">
        <v>86</v>
      </c>
      <c r="C15" s="21" t="s">
        <v>81</v>
      </c>
      <c r="D15" s="13">
        <v>2.4895</v>
      </c>
      <c r="E15" s="13">
        <v>25.1</v>
      </c>
      <c r="F15" s="14">
        <v>389.51</v>
      </c>
      <c r="G15" s="14">
        <v>321.152030217186</v>
      </c>
      <c r="H15" s="17">
        <v>0.98835982142857159</v>
      </c>
      <c r="I15" s="17">
        <v>3.7913000000000001</v>
      </c>
      <c r="J15" s="17">
        <v>39.721600000000002</v>
      </c>
      <c r="K15" s="19">
        <v>420.70469659251455</v>
      </c>
      <c r="L15" s="16">
        <v>253.1645569620253</v>
      </c>
      <c r="M15" s="13">
        <v>9791139.2405063286</v>
      </c>
      <c r="N15" s="16">
        <v>4119.1782634722776</v>
      </c>
      <c r="O15" s="16">
        <v>37.5</v>
      </c>
      <c r="P15" s="16">
        <v>729030.5</v>
      </c>
    </row>
    <row r="16" spans="1:16">
      <c r="A16" s="16">
        <v>15</v>
      </c>
      <c r="B16" s="21" t="s">
        <v>86</v>
      </c>
      <c r="C16" s="21" t="s">
        <v>81</v>
      </c>
      <c r="D16" s="13">
        <v>3.4407999999999999</v>
      </c>
      <c r="E16" s="13">
        <v>46.8</v>
      </c>
      <c r="F16" s="14">
        <v>783.73</v>
      </c>
      <c r="G16" s="14">
        <v>250.2222222222222</v>
      </c>
      <c r="H16" s="17">
        <v>0.81900900900900897</v>
      </c>
      <c r="I16" s="17">
        <v>3.0491999999999999</v>
      </c>
      <c r="J16" s="17">
        <v>41.022399999999998</v>
      </c>
      <c r="K16" s="19">
        <v>524.30014969097078</v>
      </c>
      <c r="L16" s="16">
        <v>255.27426160337555</v>
      </c>
      <c r="M16" s="13">
        <v>45480683.544303805</v>
      </c>
      <c r="N16" s="16">
        <v>23845.529190326157</v>
      </c>
      <c r="O16" s="16">
        <v>43.78</v>
      </c>
      <c r="P16" s="16">
        <v>1591336.7</v>
      </c>
    </row>
    <row r="17" spans="1:16">
      <c r="A17" s="16">
        <v>16</v>
      </c>
      <c r="B17" s="21" t="s">
        <v>86</v>
      </c>
      <c r="C17" s="21" t="s">
        <v>81</v>
      </c>
      <c r="D17" s="13"/>
      <c r="E17" s="13"/>
      <c r="F17" s="14">
        <v>479.89</v>
      </c>
      <c r="G17" s="14">
        <v>359.05915230554263</v>
      </c>
      <c r="H17" s="17">
        <v>0.76706636771300452</v>
      </c>
      <c r="I17" s="17">
        <v>4.2354000000000003</v>
      </c>
      <c r="J17" s="17">
        <v>41.557899999999997</v>
      </c>
      <c r="K17" s="19">
        <v>446.35318152469137</v>
      </c>
      <c r="L17" s="16">
        <v>303.79746835443035</v>
      </c>
      <c r="M17" s="13">
        <v>14756354.430379745</v>
      </c>
      <c r="N17" s="16">
        <v>6586.5457477059736</v>
      </c>
      <c r="O17" s="16"/>
      <c r="P17" s="16"/>
    </row>
    <row r="18" spans="1:16">
      <c r="A18" s="16">
        <v>17</v>
      </c>
      <c r="B18" s="21" t="s">
        <v>87</v>
      </c>
      <c r="C18" s="21" t="s">
        <v>81</v>
      </c>
      <c r="D18" s="13">
        <v>1.0851999999999999</v>
      </c>
      <c r="E18" s="13">
        <v>6.8</v>
      </c>
      <c r="F18" s="14">
        <v>95.51</v>
      </c>
      <c r="G18" s="14">
        <v>536.22597553873038</v>
      </c>
      <c r="H18" s="17">
        <v>1.3720681922196798</v>
      </c>
      <c r="I18" s="17">
        <v>5.0416999999999996</v>
      </c>
      <c r="J18" s="17">
        <v>43.844099999999997</v>
      </c>
      <c r="K18" s="19">
        <v>294.03104881562479</v>
      </c>
      <c r="L18" s="16">
        <v>500</v>
      </c>
      <c r="M18" s="13">
        <v>4748000</v>
      </c>
      <c r="N18" s="16">
        <v>1396.0594197765865</v>
      </c>
      <c r="O18" s="16">
        <v>33.92</v>
      </c>
      <c r="P18" s="16">
        <v>280037.5</v>
      </c>
    </row>
    <row r="19" spans="1:16">
      <c r="A19" s="16">
        <v>18</v>
      </c>
      <c r="B19" s="21" t="s">
        <v>87</v>
      </c>
      <c r="C19" s="21" t="s">
        <v>81</v>
      </c>
      <c r="D19" s="13">
        <v>0.96330000000000005</v>
      </c>
      <c r="E19" s="13">
        <v>5.4</v>
      </c>
      <c r="F19" s="14">
        <v>91.75</v>
      </c>
      <c r="G19" s="14">
        <v>559.08233815210565</v>
      </c>
      <c r="H19" s="17">
        <v>1.4215493333333336</v>
      </c>
      <c r="I19" s="17">
        <v>5.2042999999999999</v>
      </c>
      <c r="J19" s="17">
        <v>44.1556</v>
      </c>
      <c r="K19" s="19">
        <v>292.65535998070914</v>
      </c>
      <c r="L19" s="16">
        <v>510.5485232067511</v>
      </c>
      <c r="M19" s="13">
        <v>4642417.7215189887</v>
      </c>
      <c r="N19" s="16">
        <v>1358.628429471963</v>
      </c>
      <c r="O19" s="16">
        <v>32.36</v>
      </c>
      <c r="P19" s="16">
        <v>229699.89999999997</v>
      </c>
    </row>
    <row r="20" spans="1:16">
      <c r="A20" s="16">
        <v>19</v>
      </c>
      <c r="B20" s="21" t="s">
        <v>87</v>
      </c>
      <c r="C20" s="21" t="s">
        <v>81</v>
      </c>
      <c r="D20" s="13">
        <v>1.1660999999999999</v>
      </c>
      <c r="E20" s="13">
        <v>7.3</v>
      </c>
      <c r="F20" s="14">
        <v>131.91999999999999</v>
      </c>
      <c r="G20" s="14">
        <v>520.78494193031634</v>
      </c>
      <c r="H20" s="17">
        <v>1.3620064102564102</v>
      </c>
      <c r="I20" s="17">
        <v>4.2117000000000004</v>
      </c>
      <c r="J20" s="17">
        <v>39.249200000000002</v>
      </c>
      <c r="K20" s="19">
        <v>355.83773602469256</v>
      </c>
      <c r="L20" s="16">
        <v>341.77215189873419</v>
      </c>
      <c r="M20" s="13">
        <v>4537367.0886075944</v>
      </c>
      <c r="N20" s="16">
        <v>1614.5664323230769</v>
      </c>
      <c r="O20" s="16">
        <v>32.54</v>
      </c>
      <c r="P20" s="16">
        <v>276242.10000000003</v>
      </c>
    </row>
    <row r="21" spans="1:16">
      <c r="A21" s="16">
        <v>20</v>
      </c>
      <c r="B21" s="21" t="s">
        <v>87</v>
      </c>
      <c r="C21" s="21" t="s">
        <v>81</v>
      </c>
      <c r="D21" s="13"/>
      <c r="E21" s="13"/>
      <c r="F21" s="14">
        <v>105.55</v>
      </c>
      <c r="G21" s="14">
        <v>522.07274539113109</v>
      </c>
      <c r="H21" s="17">
        <v>1.4091712230215825</v>
      </c>
      <c r="I21" s="17">
        <v>4.7995999999999999</v>
      </c>
      <c r="J21" s="17">
        <v>40.815899999999999</v>
      </c>
      <c r="K21" s="19">
        <v>345.77935112885956</v>
      </c>
      <c r="L21" s="16">
        <v>402.95358649789029</v>
      </c>
      <c r="M21" s="13">
        <v>4350286.9198312238</v>
      </c>
      <c r="N21" s="16">
        <v>1504.2393883636057</v>
      </c>
      <c r="O21" s="16"/>
      <c r="P21" s="16"/>
    </row>
    <row r="22" spans="1:16">
      <c r="A22" s="16">
        <v>21</v>
      </c>
      <c r="B22" s="21" t="s">
        <v>88</v>
      </c>
      <c r="C22" s="21" t="s">
        <v>81</v>
      </c>
      <c r="D22" s="13">
        <v>1.8541000000000001</v>
      </c>
      <c r="E22" s="13">
        <v>14.2</v>
      </c>
      <c r="F22" s="14">
        <v>68.94</v>
      </c>
      <c r="G22" s="14">
        <v>158.15948527978165</v>
      </c>
      <c r="H22" s="17">
        <v>0.67460048899755498</v>
      </c>
      <c r="I22" s="17">
        <v>1.915</v>
      </c>
      <c r="J22" s="17">
        <v>37.806800000000003</v>
      </c>
      <c r="K22" s="19">
        <v>434.22849752044868</v>
      </c>
      <c r="L22" s="16">
        <v>234.17721518987341</v>
      </c>
      <c r="M22" s="13">
        <v>1630810.1265822784</v>
      </c>
      <c r="N22" s="16">
        <v>708.14423100695547</v>
      </c>
      <c r="O22" s="16">
        <v>33.479999999999997</v>
      </c>
      <c r="P22" s="16">
        <v>273536.10000000003</v>
      </c>
    </row>
    <row r="23" spans="1:16">
      <c r="A23" s="16">
        <v>22</v>
      </c>
      <c r="B23" s="21" t="s">
        <v>88</v>
      </c>
      <c r="C23" s="21" t="s">
        <v>81</v>
      </c>
      <c r="D23" s="13">
        <v>1.6528</v>
      </c>
      <c r="E23" s="13">
        <v>12.9</v>
      </c>
      <c r="F23" s="14">
        <v>81.91</v>
      </c>
      <c r="G23" s="14">
        <v>186.40875025319019</v>
      </c>
      <c r="H23" s="17">
        <v>0.55427861507128307</v>
      </c>
      <c r="I23" s="17">
        <v>2.1318000000000001</v>
      </c>
      <c r="J23" s="17">
        <v>40.010800000000003</v>
      </c>
      <c r="K23" s="19">
        <v>399.82824635802467</v>
      </c>
      <c r="L23" s="16">
        <v>257.38396624472574</v>
      </c>
      <c r="M23" s="13">
        <v>2098194.0928270039</v>
      </c>
      <c r="N23" s="16">
        <v>838.91726465378736</v>
      </c>
      <c r="O23" s="16">
        <v>30.8</v>
      </c>
      <c r="P23" s="16">
        <v>250709.1</v>
      </c>
    </row>
    <row r="24" spans="1:16">
      <c r="A24" s="16">
        <v>23</v>
      </c>
      <c r="B24" s="21" t="s">
        <v>88</v>
      </c>
      <c r="C24" s="21" t="s">
        <v>81</v>
      </c>
      <c r="D24" s="13">
        <v>1.5181</v>
      </c>
      <c r="E24" s="13">
        <v>14.2</v>
      </c>
      <c r="F24" s="14">
        <v>70.930000000000007</v>
      </c>
      <c r="G24" s="14">
        <v>182.90498442367604</v>
      </c>
      <c r="H24" s="17">
        <v>0.52569768421052632</v>
      </c>
      <c r="I24" s="17">
        <v>2.5070999999999999</v>
      </c>
      <c r="J24" s="17">
        <v>38.4694</v>
      </c>
      <c r="K24" s="19">
        <v>357.50866226327099</v>
      </c>
      <c r="L24" s="16">
        <v>181.43459915611814</v>
      </c>
      <c r="M24" s="13">
        <v>1302337.552742616</v>
      </c>
      <c r="N24" s="16">
        <v>465.59695629623479</v>
      </c>
      <c r="O24" s="16">
        <v>28.26</v>
      </c>
      <c r="P24" s="16">
        <v>326549.40000000002</v>
      </c>
    </row>
    <row r="25" spans="1:16">
      <c r="A25" s="16">
        <v>24</v>
      </c>
      <c r="B25" s="21" t="s">
        <v>88</v>
      </c>
      <c r="C25" s="21" t="s">
        <v>81</v>
      </c>
      <c r="D25" s="13"/>
      <c r="E25" s="13"/>
      <c r="F25" s="14">
        <v>32.51</v>
      </c>
      <c r="G25" s="14">
        <v>248.42396951853132</v>
      </c>
      <c r="H25" s="17">
        <v>0.62496568627450977</v>
      </c>
      <c r="I25" s="17">
        <v>3.5607000000000002</v>
      </c>
      <c r="J25" s="17">
        <v>42.505299999999998</v>
      </c>
      <c r="K25" s="19">
        <v>374.15586661944371</v>
      </c>
      <c r="L25" s="16">
        <v>227.84810126582278</v>
      </c>
      <c r="M25" s="13">
        <v>741189.8734177216</v>
      </c>
      <c r="N25" s="16">
        <v>277.32053941816338</v>
      </c>
      <c r="O25" s="16"/>
      <c r="P25" s="16"/>
    </row>
    <row r="26" spans="1:16">
      <c r="A26" s="16">
        <v>25</v>
      </c>
      <c r="B26" s="21" t="s">
        <v>89</v>
      </c>
      <c r="C26" s="21" t="s">
        <v>81</v>
      </c>
      <c r="D26" s="13">
        <v>0.56269999999999998</v>
      </c>
      <c r="E26" s="13">
        <v>1.2</v>
      </c>
      <c r="F26" s="14">
        <v>21.9</v>
      </c>
      <c r="G26" s="14">
        <v>381.94789081885853</v>
      </c>
      <c r="H26" s="17">
        <v>1.6734825531914894</v>
      </c>
      <c r="I26" s="17">
        <v>4.0875000000000004</v>
      </c>
      <c r="J26" s="17">
        <v>43.886499999999998</v>
      </c>
      <c r="K26" s="19">
        <v>786.89447611573951</v>
      </c>
      <c r="L26" s="16">
        <v>145.56962025316454</v>
      </c>
      <c r="M26" s="13">
        <v>308898.73417721514</v>
      </c>
      <c r="N26" s="16">
        <v>243.07070760319476</v>
      </c>
      <c r="O26" s="16">
        <v>27.3</v>
      </c>
      <c r="P26" s="16">
        <v>40475.599999999999</v>
      </c>
    </row>
    <row r="27" spans="1:16">
      <c r="A27" s="16">
        <v>26</v>
      </c>
      <c r="B27" s="21" t="s">
        <v>89</v>
      </c>
      <c r="C27" s="21" t="s">
        <v>81</v>
      </c>
      <c r="D27" s="13">
        <v>0.62860000000000005</v>
      </c>
      <c r="E27" s="13">
        <v>1.5</v>
      </c>
      <c r="F27" s="14">
        <v>24.48</v>
      </c>
      <c r="G27" s="14">
        <v>380.4030576789437</v>
      </c>
      <c r="H27" s="17">
        <v>1.7089567451820129</v>
      </c>
      <c r="I27" s="17">
        <v>4.2465000000000002</v>
      </c>
      <c r="J27" s="17">
        <v>44.188699999999997</v>
      </c>
      <c r="K27" s="19">
        <v>693.84195858796238</v>
      </c>
      <c r="L27" s="16">
        <v>187.76371308016877</v>
      </c>
      <c r="M27" s="13">
        <v>452135.02109704644</v>
      </c>
      <c r="N27" s="16">
        <v>313.7102485841844</v>
      </c>
      <c r="O27" s="16">
        <v>33.700000000000003</v>
      </c>
      <c r="P27" s="16">
        <v>54659</v>
      </c>
    </row>
    <row r="28" spans="1:16">
      <c r="A28" s="16">
        <v>27</v>
      </c>
      <c r="B28" s="21" t="s">
        <v>89</v>
      </c>
      <c r="C28" s="21" t="s">
        <v>81</v>
      </c>
      <c r="D28" s="13">
        <v>0.68969999999999998</v>
      </c>
      <c r="E28" s="13">
        <v>1.7</v>
      </c>
      <c r="F28" s="14">
        <v>28.81</v>
      </c>
      <c r="G28" s="14">
        <v>375.52447552447552</v>
      </c>
      <c r="H28" s="17">
        <v>1.2139334963325186</v>
      </c>
      <c r="I28" s="17">
        <v>4.0816999999999997</v>
      </c>
      <c r="J28" s="17">
        <v>44.621499999999997</v>
      </c>
      <c r="K28" s="19">
        <v>775.66691518788582</v>
      </c>
      <c r="L28" s="16">
        <v>141.35021097046413</v>
      </c>
      <c r="M28" s="13">
        <v>404544.30379746837</v>
      </c>
      <c r="N28" s="16">
        <v>313.79163218341318</v>
      </c>
      <c r="O28" s="16">
        <v>30.98</v>
      </c>
      <c r="P28" s="16">
        <v>54064.1</v>
      </c>
    </row>
    <row r="29" spans="1:16">
      <c r="A29" s="16">
        <v>28</v>
      </c>
      <c r="B29" s="21" t="s">
        <v>89</v>
      </c>
      <c r="C29" s="21" t="s">
        <v>81</v>
      </c>
      <c r="D29" s="13"/>
      <c r="E29" s="13"/>
      <c r="F29" s="14">
        <v>27.52</v>
      </c>
      <c r="G29" s="14">
        <v>340.5115089514066</v>
      </c>
      <c r="H29" s="17">
        <v>1.3026367346938774</v>
      </c>
      <c r="I29" s="17">
        <v>4.3144</v>
      </c>
      <c r="J29" s="17">
        <v>44.783299999999997</v>
      </c>
      <c r="K29" s="19">
        <v>684.92819502106511</v>
      </c>
      <c r="L29" s="16">
        <v>160.33755274261603</v>
      </c>
      <c r="M29" s="13">
        <v>437080.16877637128</v>
      </c>
      <c r="N29" s="16">
        <v>299.36853107950247</v>
      </c>
      <c r="O29" s="16"/>
      <c r="P29" s="16"/>
    </row>
    <row r="30" spans="1:16">
      <c r="A30" s="16">
        <v>29</v>
      </c>
      <c r="B30" s="21" t="s">
        <v>83</v>
      </c>
      <c r="C30" s="21" t="s">
        <v>82</v>
      </c>
      <c r="D30" s="13">
        <v>0.85370000000000001</v>
      </c>
      <c r="E30" s="13">
        <v>2.2000000000000002</v>
      </c>
      <c r="F30" s="14">
        <v>22.82</v>
      </c>
      <c r="G30" s="14">
        <v>250.62429057888761</v>
      </c>
      <c r="H30" s="17">
        <v>0.99037320574162691</v>
      </c>
      <c r="I30" s="17">
        <v>2.0630999999999999</v>
      </c>
      <c r="J30" s="17">
        <v>42.668300000000002</v>
      </c>
      <c r="K30" s="19">
        <v>360.93558774652757</v>
      </c>
      <c r="L30" s="16">
        <v>609.70464135021098</v>
      </c>
      <c r="M30" s="13">
        <v>1393175.1054852323</v>
      </c>
      <c r="N30" s="16">
        <v>502.84647553214285</v>
      </c>
      <c r="O30" s="16">
        <v>38.119999999999997</v>
      </c>
      <c r="P30" s="16">
        <v>96733.10000000002</v>
      </c>
    </row>
    <row r="31" spans="1:16">
      <c r="A31" s="16">
        <v>30</v>
      </c>
      <c r="B31" s="21" t="s">
        <v>83</v>
      </c>
      <c r="C31" s="21" t="s">
        <v>82</v>
      </c>
      <c r="D31" s="13">
        <v>1.0925</v>
      </c>
      <c r="E31" s="13">
        <v>2.2999999999999998</v>
      </c>
      <c r="F31" s="14">
        <v>26</v>
      </c>
      <c r="G31" s="14">
        <v>217.09251101321587</v>
      </c>
      <c r="H31" s="17">
        <v>0.75021431670282002</v>
      </c>
      <c r="I31" s="17">
        <v>2.1465999999999998</v>
      </c>
      <c r="J31" s="17">
        <v>43.014499999999998</v>
      </c>
      <c r="K31" s="19">
        <v>371.64534699861082</v>
      </c>
      <c r="L31" s="16">
        <v>529.53586497890296</v>
      </c>
      <c r="M31" s="13">
        <v>1340784.8101265824</v>
      </c>
      <c r="N31" s="16">
        <v>498.29643600996019</v>
      </c>
      <c r="O31" s="16">
        <v>28.8</v>
      </c>
      <c r="P31" s="16">
        <v>104905.20000000001</v>
      </c>
    </row>
    <row r="32" spans="1:16">
      <c r="A32" s="16">
        <v>31</v>
      </c>
      <c r="B32" s="21" t="s">
        <v>83</v>
      </c>
      <c r="C32" s="21" t="s">
        <v>82</v>
      </c>
      <c r="D32" s="13">
        <v>1.1149</v>
      </c>
      <c r="E32" s="13">
        <v>2.2999999999999998</v>
      </c>
      <c r="F32" s="14">
        <v>23.26</v>
      </c>
      <c r="G32" s="14">
        <v>236.83640303358615</v>
      </c>
      <c r="H32" s="17">
        <v>0.95439657387580301</v>
      </c>
      <c r="I32" s="17">
        <v>3.0190000000000001</v>
      </c>
      <c r="J32" s="17">
        <v>43.382599999999996</v>
      </c>
      <c r="K32" s="19">
        <v>388.48929435416738</v>
      </c>
      <c r="L32" s="16">
        <v>607.5949367088607</v>
      </c>
      <c r="M32" s="13">
        <v>1420556.9620253162</v>
      </c>
      <c r="N32" s="16">
        <v>551.8711717671149</v>
      </c>
      <c r="O32" s="16">
        <v>36.18</v>
      </c>
      <c r="P32" s="16">
        <v>112462.89999999998</v>
      </c>
    </row>
    <row r="33" spans="1:16">
      <c r="A33" s="16">
        <v>32</v>
      </c>
      <c r="B33" s="21" t="s">
        <v>83</v>
      </c>
      <c r="C33" s="21" t="s">
        <v>82</v>
      </c>
      <c r="D33" s="13"/>
      <c r="E33" s="13"/>
      <c r="F33" s="14">
        <v>23.8</v>
      </c>
      <c r="G33" s="14">
        <v>200.26315789473682</v>
      </c>
      <c r="H33" s="17">
        <v>1.2184133971291866</v>
      </c>
      <c r="I33" s="17">
        <v>2.7006000000000001</v>
      </c>
      <c r="J33" s="17">
        <v>43.7684</v>
      </c>
      <c r="K33" s="19">
        <v>377.14835004938232</v>
      </c>
      <c r="L33" s="16">
        <v>552.74261603375521</v>
      </c>
      <c r="M33" s="13">
        <v>1324924.0506329113</v>
      </c>
      <c r="N33" s="16">
        <v>499.69291963694673</v>
      </c>
      <c r="O33" s="16"/>
      <c r="P33" s="16"/>
    </row>
    <row r="34" spans="1:16">
      <c r="A34" s="16">
        <v>33</v>
      </c>
      <c r="B34" s="21" t="s">
        <v>84</v>
      </c>
      <c r="C34" s="21" t="s">
        <v>82</v>
      </c>
      <c r="D34" s="13">
        <v>1.1051</v>
      </c>
      <c r="E34" s="13">
        <v>4.2</v>
      </c>
      <c r="F34" s="14">
        <v>44.09</v>
      </c>
      <c r="G34" s="14">
        <v>312.09735146743026</v>
      </c>
      <c r="H34" s="17">
        <v>0.55900281690140852</v>
      </c>
      <c r="I34" s="17">
        <v>1.8080000000000001</v>
      </c>
      <c r="J34" s="17">
        <v>41.690800000000003</v>
      </c>
      <c r="K34" s="19">
        <v>418.7695516377309</v>
      </c>
      <c r="L34" s="16">
        <v>500</v>
      </c>
      <c r="M34" s="13">
        <v>2268500</v>
      </c>
      <c r="N34" s="16">
        <v>949.97872789019243</v>
      </c>
      <c r="O34" s="16">
        <v>29.36</v>
      </c>
      <c r="P34" s="16">
        <v>152273.70000000001</v>
      </c>
    </row>
    <row r="35" spans="1:16">
      <c r="A35" s="16">
        <v>34</v>
      </c>
      <c r="B35" s="21" t="s">
        <v>84</v>
      </c>
      <c r="C35" s="21" t="s">
        <v>82</v>
      </c>
      <c r="D35" s="13">
        <v>0.85519999999999996</v>
      </c>
      <c r="E35" s="13">
        <v>5.3</v>
      </c>
      <c r="F35" s="14">
        <v>32.74</v>
      </c>
      <c r="G35" s="14">
        <v>311.00478468899524</v>
      </c>
      <c r="H35" s="17">
        <v>0.38111004784688995</v>
      </c>
      <c r="I35" s="17">
        <v>1.8915999999999999</v>
      </c>
      <c r="J35" s="17">
        <v>41.7119</v>
      </c>
      <c r="K35" s="19">
        <v>304.99179864351862</v>
      </c>
      <c r="L35" s="16">
        <v>548.52320675105489</v>
      </c>
      <c r="M35" s="13">
        <v>1795864.9789029539</v>
      </c>
      <c r="N35" s="16">
        <v>547.72409003651649</v>
      </c>
      <c r="O35" s="16">
        <v>21.64</v>
      </c>
      <c r="P35" s="16">
        <v>161113.9</v>
      </c>
    </row>
    <row r="36" spans="1:16">
      <c r="A36" s="16">
        <v>35</v>
      </c>
      <c r="B36" s="21" t="s">
        <v>84</v>
      </c>
      <c r="C36" s="21" t="s">
        <v>82</v>
      </c>
      <c r="D36" s="13">
        <v>1.2269000000000001</v>
      </c>
      <c r="E36" s="13">
        <v>4.5999999999999996</v>
      </c>
      <c r="F36" s="14">
        <v>36.28</v>
      </c>
      <c r="G36" s="14">
        <v>401.15874855156426</v>
      </c>
      <c r="H36" s="17">
        <v>0.50748202764976957</v>
      </c>
      <c r="I36" s="17">
        <v>2.1798999999999999</v>
      </c>
      <c r="J36" s="17">
        <v>40.855600000000003</v>
      </c>
      <c r="K36" s="19">
        <v>316.2127712650464</v>
      </c>
      <c r="L36" s="16">
        <v>550.63291139240505</v>
      </c>
      <c r="M36" s="13">
        <v>2018620.2531645566</v>
      </c>
      <c r="N36" s="16">
        <v>638.31350438491404</v>
      </c>
      <c r="O36" s="16">
        <v>26.14</v>
      </c>
      <c r="P36" s="16">
        <v>135751.19999999998</v>
      </c>
    </row>
    <row r="37" spans="1:16">
      <c r="A37" s="16">
        <v>36</v>
      </c>
      <c r="B37" s="21" t="s">
        <v>84</v>
      </c>
      <c r="C37" s="21" t="s">
        <v>82</v>
      </c>
      <c r="D37" s="13"/>
      <c r="E37" s="13"/>
      <c r="F37" s="14">
        <v>42.98</v>
      </c>
      <c r="G37" s="14">
        <v>267.45213549337262</v>
      </c>
      <c r="H37" s="17">
        <v>0.37650712742980563</v>
      </c>
      <c r="I37" s="17">
        <v>1.4588000000000001</v>
      </c>
      <c r="J37" s="17">
        <v>41.460999999999999</v>
      </c>
      <c r="K37" s="19">
        <v>326.45695930092648</v>
      </c>
      <c r="L37" s="16">
        <v>470.46413502109704</v>
      </c>
      <c r="M37" s="13">
        <v>1545945.147679325</v>
      </c>
      <c r="N37" s="16">
        <v>504.6845521574142</v>
      </c>
      <c r="O37" s="16"/>
      <c r="P37" s="16"/>
    </row>
    <row r="38" spans="1:16">
      <c r="A38" s="16">
        <v>37</v>
      </c>
      <c r="B38" s="21" t="s">
        <v>85</v>
      </c>
      <c r="C38" s="21" t="s">
        <v>82</v>
      </c>
      <c r="D38" s="13">
        <v>1.0278</v>
      </c>
      <c r="E38" s="13">
        <v>3.8</v>
      </c>
      <c r="F38" s="14">
        <v>32.86</v>
      </c>
      <c r="G38" s="14">
        <v>301.35593220338984</v>
      </c>
      <c r="H38" s="17">
        <v>0.8036221765913758</v>
      </c>
      <c r="I38" s="17">
        <v>2.1082999999999998</v>
      </c>
      <c r="J38" s="17">
        <v>41.559399999999997</v>
      </c>
      <c r="K38" s="19">
        <v>307.06465474305509</v>
      </c>
      <c r="L38" s="16">
        <v>525.31645569620252</v>
      </c>
      <c r="M38" s="13">
        <v>1474563.2911392406</v>
      </c>
      <c r="N38" s="16">
        <v>452.78626789045393</v>
      </c>
      <c r="O38" s="16">
        <v>26.42</v>
      </c>
      <c r="P38" s="16">
        <v>102262.2</v>
      </c>
    </row>
    <row r="39" spans="1:16">
      <c r="A39" s="16">
        <v>38</v>
      </c>
      <c r="B39" s="21" t="s">
        <v>85</v>
      </c>
      <c r="C39" s="21" t="s">
        <v>82</v>
      </c>
      <c r="D39" s="13">
        <v>1.1256999999999999</v>
      </c>
      <c r="E39" s="13">
        <v>3.2</v>
      </c>
      <c r="F39" s="14">
        <v>29.9</v>
      </c>
      <c r="G39" s="14">
        <v>259.40212150433945</v>
      </c>
      <c r="H39" s="17">
        <v>0.87794594594594599</v>
      </c>
      <c r="I39" s="17">
        <v>2.0057999999999998</v>
      </c>
      <c r="J39" s="17">
        <v>41.473300000000002</v>
      </c>
      <c r="K39" s="19">
        <v>317.84622282716225</v>
      </c>
      <c r="L39" s="16">
        <v>476.79324894514764</v>
      </c>
      <c r="M39" s="13">
        <v>1403679.3248945146</v>
      </c>
      <c r="N39" s="16">
        <v>446.1541714783026</v>
      </c>
      <c r="O39" s="16">
        <v>32.22</v>
      </c>
      <c r="P39" s="16">
        <v>112035.70000000001</v>
      </c>
    </row>
    <row r="40" spans="1:16">
      <c r="A40" s="16">
        <v>39</v>
      </c>
      <c r="B40" s="21" t="s">
        <v>85</v>
      </c>
      <c r="C40" s="21" t="s">
        <v>82</v>
      </c>
      <c r="D40" s="13">
        <v>1.1264000000000001</v>
      </c>
      <c r="E40" s="13">
        <v>3</v>
      </c>
      <c r="F40" s="14">
        <v>22.94</v>
      </c>
      <c r="G40" s="14">
        <v>418.80998080614205</v>
      </c>
      <c r="H40" s="17">
        <v>0.99825273631840794</v>
      </c>
      <c r="I40" s="17">
        <v>3.1147</v>
      </c>
      <c r="J40" s="17">
        <v>40.573799999999999</v>
      </c>
      <c r="K40" s="19">
        <v>321.16673394058648</v>
      </c>
      <c r="L40" s="16">
        <v>478.90295358649792</v>
      </c>
      <c r="M40" s="13">
        <v>1091898.7341772153</v>
      </c>
      <c r="N40" s="16">
        <v>350.68155024955684</v>
      </c>
      <c r="O40" s="16">
        <v>31.42</v>
      </c>
      <c r="P40" s="16">
        <v>98463.9</v>
      </c>
    </row>
    <row r="41" spans="1:16">
      <c r="A41" s="16">
        <v>40</v>
      </c>
      <c r="B41" s="21" t="s">
        <v>85</v>
      </c>
      <c r="C41" s="21" t="s">
        <v>82</v>
      </c>
      <c r="D41" s="13"/>
      <c r="E41" s="13"/>
      <c r="F41" s="14">
        <v>28.29</v>
      </c>
      <c r="G41" s="14">
        <v>266.09829488465397</v>
      </c>
      <c r="H41" s="17">
        <v>0.46183755868544601</v>
      </c>
      <c r="I41" s="17">
        <v>1.3703000000000001</v>
      </c>
      <c r="J41" s="17">
        <v>41.285800000000002</v>
      </c>
      <c r="K41" s="19">
        <v>289.32637438040251</v>
      </c>
      <c r="L41" s="16">
        <v>533.75527426160329</v>
      </c>
      <c r="M41" s="13">
        <v>1515331.2236286919</v>
      </c>
      <c r="N41" s="16">
        <v>438.42528891790835</v>
      </c>
      <c r="O41" s="16"/>
      <c r="P41" s="16"/>
    </row>
    <row r="42" spans="1:16">
      <c r="A42" s="16">
        <v>41</v>
      </c>
      <c r="B42" s="21" t="s">
        <v>86</v>
      </c>
      <c r="C42" s="21" t="s">
        <v>82</v>
      </c>
      <c r="D42" s="13">
        <v>1.5348999999999999</v>
      </c>
      <c r="E42" s="13">
        <v>13</v>
      </c>
      <c r="F42" s="14">
        <v>107.48</v>
      </c>
      <c r="G42" s="14">
        <v>199.34259954921112</v>
      </c>
      <c r="H42" s="17">
        <v>0.30575277777777776</v>
      </c>
      <c r="I42" s="17">
        <v>0.81069999999999998</v>
      </c>
      <c r="J42" s="17">
        <v>40.639699999999998</v>
      </c>
      <c r="K42" s="19">
        <v>489.17449056790218</v>
      </c>
      <c r="L42" s="16">
        <v>358.64978902953584</v>
      </c>
      <c r="M42" s="13">
        <v>3868396.6244725734</v>
      </c>
      <c r="N42" s="16">
        <v>1892.3209480909636</v>
      </c>
      <c r="O42" s="16">
        <v>34.92</v>
      </c>
      <c r="P42" s="16">
        <v>397892.20000000007</v>
      </c>
    </row>
    <row r="43" spans="1:16">
      <c r="A43" s="16">
        <v>42</v>
      </c>
      <c r="B43" s="21" t="s">
        <v>86</v>
      </c>
      <c r="C43" s="21" t="s">
        <v>82</v>
      </c>
      <c r="D43" s="13">
        <v>1.9636</v>
      </c>
      <c r="E43" s="13">
        <v>19.7</v>
      </c>
      <c r="F43" s="14">
        <v>248.33</v>
      </c>
      <c r="G43" s="14">
        <v>230.3925619834711</v>
      </c>
      <c r="H43" s="17">
        <v>0.32378503401360548</v>
      </c>
      <c r="I43" s="17">
        <v>1.1749000000000001</v>
      </c>
      <c r="J43" s="17">
        <v>39.689799999999998</v>
      </c>
      <c r="K43" s="19">
        <v>466.17542543402919</v>
      </c>
      <c r="L43" s="16">
        <v>291.13924050632909</v>
      </c>
      <c r="M43" s="13">
        <v>6269101.265822785</v>
      </c>
      <c r="N43" s="16">
        <v>2922.5009496839475</v>
      </c>
      <c r="O43" s="16">
        <v>37.5</v>
      </c>
      <c r="P43" s="16">
        <v>680500.20000000007</v>
      </c>
    </row>
    <row r="44" spans="1:16">
      <c r="A44" s="16">
        <v>43</v>
      </c>
      <c r="B44" s="21" t="s">
        <v>86</v>
      </c>
      <c r="C44" s="21" t="s">
        <v>82</v>
      </c>
      <c r="D44" s="13">
        <v>2.0691000000000002</v>
      </c>
      <c r="E44" s="13">
        <v>14.4</v>
      </c>
      <c r="F44" s="14">
        <v>194.95</v>
      </c>
      <c r="G44" s="14">
        <v>197.81547160113081</v>
      </c>
      <c r="H44" s="17">
        <v>0.21251334702258728</v>
      </c>
      <c r="I44" s="17">
        <v>0.91210000000000002</v>
      </c>
      <c r="J44" s="17">
        <v>39.68</v>
      </c>
      <c r="K44" s="19">
        <v>471.26747142669763</v>
      </c>
      <c r="L44" s="16">
        <v>335.44303797468353</v>
      </c>
      <c r="M44" s="13">
        <v>6578373.4177215202</v>
      </c>
      <c r="N44" s="16">
        <v>3100.1734066702234</v>
      </c>
      <c r="O44" s="16">
        <v>43.78</v>
      </c>
      <c r="P44" s="16">
        <v>457479.3000000001</v>
      </c>
    </row>
    <row r="45" spans="1:16">
      <c r="A45" s="16">
        <v>44</v>
      </c>
      <c r="B45" s="21" t="s">
        <v>86</v>
      </c>
      <c r="C45" s="21" t="s">
        <v>82</v>
      </c>
      <c r="D45" s="13"/>
      <c r="E45" s="13"/>
      <c r="F45" s="14">
        <v>182.21</v>
      </c>
      <c r="G45" s="14">
        <v>239.24672489082968</v>
      </c>
      <c r="H45" s="17">
        <v>0.21533251028806585</v>
      </c>
      <c r="I45" s="17">
        <v>1.0918000000000001</v>
      </c>
      <c r="J45" s="17">
        <v>40.055599999999998</v>
      </c>
      <c r="K45" s="19">
        <v>512.57795238888855</v>
      </c>
      <c r="L45" s="16">
        <v>318.56540084388189</v>
      </c>
      <c r="M45" s="13">
        <v>5920537.9746835446</v>
      </c>
      <c r="N45" s="16">
        <v>3034.7372321039484</v>
      </c>
      <c r="O45" s="16"/>
      <c r="P45" s="16"/>
    </row>
    <row r="46" spans="1:16">
      <c r="A46" s="16">
        <v>45</v>
      </c>
      <c r="B46" s="21" t="s">
        <v>87</v>
      </c>
      <c r="C46" s="21" t="s">
        <v>82</v>
      </c>
      <c r="D46" s="13">
        <v>0.92910000000000004</v>
      </c>
      <c r="E46" s="13">
        <v>4.8</v>
      </c>
      <c r="F46" s="14">
        <v>33.979999999999997</v>
      </c>
      <c r="G46" s="14">
        <v>297.51984126984127</v>
      </c>
      <c r="H46" s="17">
        <v>0.74011621621621604</v>
      </c>
      <c r="I46" s="17">
        <v>2.4847000000000001</v>
      </c>
      <c r="J46" s="17">
        <v>43.933999999999997</v>
      </c>
      <c r="K46" s="19">
        <v>343.34212468055529</v>
      </c>
      <c r="L46" s="16">
        <v>624.47257383966246</v>
      </c>
      <c r="M46" s="13">
        <v>2170042.1940928269</v>
      </c>
      <c r="N46" s="16">
        <v>745.06689756628509</v>
      </c>
      <c r="O46" s="16">
        <v>31.88</v>
      </c>
      <c r="P46" s="16">
        <v>169113.99999999997</v>
      </c>
    </row>
    <row r="47" spans="1:16">
      <c r="A47" s="16">
        <v>46</v>
      </c>
      <c r="B47" s="21" t="s">
        <v>87</v>
      </c>
      <c r="C47" s="21" t="s">
        <v>82</v>
      </c>
      <c r="D47" s="13">
        <v>0.6583</v>
      </c>
      <c r="E47" s="13">
        <v>3.3</v>
      </c>
      <c r="F47" s="14">
        <v>29.3</v>
      </c>
      <c r="G47" s="14">
        <v>313.86768447837153</v>
      </c>
      <c r="H47" s="17">
        <v>0.87753085339168502</v>
      </c>
      <c r="I47" s="17">
        <v>2.7875000000000001</v>
      </c>
      <c r="J47" s="17">
        <v>43.976999999999997</v>
      </c>
      <c r="K47" s="19">
        <v>325.49315677391888</v>
      </c>
      <c r="L47" s="16">
        <v>582.27848101265818</v>
      </c>
      <c r="M47" s="13">
        <v>1701417.7215189869</v>
      </c>
      <c r="N47" s="16">
        <v>553.79982516830341</v>
      </c>
      <c r="O47" s="16">
        <v>30.78</v>
      </c>
      <c r="P47" s="16">
        <v>111300.79999999999</v>
      </c>
    </row>
    <row r="48" spans="1:16">
      <c r="A48" s="16">
        <v>47</v>
      </c>
      <c r="B48" s="21" t="s">
        <v>87</v>
      </c>
      <c r="C48" s="21" t="s">
        <v>82</v>
      </c>
      <c r="D48" s="13">
        <v>0.93089999999999995</v>
      </c>
      <c r="E48" s="13">
        <v>5.3</v>
      </c>
      <c r="F48" s="14">
        <v>35.950000000000003</v>
      </c>
      <c r="G48" s="14">
        <v>296.75251959686449</v>
      </c>
      <c r="H48" s="17">
        <v>0.74090240700218835</v>
      </c>
      <c r="I48" s="17">
        <v>2.3601999999999999</v>
      </c>
      <c r="J48" s="17">
        <v>42.262799999999999</v>
      </c>
      <c r="K48" s="19">
        <v>267.00885515046349</v>
      </c>
      <c r="L48" s="16">
        <v>696.20253164556959</v>
      </c>
      <c r="M48" s="13">
        <v>2519556.962025316</v>
      </c>
      <c r="N48" s="16">
        <v>672.74401991675938</v>
      </c>
      <c r="O48" s="16">
        <v>31.74</v>
      </c>
      <c r="P48" s="16">
        <v>184348.79999999996</v>
      </c>
    </row>
    <row r="49" spans="1:16">
      <c r="A49" s="16">
        <v>48</v>
      </c>
      <c r="B49" s="21" t="s">
        <v>87</v>
      </c>
      <c r="C49" s="21" t="s">
        <v>82</v>
      </c>
      <c r="D49" s="13"/>
      <c r="E49" s="13"/>
      <c r="F49" s="14">
        <v>30.95</v>
      </c>
      <c r="G49" s="14">
        <v>321.74603174603175</v>
      </c>
      <c r="H49" s="17">
        <v>0.7277738359201773</v>
      </c>
      <c r="I49" s="17">
        <v>2.4466999999999999</v>
      </c>
      <c r="J49" s="17">
        <v>44.257899999999999</v>
      </c>
      <c r="K49" s="19">
        <v>362.62620723649542</v>
      </c>
      <c r="L49" s="16">
        <v>578.05907172995774</v>
      </c>
      <c r="M49" s="13">
        <v>1209877.6371308016</v>
      </c>
      <c r="N49" s="16">
        <v>438.73333877299547</v>
      </c>
      <c r="O49" s="16"/>
      <c r="P49" s="16"/>
    </row>
    <row r="50" spans="1:16">
      <c r="A50" s="16">
        <v>49</v>
      </c>
      <c r="B50" s="21" t="s">
        <v>88</v>
      </c>
      <c r="C50" s="21" t="s">
        <v>82</v>
      </c>
      <c r="D50" s="13">
        <v>2.2334000000000001</v>
      </c>
      <c r="E50" s="13">
        <v>15.9</v>
      </c>
      <c r="F50" s="14">
        <v>55.37</v>
      </c>
      <c r="G50" s="14">
        <v>115.66975568660489</v>
      </c>
      <c r="H50" s="17">
        <v>0.5116745762711864</v>
      </c>
      <c r="I50" s="17">
        <v>1.5470999999999999</v>
      </c>
      <c r="J50" s="17">
        <v>43.080100000000002</v>
      </c>
      <c r="K50" s="19">
        <v>457.74001101774951</v>
      </c>
      <c r="L50" s="16">
        <v>270.042194092827</v>
      </c>
      <c r="M50" s="13">
        <v>1516016.8776371309</v>
      </c>
      <c r="N50" s="16">
        <v>693.94158227271441</v>
      </c>
      <c r="O50" s="16">
        <v>32.9</v>
      </c>
      <c r="P50" s="16">
        <v>330595.80000000005</v>
      </c>
    </row>
    <row r="51" spans="1:16">
      <c r="A51" s="16">
        <v>50</v>
      </c>
      <c r="B51" s="21" t="s">
        <v>88</v>
      </c>
      <c r="C51" s="21" t="s">
        <v>82</v>
      </c>
      <c r="D51" s="13">
        <v>1.7435</v>
      </c>
      <c r="E51" s="13">
        <v>14</v>
      </c>
      <c r="F51" s="14">
        <v>48.87</v>
      </c>
      <c r="G51" s="14">
        <v>127.61717653662643</v>
      </c>
      <c r="H51" s="17">
        <v>0.41594258373205745</v>
      </c>
      <c r="I51" s="17">
        <v>1.4957</v>
      </c>
      <c r="J51" s="17">
        <v>42.815100000000001</v>
      </c>
      <c r="K51" s="19">
        <v>392.55004520370397</v>
      </c>
      <c r="L51" s="16">
        <v>265.82278481012656</v>
      </c>
      <c r="M51" s="13">
        <v>1317949.3670886075</v>
      </c>
      <c r="N51" s="16">
        <v>517.36108362682592</v>
      </c>
      <c r="O51" s="16">
        <v>29.96</v>
      </c>
      <c r="P51" s="16">
        <v>229733.80000000002</v>
      </c>
    </row>
    <row r="52" spans="1:16">
      <c r="A52" s="16">
        <v>51</v>
      </c>
      <c r="B52" s="21" t="s">
        <v>88</v>
      </c>
      <c r="C52" s="21" t="s">
        <v>82</v>
      </c>
      <c r="D52" s="13">
        <v>2.1375000000000002</v>
      </c>
      <c r="E52" s="13">
        <v>15.9</v>
      </c>
      <c r="F52" s="14">
        <v>62.31</v>
      </c>
      <c r="G52" s="14">
        <v>122.06582936336076</v>
      </c>
      <c r="H52" s="17">
        <v>0.42295531453362251</v>
      </c>
      <c r="I52" s="17">
        <v>1.5577000000000001</v>
      </c>
      <c r="J52" s="17">
        <v>43.472700000000003</v>
      </c>
      <c r="K52" s="19">
        <v>497.52401465740826</v>
      </c>
      <c r="L52" s="16">
        <v>225.73839662447256</v>
      </c>
      <c r="M52" s="13">
        <v>1411993.6708860758</v>
      </c>
      <c r="N52" s="16">
        <v>702.50075981009172</v>
      </c>
      <c r="O52" s="16">
        <v>30.14</v>
      </c>
      <c r="P52" s="16">
        <v>288772.10000000003</v>
      </c>
    </row>
    <row r="53" spans="1:16">
      <c r="A53" s="16">
        <v>52</v>
      </c>
      <c r="B53" s="21" t="s">
        <v>88</v>
      </c>
      <c r="C53" s="21" t="s">
        <v>82</v>
      </c>
      <c r="D53" s="13"/>
      <c r="E53" s="13"/>
      <c r="F53" s="14">
        <v>47.81</v>
      </c>
      <c r="G53" s="14">
        <v>89.640087492543245</v>
      </c>
      <c r="H53" s="17">
        <v>0.37306348448687354</v>
      </c>
      <c r="I53" s="17">
        <v>1.0947</v>
      </c>
      <c r="J53" s="17">
        <v>42.527000000000001</v>
      </c>
      <c r="K53" s="19">
        <v>494.90698145389018</v>
      </c>
      <c r="L53" s="16">
        <v>327.00421940928265</v>
      </c>
      <c r="M53" s="13">
        <v>1554578.0590717297</v>
      </c>
      <c r="N53" s="16">
        <v>769.37153464963706</v>
      </c>
      <c r="O53" s="16"/>
      <c r="P53" s="16"/>
    </row>
    <row r="54" spans="1:16">
      <c r="A54" s="16">
        <v>53</v>
      </c>
      <c r="B54" s="21" t="s">
        <v>89</v>
      </c>
      <c r="C54" s="21" t="s">
        <v>82</v>
      </c>
      <c r="D54" s="13">
        <v>0.60709999999999997</v>
      </c>
      <c r="E54" s="13">
        <v>2.1</v>
      </c>
      <c r="F54" s="14">
        <v>17.84</v>
      </c>
      <c r="G54" s="14">
        <v>280.18867924528303</v>
      </c>
      <c r="H54" s="17">
        <v>1.1535341067285383</v>
      </c>
      <c r="I54" s="17">
        <v>3.1328</v>
      </c>
      <c r="J54" s="17">
        <v>45.970799999999997</v>
      </c>
      <c r="K54" s="19">
        <v>904.74613652314667</v>
      </c>
      <c r="L54" s="16">
        <v>139.24050632911391</v>
      </c>
      <c r="M54" s="13">
        <v>245341.77215189874</v>
      </c>
      <c r="N54" s="16">
        <v>221.9720204821725</v>
      </c>
      <c r="O54" s="16">
        <v>27.02</v>
      </c>
      <c r="P54" s="16">
        <v>59146.399999999994</v>
      </c>
    </row>
    <row r="55" spans="1:16">
      <c r="A55" s="16">
        <v>54</v>
      </c>
      <c r="B55" s="21" t="s">
        <v>89</v>
      </c>
      <c r="C55" s="21" t="s">
        <v>82</v>
      </c>
      <c r="D55" s="13">
        <v>0.76890000000000003</v>
      </c>
      <c r="E55" s="13">
        <v>2.2999999999999998</v>
      </c>
      <c r="F55" s="14">
        <v>24.85</v>
      </c>
      <c r="G55" s="14">
        <v>208.4985835694051</v>
      </c>
      <c r="H55" s="17">
        <v>0.86052719298245617</v>
      </c>
      <c r="I55" s="17">
        <v>1.7626999999999999</v>
      </c>
      <c r="J55" s="17">
        <v>45.348599999999998</v>
      </c>
      <c r="K55" s="19">
        <v>926.46880619406045</v>
      </c>
      <c r="L55" s="16">
        <v>132.91139240506328</v>
      </c>
      <c r="M55" s="13">
        <v>327892.40506329114</v>
      </c>
      <c r="N55" s="16">
        <v>303.78208507908664</v>
      </c>
      <c r="O55" s="16">
        <v>30.36</v>
      </c>
      <c r="P55" s="16">
        <v>83816.2</v>
      </c>
    </row>
    <row r="56" spans="1:16">
      <c r="A56" s="16">
        <v>55</v>
      </c>
      <c r="B56" s="21" t="s">
        <v>89</v>
      </c>
      <c r="C56" s="21" t="s">
        <v>82</v>
      </c>
      <c r="D56" s="13">
        <v>0.6875</v>
      </c>
      <c r="E56" s="13">
        <v>1.8</v>
      </c>
      <c r="F56" s="14">
        <v>21.11</v>
      </c>
      <c r="G56" s="14">
        <v>206.09318996415772</v>
      </c>
      <c r="H56" s="17">
        <v>0.82530731707317073</v>
      </c>
      <c r="I56" s="17">
        <v>1.5483</v>
      </c>
      <c r="J56" s="17">
        <v>44.995399999999997</v>
      </c>
      <c r="K56" s="19">
        <v>859.83762671681927</v>
      </c>
      <c r="L56" s="16">
        <v>145.56962025316454</v>
      </c>
      <c r="M56" s="13">
        <v>302930.37974683539</v>
      </c>
      <c r="N56" s="16">
        <v>260.47093878194374</v>
      </c>
      <c r="O56" s="16">
        <v>25.24</v>
      </c>
      <c r="P56" s="16">
        <v>69017.799999999988</v>
      </c>
    </row>
    <row r="57" spans="1:16">
      <c r="A57" s="16">
        <v>56</v>
      </c>
      <c r="B57" s="21" t="s">
        <v>89</v>
      </c>
      <c r="C57" s="21" t="s">
        <v>82</v>
      </c>
      <c r="D57" s="14"/>
      <c r="E57" s="14"/>
      <c r="F57" s="16"/>
      <c r="G57" s="14"/>
      <c r="H57" s="13"/>
      <c r="I57" s="13"/>
      <c r="J57" s="13"/>
      <c r="K57" s="13"/>
      <c r="L57" s="13"/>
      <c r="M57" s="13"/>
      <c r="N57" s="16"/>
      <c r="O57" s="16"/>
      <c r="P57" s="16"/>
    </row>
    <row r="58" spans="1:16">
      <c r="B58" s="2"/>
      <c r="C58" s="2"/>
      <c r="D58" s="2"/>
      <c r="E58" s="2"/>
      <c r="F58" s="2"/>
      <c r="G58" s="3"/>
      <c r="H58" s="2"/>
      <c r="I58" s="2"/>
      <c r="J58" s="2"/>
      <c r="K58" s="2"/>
      <c r="L58" s="2"/>
      <c r="M58" s="2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8F0C8-6494-487F-A183-31B7C670AB1E}">
  <dimension ref="A1:Q57"/>
  <sheetViews>
    <sheetView workbookViewId="0">
      <selection activeCell="J21" sqref="J21"/>
    </sheetView>
  </sheetViews>
  <sheetFormatPr baseColWidth="10" defaultColWidth="8.83203125" defaultRowHeight="14"/>
  <sheetData>
    <row r="1" spans="1:17">
      <c r="F1" t="s">
        <v>101</v>
      </c>
      <c r="G1" t="s">
        <v>102</v>
      </c>
      <c r="H1" t="s">
        <v>103</v>
      </c>
      <c r="O1" t="s">
        <v>101</v>
      </c>
      <c r="P1" t="s">
        <v>102</v>
      </c>
      <c r="Q1" t="s">
        <v>103</v>
      </c>
    </row>
    <row r="2" spans="1:17">
      <c r="A2" s="35">
        <v>18.41</v>
      </c>
      <c r="B2" s="35">
        <v>22</v>
      </c>
      <c r="C2" s="35" t="s">
        <v>104</v>
      </c>
      <c r="D2" s="35">
        <v>11401</v>
      </c>
      <c r="E2" s="35">
        <v>74138</v>
      </c>
      <c r="F2" s="35">
        <v>4.4669999999999996</v>
      </c>
      <c r="G2" s="35">
        <v>39.922499999999999</v>
      </c>
      <c r="H2" s="35">
        <v>8.9372000000000007</v>
      </c>
      <c r="J2" t="s">
        <v>105</v>
      </c>
      <c r="M2" s="21" t="s">
        <v>83</v>
      </c>
      <c r="N2" s="21" t="s">
        <v>81</v>
      </c>
      <c r="O2" s="35">
        <v>4.6318999999999999</v>
      </c>
      <c r="P2" s="35">
        <v>42.186799999999998</v>
      </c>
      <c r="Q2" s="35">
        <v>9.1079000000000008</v>
      </c>
    </row>
    <row r="3" spans="1:17">
      <c r="A3" s="35">
        <v>18.329999999999998</v>
      </c>
      <c r="B3" s="35">
        <v>23</v>
      </c>
      <c r="C3" s="35" t="s">
        <v>104</v>
      </c>
      <c r="D3" s="35">
        <v>9730</v>
      </c>
      <c r="E3" s="35">
        <v>73452</v>
      </c>
      <c r="F3" s="35">
        <v>3.7913000000000001</v>
      </c>
      <c r="G3" s="35">
        <v>39.721600000000002</v>
      </c>
      <c r="H3" s="35">
        <v>10.4771</v>
      </c>
      <c r="J3" t="s">
        <v>106</v>
      </c>
      <c r="M3" s="21" t="s">
        <v>83</v>
      </c>
      <c r="N3" s="21" t="s">
        <v>81</v>
      </c>
      <c r="O3" s="35">
        <v>4.5298999999999996</v>
      </c>
      <c r="P3" s="35">
        <v>42.296700000000001</v>
      </c>
      <c r="Q3" s="35">
        <v>9.3371999999999993</v>
      </c>
    </row>
    <row r="4" spans="1:17">
      <c r="A4" s="35">
        <v>18.53</v>
      </c>
      <c r="B4" s="35">
        <v>24</v>
      </c>
      <c r="C4" s="35" t="s">
        <v>104</v>
      </c>
      <c r="D4" s="35">
        <v>7952</v>
      </c>
      <c r="E4" s="35">
        <v>76650</v>
      </c>
      <c r="F4" s="35">
        <v>3.0491999999999999</v>
      </c>
      <c r="G4" s="35">
        <v>41.022399999999998</v>
      </c>
      <c r="H4" s="35">
        <v>13.4535</v>
      </c>
      <c r="J4" t="s">
        <v>107</v>
      </c>
      <c r="M4" s="21" t="s">
        <v>83</v>
      </c>
      <c r="N4" s="21" t="s">
        <v>81</v>
      </c>
      <c r="O4" s="35">
        <v>4.5948000000000002</v>
      </c>
      <c r="P4" s="35">
        <v>42.265500000000003</v>
      </c>
      <c r="Q4" s="35">
        <v>9.1986000000000008</v>
      </c>
    </row>
    <row r="5" spans="1:17">
      <c r="A5" s="35">
        <v>19.350000000000001</v>
      </c>
      <c r="B5" s="35">
        <v>25</v>
      </c>
      <c r="C5" s="35" t="s">
        <v>104</v>
      </c>
      <c r="D5" s="35">
        <v>11365</v>
      </c>
      <c r="E5" s="35">
        <v>81042</v>
      </c>
      <c r="F5" s="35">
        <v>4.2354000000000003</v>
      </c>
      <c r="G5" s="35">
        <v>41.557899999999997</v>
      </c>
      <c r="H5" s="35">
        <v>9.8120999999999992</v>
      </c>
      <c r="J5" t="s">
        <v>108</v>
      </c>
      <c r="M5" s="21" t="s">
        <v>83</v>
      </c>
      <c r="N5" s="21" t="s">
        <v>81</v>
      </c>
      <c r="O5" s="35">
        <v>4.9249000000000001</v>
      </c>
      <c r="P5" s="35">
        <v>42.754899999999999</v>
      </c>
      <c r="Q5" s="35">
        <v>8.6813000000000002</v>
      </c>
    </row>
    <row r="6" spans="1:17">
      <c r="A6" s="35">
        <v>18.670000000000002</v>
      </c>
      <c r="B6" s="35">
        <v>26</v>
      </c>
      <c r="C6" s="35" t="s">
        <v>104</v>
      </c>
      <c r="D6" s="35">
        <v>16483</v>
      </c>
      <c r="E6" s="35">
        <v>79572</v>
      </c>
      <c r="F6" s="35">
        <v>6.2866999999999997</v>
      </c>
      <c r="G6" s="35">
        <v>42.282600000000002</v>
      </c>
      <c r="H6" s="35">
        <v>6.7256999999999998</v>
      </c>
      <c r="J6" t="s">
        <v>109</v>
      </c>
      <c r="M6" s="21" t="s">
        <v>84</v>
      </c>
      <c r="N6" s="21" t="s">
        <v>81</v>
      </c>
      <c r="O6" s="35">
        <v>4.7037000000000004</v>
      </c>
      <c r="P6" s="35">
        <v>40.951799999999999</v>
      </c>
      <c r="Q6" s="35">
        <v>8.7063000000000006</v>
      </c>
    </row>
    <row r="7" spans="1:17">
      <c r="A7" s="35">
        <v>18.23</v>
      </c>
      <c r="B7" s="35">
        <v>27</v>
      </c>
      <c r="C7" s="35" t="s">
        <v>104</v>
      </c>
      <c r="D7" s="35">
        <v>13744</v>
      </c>
      <c r="E7" s="35">
        <v>77938</v>
      </c>
      <c r="F7" s="35">
        <v>5.3413000000000004</v>
      </c>
      <c r="G7" s="35">
        <v>42.405099999999997</v>
      </c>
      <c r="H7" s="35">
        <v>7.9391999999999996</v>
      </c>
      <c r="J7" t="s">
        <v>110</v>
      </c>
      <c r="M7" s="21" t="s">
        <v>84</v>
      </c>
      <c r="N7" s="21" t="s">
        <v>81</v>
      </c>
      <c r="O7" s="35">
        <v>4.3464999999999998</v>
      </c>
      <c r="P7" s="35">
        <v>39.881900000000002</v>
      </c>
      <c r="Q7" s="35">
        <v>9.1755999999999993</v>
      </c>
    </row>
    <row r="8" spans="1:17">
      <c r="A8" s="35">
        <v>21.03</v>
      </c>
      <c r="B8" s="35">
        <v>28</v>
      </c>
      <c r="C8" s="35" t="s">
        <v>104</v>
      </c>
      <c r="D8" s="35">
        <v>18455</v>
      </c>
      <c r="E8" s="35">
        <v>88886</v>
      </c>
      <c r="F8" s="35">
        <v>6.2641</v>
      </c>
      <c r="G8" s="35">
        <v>41.972499999999997</v>
      </c>
      <c r="H8" s="35">
        <v>6.7004999999999999</v>
      </c>
      <c r="J8" t="s">
        <v>111</v>
      </c>
      <c r="M8" s="21" t="s">
        <v>84</v>
      </c>
      <c r="N8" s="21" t="s">
        <v>81</v>
      </c>
      <c r="O8" s="35">
        <v>5.1504000000000003</v>
      </c>
      <c r="P8" s="35">
        <v>41.387599999999999</v>
      </c>
      <c r="Q8" s="35">
        <v>8.0358000000000001</v>
      </c>
    </row>
    <row r="9" spans="1:17">
      <c r="A9" s="35">
        <v>20.75</v>
      </c>
      <c r="B9" s="35">
        <v>29</v>
      </c>
      <c r="C9" s="35" t="s">
        <v>104</v>
      </c>
      <c r="D9" s="35">
        <v>12792</v>
      </c>
      <c r="E9" s="35">
        <v>85041</v>
      </c>
      <c r="F9" s="35">
        <v>4.5000999999999998</v>
      </c>
      <c r="G9" s="35">
        <v>40.683799999999998</v>
      </c>
      <c r="H9" s="35">
        <v>9.0405999999999995</v>
      </c>
      <c r="J9" t="s">
        <v>112</v>
      </c>
      <c r="M9" s="21" t="s">
        <v>84</v>
      </c>
      <c r="N9" s="21" t="s">
        <v>81</v>
      </c>
      <c r="O9" s="35">
        <v>4.5052000000000003</v>
      </c>
      <c r="P9" s="35">
        <v>39.976100000000002</v>
      </c>
      <c r="Q9" s="35">
        <v>8.8734000000000002</v>
      </c>
    </row>
    <row r="10" spans="1:17">
      <c r="A10" s="35">
        <v>21.89</v>
      </c>
      <c r="B10" s="35">
        <v>30</v>
      </c>
      <c r="C10" s="35" t="s">
        <v>104</v>
      </c>
      <c r="D10" s="35">
        <v>14294</v>
      </c>
      <c r="E10" s="35">
        <v>92961</v>
      </c>
      <c r="F10" s="35">
        <v>4.6318999999999999</v>
      </c>
      <c r="G10" s="35">
        <v>42.186799999999998</v>
      </c>
      <c r="H10" s="35">
        <v>9.1079000000000008</v>
      </c>
      <c r="J10" t="s">
        <v>113</v>
      </c>
      <c r="M10" s="21" t="s">
        <v>85</v>
      </c>
      <c r="N10" s="21" t="s">
        <v>81</v>
      </c>
      <c r="O10" s="35">
        <v>6.2866999999999997</v>
      </c>
      <c r="P10" s="35">
        <v>42.282600000000002</v>
      </c>
      <c r="Q10" s="35">
        <v>6.7256999999999998</v>
      </c>
    </row>
    <row r="11" spans="1:17">
      <c r="A11" s="35">
        <v>20.43</v>
      </c>
      <c r="B11" s="35">
        <v>31</v>
      </c>
      <c r="C11" s="35" t="s">
        <v>104</v>
      </c>
      <c r="D11" s="35">
        <v>12690</v>
      </c>
      <c r="E11" s="35">
        <v>87032</v>
      </c>
      <c r="F11" s="35">
        <v>4.5298999999999996</v>
      </c>
      <c r="G11" s="35">
        <v>42.296700000000001</v>
      </c>
      <c r="H11" s="35">
        <v>9.3371999999999993</v>
      </c>
      <c r="J11" t="s">
        <v>114</v>
      </c>
      <c r="M11" s="21" t="s">
        <v>85</v>
      </c>
      <c r="N11" s="21" t="s">
        <v>81</v>
      </c>
      <c r="O11" s="35">
        <v>5.3413000000000004</v>
      </c>
      <c r="P11" s="35">
        <v>42.405099999999997</v>
      </c>
      <c r="Q11" s="35">
        <v>7.9391999999999996</v>
      </c>
    </row>
    <row r="12" spans="1:17">
      <c r="A12" s="35">
        <v>21.35</v>
      </c>
      <c r="B12" s="35">
        <v>32</v>
      </c>
      <c r="C12" s="35" t="s">
        <v>104</v>
      </c>
      <c r="D12" s="35">
        <v>13360</v>
      </c>
      <c r="E12" s="35">
        <v>90853</v>
      </c>
      <c r="F12" s="35">
        <v>4.5948000000000002</v>
      </c>
      <c r="G12" s="35">
        <v>42.265500000000003</v>
      </c>
      <c r="H12" s="35">
        <v>9.1986000000000008</v>
      </c>
      <c r="J12" t="s">
        <v>115</v>
      </c>
      <c r="M12" s="21" t="s">
        <v>85</v>
      </c>
      <c r="N12" s="21" t="s">
        <v>81</v>
      </c>
      <c r="O12" s="35">
        <v>6.2641</v>
      </c>
      <c r="P12" s="35">
        <v>41.972499999999997</v>
      </c>
      <c r="Q12" s="35">
        <v>6.7004999999999999</v>
      </c>
    </row>
    <row r="13" spans="1:17">
      <c r="A13" s="35">
        <v>19.77</v>
      </c>
      <c r="B13" s="35">
        <v>33</v>
      </c>
      <c r="C13" s="35" t="s">
        <v>104</v>
      </c>
      <c r="D13" s="35">
        <v>13743</v>
      </c>
      <c r="E13" s="35">
        <v>85148</v>
      </c>
      <c r="F13" s="35">
        <v>4.9249000000000001</v>
      </c>
      <c r="G13" s="35">
        <v>42.754899999999999</v>
      </c>
      <c r="H13" s="35">
        <v>8.6813000000000002</v>
      </c>
      <c r="J13" t="s">
        <v>116</v>
      </c>
      <c r="M13" s="21" t="s">
        <v>85</v>
      </c>
      <c r="N13" s="21" t="s">
        <v>81</v>
      </c>
      <c r="O13" s="35">
        <v>4.5000999999999998</v>
      </c>
      <c r="P13" s="35">
        <v>40.683799999999998</v>
      </c>
      <c r="Q13" s="35">
        <v>9.0405999999999995</v>
      </c>
    </row>
    <row r="14" spans="1:17">
      <c r="A14" s="35">
        <v>18.809999999999999</v>
      </c>
      <c r="B14" s="35">
        <v>34</v>
      </c>
      <c r="C14" s="35" t="s">
        <v>104</v>
      </c>
      <c r="D14" s="35">
        <v>5064</v>
      </c>
      <c r="E14" s="35">
        <v>71761</v>
      </c>
      <c r="F14" s="35">
        <v>1.915</v>
      </c>
      <c r="G14" s="35">
        <v>37.806800000000003</v>
      </c>
      <c r="H14" s="35">
        <v>19.7422</v>
      </c>
      <c r="J14" t="s">
        <v>117</v>
      </c>
      <c r="M14" s="21" t="s">
        <v>86</v>
      </c>
      <c r="N14" s="21" t="s">
        <v>81</v>
      </c>
      <c r="O14" s="35">
        <v>4.4669999999999996</v>
      </c>
      <c r="P14" s="35">
        <v>39.922499999999999</v>
      </c>
      <c r="Q14" s="35">
        <v>8.9372000000000007</v>
      </c>
    </row>
    <row r="15" spans="1:17">
      <c r="A15" s="35">
        <v>19.829999999999998</v>
      </c>
      <c r="B15" s="35">
        <v>35</v>
      </c>
      <c r="C15" s="35" t="s">
        <v>104</v>
      </c>
      <c r="D15" s="35">
        <v>5951</v>
      </c>
      <c r="E15" s="35">
        <v>79971</v>
      </c>
      <c r="F15" s="35">
        <v>2.1318000000000001</v>
      </c>
      <c r="G15" s="35">
        <v>40.010800000000003</v>
      </c>
      <c r="H15" s="35">
        <v>18.7683</v>
      </c>
      <c r="J15" t="s">
        <v>118</v>
      </c>
      <c r="M15" s="21" t="s">
        <v>86</v>
      </c>
      <c r="N15" s="21" t="s">
        <v>81</v>
      </c>
      <c r="O15" s="35">
        <v>3.7913000000000001</v>
      </c>
      <c r="P15" s="35">
        <v>39.721600000000002</v>
      </c>
      <c r="Q15" s="35">
        <v>10.4771</v>
      </c>
    </row>
    <row r="16" spans="1:17">
      <c r="A16" s="35">
        <v>19.239999999999998</v>
      </c>
      <c r="B16" s="35">
        <v>36</v>
      </c>
      <c r="C16" s="35" t="s">
        <v>104</v>
      </c>
      <c r="D16" s="35">
        <v>6794</v>
      </c>
      <c r="E16" s="35">
        <v>74655</v>
      </c>
      <c r="F16" s="35">
        <v>2.5070999999999999</v>
      </c>
      <c r="G16" s="35">
        <v>38.4694</v>
      </c>
      <c r="H16" s="35">
        <v>15.344099999999999</v>
      </c>
      <c r="J16" t="s">
        <v>119</v>
      </c>
      <c r="M16" s="21" t="s">
        <v>86</v>
      </c>
      <c r="N16" s="21" t="s">
        <v>81</v>
      </c>
      <c r="O16" s="35">
        <v>3.0491999999999999</v>
      </c>
      <c r="P16" s="35">
        <v>41.022399999999998</v>
      </c>
      <c r="Q16" s="35">
        <v>13.4535</v>
      </c>
    </row>
    <row r="17" spans="1:17">
      <c r="A17" s="35">
        <v>19.36</v>
      </c>
      <c r="B17" s="35">
        <v>37</v>
      </c>
      <c r="C17" s="35" t="s">
        <v>104</v>
      </c>
      <c r="D17" s="35">
        <v>9655</v>
      </c>
      <c r="E17" s="35">
        <v>82915</v>
      </c>
      <c r="F17" s="35">
        <v>3.5607000000000002</v>
      </c>
      <c r="G17" s="35">
        <v>42.505299999999998</v>
      </c>
      <c r="H17" s="35">
        <v>11.9375</v>
      </c>
      <c r="J17" t="s">
        <v>120</v>
      </c>
      <c r="M17" s="21" t="s">
        <v>86</v>
      </c>
      <c r="N17" s="21" t="s">
        <v>81</v>
      </c>
      <c r="O17" s="35">
        <v>4.2354000000000003</v>
      </c>
      <c r="P17" s="35">
        <v>41.557899999999997</v>
      </c>
      <c r="Q17" s="35">
        <v>9.8120999999999992</v>
      </c>
    </row>
    <row r="18" spans="1:17">
      <c r="A18" s="35">
        <v>19.260000000000002</v>
      </c>
      <c r="B18" s="35">
        <v>38</v>
      </c>
      <c r="C18" s="35" t="s">
        <v>104</v>
      </c>
      <c r="D18" s="35">
        <v>10949</v>
      </c>
      <c r="E18" s="35">
        <v>85147</v>
      </c>
      <c r="F18" s="35">
        <v>4.0875000000000004</v>
      </c>
      <c r="G18" s="35">
        <v>43.886499999999998</v>
      </c>
      <c r="H18" s="35">
        <v>10.736700000000001</v>
      </c>
      <c r="J18" t="s">
        <v>121</v>
      </c>
      <c r="M18" s="21" t="s">
        <v>87</v>
      </c>
      <c r="N18" s="21" t="s">
        <v>81</v>
      </c>
      <c r="O18" s="35">
        <v>5.0416999999999996</v>
      </c>
      <c r="P18" s="35">
        <v>43.844099999999997</v>
      </c>
      <c r="Q18" s="35">
        <v>8.6961999999999993</v>
      </c>
    </row>
    <row r="19" spans="1:17">
      <c r="A19" s="35">
        <v>19.510000000000002</v>
      </c>
      <c r="B19" s="35">
        <v>39</v>
      </c>
      <c r="C19" s="35" t="s">
        <v>104</v>
      </c>
      <c r="D19" s="35">
        <v>11479</v>
      </c>
      <c r="E19" s="35">
        <v>86832</v>
      </c>
      <c r="F19" s="35">
        <v>4.2465000000000002</v>
      </c>
      <c r="G19" s="35">
        <v>44.188699999999997</v>
      </c>
      <c r="H19" s="35">
        <v>10.405799999999999</v>
      </c>
      <c r="J19" t="s">
        <v>122</v>
      </c>
      <c r="M19" s="21" t="s">
        <v>87</v>
      </c>
      <c r="N19" s="21" t="s">
        <v>81</v>
      </c>
      <c r="O19" s="35">
        <v>5.2042999999999999</v>
      </c>
      <c r="P19" s="35">
        <v>44.1556</v>
      </c>
      <c r="Q19" s="35">
        <v>8.4845000000000006</v>
      </c>
    </row>
    <row r="20" spans="1:17">
      <c r="A20" s="35">
        <v>19.87</v>
      </c>
      <c r="B20" s="35">
        <v>40</v>
      </c>
      <c r="C20" s="35" t="s">
        <v>104</v>
      </c>
      <c r="D20" s="35">
        <v>11256</v>
      </c>
      <c r="E20" s="35">
        <v>89280</v>
      </c>
      <c r="F20" s="35">
        <v>4.0816999999999997</v>
      </c>
      <c r="G20" s="35">
        <v>44.621499999999997</v>
      </c>
      <c r="H20" s="35">
        <v>10.9322</v>
      </c>
      <c r="J20" t="s">
        <v>123</v>
      </c>
      <c r="M20" s="21" t="s">
        <v>87</v>
      </c>
      <c r="N20" s="21" t="s">
        <v>81</v>
      </c>
      <c r="O20" s="35">
        <v>4.2117000000000004</v>
      </c>
      <c r="P20" s="35">
        <v>39.249200000000002</v>
      </c>
      <c r="Q20" s="35">
        <v>9.3191000000000006</v>
      </c>
    </row>
    <row r="21" spans="1:17">
      <c r="A21" s="35">
        <v>19.350000000000001</v>
      </c>
      <c r="B21" s="35">
        <v>41</v>
      </c>
      <c r="C21" s="35" t="s">
        <v>104</v>
      </c>
      <c r="D21" s="35">
        <v>11560</v>
      </c>
      <c r="E21" s="35">
        <v>87275</v>
      </c>
      <c r="F21" s="35">
        <v>4.3144</v>
      </c>
      <c r="G21" s="35">
        <v>44.783299999999997</v>
      </c>
      <c r="H21" s="35">
        <v>10.379899999999999</v>
      </c>
      <c r="J21" t="s">
        <v>124</v>
      </c>
      <c r="M21" s="21" t="s">
        <v>87</v>
      </c>
      <c r="N21" s="21" t="s">
        <v>81</v>
      </c>
      <c r="O21" s="35">
        <v>4.7995999999999999</v>
      </c>
      <c r="P21" s="35">
        <v>40.815899999999999</v>
      </c>
      <c r="Q21" s="35">
        <v>8.5039999999999996</v>
      </c>
    </row>
    <row r="22" spans="1:17">
      <c r="A22" s="35">
        <v>18.670000000000002</v>
      </c>
      <c r="B22" s="35">
        <v>42</v>
      </c>
      <c r="C22" s="35" t="s">
        <v>104</v>
      </c>
      <c r="D22" s="35">
        <v>12883</v>
      </c>
      <c r="E22" s="35">
        <v>82483</v>
      </c>
      <c r="F22" s="35">
        <v>5.0416999999999996</v>
      </c>
      <c r="G22" s="35">
        <v>43.844099999999997</v>
      </c>
      <c r="H22" s="35">
        <v>8.6961999999999993</v>
      </c>
      <c r="J22" t="s">
        <v>125</v>
      </c>
      <c r="M22" s="21" t="s">
        <v>88</v>
      </c>
      <c r="N22" s="21" t="s">
        <v>81</v>
      </c>
      <c r="O22" s="35">
        <v>1.915</v>
      </c>
      <c r="P22" s="35">
        <v>37.806800000000003</v>
      </c>
      <c r="Q22" s="35">
        <v>19.7422</v>
      </c>
    </row>
    <row r="23" spans="1:17">
      <c r="A23" s="35">
        <v>18.64</v>
      </c>
      <c r="B23" s="35">
        <v>43</v>
      </c>
      <c r="C23" s="35" t="s">
        <v>104</v>
      </c>
      <c r="D23" s="35">
        <v>13694</v>
      </c>
      <c r="E23" s="35">
        <v>82931</v>
      </c>
      <c r="F23" s="35">
        <v>5.2042999999999999</v>
      </c>
      <c r="G23" s="35">
        <v>44.1556</v>
      </c>
      <c r="H23" s="35">
        <v>8.4845000000000006</v>
      </c>
      <c r="J23" t="s">
        <v>126</v>
      </c>
      <c r="M23" s="21" t="s">
        <v>88</v>
      </c>
      <c r="N23" s="21" t="s">
        <v>81</v>
      </c>
      <c r="O23" s="35">
        <v>2.1318000000000001</v>
      </c>
      <c r="P23" s="35">
        <v>40.010800000000003</v>
      </c>
      <c r="Q23" s="35">
        <v>18.7683</v>
      </c>
    </row>
    <row r="24" spans="1:17">
      <c r="A24" s="35">
        <v>18.78</v>
      </c>
      <c r="B24" s="35">
        <v>44</v>
      </c>
      <c r="C24" s="35" t="s">
        <v>104</v>
      </c>
      <c r="D24" s="35">
        <v>10997</v>
      </c>
      <c r="E24" s="35">
        <v>74350</v>
      </c>
      <c r="F24" s="35">
        <v>4.2117000000000004</v>
      </c>
      <c r="G24" s="35">
        <v>39.249200000000002</v>
      </c>
      <c r="H24" s="35">
        <v>9.3191000000000006</v>
      </c>
      <c r="J24" t="s">
        <v>127</v>
      </c>
      <c r="M24" s="21" t="s">
        <v>88</v>
      </c>
      <c r="N24" s="21" t="s">
        <v>81</v>
      </c>
      <c r="O24" s="35">
        <v>2.5070999999999999</v>
      </c>
      <c r="P24" s="35">
        <v>38.4694</v>
      </c>
      <c r="Q24" s="35">
        <v>15.344099999999999</v>
      </c>
    </row>
    <row r="25" spans="1:17">
      <c r="A25" s="35">
        <v>19.27</v>
      </c>
      <c r="B25" s="35">
        <v>45</v>
      </c>
      <c r="C25" s="35" t="s">
        <v>104</v>
      </c>
      <c r="D25" s="35">
        <v>12683</v>
      </c>
      <c r="E25" s="35">
        <v>79283</v>
      </c>
      <c r="F25" s="35">
        <v>4.7995999999999999</v>
      </c>
      <c r="G25" s="35">
        <v>40.815899999999999</v>
      </c>
      <c r="H25" s="35">
        <v>8.5039999999999996</v>
      </c>
      <c r="J25" t="s">
        <v>128</v>
      </c>
      <c r="M25" s="21" t="s">
        <v>88</v>
      </c>
      <c r="N25" s="21" t="s">
        <v>81</v>
      </c>
      <c r="O25" s="35">
        <v>3.5607000000000002</v>
      </c>
      <c r="P25" s="35">
        <v>42.505299999999998</v>
      </c>
      <c r="Q25" s="35">
        <v>11.9375</v>
      </c>
    </row>
    <row r="26" spans="1:17">
      <c r="A26" s="35">
        <v>19.13</v>
      </c>
      <c r="B26" s="35">
        <v>46</v>
      </c>
      <c r="C26" s="35" t="s">
        <v>104</v>
      </c>
      <c r="D26" s="35">
        <v>12375</v>
      </c>
      <c r="E26" s="35">
        <v>78972</v>
      </c>
      <c r="F26" s="35">
        <v>4.7037000000000004</v>
      </c>
      <c r="G26" s="35">
        <v>40.951799999999999</v>
      </c>
      <c r="H26" s="35">
        <v>8.7063000000000006</v>
      </c>
      <c r="J26" t="s">
        <v>129</v>
      </c>
      <c r="M26" s="21" t="s">
        <v>89</v>
      </c>
      <c r="N26" s="21" t="s">
        <v>81</v>
      </c>
      <c r="O26" s="35">
        <v>4.0875000000000004</v>
      </c>
      <c r="P26" s="35">
        <v>43.886499999999998</v>
      </c>
      <c r="Q26" s="35">
        <v>10.736700000000001</v>
      </c>
    </row>
    <row r="27" spans="1:17">
      <c r="A27" s="35">
        <v>18.63</v>
      </c>
      <c r="B27" s="35">
        <v>47</v>
      </c>
      <c r="C27" s="35" t="s">
        <v>104</v>
      </c>
      <c r="D27" s="35">
        <v>11239</v>
      </c>
      <c r="E27" s="35">
        <v>74939</v>
      </c>
      <c r="F27" s="35">
        <v>4.3464999999999998</v>
      </c>
      <c r="G27" s="35">
        <v>39.881900000000002</v>
      </c>
      <c r="H27" s="35">
        <v>9.1755999999999993</v>
      </c>
      <c r="J27" t="s">
        <v>130</v>
      </c>
      <c r="M27" s="21" t="s">
        <v>89</v>
      </c>
      <c r="N27" s="21" t="s">
        <v>81</v>
      </c>
      <c r="O27" s="35">
        <v>4.2465000000000002</v>
      </c>
      <c r="P27" s="35">
        <v>44.188699999999997</v>
      </c>
      <c r="Q27" s="35">
        <v>10.405799999999999</v>
      </c>
    </row>
    <row r="28" spans="1:17">
      <c r="A28" s="35">
        <v>18.45</v>
      </c>
      <c r="B28" s="35">
        <v>48</v>
      </c>
      <c r="C28" s="35" t="s">
        <v>104</v>
      </c>
      <c r="D28" s="35">
        <v>12992</v>
      </c>
      <c r="E28" s="35">
        <v>76995</v>
      </c>
      <c r="F28" s="35">
        <v>5.1504000000000003</v>
      </c>
      <c r="G28" s="35">
        <v>41.387599999999999</v>
      </c>
      <c r="H28" s="35">
        <v>8.0358000000000001</v>
      </c>
      <c r="J28" t="s">
        <v>131</v>
      </c>
      <c r="M28" s="21" t="s">
        <v>89</v>
      </c>
      <c r="N28" s="21" t="s">
        <v>81</v>
      </c>
      <c r="O28" s="35">
        <v>4.0816999999999997</v>
      </c>
      <c r="P28" s="35">
        <v>44.621499999999997</v>
      </c>
      <c r="Q28" s="35">
        <v>10.9322</v>
      </c>
    </row>
    <row r="29" spans="1:17">
      <c r="A29" s="35">
        <v>21.47</v>
      </c>
      <c r="B29" s="35">
        <v>49</v>
      </c>
      <c r="C29" s="35" t="s">
        <v>104</v>
      </c>
      <c r="D29" s="35">
        <v>13656</v>
      </c>
      <c r="E29" s="35">
        <v>86449</v>
      </c>
      <c r="F29" s="35">
        <v>4.5052000000000003</v>
      </c>
      <c r="G29" s="35">
        <v>39.976100000000002</v>
      </c>
      <c r="H29" s="35">
        <v>8.8734000000000002</v>
      </c>
      <c r="J29" t="s">
        <v>132</v>
      </c>
      <c r="M29" s="21" t="s">
        <v>89</v>
      </c>
      <c r="N29" s="21" t="s">
        <v>81</v>
      </c>
      <c r="O29" s="35">
        <v>4.3144</v>
      </c>
      <c r="P29" s="35">
        <v>44.783299999999997</v>
      </c>
      <c r="Q29" s="35">
        <v>10.379899999999999</v>
      </c>
    </row>
    <row r="30" spans="1:17">
      <c r="A30" s="35">
        <v>21.84</v>
      </c>
      <c r="B30" s="35">
        <v>50</v>
      </c>
      <c r="C30" s="35" t="s">
        <v>104</v>
      </c>
      <c r="D30" s="35">
        <v>2488</v>
      </c>
      <c r="E30" s="35">
        <v>89374</v>
      </c>
      <c r="F30" s="35">
        <v>0.81069999999999998</v>
      </c>
      <c r="G30" s="35">
        <v>40.639699999999998</v>
      </c>
      <c r="H30" s="35">
        <v>50.127400000000002</v>
      </c>
      <c r="J30" t="s">
        <v>133</v>
      </c>
      <c r="M30" s="21" t="s">
        <v>83</v>
      </c>
      <c r="N30" s="21" t="s">
        <v>82</v>
      </c>
      <c r="O30" s="35">
        <v>2.0630999999999999</v>
      </c>
      <c r="P30" s="35">
        <v>42.668300000000002</v>
      </c>
      <c r="Q30" s="35">
        <v>20.681999999999999</v>
      </c>
    </row>
    <row r="31" spans="1:17">
      <c r="A31" s="35">
        <v>18.73</v>
      </c>
      <c r="B31" s="35">
        <v>51</v>
      </c>
      <c r="C31" s="35" t="s">
        <v>104</v>
      </c>
      <c r="D31" s="35">
        <v>3086</v>
      </c>
      <c r="E31" s="35">
        <v>74978</v>
      </c>
      <c r="F31" s="35">
        <v>1.1749000000000001</v>
      </c>
      <c r="G31" s="35">
        <v>39.689799999999998</v>
      </c>
      <c r="H31" s="35">
        <v>33.7819</v>
      </c>
      <c r="J31" t="s">
        <v>134</v>
      </c>
      <c r="M31" s="21" t="s">
        <v>83</v>
      </c>
      <c r="N31" s="21" t="s">
        <v>82</v>
      </c>
      <c r="O31" s="35">
        <v>2.1465999999999998</v>
      </c>
      <c r="P31" s="35">
        <v>43.014499999999998</v>
      </c>
      <c r="Q31" s="35">
        <v>20.038599999999999</v>
      </c>
    </row>
    <row r="32" spans="1:17">
      <c r="A32" s="35">
        <v>18.690000000000001</v>
      </c>
      <c r="B32" s="35">
        <v>52</v>
      </c>
      <c r="C32" s="35" t="s">
        <v>104</v>
      </c>
      <c r="D32" s="35">
        <v>2397</v>
      </c>
      <c r="E32" s="35">
        <v>74802</v>
      </c>
      <c r="F32" s="35">
        <v>0.91210000000000002</v>
      </c>
      <c r="G32" s="35">
        <v>39.68</v>
      </c>
      <c r="H32" s="35">
        <v>43.505000000000003</v>
      </c>
      <c r="J32" t="s">
        <v>135</v>
      </c>
      <c r="M32" s="21" t="s">
        <v>83</v>
      </c>
      <c r="N32" s="21" t="s">
        <v>82</v>
      </c>
      <c r="O32" s="35">
        <v>3.0190000000000001</v>
      </c>
      <c r="P32" s="35">
        <v>43.382599999999996</v>
      </c>
      <c r="Q32" s="35">
        <v>14.369899999999999</v>
      </c>
    </row>
    <row r="33" spans="1:17">
      <c r="A33" s="35">
        <v>19.52</v>
      </c>
      <c r="B33" s="35">
        <v>53</v>
      </c>
      <c r="C33" s="35" t="s">
        <v>104</v>
      </c>
      <c r="D33" s="35">
        <v>2989</v>
      </c>
      <c r="E33" s="35">
        <v>78820</v>
      </c>
      <c r="F33" s="35">
        <v>1.0918000000000001</v>
      </c>
      <c r="G33" s="35">
        <v>40.055599999999998</v>
      </c>
      <c r="H33" s="35">
        <v>36.689100000000003</v>
      </c>
      <c r="J33" t="s">
        <v>136</v>
      </c>
      <c r="M33" s="21" t="s">
        <v>83</v>
      </c>
      <c r="N33" s="21" t="s">
        <v>82</v>
      </c>
      <c r="O33" s="35">
        <v>2.7006000000000001</v>
      </c>
      <c r="P33" s="35">
        <v>43.7684</v>
      </c>
      <c r="Q33" s="35">
        <v>16.206800000000001</v>
      </c>
    </row>
    <row r="34" spans="1:17">
      <c r="A34" s="35">
        <v>18.43</v>
      </c>
      <c r="B34" s="35">
        <v>54</v>
      </c>
      <c r="C34" s="35" t="s">
        <v>104</v>
      </c>
      <c r="D34" s="35">
        <v>5466</v>
      </c>
      <c r="E34" s="35">
        <v>77229</v>
      </c>
      <c r="F34" s="35">
        <v>2.1082999999999998</v>
      </c>
      <c r="G34" s="35">
        <v>41.559399999999997</v>
      </c>
      <c r="H34" s="35">
        <v>19.712299999999999</v>
      </c>
      <c r="J34" t="s">
        <v>137</v>
      </c>
      <c r="M34" s="21" t="s">
        <v>84</v>
      </c>
      <c r="N34" s="21" t="s">
        <v>82</v>
      </c>
      <c r="O34" s="35">
        <v>1.8080000000000001</v>
      </c>
      <c r="P34" s="35">
        <v>41.690800000000003</v>
      </c>
      <c r="Q34" s="35">
        <v>23.0593</v>
      </c>
    </row>
    <row r="35" spans="1:17">
      <c r="A35" s="35">
        <v>19.760000000000002</v>
      </c>
      <c r="B35" s="35">
        <v>55</v>
      </c>
      <c r="C35" s="35" t="s">
        <v>104</v>
      </c>
      <c r="D35" s="35">
        <v>5576</v>
      </c>
      <c r="E35" s="35">
        <v>82577</v>
      </c>
      <c r="F35" s="35">
        <v>2.0057999999999998</v>
      </c>
      <c r="G35" s="35">
        <v>41.473300000000002</v>
      </c>
      <c r="H35" s="35">
        <v>20.677</v>
      </c>
      <c r="J35" t="s">
        <v>138</v>
      </c>
      <c r="M35" s="21" t="s">
        <v>84</v>
      </c>
      <c r="N35" s="21" t="s">
        <v>82</v>
      </c>
      <c r="O35" s="35">
        <v>1.8915999999999999</v>
      </c>
      <c r="P35" s="35">
        <v>41.7119</v>
      </c>
      <c r="Q35" s="35">
        <v>22.050999999999998</v>
      </c>
    </row>
    <row r="36" spans="1:17">
      <c r="A36" s="35">
        <v>19.190000000000001</v>
      </c>
      <c r="B36" s="35">
        <v>56</v>
      </c>
      <c r="C36" s="35" t="s">
        <v>104</v>
      </c>
      <c r="D36" s="35">
        <v>8405</v>
      </c>
      <c r="E36" s="35">
        <v>78493</v>
      </c>
      <c r="F36" s="35">
        <v>3.1147</v>
      </c>
      <c r="G36" s="35">
        <v>40.573799999999999</v>
      </c>
      <c r="H36" s="35">
        <v>13.0266</v>
      </c>
      <c r="J36" t="s">
        <v>139</v>
      </c>
      <c r="M36" s="21" t="s">
        <v>84</v>
      </c>
      <c r="N36" s="21" t="s">
        <v>82</v>
      </c>
      <c r="O36" s="35">
        <v>2.1798999999999999</v>
      </c>
      <c r="P36" s="35">
        <v>40.855600000000003</v>
      </c>
      <c r="Q36" s="35">
        <v>18.741900000000001</v>
      </c>
    </row>
    <row r="37" spans="1:17">
      <c r="A37" s="35">
        <v>19.7</v>
      </c>
      <c r="B37" s="35">
        <v>57</v>
      </c>
      <c r="C37" s="35" t="s">
        <v>104</v>
      </c>
      <c r="D37" s="35">
        <v>3786</v>
      </c>
      <c r="E37" s="35">
        <v>81960</v>
      </c>
      <c r="F37" s="35">
        <v>1.3703000000000001</v>
      </c>
      <c r="G37" s="35">
        <v>41.285800000000002</v>
      </c>
      <c r="H37" s="35">
        <v>30.1297</v>
      </c>
      <c r="J37" t="s">
        <v>140</v>
      </c>
      <c r="M37" s="21" t="s">
        <v>84</v>
      </c>
      <c r="N37" s="21" t="s">
        <v>82</v>
      </c>
      <c r="O37" s="35">
        <v>1.4588000000000001</v>
      </c>
      <c r="P37" s="35">
        <v>41.460999999999999</v>
      </c>
      <c r="Q37" s="35">
        <v>28.4209</v>
      </c>
    </row>
    <row r="38" spans="1:17">
      <c r="A38" s="35">
        <v>19.809999999999999</v>
      </c>
      <c r="B38" s="35">
        <v>58</v>
      </c>
      <c r="C38" s="35" t="s">
        <v>104</v>
      </c>
      <c r="D38" s="35">
        <v>5751</v>
      </c>
      <c r="E38" s="35">
        <v>85148</v>
      </c>
      <c r="F38" s="35">
        <v>2.0630999999999999</v>
      </c>
      <c r="G38" s="35">
        <v>42.668300000000002</v>
      </c>
      <c r="H38" s="35">
        <v>20.681999999999999</v>
      </c>
      <c r="J38" t="s">
        <v>141</v>
      </c>
      <c r="M38" s="21" t="s">
        <v>85</v>
      </c>
      <c r="N38" s="21" t="s">
        <v>82</v>
      </c>
      <c r="O38" s="35">
        <v>2.1082999999999998</v>
      </c>
      <c r="P38" s="35">
        <v>41.559399999999997</v>
      </c>
      <c r="Q38" s="35">
        <v>19.712299999999999</v>
      </c>
    </row>
    <row r="39" spans="1:17">
      <c r="A39" s="35">
        <v>20.51</v>
      </c>
      <c r="B39" s="35">
        <v>59</v>
      </c>
      <c r="C39" s="35" t="s">
        <v>104</v>
      </c>
      <c r="D39" s="35">
        <v>6199</v>
      </c>
      <c r="E39" s="35">
        <v>88840</v>
      </c>
      <c r="F39" s="35">
        <v>2.1465999999999998</v>
      </c>
      <c r="G39" s="35">
        <v>43.014499999999998</v>
      </c>
      <c r="H39" s="35">
        <v>20.038599999999999</v>
      </c>
      <c r="J39" t="s">
        <v>142</v>
      </c>
      <c r="M39" s="21" t="s">
        <v>85</v>
      </c>
      <c r="N39" s="21" t="s">
        <v>82</v>
      </c>
      <c r="O39" s="35">
        <v>2.0057999999999998</v>
      </c>
      <c r="P39" s="35">
        <v>41.473300000000002</v>
      </c>
      <c r="Q39" s="35">
        <v>20.677</v>
      </c>
    </row>
    <row r="40" spans="1:17">
      <c r="A40" s="35">
        <v>18.77</v>
      </c>
      <c r="B40" s="35">
        <v>60</v>
      </c>
      <c r="C40" s="35" t="s">
        <v>104</v>
      </c>
      <c r="D40" s="35">
        <v>7975</v>
      </c>
      <c r="E40" s="35">
        <v>82056</v>
      </c>
      <c r="F40" s="35">
        <v>3.0190000000000001</v>
      </c>
      <c r="G40" s="35">
        <v>43.382599999999996</v>
      </c>
      <c r="H40" s="35">
        <v>14.369899999999999</v>
      </c>
      <c r="J40" t="s">
        <v>143</v>
      </c>
      <c r="M40" s="21" t="s">
        <v>85</v>
      </c>
      <c r="N40" s="21" t="s">
        <v>82</v>
      </c>
      <c r="O40" s="35">
        <v>3.1147</v>
      </c>
      <c r="P40" s="35">
        <v>40.573799999999999</v>
      </c>
      <c r="Q40" s="35">
        <v>13.0266</v>
      </c>
    </row>
    <row r="41" spans="1:17">
      <c r="A41" s="35">
        <v>20.350000000000001</v>
      </c>
      <c r="B41" s="35">
        <v>61</v>
      </c>
      <c r="C41" s="35" t="s">
        <v>104</v>
      </c>
      <c r="D41" s="35">
        <v>7737</v>
      </c>
      <c r="E41" s="35">
        <v>89686</v>
      </c>
      <c r="F41" s="35">
        <v>2.7006000000000001</v>
      </c>
      <c r="G41" s="35">
        <v>43.7684</v>
      </c>
      <c r="H41" s="35">
        <v>16.206800000000001</v>
      </c>
      <c r="J41" t="s">
        <v>144</v>
      </c>
      <c r="M41" s="21" t="s">
        <v>85</v>
      </c>
      <c r="N41" s="21" t="s">
        <v>82</v>
      </c>
      <c r="O41" s="35">
        <v>1.3703000000000001</v>
      </c>
      <c r="P41" s="35">
        <v>41.285800000000002</v>
      </c>
      <c r="Q41" s="35">
        <v>30.1297</v>
      </c>
    </row>
    <row r="42" spans="1:17">
      <c r="A42" s="35">
        <v>18.600000000000001</v>
      </c>
      <c r="B42" s="35">
        <v>62</v>
      </c>
      <c r="C42" s="35" t="s">
        <v>104</v>
      </c>
      <c r="D42" s="35">
        <v>4037</v>
      </c>
      <c r="E42" s="35">
        <v>80757</v>
      </c>
      <c r="F42" s="35">
        <v>1.5470999999999999</v>
      </c>
      <c r="G42" s="35">
        <v>43.080100000000002</v>
      </c>
      <c r="H42" s="35">
        <v>27.846499999999999</v>
      </c>
      <c r="J42" t="s">
        <v>145</v>
      </c>
      <c r="M42" s="21" t="s">
        <v>86</v>
      </c>
      <c r="N42" s="21" t="s">
        <v>82</v>
      </c>
      <c r="O42" s="35">
        <v>0.81069999999999998</v>
      </c>
      <c r="P42" s="35">
        <v>40.639699999999998</v>
      </c>
      <c r="Q42" s="35">
        <v>50.127400000000002</v>
      </c>
    </row>
    <row r="43" spans="1:17">
      <c r="A43" s="35">
        <v>20.73</v>
      </c>
      <c r="B43" s="35">
        <v>63</v>
      </c>
      <c r="C43" s="35" t="s">
        <v>104</v>
      </c>
      <c r="D43" s="35">
        <v>4353</v>
      </c>
      <c r="E43" s="35">
        <v>89373</v>
      </c>
      <c r="F43" s="35">
        <v>1.4957</v>
      </c>
      <c r="G43" s="35">
        <v>42.815100000000001</v>
      </c>
      <c r="H43" s="35">
        <v>28.6251</v>
      </c>
      <c r="J43" t="s">
        <v>146</v>
      </c>
      <c r="M43" s="21" t="s">
        <v>86</v>
      </c>
      <c r="N43" s="21" t="s">
        <v>82</v>
      </c>
      <c r="O43" s="35">
        <v>1.1749000000000001</v>
      </c>
      <c r="P43" s="35">
        <v>39.689799999999998</v>
      </c>
      <c r="Q43" s="35">
        <v>33.7819</v>
      </c>
    </row>
    <row r="44" spans="1:17">
      <c r="A44" s="35">
        <v>19.75</v>
      </c>
      <c r="B44" s="35">
        <v>64</v>
      </c>
      <c r="C44" s="35" t="s">
        <v>104</v>
      </c>
      <c r="D44" s="35">
        <v>4319</v>
      </c>
      <c r="E44" s="35">
        <v>86479</v>
      </c>
      <c r="F44" s="35">
        <v>1.5577000000000001</v>
      </c>
      <c r="G44" s="35">
        <v>43.472700000000003</v>
      </c>
      <c r="H44" s="35">
        <v>27.907399999999999</v>
      </c>
      <c r="J44" t="s">
        <v>147</v>
      </c>
      <c r="M44" s="21" t="s">
        <v>86</v>
      </c>
      <c r="N44" s="21" t="s">
        <v>82</v>
      </c>
      <c r="O44" s="35">
        <v>0.91210000000000002</v>
      </c>
      <c r="P44" s="35">
        <v>39.68</v>
      </c>
      <c r="Q44" s="35">
        <v>43.505000000000003</v>
      </c>
    </row>
    <row r="45" spans="1:17">
      <c r="A45" s="35">
        <v>20.65</v>
      </c>
      <c r="B45" s="35">
        <v>65</v>
      </c>
      <c r="C45" s="35" t="s">
        <v>104</v>
      </c>
      <c r="D45" s="35">
        <v>3170</v>
      </c>
      <c r="E45" s="35">
        <v>88437</v>
      </c>
      <c r="F45" s="35">
        <v>1.0947</v>
      </c>
      <c r="G45" s="35">
        <v>42.527000000000001</v>
      </c>
      <c r="H45" s="35">
        <v>38.8491</v>
      </c>
      <c r="J45" t="s">
        <v>148</v>
      </c>
      <c r="M45" s="21" t="s">
        <v>86</v>
      </c>
      <c r="N45" s="21" t="s">
        <v>82</v>
      </c>
      <c r="O45" s="35">
        <v>1.0918000000000001</v>
      </c>
      <c r="P45" s="35">
        <v>40.055599999999998</v>
      </c>
      <c r="Q45" s="35">
        <v>36.689100000000003</v>
      </c>
    </row>
    <row r="46" spans="1:17">
      <c r="A46" s="35">
        <v>20.64</v>
      </c>
      <c r="B46" s="35">
        <v>66</v>
      </c>
      <c r="C46" s="35" t="s">
        <v>104</v>
      </c>
      <c r="D46" s="35">
        <v>9076</v>
      </c>
      <c r="E46" s="35">
        <v>95496</v>
      </c>
      <c r="F46" s="35">
        <v>3.1328</v>
      </c>
      <c r="G46" s="35">
        <v>45.970799999999997</v>
      </c>
      <c r="H46" s="35">
        <v>14.674200000000001</v>
      </c>
      <c r="J46" t="s">
        <v>149</v>
      </c>
      <c r="M46" s="21" t="s">
        <v>87</v>
      </c>
      <c r="N46" s="21" t="s">
        <v>82</v>
      </c>
      <c r="O46" s="35">
        <v>2.4847000000000001</v>
      </c>
      <c r="P46" s="35">
        <v>43.933999999999997</v>
      </c>
      <c r="Q46" s="35">
        <v>17.681899999999999</v>
      </c>
    </row>
    <row r="47" spans="1:17">
      <c r="A47" s="35">
        <v>21.65</v>
      </c>
      <c r="B47" s="35">
        <v>67</v>
      </c>
      <c r="C47" s="35" t="s">
        <v>104</v>
      </c>
      <c r="D47" s="35">
        <v>5367</v>
      </c>
      <c r="E47" s="35">
        <v>98791</v>
      </c>
      <c r="F47" s="35">
        <v>1.7626999999999999</v>
      </c>
      <c r="G47" s="35">
        <v>45.348599999999998</v>
      </c>
      <c r="H47" s="35">
        <v>25.7273</v>
      </c>
      <c r="J47" t="s">
        <v>150</v>
      </c>
      <c r="M47" s="21" t="s">
        <v>87</v>
      </c>
      <c r="N47" s="21" t="s">
        <v>82</v>
      </c>
      <c r="O47" s="35">
        <v>2.7875000000000001</v>
      </c>
      <c r="P47" s="35">
        <v>43.976999999999997</v>
      </c>
      <c r="Q47" s="35">
        <v>15.776300000000001</v>
      </c>
    </row>
    <row r="48" spans="1:17">
      <c r="A48" s="35">
        <v>19.309999999999999</v>
      </c>
      <c r="B48" s="35">
        <v>68</v>
      </c>
      <c r="C48" s="35" t="s">
        <v>104</v>
      </c>
      <c r="D48" s="35">
        <v>4196</v>
      </c>
      <c r="E48" s="35">
        <v>87505</v>
      </c>
      <c r="F48" s="35">
        <v>1.5483</v>
      </c>
      <c r="G48" s="35">
        <v>44.995399999999997</v>
      </c>
      <c r="H48" s="35">
        <v>29.061900000000001</v>
      </c>
      <c r="J48" t="s">
        <v>151</v>
      </c>
      <c r="M48" s="21" t="s">
        <v>87</v>
      </c>
      <c r="N48" s="21" t="s">
        <v>82</v>
      </c>
      <c r="O48" s="35">
        <v>2.3601999999999999</v>
      </c>
      <c r="P48" s="35">
        <v>42.262799999999999</v>
      </c>
      <c r="Q48" s="35">
        <v>17.9068</v>
      </c>
    </row>
    <row r="49" spans="1:17">
      <c r="A49" s="35">
        <v>18.649999999999999</v>
      </c>
      <c r="B49" s="35">
        <v>69</v>
      </c>
      <c r="C49" s="35" t="s">
        <v>104</v>
      </c>
      <c r="D49" s="35">
        <v>6526</v>
      </c>
      <c r="E49" s="35">
        <v>82563</v>
      </c>
      <c r="F49" s="35">
        <v>2.4847000000000001</v>
      </c>
      <c r="G49" s="35">
        <v>43.933999999999997</v>
      </c>
      <c r="H49" s="35">
        <v>17.681899999999999</v>
      </c>
      <c r="J49" t="s">
        <v>152</v>
      </c>
      <c r="M49" s="21" t="s">
        <v>87</v>
      </c>
      <c r="N49" s="21" t="s">
        <v>82</v>
      </c>
      <c r="O49" s="35">
        <v>2.4466999999999999</v>
      </c>
      <c r="P49" s="35">
        <v>44.257899999999999</v>
      </c>
      <c r="Q49" s="35">
        <v>18.089099999999998</v>
      </c>
    </row>
    <row r="50" spans="1:17">
      <c r="A50" s="35">
        <v>21.29</v>
      </c>
      <c r="B50" s="35">
        <v>70</v>
      </c>
      <c r="C50" s="35" t="s">
        <v>104</v>
      </c>
      <c r="D50" s="35">
        <v>8347</v>
      </c>
      <c r="E50" s="35">
        <v>94241</v>
      </c>
      <c r="F50" s="35">
        <v>2.7875000000000001</v>
      </c>
      <c r="G50" s="35">
        <v>43.976999999999997</v>
      </c>
      <c r="H50" s="35">
        <v>15.776300000000001</v>
      </c>
      <c r="J50" t="s">
        <v>153</v>
      </c>
      <c r="M50" s="21" t="s">
        <v>88</v>
      </c>
      <c r="N50" s="21" t="s">
        <v>82</v>
      </c>
      <c r="O50" s="35">
        <v>1.5470999999999999</v>
      </c>
      <c r="P50" s="35">
        <v>43.080100000000002</v>
      </c>
      <c r="Q50" s="35">
        <v>27.846499999999999</v>
      </c>
    </row>
    <row r="51" spans="1:17">
      <c r="A51" s="35">
        <v>18.71</v>
      </c>
      <c r="B51" s="35">
        <v>71</v>
      </c>
      <c r="C51" s="35" t="s">
        <v>104</v>
      </c>
      <c r="D51" s="35">
        <v>6218</v>
      </c>
      <c r="E51" s="35">
        <v>79704</v>
      </c>
      <c r="F51" s="35">
        <v>2.3601999999999999</v>
      </c>
      <c r="G51" s="35">
        <v>42.262799999999999</v>
      </c>
      <c r="H51" s="35">
        <v>17.9068</v>
      </c>
      <c r="J51" t="s">
        <v>154</v>
      </c>
      <c r="M51" s="21" t="s">
        <v>88</v>
      </c>
      <c r="N51" s="21" t="s">
        <v>82</v>
      </c>
      <c r="O51" s="35">
        <v>1.4957</v>
      </c>
      <c r="P51" s="35">
        <v>42.815100000000001</v>
      </c>
      <c r="Q51" s="35">
        <v>28.6251</v>
      </c>
    </row>
    <row r="52" spans="1:17">
      <c r="A52" s="35">
        <v>21.49</v>
      </c>
      <c r="B52" s="35">
        <v>72</v>
      </c>
      <c r="C52" s="35" t="s">
        <v>104</v>
      </c>
      <c r="D52" s="35">
        <v>7404</v>
      </c>
      <c r="E52" s="35">
        <v>95723</v>
      </c>
      <c r="F52" s="35">
        <v>2.4466999999999999</v>
      </c>
      <c r="G52" s="35">
        <v>44.257899999999999</v>
      </c>
      <c r="H52" s="35">
        <v>18.089099999999998</v>
      </c>
      <c r="J52" t="s">
        <v>155</v>
      </c>
      <c r="M52" s="21" t="s">
        <v>88</v>
      </c>
      <c r="N52" s="21" t="s">
        <v>82</v>
      </c>
      <c r="O52" s="35">
        <v>1.5577000000000001</v>
      </c>
      <c r="P52" s="35">
        <v>43.472700000000003</v>
      </c>
      <c r="Q52" s="35">
        <v>27.907399999999999</v>
      </c>
    </row>
    <row r="53" spans="1:17">
      <c r="A53" s="35">
        <v>19.510000000000002</v>
      </c>
      <c r="B53" s="35">
        <v>73</v>
      </c>
      <c r="C53" s="35" t="s">
        <v>104</v>
      </c>
      <c r="D53" s="35">
        <v>4957</v>
      </c>
      <c r="E53" s="35">
        <v>81965</v>
      </c>
      <c r="F53" s="35">
        <v>1.8080000000000001</v>
      </c>
      <c r="G53" s="35">
        <v>41.690800000000003</v>
      </c>
      <c r="H53" s="35">
        <v>23.0593</v>
      </c>
      <c r="J53" t="s">
        <v>156</v>
      </c>
      <c r="M53" s="21" t="s">
        <v>88</v>
      </c>
      <c r="N53" s="21" t="s">
        <v>82</v>
      </c>
      <c r="O53" s="35">
        <v>1.0947</v>
      </c>
      <c r="P53" s="35">
        <v>42.527000000000001</v>
      </c>
      <c r="Q53" s="35">
        <v>38.8491</v>
      </c>
    </row>
    <row r="54" spans="1:17">
      <c r="A54" s="35">
        <v>20.69</v>
      </c>
      <c r="B54" s="35">
        <v>74</v>
      </c>
      <c r="C54" s="35" t="s">
        <v>104</v>
      </c>
      <c r="D54" s="35">
        <v>5506</v>
      </c>
      <c r="E54" s="35">
        <v>86922</v>
      </c>
      <c r="F54" s="35">
        <v>1.8915999999999999</v>
      </c>
      <c r="G54" s="35">
        <v>41.7119</v>
      </c>
      <c r="H54" s="35">
        <v>22.050999999999998</v>
      </c>
      <c r="J54" t="s">
        <v>157</v>
      </c>
      <c r="M54" s="21" t="s">
        <v>89</v>
      </c>
      <c r="N54" s="21" t="s">
        <v>82</v>
      </c>
      <c r="O54" s="35">
        <v>3.1328</v>
      </c>
      <c r="P54" s="35">
        <v>45.970799999999997</v>
      </c>
      <c r="Q54" s="35">
        <v>14.674200000000001</v>
      </c>
    </row>
    <row r="55" spans="1:17">
      <c r="A55" s="35">
        <v>18.93</v>
      </c>
      <c r="B55" s="35">
        <v>75</v>
      </c>
      <c r="C55" s="35" t="s">
        <v>104</v>
      </c>
      <c r="D55" s="35">
        <v>5808</v>
      </c>
      <c r="E55" s="35">
        <v>77973</v>
      </c>
      <c r="F55" s="35">
        <v>2.1798999999999999</v>
      </c>
      <c r="G55" s="35">
        <v>40.855600000000003</v>
      </c>
      <c r="H55" s="35">
        <v>18.741900000000001</v>
      </c>
      <c r="J55" t="s">
        <v>158</v>
      </c>
      <c r="M55" s="21" t="s">
        <v>89</v>
      </c>
      <c r="N55" s="21" t="s">
        <v>82</v>
      </c>
      <c r="O55" s="35">
        <v>1.7626999999999999</v>
      </c>
      <c r="P55" s="35">
        <v>45.348599999999998</v>
      </c>
      <c r="Q55" s="35">
        <v>25.7273</v>
      </c>
    </row>
    <row r="56" spans="1:17">
      <c r="A56" s="35">
        <v>21.19</v>
      </c>
      <c r="B56" s="35">
        <v>76</v>
      </c>
      <c r="C56" s="35" t="s">
        <v>104</v>
      </c>
      <c r="D56" s="35">
        <v>4339</v>
      </c>
      <c r="E56" s="35">
        <v>88474</v>
      </c>
      <c r="F56" s="35">
        <v>1.4588000000000001</v>
      </c>
      <c r="G56" s="35">
        <v>41.460999999999999</v>
      </c>
      <c r="H56" s="35">
        <v>28.4209</v>
      </c>
      <c r="J56" t="s">
        <v>159</v>
      </c>
      <c r="M56" s="21" t="s">
        <v>89</v>
      </c>
      <c r="N56" s="21" t="s">
        <v>82</v>
      </c>
      <c r="O56" s="35">
        <v>1.5483</v>
      </c>
      <c r="P56" s="35">
        <v>44.995399999999997</v>
      </c>
      <c r="Q56" s="35">
        <v>29.061900000000001</v>
      </c>
    </row>
    <row r="57" spans="1:17">
      <c r="M57" s="21" t="s">
        <v>89</v>
      </c>
      <c r="N57" s="21" t="s">
        <v>82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8"/>
  <sheetViews>
    <sheetView topLeftCell="I1" workbookViewId="0">
      <selection activeCell="N22" sqref="N22"/>
    </sheetView>
  </sheetViews>
  <sheetFormatPr baseColWidth="10" defaultColWidth="9" defaultRowHeight="14"/>
  <cols>
    <col min="1" max="2" width="13" customWidth="1"/>
    <col min="4" max="4" width="12.83203125" style="1"/>
    <col min="12" max="13" width="15.1640625" customWidth="1"/>
  </cols>
  <sheetData>
    <row r="1" spans="1:17">
      <c r="A1" s="2" t="s">
        <v>0</v>
      </c>
      <c r="B1" s="2" t="s">
        <v>73</v>
      </c>
      <c r="C1" s="2" t="s">
        <v>74</v>
      </c>
      <c r="D1" s="3" t="s">
        <v>75</v>
      </c>
      <c r="E1" s="2" t="s">
        <v>76</v>
      </c>
      <c r="F1" s="38" t="s">
        <v>77</v>
      </c>
      <c r="G1" s="38"/>
      <c r="H1" s="38"/>
      <c r="I1" s="38"/>
      <c r="J1" s="38"/>
      <c r="K1" s="38"/>
      <c r="L1" s="3"/>
      <c r="M1" s="3" t="s">
        <v>3</v>
      </c>
      <c r="N1" s="18" t="s">
        <v>93</v>
      </c>
      <c r="O1" s="18" t="s">
        <v>94</v>
      </c>
      <c r="P1" s="18" t="s">
        <v>14</v>
      </c>
      <c r="Q1" s="18" t="s">
        <v>15</v>
      </c>
    </row>
    <row r="2" spans="1:17">
      <c r="A2" s="4" t="s">
        <v>16</v>
      </c>
      <c r="B2" s="12">
        <v>28.5975</v>
      </c>
      <c r="C2" s="12">
        <v>16.720833333333299</v>
      </c>
      <c r="D2" s="3">
        <f>B2/2</f>
        <v>14.29875</v>
      </c>
      <c r="E2" s="3">
        <f>C2/2</f>
        <v>8.3604166666666497</v>
      </c>
      <c r="F2" s="2">
        <v>31</v>
      </c>
      <c r="G2" s="2">
        <v>30</v>
      </c>
      <c r="H2" s="2">
        <v>33</v>
      </c>
      <c r="I2" s="2">
        <v>30</v>
      </c>
      <c r="J2" s="2">
        <v>28</v>
      </c>
      <c r="K2" s="2">
        <v>32</v>
      </c>
      <c r="L2" s="3">
        <f>AVERAGE(F2:K2)</f>
        <v>30.666666666666668</v>
      </c>
      <c r="M2" s="3">
        <v>39.119999999999997</v>
      </c>
      <c r="N2">
        <f>D2*E2*3.14</f>
        <v>375.36661453124924</v>
      </c>
      <c r="O2">
        <f>L2/0.079</f>
        <v>388.1856540084388</v>
      </c>
      <c r="P2">
        <f>O2*M2*100</f>
        <v>1518582.2784810124</v>
      </c>
      <c r="Q2">
        <f>P2*N2*0.000001</f>
        <v>570.02508876056834</v>
      </c>
    </row>
    <row r="3" spans="1:17">
      <c r="A3" s="4" t="s">
        <v>17</v>
      </c>
      <c r="B3" s="12">
        <v>29.768888888888899</v>
      </c>
      <c r="C3" s="12">
        <v>17.736166666666701</v>
      </c>
      <c r="D3" s="3">
        <f t="shared" ref="D3:D34" si="0">B3/2</f>
        <v>14.884444444444449</v>
      </c>
      <c r="E3" s="3">
        <f t="shared" ref="E3:E34" si="1">C3/2</f>
        <v>8.8680833333333506</v>
      </c>
      <c r="F3" s="2">
        <v>28</v>
      </c>
      <c r="G3" s="2">
        <v>30</v>
      </c>
      <c r="H3" s="2">
        <v>32</v>
      </c>
      <c r="I3" s="2">
        <v>34</v>
      </c>
      <c r="J3" s="2">
        <v>34</v>
      </c>
      <c r="K3" s="2">
        <v>35</v>
      </c>
      <c r="L3" s="3">
        <f t="shared" ref="L3:L34" si="2">AVERAGE(F3:K3)</f>
        <v>32.166666666666664</v>
      </c>
      <c r="M3" s="3">
        <v>38.79</v>
      </c>
      <c r="N3">
        <f t="shared" ref="N3:N56" si="3">D3*E3*3.14</f>
        <v>414.46899022963061</v>
      </c>
      <c r="O3">
        <f t="shared" ref="O3:O56" si="4">L3/0.079</f>
        <v>407.17299578059067</v>
      </c>
      <c r="P3">
        <f t="shared" ref="P3:P56" si="5">O3*M3*100</f>
        <v>1579424.0506329113</v>
      </c>
      <c r="Q3">
        <f t="shared" ref="Q3:Q56" si="6">P3*N3*0.000001</f>
        <v>654.62229141021567</v>
      </c>
    </row>
    <row r="4" spans="1:17">
      <c r="A4" s="4" t="s">
        <v>18</v>
      </c>
      <c r="B4" s="12">
        <v>28.536111111111101</v>
      </c>
      <c r="C4" s="12">
        <v>17.091666666666701</v>
      </c>
      <c r="D4" s="3">
        <f t="shared" si="0"/>
        <v>14.26805555555555</v>
      </c>
      <c r="E4" s="3">
        <f t="shared" si="1"/>
        <v>8.5458333333333503</v>
      </c>
      <c r="F4" s="2">
        <v>27</v>
      </c>
      <c r="G4" s="2">
        <v>26</v>
      </c>
      <c r="H4" s="2">
        <v>32</v>
      </c>
      <c r="I4" s="2">
        <v>28</v>
      </c>
      <c r="J4" s="2">
        <v>30</v>
      </c>
      <c r="K4" s="2">
        <v>27</v>
      </c>
      <c r="L4" s="3">
        <f t="shared" si="2"/>
        <v>28.333333333333332</v>
      </c>
      <c r="M4" s="3">
        <v>48.73</v>
      </c>
      <c r="N4">
        <f t="shared" si="3"/>
        <v>382.86781377314878</v>
      </c>
      <c r="O4">
        <f t="shared" si="4"/>
        <v>358.64978902953584</v>
      </c>
      <c r="P4">
        <f t="shared" si="5"/>
        <v>1747700.4219409283</v>
      </c>
      <c r="Q4">
        <f t="shared" si="6"/>
        <v>669.13823967893291</v>
      </c>
    </row>
    <row r="5" spans="1:17">
      <c r="A5" s="4" t="s">
        <v>19</v>
      </c>
      <c r="B5" s="12">
        <v>29.8944444444444</v>
      </c>
      <c r="C5" s="12">
        <v>16.3408333333334</v>
      </c>
      <c r="D5" s="3">
        <f t="shared" si="0"/>
        <v>14.9472222222222</v>
      </c>
      <c r="E5" s="3">
        <f t="shared" si="1"/>
        <v>8.1704166666667</v>
      </c>
      <c r="F5" s="2">
        <v>30</v>
      </c>
      <c r="G5" s="2">
        <v>31</v>
      </c>
      <c r="H5" s="2">
        <v>28</v>
      </c>
      <c r="I5" s="2">
        <v>25</v>
      </c>
      <c r="J5" s="2">
        <v>23</v>
      </c>
      <c r="K5" s="2">
        <v>26</v>
      </c>
      <c r="L5" s="3">
        <f t="shared" si="2"/>
        <v>27.166666666666668</v>
      </c>
      <c r="M5" s="3">
        <v>46.76</v>
      </c>
      <c r="N5">
        <f t="shared" si="3"/>
        <v>383.47260539351953</v>
      </c>
      <c r="O5">
        <f t="shared" si="4"/>
        <v>343.88185654008441</v>
      </c>
      <c r="P5">
        <f t="shared" si="5"/>
        <v>1607991.5611814347</v>
      </c>
      <c r="Q5">
        <f t="shared" si="6"/>
        <v>616.62071341703768</v>
      </c>
    </row>
    <row r="6" spans="1:17">
      <c r="A6" s="5" t="s">
        <v>20</v>
      </c>
      <c r="B6" s="12">
        <v>26.070333333333298</v>
      </c>
      <c r="C6" s="12">
        <v>12.8536111111111</v>
      </c>
      <c r="D6" s="3">
        <f t="shared" si="0"/>
        <v>13.035166666666649</v>
      </c>
      <c r="E6" s="3">
        <f t="shared" si="1"/>
        <v>6.4268055555555499</v>
      </c>
      <c r="F6" s="2">
        <v>29</v>
      </c>
      <c r="G6" s="2">
        <v>28</v>
      </c>
      <c r="H6" s="2">
        <v>33</v>
      </c>
      <c r="I6" s="2">
        <v>30</v>
      </c>
      <c r="J6" s="2">
        <v>25</v>
      </c>
      <c r="K6" s="2">
        <v>29</v>
      </c>
      <c r="L6" s="3">
        <f t="shared" si="2"/>
        <v>29</v>
      </c>
      <c r="M6" s="3">
        <v>71.45</v>
      </c>
      <c r="N6">
        <f t="shared" si="3"/>
        <v>263.05187206990684</v>
      </c>
      <c r="O6">
        <f t="shared" si="4"/>
        <v>367.08860759493672</v>
      </c>
      <c r="P6">
        <f t="shared" si="5"/>
        <v>2622848.101265823</v>
      </c>
      <c r="Q6">
        <f t="shared" si="6"/>
        <v>689.94510319297524</v>
      </c>
    </row>
    <row r="7" spans="1:17">
      <c r="A7" s="5" t="s">
        <v>21</v>
      </c>
      <c r="B7" s="12">
        <v>27.830833333333299</v>
      </c>
      <c r="C7" s="12">
        <v>13.7538888888889</v>
      </c>
      <c r="D7" s="3">
        <f t="shared" si="0"/>
        <v>13.915416666666649</v>
      </c>
      <c r="E7" s="3">
        <f t="shared" si="1"/>
        <v>6.8769444444444501</v>
      </c>
      <c r="F7" s="2">
        <v>22</v>
      </c>
      <c r="G7" s="2">
        <v>25</v>
      </c>
      <c r="H7" s="2">
        <v>24</v>
      </c>
      <c r="I7" s="2">
        <v>20</v>
      </c>
      <c r="J7" s="2">
        <v>26</v>
      </c>
      <c r="K7" s="2">
        <v>21</v>
      </c>
      <c r="L7" s="3">
        <f t="shared" si="2"/>
        <v>23</v>
      </c>
      <c r="M7" s="3">
        <v>122.66</v>
      </c>
      <c r="N7">
        <f t="shared" si="3"/>
        <v>300.48401864120359</v>
      </c>
      <c r="O7">
        <f t="shared" si="4"/>
        <v>291.13924050632909</v>
      </c>
      <c r="P7">
        <f t="shared" si="5"/>
        <v>3571113.9240506324</v>
      </c>
      <c r="Q7">
        <f t="shared" si="6"/>
        <v>1073.062662924292</v>
      </c>
    </row>
    <row r="8" spans="1:17">
      <c r="A8" s="5" t="s">
        <v>22</v>
      </c>
      <c r="B8" s="12">
        <v>24.594999999999999</v>
      </c>
      <c r="C8" s="12">
        <v>13.6001666666667</v>
      </c>
      <c r="D8" s="3">
        <f t="shared" si="0"/>
        <v>12.297499999999999</v>
      </c>
      <c r="E8" s="3">
        <f t="shared" si="1"/>
        <v>6.8000833333333501</v>
      </c>
      <c r="F8" s="2">
        <v>31</v>
      </c>
      <c r="G8" s="2">
        <v>28</v>
      </c>
      <c r="H8" s="2">
        <v>26</v>
      </c>
      <c r="I8" s="2">
        <v>27</v>
      </c>
      <c r="J8" s="2">
        <v>25</v>
      </c>
      <c r="K8" s="2">
        <v>26</v>
      </c>
      <c r="L8" s="3">
        <f t="shared" si="2"/>
        <v>27.166666666666668</v>
      </c>
      <c r="M8" s="3">
        <v>121.52</v>
      </c>
      <c r="N8">
        <f t="shared" si="3"/>
        <v>262.57943784583398</v>
      </c>
      <c r="O8">
        <f t="shared" si="4"/>
        <v>343.88185654008441</v>
      </c>
      <c r="P8">
        <f t="shared" si="5"/>
        <v>4178852.3206751058</v>
      </c>
      <c r="Q8">
        <f t="shared" si="6"/>
        <v>1097.2806932036281</v>
      </c>
    </row>
    <row r="9" spans="1:17">
      <c r="A9" s="5" t="s">
        <v>23</v>
      </c>
      <c r="B9" s="12">
        <v>27.627777777777801</v>
      </c>
      <c r="C9" s="12">
        <v>15.3847222222222</v>
      </c>
      <c r="D9" s="3">
        <f t="shared" si="0"/>
        <v>13.813888888888901</v>
      </c>
      <c r="E9" s="3">
        <f t="shared" si="1"/>
        <v>7.6923611111110999</v>
      </c>
      <c r="F9" s="2">
        <v>29</v>
      </c>
      <c r="G9" s="2">
        <v>27</v>
      </c>
      <c r="H9" s="2">
        <v>26</v>
      </c>
      <c r="I9" s="2">
        <v>28</v>
      </c>
      <c r="J9" s="2">
        <v>29</v>
      </c>
      <c r="K9" s="2">
        <v>26</v>
      </c>
      <c r="L9" s="3">
        <f t="shared" si="2"/>
        <v>27.5</v>
      </c>
      <c r="M9" s="3">
        <v>80.77</v>
      </c>
      <c r="N9">
        <f t="shared" si="3"/>
        <v>333.66086408178995</v>
      </c>
      <c r="O9">
        <f t="shared" si="4"/>
        <v>348.1012658227848</v>
      </c>
      <c r="P9">
        <f t="shared" si="5"/>
        <v>2811613.9240506329</v>
      </c>
      <c r="Q9">
        <f t="shared" si="6"/>
        <v>938.12553136312624</v>
      </c>
    </row>
    <row r="10" spans="1:17">
      <c r="A10" s="7" t="s">
        <v>24</v>
      </c>
      <c r="B10" s="12">
        <v>27.151888888888902</v>
      </c>
      <c r="C10" s="12">
        <v>14.3191666666667</v>
      </c>
      <c r="D10" s="3">
        <f t="shared" si="0"/>
        <v>13.575944444444451</v>
      </c>
      <c r="E10" s="3">
        <f t="shared" si="1"/>
        <v>7.1595833333333498</v>
      </c>
      <c r="F10" s="2">
        <v>30</v>
      </c>
      <c r="G10" s="2">
        <v>33</v>
      </c>
      <c r="H10" s="2">
        <v>39</v>
      </c>
      <c r="I10" s="2">
        <v>30</v>
      </c>
      <c r="J10" s="2">
        <v>32</v>
      </c>
      <c r="K10" s="2">
        <v>33</v>
      </c>
      <c r="L10" s="3">
        <f t="shared" si="2"/>
        <v>32.833333333333336</v>
      </c>
      <c r="M10" s="3">
        <v>42.1</v>
      </c>
      <c r="N10">
        <f t="shared" si="3"/>
        <v>305.20205151713049</v>
      </c>
      <c r="O10">
        <f t="shared" si="4"/>
        <v>415.6118143459916</v>
      </c>
      <c r="P10">
        <f t="shared" si="5"/>
        <v>1749725.7383966248</v>
      </c>
      <c r="Q10">
        <f t="shared" si="6"/>
        <v>534.01988495097578</v>
      </c>
    </row>
    <row r="11" spans="1:17">
      <c r="A11" s="7" t="s">
        <v>25</v>
      </c>
      <c r="B11" s="12">
        <v>25.932111111111102</v>
      </c>
      <c r="C11" s="12">
        <v>14.8686111111111</v>
      </c>
      <c r="D11" s="3">
        <f t="shared" si="0"/>
        <v>12.966055555555551</v>
      </c>
      <c r="E11" s="3">
        <f t="shared" si="1"/>
        <v>7.4343055555555502</v>
      </c>
      <c r="F11" s="2">
        <v>33</v>
      </c>
      <c r="G11" s="2">
        <v>36</v>
      </c>
      <c r="H11" s="2">
        <v>33</v>
      </c>
      <c r="I11" s="2">
        <v>34</v>
      </c>
      <c r="J11" s="2">
        <v>32</v>
      </c>
      <c r="K11" s="2">
        <v>34</v>
      </c>
      <c r="L11" s="3">
        <f t="shared" si="2"/>
        <v>33.666666666666664</v>
      </c>
      <c r="M11" s="3">
        <v>34.19</v>
      </c>
      <c r="N11">
        <f t="shared" si="3"/>
        <v>302.67596318996885</v>
      </c>
      <c r="O11">
        <f t="shared" si="4"/>
        <v>426.16033755274259</v>
      </c>
      <c r="P11">
        <f t="shared" si="5"/>
        <v>1457042.1940928269</v>
      </c>
      <c r="Q11">
        <f t="shared" si="6"/>
        <v>441.01164950547195</v>
      </c>
    </row>
    <row r="12" spans="1:17">
      <c r="A12" s="7" t="s">
        <v>26</v>
      </c>
      <c r="B12" s="12">
        <v>26.8747222222222</v>
      </c>
      <c r="C12" s="12">
        <v>13.407777777777801</v>
      </c>
      <c r="D12" s="3">
        <f t="shared" si="0"/>
        <v>13.4373611111111</v>
      </c>
      <c r="E12" s="3">
        <f t="shared" si="1"/>
        <v>6.7038888888889003</v>
      </c>
      <c r="F12" s="2">
        <v>31</v>
      </c>
      <c r="G12" s="2">
        <v>34</v>
      </c>
      <c r="H12" s="2">
        <v>28</v>
      </c>
      <c r="I12" s="2">
        <v>33</v>
      </c>
      <c r="J12" s="2">
        <v>28</v>
      </c>
      <c r="K12" s="2">
        <v>28</v>
      </c>
      <c r="L12" s="3">
        <f t="shared" si="2"/>
        <v>30.333333333333332</v>
      </c>
      <c r="M12" s="3">
        <v>40.22</v>
      </c>
      <c r="N12">
        <f t="shared" si="3"/>
        <v>282.8592881651237</v>
      </c>
      <c r="O12">
        <f t="shared" si="4"/>
        <v>383.96624472573836</v>
      </c>
      <c r="P12">
        <f t="shared" si="5"/>
        <v>1544312.2362869198</v>
      </c>
      <c r="Q12">
        <f t="shared" si="6"/>
        <v>436.82305986080843</v>
      </c>
    </row>
    <row r="13" spans="1:17">
      <c r="A13" s="7" t="s">
        <v>27</v>
      </c>
      <c r="B13" s="12">
        <v>27.426111111111101</v>
      </c>
      <c r="C13" s="12">
        <v>14.0761111111111</v>
      </c>
      <c r="D13" s="3">
        <f t="shared" si="0"/>
        <v>13.713055555555551</v>
      </c>
      <c r="E13" s="3">
        <f t="shared" si="1"/>
        <v>7.03805555555555</v>
      </c>
      <c r="F13" s="2">
        <v>27</v>
      </c>
      <c r="G13" s="2">
        <v>26</v>
      </c>
      <c r="H13" s="2">
        <v>29</v>
      </c>
      <c r="I13" s="2">
        <v>28</v>
      </c>
      <c r="J13" s="2">
        <v>30</v>
      </c>
      <c r="K13" s="2">
        <v>28</v>
      </c>
      <c r="L13" s="3">
        <f t="shared" si="2"/>
        <v>28</v>
      </c>
      <c r="M13" s="3">
        <v>33.159999999999997</v>
      </c>
      <c r="N13">
        <f t="shared" si="3"/>
        <v>303.05159506635766</v>
      </c>
      <c r="O13">
        <f t="shared" si="4"/>
        <v>354.43037974683546</v>
      </c>
      <c r="P13">
        <f t="shared" si="5"/>
        <v>1175291.1392405061</v>
      </c>
      <c r="Q13">
        <f t="shared" si="6"/>
        <v>356.17385441419202</v>
      </c>
    </row>
    <row r="14" spans="1:17">
      <c r="A14" s="8" t="s">
        <v>28</v>
      </c>
      <c r="B14" s="12">
        <v>33.184333333333299</v>
      </c>
      <c r="C14" s="12">
        <v>16.8333333333333</v>
      </c>
      <c r="D14" s="3">
        <f t="shared" si="0"/>
        <v>16.59216666666665</v>
      </c>
      <c r="E14" s="3">
        <f t="shared" si="1"/>
        <v>8.4166666666666501</v>
      </c>
      <c r="F14" s="2">
        <v>26</v>
      </c>
      <c r="G14" s="2">
        <v>24</v>
      </c>
      <c r="H14" s="2">
        <v>26</v>
      </c>
      <c r="I14" s="2">
        <v>28</v>
      </c>
      <c r="J14" s="2">
        <v>26</v>
      </c>
      <c r="K14" s="2">
        <v>24</v>
      </c>
      <c r="L14" s="3">
        <f t="shared" si="2"/>
        <v>25.666666666666668</v>
      </c>
      <c r="M14" s="3">
        <v>226.86</v>
      </c>
      <c r="N14">
        <f t="shared" si="3"/>
        <v>438.5033113888876</v>
      </c>
      <c r="O14">
        <f t="shared" si="4"/>
        <v>324.89451476793249</v>
      </c>
      <c r="P14">
        <f t="shared" si="5"/>
        <v>7370556.9620253164</v>
      </c>
      <c r="Q14">
        <f t="shared" si="6"/>
        <v>3232.0136346285203</v>
      </c>
    </row>
    <row r="15" spans="1:17">
      <c r="A15" s="8" t="s">
        <v>29</v>
      </c>
      <c r="B15" s="12">
        <v>34.9647222222222</v>
      </c>
      <c r="C15" s="12">
        <v>15.327722222222199</v>
      </c>
      <c r="D15" s="3">
        <f t="shared" si="0"/>
        <v>17.4823611111111</v>
      </c>
      <c r="E15" s="3">
        <f t="shared" si="1"/>
        <v>7.6638611111110997</v>
      </c>
      <c r="F15" s="2">
        <v>20</v>
      </c>
      <c r="G15" s="2">
        <v>17</v>
      </c>
      <c r="H15" s="2">
        <v>18</v>
      </c>
      <c r="I15" s="2">
        <v>19</v>
      </c>
      <c r="J15" s="2">
        <v>22</v>
      </c>
      <c r="K15" s="2">
        <v>24</v>
      </c>
      <c r="L15" s="3">
        <f t="shared" si="2"/>
        <v>20</v>
      </c>
      <c r="M15" s="3">
        <v>389.51</v>
      </c>
      <c r="N15">
        <f t="shared" si="3"/>
        <v>420.70469659251455</v>
      </c>
      <c r="O15">
        <f t="shared" si="4"/>
        <v>253.1645569620253</v>
      </c>
      <c r="P15">
        <f t="shared" si="5"/>
        <v>9861012.6582278479</v>
      </c>
      <c r="Q15">
        <f t="shared" si="6"/>
        <v>4148.574338474692</v>
      </c>
    </row>
    <row r="16" spans="1:17">
      <c r="A16" s="8" t="s">
        <v>30</v>
      </c>
      <c r="B16" s="12">
        <v>36.845833333333303</v>
      </c>
      <c r="C16" s="12">
        <v>18.126833333333298</v>
      </c>
      <c r="D16" s="3">
        <f t="shared" si="0"/>
        <v>18.422916666666652</v>
      </c>
      <c r="E16" s="3">
        <f t="shared" si="1"/>
        <v>9.0634166666666491</v>
      </c>
      <c r="F16" s="2">
        <v>19</v>
      </c>
      <c r="G16" s="2">
        <v>21</v>
      </c>
      <c r="H16" s="2">
        <v>20</v>
      </c>
      <c r="I16" s="2">
        <v>21</v>
      </c>
      <c r="J16" s="2">
        <v>20</v>
      </c>
      <c r="K16" s="2">
        <v>20</v>
      </c>
      <c r="L16" s="3">
        <f t="shared" si="2"/>
        <v>20.166666666666668</v>
      </c>
      <c r="M16" s="3">
        <v>783.73</v>
      </c>
      <c r="N16">
        <f t="shared" si="3"/>
        <v>524.30014969097078</v>
      </c>
      <c r="O16">
        <f t="shared" si="4"/>
        <v>255.27426160337555</v>
      </c>
      <c r="P16">
        <f t="shared" si="5"/>
        <v>20006609.704641353</v>
      </c>
      <c r="Q16">
        <f t="shared" si="6"/>
        <v>10489.468462952289</v>
      </c>
    </row>
    <row r="17" spans="1:17">
      <c r="A17" s="8" t="s">
        <v>31</v>
      </c>
      <c r="B17" s="12">
        <v>33.760555555555598</v>
      </c>
      <c r="C17" s="12">
        <v>16.842222222222201</v>
      </c>
      <c r="D17" s="3">
        <f t="shared" si="0"/>
        <v>16.880277777777799</v>
      </c>
      <c r="E17" s="3">
        <f t="shared" si="1"/>
        <v>8.4211111111111006</v>
      </c>
      <c r="F17" s="2">
        <v>24</v>
      </c>
      <c r="G17" s="2">
        <v>26</v>
      </c>
      <c r="H17" s="2">
        <v>22</v>
      </c>
      <c r="I17" s="2">
        <v>24</v>
      </c>
      <c r="J17" s="2">
        <v>25</v>
      </c>
      <c r="K17" s="2">
        <v>23</v>
      </c>
      <c r="L17" s="3">
        <f t="shared" si="2"/>
        <v>24</v>
      </c>
      <c r="M17" s="3">
        <v>479.89</v>
      </c>
      <c r="N17">
        <f t="shared" si="3"/>
        <v>446.35318152469137</v>
      </c>
      <c r="O17">
        <f t="shared" si="4"/>
        <v>303.79746835443035</v>
      </c>
      <c r="P17">
        <f t="shared" si="5"/>
        <v>14578936.708860757</v>
      </c>
      <c r="Q17">
        <f t="shared" si="6"/>
        <v>6507.3547832471122</v>
      </c>
    </row>
    <row r="18" spans="1:17">
      <c r="A18" s="9" t="s">
        <v>32</v>
      </c>
      <c r="B18" s="12">
        <v>25.391249999999999</v>
      </c>
      <c r="C18" s="12">
        <v>14.751611111111099</v>
      </c>
      <c r="D18" s="3">
        <f t="shared" si="0"/>
        <v>12.695625</v>
      </c>
      <c r="E18" s="3">
        <f t="shared" si="1"/>
        <v>7.3758055555555497</v>
      </c>
      <c r="F18" s="2">
        <v>42</v>
      </c>
      <c r="G18" s="2">
        <v>40</v>
      </c>
      <c r="H18" s="2">
        <v>36</v>
      </c>
      <c r="I18" s="2">
        <v>39</v>
      </c>
      <c r="J18" s="2">
        <v>42</v>
      </c>
      <c r="K18" s="2">
        <v>38</v>
      </c>
      <c r="L18" s="3">
        <f t="shared" si="2"/>
        <v>39.5</v>
      </c>
      <c r="M18" s="3">
        <v>95.51</v>
      </c>
      <c r="N18">
        <f t="shared" si="3"/>
        <v>294.03104881562479</v>
      </c>
      <c r="O18">
        <f t="shared" si="4"/>
        <v>500</v>
      </c>
      <c r="P18">
        <f t="shared" si="5"/>
        <v>4775500</v>
      </c>
      <c r="Q18">
        <f t="shared" si="6"/>
        <v>1404.1452736190161</v>
      </c>
    </row>
    <row r="19" spans="1:17">
      <c r="A19" s="9" t="s">
        <v>33</v>
      </c>
      <c r="B19" s="12">
        <v>26.539722222222199</v>
      </c>
      <c r="C19" s="12">
        <v>14.047222222222199</v>
      </c>
      <c r="D19" s="3">
        <f t="shared" si="0"/>
        <v>13.2698611111111</v>
      </c>
      <c r="E19" s="3">
        <f t="shared" si="1"/>
        <v>7.0236111111110997</v>
      </c>
      <c r="F19" s="2">
        <v>35</v>
      </c>
      <c r="G19" s="2">
        <v>33</v>
      </c>
      <c r="H19" s="2">
        <v>45</v>
      </c>
      <c r="I19" s="2">
        <v>48</v>
      </c>
      <c r="J19" s="2">
        <v>40</v>
      </c>
      <c r="K19" s="2">
        <v>41</v>
      </c>
      <c r="L19" s="3">
        <f t="shared" si="2"/>
        <v>40.333333333333336</v>
      </c>
      <c r="M19" s="3">
        <v>91.75</v>
      </c>
      <c r="N19">
        <f t="shared" si="3"/>
        <v>292.65535998070914</v>
      </c>
      <c r="O19">
        <f t="shared" si="4"/>
        <v>510.5485232067511</v>
      </c>
      <c r="P19">
        <f t="shared" si="5"/>
        <v>4684282.7004219415</v>
      </c>
      <c r="Q19">
        <f t="shared" si="6"/>
        <v>1370.8804399433916</v>
      </c>
    </row>
    <row r="20" spans="1:17">
      <c r="A20" s="9" t="s">
        <v>34</v>
      </c>
      <c r="B20" s="12">
        <v>29.164444444444499</v>
      </c>
      <c r="C20" s="12">
        <v>15.5427777777778</v>
      </c>
      <c r="D20" s="3">
        <f t="shared" si="0"/>
        <v>14.582222222222249</v>
      </c>
      <c r="E20" s="3">
        <f t="shared" si="1"/>
        <v>7.7713888888889002</v>
      </c>
      <c r="F20" s="2">
        <v>29</v>
      </c>
      <c r="G20" s="2">
        <v>28</v>
      </c>
      <c r="H20" s="2">
        <v>27</v>
      </c>
      <c r="I20" s="2">
        <v>19</v>
      </c>
      <c r="J20" s="2">
        <v>29</v>
      </c>
      <c r="K20" s="2">
        <v>30</v>
      </c>
      <c r="L20" s="3">
        <f t="shared" si="2"/>
        <v>27</v>
      </c>
      <c r="M20" s="3">
        <v>131.91999999999999</v>
      </c>
      <c r="N20">
        <f t="shared" si="3"/>
        <v>355.83773602469256</v>
      </c>
      <c r="O20">
        <f t="shared" si="4"/>
        <v>341.77215189873419</v>
      </c>
      <c r="P20">
        <f t="shared" si="5"/>
        <v>4508658.2278481005</v>
      </c>
      <c r="Q20">
        <f t="shared" si="6"/>
        <v>1604.3507363065705</v>
      </c>
    </row>
    <row r="21" spans="1:17">
      <c r="A21" s="9" t="s">
        <v>35</v>
      </c>
      <c r="B21" s="12">
        <v>28.585277777777801</v>
      </c>
      <c r="C21" s="12">
        <v>15.4094444444445</v>
      </c>
      <c r="D21" s="3">
        <f t="shared" si="0"/>
        <v>14.2926388888889</v>
      </c>
      <c r="E21" s="3">
        <f t="shared" si="1"/>
        <v>7.7047222222222498</v>
      </c>
      <c r="F21" s="2">
        <v>31</v>
      </c>
      <c r="G21" s="2">
        <v>31</v>
      </c>
      <c r="H21" s="2">
        <v>30</v>
      </c>
      <c r="I21" s="2">
        <v>34</v>
      </c>
      <c r="J21" s="2">
        <v>34</v>
      </c>
      <c r="K21" s="2">
        <v>31</v>
      </c>
      <c r="L21" s="3">
        <f t="shared" si="2"/>
        <v>31.833333333333332</v>
      </c>
      <c r="M21" s="3">
        <v>105.55</v>
      </c>
      <c r="N21">
        <f t="shared" si="3"/>
        <v>345.77935112885956</v>
      </c>
      <c r="O21">
        <f t="shared" si="4"/>
        <v>402.95358649789029</v>
      </c>
      <c r="P21">
        <f t="shared" si="5"/>
        <v>4253175.1054852316</v>
      </c>
      <c r="Q21">
        <f t="shared" si="6"/>
        <v>1470.6601282121021</v>
      </c>
    </row>
    <row r="22" spans="1:17">
      <c r="A22" s="10" t="s">
        <v>36</v>
      </c>
      <c r="B22" s="12">
        <v>29.213055555555599</v>
      </c>
      <c r="C22" s="12">
        <v>18.935277777777799</v>
      </c>
      <c r="D22" s="3">
        <f t="shared" si="0"/>
        <v>14.606527777777799</v>
      </c>
      <c r="E22" s="3">
        <f t="shared" si="1"/>
        <v>9.4676388888888994</v>
      </c>
      <c r="F22" s="2">
        <v>20</v>
      </c>
      <c r="G22" s="2">
        <v>15</v>
      </c>
      <c r="H22" s="2">
        <v>22</v>
      </c>
      <c r="I22" s="2">
        <v>16</v>
      </c>
      <c r="J22" s="2">
        <v>16</v>
      </c>
      <c r="K22" s="2">
        <v>22</v>
      </c>
      <c r="L22" s="3">
        <f t="shared" si="2"/>
        <v>18.5</v>
      </c>
      <c r="M22" s="3">
        <v>68.94</v>
      </c>
      <c r="N22">
        <f t="shared" si="3"/>
        <v>434.22849752044868</v>
      </c>
      <c r="O22">
        <f t="shared" si="4"/>
        <v>234.17721518987341</v>
      </c>
      <c r="P22">
        <f t="shared" si="5"/>
        <v>1614417.7215189873</v>
      </c>
      <c r="Q22">
        <f t="shared" si="6"/>
        <v>701.02618158557607</v>
      </c>
    </row>
    <row r="23" spans="1:17">
      <c r="A23" s="10" t="s">
        <v>37</v>
      </c>
      <c r="B23" s="12">
        <v>29.5819444444444</v>
      </c>
      <c r="C23" s="12">
        <v>17.217777777777801</v>
      </c>
      <c r="D23" s="3">
        <f t="shared" si="0"/>
        <v>14.7909722222222</v>
      </c>
      <c r="E23" s="3">
        <f t="shared" si="1"/>
        <v>8.6088888888889006</v>
      </c>
      <c r="F23" s="2">
        <v>21</v>
      </c>
      <c r="G23" s="2">
        <v>19</v>
      </c>
      <c r="H23" s="2">
        <v>23</v>
      </c>
      <c r="I23" s="2">
        <v>19</v>
      </c>
      <c r="J23" s="2">
        <v>20</v>
      </c>
      <c r="K23" s="2">
        <v>20</v>
      </c>
      <c r="L23" s="3">
        <f t="shared" si="2"/>
        <v>20.333333333333332</v>
      </c>
      <c r="M23" s="3">
        <v>81.91</v>
      </c>
      <c r="N23">
        <f t="shared" si="3"/>
        <v>399.82824635802467</v>
      </c>
      <c r="O23">
        <f t="shared" si="4"/>
        <v>257.38396624472574</v>
      </c>
      <c r="P23">
        <f t="shared" si="5"/>
        <v>2108232.0675105485</v>
      </c>
      <c r="Q23">
        <f t="shared" si="6"/>
        <v>842.9307304684952</v>
      </c>
    </row>
    <row r="24" spans="1:17">
      <c r="A24" s="10" t="s">
        <v>38</v>
      </c>
      <c r="B24" s="12">
        <v>29.0501111111111</v>
      </c>
      <c r="C24" s="12">
        <v>15.6772222222222</v>
      </c>
      <c r="D24" s="3">
        <f t="shared" si="0"/>
        <v>14.52505555555555</v>
      </c>
      <c r="E24" s="3">
        <f t="shared" si="1"/>
        <v>7.8386111111111001</v>
      </c>
      <c r="F24" s="2">
        <v>15</v>
      </c>
      <c r="G24" s="2">
        <v>11</v>
      </c>
      <c r="H24" s="2">
        <v>17</v>
      </c>
      <c r="I24" s="2">
        <v>18</v>
      </c>
      <c r="J24" s="2">
        <v>13</v>
      </c>
      <c r="K24" s="2">
        <v>12</v>
      </c>
      <c r="L24" s="3">
        <f t="shared" si="2"/>
        <v>14.333333333333334</v>
      </c>
      <c r="M24" s="3">
        <v>70.930000000000007</v>
      </c>
      <c r="N24">
        <f t="shared" si="3"/>
        <v>357.50866226327099</v>
      </c>
      <c r="O24">
        <f t="shared" si="4"/>
        <v>181.43459915611814</v>
      </c>
      <c r="P24">
        <f t="shared" si="5"/>
        <v>1286915.6118143462</v>
      </c>
      <c r="Q24">
        <f t="shared" si="6"/>
        <v>460.08347882546582</v>
      </c>
    </row>
    <row r="25" spans="1:17">
      <c r="A25" s="10" t="s">
        <v>39</v>
      </c>
      <c r="B25" s="12">
        <v>29.568333333333399</v>
      </c>
      <c r="C25" s="12">
        <v>16.1196666666666</v>
      </c>
      <c r="D25" s="3">
        <f t="shared" si="0"/>
        <v>14.7841666666667</v>
      </c>
      <c r="E25" s="3">
        <f t="shared" si="1"/>
        <v>8.0598333333332999</v>
      </c>
      <c r="F25" s="2">
        <v>20</v>
      </c>
      <c r="G25" s="2">
        <v>19</v>
      </c>
      <c r="H25" s="2">
        <v>17</v>
      </c>
      <c r="I25" s="2">
        <v>16</v>
      </c>
      <c r="J25" s="2">
        <v>17</v>
      </c>
      <c r="K25" s="2">
        <v>19</v>
      </c>
      <c r="L25" s="3">
        <f t="shared" si="2"/>
        <v>18</v>
      </c>
      <c r="M25" s="3">
        <v>32.51</v>
      </c>
      <c r="N25">
        <f t="shared" si="3"/>
        <v>374.15586661944371</v>
      </c>
      <c r="O25">
        <f t="shared" si="4"/>
        <v>227.84810126582278</v>
      </c>
      <c r="P25">
        <f t="shared" si="5"/>
        <v>740734.17721518979</v>
      </c>
      <c r="Q25">
        <f t="shared" si="6"/>
        <v>277.15003801058992</v>
      </c>
    </row>
    <row r="26" spans="1:17">
      <c r="A26" s="11" t="s">
        <v>40</v>
      </c>
      <c r="B26" s="12">
        <v>41.081111111111099</v>
      </c>
      <c r="C26" s="12">
        <v>24.400833333333299</v>
      </c>
      <c r="D26" s="3">
        <f t="shared" si="0"/>
        <v>20.540555555555549</v>
      </c>
      <c r="E26" s="3">
        <f t="shared" si="1"/>
        <v>12.20041666666665</v>
      </c>
      <c r="F26" s="2">
        <v>11</v>
      </c>
      <c r="G26" s="2">
        <v>13</v>
      </c>
      <c r="H26" s="2">
        <v>13</v>
      </c>
      <c r="I26" s="2">
        <v>10</v>
      </c>
      <c r="J26" s="2">
        <v>10</v>
      </c>
      <c r="K26" s="2">
        <v>12</v>
      </c>
      <c r="L26" s="3">
        <f t="shared" si="2"/>
        <v>11.5</v>
      </c>
      <c r="M26" s="3">
        <v>21.9</v>
      </c>
      <c r="N26">
        <f t="shared" si="3"/>
        <v>786.89447611573951</v>
      </c>
      <c r="O26">
        <f t="shared" si="4"/>
        <v>145.56962025316454</v>
      </c>
      <c r="P26">
        <f t="shared" si="5"/>
        <v>318797.46835443034</v>
      </c>
      <c r="Q26">
        <f t="shared" si="6"/>
        <v>250.85996684778348</v>
      </c>
    </row>
    <row r="27" spans="1:17">
      <c r="A27" s="11" t="s">
        <v>41</v>
      </c>
      <c r="B27" s="12">
        <v>38.625277777777796</v>
      </c>
      <c r="C27" s="12">
        <v>22.883333333333301</v>
      </c>
      <c r="D27" s="3">
        <f t="shared" si="0"/>
        <v>19.312638888888898</v>
      </c>
      <c r="E27" s="3">
        <f t="shared" si="1"/>
        <v>11.44166666666665</v>
      </c>
      <c r="F27" s="2">
        <v>13</v>
      </c>
      <c r="G27" s="2">
        <v>15</v>
      </c>
      <c r="H27" s="2">
        <v>15</v>
      </c>
      <c r="I27" s="2">
        <v>17</v>
      </c>
      <c r="J27" s="2">
        <v>13</v>
      </c>
      <c r="K27" s="2">
        <v>16</v>
      </c>
      <c r="L27" s="3">
        <f t="shared" si="2"/>
        <v>14.833333333333334</v>
      </c>
      <c r="M27" s="3">
        <v>24.48</v>
      </c>
      <c r="N27">
        <f t="shared" si="3"/>
        <v>693.84195858796238</v>
      </c>
      <c r="O27">
        <f t="shared" si="4"/>
        <v>187.76371308016877</v>
      </c>
      <c r="P27">
        <f t="shared" si="5"/>
        <v>459645.56962025317</v>
      </c>
      <c r="Q27">
        <f t="shared" si="6"/>
        <v>318.92138228159604</v>
      </c>
    </row>
    <row r="28" spans="1:17">
      <c r="A28" s="11" t="s">
        <v>42</v>
      </c>
      <c r="B28" s="12">
        <v>40.823055555555598</v>
      </c>
      <c r="C28" s="12">
        <v>24.204722222222198</v>
      </c>
      <c r="D28" s="3">
        <f t="shared" si="0"/>
        <v>20.411527777777799</v>
      </c>
      <c r="E28" s="3">
        <f t="shared" si="1"/>
        <v>12.102361111111099</v>
      </c>
      <c r="F28" s="2">
        <v>12</v>
      </c>
      <c r="G28" s="2">
        <v>13</v>
      </c>
      <c r="H28" s="2">
        <v>12</v>
      </c>
      <c r="I28" s="2">
        <v>9</v>
      </c>
      <c r="J28" s="2">
        <v>11</v>
      </c>
      <c r="K28" s="2">
        <v>10</v>
      </c>
      <c r="L28" s="3">
        <f t="shared" si="2"/>
        <v>11.166666666666666</v>
      </c>
      <c r="M28" s="3">
        <v>28.81</v>
      </c>
      <c r="N28">
        <f t="shared" si="3"/>
        <v>775.66691518788582</v>
      </c>
      <c r="O28">
        <f t="shared" si="4"/>
        <v>141.35021097046413</v>
      </c>
      <c r="P28">
        <f t="shared" si="5"/>
        <v>407229.95780590712</v>
      </c>
      <c r="Q28">
        <f t="shared" si="6"/>
        <v>315.87480514340092</v>
      </c>
    </row>
    <row r="29" spans="1:17">
      <c r="A29" s="11" t="s">
        <v>43</v>
      </c>
      <c r="B29" s="12">
        <v>38.774166666666702</v>
      </c>
      <c r="C29" s="12">
        <v>22.502611111111101</v>
      </c>
      <c r="D29" s="3">
        <f t="shared" si="0"/>
        <v>19.387083333333351</v>
      </c>
      <c r="E29" s="3">
        <f t="shared" si="1"/>
        <v>11.25130555555555</v>
      </c>
      <c r="F29" s="2">
        <v>14</v>
      </c>
      <c r="G29" s="2">
        <v>13</v>
      </c>
      <c r="H29" s="2">
        <v>12</v>
      </c>
      <c r="I29" s="2">
        <v>14</v>
      </c>
      <c r="J29" s="2">
        <v>12</v>
      </c>
      <c r="K29" s="2">
        <v>11</v>
      </c>
      <c r="L29" s="3">
        <f t="shared" si="2"/>
        <v>12.666666666666666</v>
      </c>
      <c r="M29" s="3">
        <v>27.52</v>
      </c>
      <c r="N29">
        <f t="shared" si="3"/>
        <v>684.92819502106511</v>
      </c>
      <c r="O29">
        <f t="shared" si="4"/>
        <v>160.33755274261603</v>
      </c>
      <c r="P29">
        <f t="shared" si="5"/>
        <v>441248.9451476793</v>
      </c>
      <c r="Q29">
        <f t="shared" si="6"/>
        <v>302.22384355494893</v>
      </c>
    </row>
    <row r="30" spans="1:17">
      <c r="A30" s="4" t="s">
        <v>44</v>
      </c>
      <c r="B30" s="12">
        <v>26.4725</v>
      </c>
      <c r="C30" s="12">
        <v>17.3686111111111</v>
      </c>
      <c r="D30" s="3">
        <f t="shared" si="0"/>
        <v>13.23625</v>
      </c>
      <c r="E30" s="3">
        <f t="shared" si="1"/>
        <v>8.6843055555555502</v>
      </c>
      <c r="F30" s="2">
        <v>45</v>
      </c>
      <c r="G30" s="2">
        <v>46</v>
      </c>
      <c r="H30" s="2">
        <v>47</v>
      </c>
      <c r="I30" s="2">
        <v>49</v>
      </c>
      <c r="J30" s="2">
        <v>51</v>
      </c>
      <c r="K30" s="2">
        <v>51</v>
      </c>
      <c r="L30" s="3">
        <f t="shared" si="2"/>
        <v>48.166666666666664</v>
      </c>
      <c r="M30" s="3">
        <v>22.82</v>
      </c>
      <c r="N30">
        <f t="shared" si="3"/>
        <v>360.93558774652757</v>
      </c>
      <c r="O30">
        <f t="shared" si="4"/>
        <v>609.70464135021098</v>
      </c>
      <c r="P30">
        <f t="shared" si="5"/>
        <v>1391345.9915611814</v>
      </c>
      <c r="Q30">
        <f t="shared" si="6"/>
        <v>502.18628322291016</v>
      </c>
    </row>
    <row r="31" spans="1:17">
      <c r="A31" s="4" t="s">
        <v>45</v>
      </c>
      <c r="B31" s="12">
        <v>26.9172222222222</v>
      </c>
      <c r="C31" s="12">
        <v>17.5885</v>
      </c>
      <c r="D31" s="3">
        <f t="shared" si="0"/>
        <v>13.4586111111111</v>
      </c>
      <c r="E31" s="3">
        <f t="shared" si="1"/>
        <v>8.7942499999999999</v>
      </c>
      <c r="F31" s="2">
        <v>39</v>
      </c>
      <c r="G31" s="2">
        <v>40</v>
      </c>
      <c r="H31" s="2">
        <v>42</v>
      </c>
      <c r="I31" s="2">
        <v>43</v>
      </c>
      <c r="J31" s="2">
        <v>43</v>
      </c>
      <c r="K31" s="2">
        <v>44</v>
      </c>
      <c r="L31" s="3">
        <f t="shared" si="2"/>
        <v>41.833333333333336</v>
      </c>
      <c r="M31" s="3">
        <v>26</v>
      </c>
      <c r="N31">
        <f t="shared" si="3"/>
        <v>371.64534699861082</v>
      </c>
      <c r="O31">
        <f t="shared" si="4"/>
        <v>529.53586497890296</v>
      </c>
      <c r="P31">
        <f t="shared" si="5"/>
        <v>1376793.2489451477</v>
      </c>
      <c r="Q31">
        <f t="shared" si="6"/>
        <v>511.67880474956416</v>
      </c>
    </row>
    <row r="32" spans="1:17">
      <c r="A32" s="4" t="s">
        <v>46</v>
      </c>
      <c r="B32" s="12">
        <v>27.300555555555601</v>
      </c>
      <c r="C32" s="12">
        <v>18.127500000000001</v>
      </c>
      <c r="D32" s="3">
        <f t="shared" si="0"/>
        <v>13.6502777777778</v>
      </c>
      <c r="E32" s="3">
        <f t="shared" si="1"/>
        <v>9.0637500000000006</v>
      </c>
      <c r="F32" s="2">
        <v>46</v>
      </c>
      <c r="G32" s="2">
        <v>44</v>
      </c>
      <c r="H32" s="2">
        <v>43</v>
      </c>
      <c r="I32" s="2">
        <v>53</v>
      </c>
      <c r="J32" s="2">
        <v>51</v>
      </c>
      <c r="K32" s="2">
        <v>51</v>
      </c>
      <c r="L32" s="3">
        <f t="shared" si="2"/>
        <v>48</v>
      </c>
      <c r="M32" s="3">
        <v>23.26</v>
      </c>
      <c r="N32">
        <f t="shared" si="3"/>
        <v>388.48929435416738</v>
      </c>
      <c r="O32">
        <f t="shared" si="4"/>
        <v>607.5949367088607</v>
      </c>
      <c r="P32">
        <f t="shared" si="5"/>
        <v>1413265.8227848101</v>
      </c>
      <c r="Q32">
        <f t="shared" si="6"/>
        <v>549.03864222853269</v>
      </c>
    </row>
    <row r="33" spans="1:17">
      <c r="A33" s="4" t="s">
        <v>47</v>
      </c>
      <c r="B33" s="12">
        <v>28.0355555555556</v>
      </c>
      <c r="C33" s="12">
        <v>17.136944444444399</v>
      </c>
      <c r="D33" s="3">
        <f t="shared" si="0"/>
        <v>14.0177777777778</v>
      </c>
      <c r="E33" s="3">
        <f t="shared" si="1"/>
        <v>8.5684722222221996</v>
      </c>
      <c r="F33" s="2">
        <v>46</v>
      </c>
      <c r="G33" s="2">
        <v>43</v>
      </c>
      <c r="H33" s="2">
        <v>45</v>
      </c>
      <c r="I33" s="2">
        <v>41</v>
      </c>
      <c r="J33" s="2">
        <v>42</v>
      </c>
      <c r="K33" s="2">
        <v>45</v>
      </c>
      <c r="L33" s="3">
        <f t="shared" si="2"/>
        <v>43.666666666666664</v>
      </c>
      <c r="M33" s="3">
        <v>23.8</v>
      </c>
      <c r="N33">
        <f t="shared" si="3"/>
        <v>377.14835004938232</v>
      </c>
      <c r="O33">
        <f t="shared" si="4"/>
        <v>552.74261603375521</v>
      </c>
      <c r="P33">
        <f t="shared" si="5"/>
        <v>1315527.4261603374</v>
      </c>
      <c r="Q33">
        <f t="shared" si="6"/>
        <v>496.14899822108185</v>
      </c>
    </row>
    <row r="34" spans="1:17">
      <c r="A34" s="5" t="s">
        <v>48</v>
      </c>
      <c r="B34" s="12">
        <v>30.061388888888899</v>
      </c>
      <c r="C34" s="12">
        <v>17.745833333333302</v>
      </c>
      <c r="D34" s="3">
        <f t="shared" si="0"/>
        <v>15.03069444444445</v>
      </c>
      <c r="E34" s="3">
        <f t="shared" si="1"/>
        <v>8.8729166666666508</v>
      </c>
      <c r="F34" s="2">
        <v>40</v>
      </c>
      <c r="G34" s="2">
        <v>40</v>
      </c>
      <c r="H34" s="2">
        <v>42</v>
      </c>
      <c r="I34" s="2">
        <v>39</v>
      </c>
      <c r="J34" s="2">
        <v>40</v>
      </c>
      <c r="K34" s="2">
        <v>36</v>
      </c>
      <c r="L34" s="3">
        <f t="shared" si="2"/>
        <v>39.5</v>
      </c>
      <c r="M34" s="3">
        <v>44.09</v>
      </c>
      <c r="N34">
        <f t="shared" si="3"/>
        <v>418.7695516377309</v>
      </c>
      <c r="O34">
        <f t="shared" si="4"/>
        <v>500</v>
      </c>
      <c r="P34">
        <f t="shared" si="5"/>
        <v>2204500</v>
      </c>
      <c r="Q34">
        <f t="shared" si="6"/>
        <v>923.1774765853778</v>
      </c>
    </row>
    <row r="35" spans="1:17">
      <c r="A35" s="5" t="s">
        <v>49</v>
      </c>
      <c r="B35" s="12">
        <v>27.6033333333333</v>
      </c>
      <c r="C35" s="12">
        <v>14.075277777777799</v>
      </c>
      <c r="D35" s="3">
        <f t="shared" ref="D35:D56" si="7">B35/2</f>
        <v>13.80166666666665</v>
      </c>
      <c r="E35" s="3">
        <f t="shared" ref="E35:E56" si="8">C35/2</f>
        <v>7.0376388888888997</v>
      </c>
      <c r="F35" s="2">
        <v>43</v>
      </c>
      <c r="G35" s="2">
        <v>44</v>
      </c>
      <c r="H35" s="2">
        <v>44</v>
      </c>
      <c r="I35" s="2">
        <v>42</v>
      </c>
      <c r="J35" s="2">
        <v>45</v>
      </c>
      <c r="K35" s="2">
        <v>42</v>
      </c>
      <c r="L35" s="3">
        <f t="shared" ref="L35:L56" si="9">AVERAGE(F35:K35)</f>
        <v>43.333333333333336</v>
      </c>
      <c r="M35" s="3">
        <v>32.74</v>
      </c>
      <c r="N35">
        <f t="shared" si="3"/>
        <v>304.99179864351862</v>
      </c>
      <c r="O35">
        <f t="shared" si="4"/>
        <v>548.52320675105489</v>
      </c>
      <c r="P35">
        <f t="shared" si="5"/>
        <v>1795864.9789029539</v>
      </c>
      <c r="Q35">
        <f t="shared" si="6"/>
        <v>547.72409003651649</v>
      </c>
    </row>
    <row r="36" spans="1:17">
      <c r="A36" s="5" t="s">
        <v>50</v>
      </c>
      <c r="B36" s="12">
        <v>28.205555555555499</v>
      </c>
      <c r="C36" s="12">
        <v>14.281541666666699</v>
      </c>
      <c r="D36" s="3">
        <f t="shared" si="7"/>
        <v>14.102777777777749</v>
      </c>
      <c r="E36" s="3">
        <f t="shared" si="8"/>
        <v>7.1407708333333497</v>
      </c>
      <c r="F36" s="2">
        <v>44</v>
      </c>
      <c r="G36" s="2">
        <v>45</v>
      </c>
      <c r="H36" s="2">
        <v>45</v>
      </c>
      <c r="I36" s="2">
        <v>42</v>
      </c>
      <c r="J36" s="2">
        <v>43</v>
      </c>
      <c r="K36" s="2">
        <v>42</v>
      </c>
      <c r="L36" s="3">
        <f t="shared" si="9"/>
        <v>43.5</v>
      </c>
      <c r="M36" s="3">
        <v>36.28</v>
      </c>
      <c r="N36">
        <f t="shared" si="3"/>
        <v>316.2127712650464</v>
      </c>
      <c r="O36">
        <f t="shared" si="4"/>
        <v>550.63291139240505</v>
      </c>
      <c r="P36">
        <f t="shared" si="5"/>
        <v>1997696.2025316458</v>
      </c>
      <c r="Q36">
        <f t="shared" si="6"/>
        <v>631.69705234819116</v>
      </c>
    </row>
    <row r="37" spans="1:17">
      <c r="A37" s="5" t="s">
        <v>51</v>
      </c>
      <c r="B37" s="12">
        <v>27.5106111111111</v>
      </c>
      <c r="C37" s="12">
        <v>15.116666666666699</v>
      </c>
      <c r="D37" s="3">
        <f t="shared" si="7"/>
        <v>13.75530555555555</v>
      </c>
      <c r="E37" s="3">
        <f t="shared" si="8"/>
        <v>7.5583333333333496</v>
      </c>
      <c r="F37" s="2">
        <v>39</v>
      </c>
      <c r="G37" s="2">
        <v>36</v>
      </c>
      <c r="H37" s="2">
        <v>35</v>
      </c>
      <c r="I37" s="2">
        <v>39</v>
      </c>
      <c r="J37" s="2">
        <v>38</v>
      </c>
      <c r="K37" s="2">
        <v>36</v>
      </c>
      <c r="L37" s="3">
        <f t="shared" si="9"/>
        <v>37.166666666666664</v>
      </c>
      <c r="M37" s="3">
        <v>42.98</v>
      </c>
      <c r="N37">
        <f t="shared" si="3"/>
        <v>326.45695930092648</v>
      </c>
      <c r="O37">
        <f t="shared" si="4"/>
        <v>470.46413502109704</v>
      </c>
      <c r="P37">
        <f t="shared" si="5"/>
        <v>2022054.8523206748</v>
      </c>
      <c r="Q37">
        <f t="shared" si="6"/>
        <v>660.11387862829145</v>
      </c>
    </row>
    <row r="38" spans="1:17">
      <c r="A38" s="7" t="s">
        <v>52</v>
      </c>
      <c r="B38" s="12">
        <v>26.315000000000001</v>
      </c>
      <c r="C38" s="12">
        <v>14.8647222222222</v>
      </c>
      <c r="D38" s="3">
        <f t="shared" si="7"/>
        <v>13.157500000000001</v>
      </c>
      <c r="E38" s="3">
        <f t="shared" si="8"/>
        <v>7.4323611111111001</v>
      </c>
      <c r="F38" s="2">
        <v>36</v>
      </c>
      <c r="G38" s="2">
        <v>45</v>
      </c>
      <c r="H38" s="2">
        <v>40</v>
      </c>
      <c r="I38" s="2">
        <v>45</v>
      </c>
      <c r="J38" s="2">
        <v>43</v>
      </c>
      <c r="K38" s="2">
        <v>40</v>
      </c>
      <c r="L38" s="3">
        <f t="shared" si="9"/>
        <v>41.5</v>
      </c>
      <c r="M38" s="3">
        <v>32.86</v>
      </c>
      <c r="N38">
        <f t="shared" si="3"/>
        <v>307.06465474305509</v>
      </c>
      <c r="O38">
        <f t="shared" si="4"/>
        <v>525.31645569620252</v>
      </c>
      <c r="P38">
        <f t="shared" si="5"/>
        <v>1726189.8734177216</v>
      </c>
      <c r="Q38">
        <f t="shared" si="6"/>
        <v>530.05189750197064</v>
      </c>
    </row>
    <row r="39" spans="1:17">
      <c r="A39" s="7" t="s">
        <v>53</v>
      </c>
      <c r="B39" s="12">
        <v>27.800555555555601</v>
      </c>
      <c r="C39" s="12">
        <v>14.564444444444501</v>
      </c>
      <c r="D39" s="3">
        <f t="shared" si="7"/>
        <v>13.9002777777778</v>
      </c>
      <c r="E39" s="3">
        <f t="shared" si="8"/>
        <v>7.2822222222222504</v>
      </c>
      <c r="F39" s="2">
        <v>40</v>
      </c>
      <c r="G39" s="2">
        <v>36</v>
      </c>
      <c r="H39" s="2">
        <v>37</v>
      </c>
      <c r="I39" s="2">
        <v>37</v>
      </c>
      <c r="J39" s="2">
        <v>36</v>
      </c>
      <c r="K39" s="2">
        <v>40</v>
      </c>
      <c r="L39" s="3">
        <f t="shared" si="9"/>
        <v>37.666666666666664</v>
      </c>
      <c r="M39" s="3">
        <v>29.9</v>
      </c>
      <c r="N39">
        <f t="shared" si="3"/>
        <v>317.84622282716225</v>
      </c>
      <c r="O39">
        <f t="shared" si="4"/>
        <v>476.79324894514764</v>
      </c>
      <c r="P39">
        <f t="shared" si="5"/>
        <v>1425611.8143459912</v>
      </c>
      <c r="Q39">
        <f t="shared" si="6"/>
        <v>453.12533040765101</v>
      </c>
    </row>
    <row r="40" spans="1:17">
      <c r="A40" s="7" t="s">
        <v>54</v>
      </c>
      <c r="B40" s="12">
        <v>27.1461111111111</v>
      </c>
      <c r="C40" s="12">
        <v>15.071388888888899</v>
      </c>
      <c r="D40" s="3">
        <f t="shared" si="7"/>
        <v>13.57305555555555</v>
      </c>
      <c r="E40" s="3">
        <f t="shared" si="8"/>
        <v>7.5356944444444496</v>
      </c>
      <c r="F40" s="2">
        <v>35</v>
      </c>
      <c r="G40" s="2">
        <v>34</v>
      </c>
      <c r="H40" s="2">
        <v>42</v>
      </c>
      <c r="I40" s="2">
        <v>39</v>
      </c>
      <c r="J40" s="2">
        <v>36</v>
      </c>
      <c r="K40" s="2">
        <v>41</v>
      </c>
      <c r="L40" s="3">
        <f t="shared" si="9"/>
        <v>37.833333333333336</v>
      </c>
      <c r="M40" s="3">
        <v>22.94</v>
      </c>
      <c r="N40">
        <f t="shared" si="3"/>
        <v>321.16673394058648</v>
      </c>
      <c r="O40">
        <f t="shared" si="4"/>
        <v>478.90295358649792</v>
      </c>
      <c r="P40">
        <f t="shared" si="5"/>
        <v>1098603.3755274261</v>
      </c>
      <c r="Q40">
        <f t="shared" si="6"/>
        <v>352.83485801424706</v>
      </c>
    </row>
    <row r="41" spans="1:17">
      <c r="A41" s="7" t="s">
        <v>55</v>
      </c>
      <c r="B41" s="12">
        <v>26.303888888888899</v>
      </c>
      <c r="C41" s="12">
        <v>14.0119444444445</v>
      </c>
      <c r="D41" s="3">
        <f t="shared" si="7"/>
        <v>13.15194444444445</v>
      </c>
      <c r="E41" s="3">
        <f t="shared" si="8"/>
        <v>7.0059722222222502</v>
      </c>
      <c r="F41" s="2">
        <v>45</v>
      </c>
      <c r="G41" s="2">
        <v>42</v>
      </c>
      <c r="H41" s="2">
        <v>47</v>
      </c>
      <c r="I41" s="2">
        <v>43</v>
      </c>
      <c r="J41" s="2">
        <v>37</v>
      </c>
      <c r="K41" s="2">
        <v>39</v>
      </c>
      <c r="L41" s="3">
        <f t="shared" si="9"/>
        <v>42.166666666666664</v>
      </c>
      <c r="M41" s="3">
        <v>28.29</v>
      </c>
      <c r="N41">
        <f t="shared" si="3"/>
        <v>289.32637438040251</v>
      </c>
      <c r="O41">
        <f t="shared" si="4"/>
        <v>533.75527426160329</v>
      </c>
      <c r="P41">
        <f t="shared" si="5"/>
        <v>1509993.6708860756</v>
      </c>
      <c r="Q41">
        <f t="shared" si="6"/>
        <v>436.88099413482303</v>
      </c>
    </row>
    <row r="42" spans="1:17">
      <c r="A42" s="8" t="s">
        <v>56</v>
      </c>
      <c r="B42" s="12">
        <v>31.5911111111111</v>
      </c>
      <c r="C42" s="12">
        <v>19.725555555555601</v>
      </c>
      <c r="D42" s="3">
        <f t="shared" si="7"/>
        <v>15.79555555555555</v>
      </c>
      <c r="E42" s="3">
        <f t="shared" si="8"/>
        <v>9.8627777777778007</v>
      </c>
      <c r="F42" s="2">
        <v>29</v>
      </c>
      <c r="G42" s="2">
        <v>26</v>
      </c>
      <c r="H42" s="2">
        <v>33</v>
      </c>
      <c r="I42" s="2">
        <v>29</v>
      </c>
      <c r="J42" s="2">
        <v>25</v>
      </c>
      <c r="K42" s="2">
        <v>28</v>
      </c>
      <c r="L42" s="3">
        <f t="shared" si="9"/>
        <v>28.333333333333332</v>
      </c>
      <c r="M42" s="3">
        <v>107.48</v>
      </c>
      <c r="N42">
        <f t="shared" si="3"/>
        <v>489.17449056790218</v>
      </c>
      <c r="O42">
        <f t="shared" si="4"/>
        <v>358.64978902953584</v>
      </c>
      <c r="P42">
        <f t="shared" si="5"/>
        <v>3854767.932489451</v>
      </c>
      <c r="Q42">
        <f t="shared" si="6"/>
        <v>1885.6541396330126</v>
      </c>
    </row>
    <row r="43" spans="1:17">
      <c r="A43" s="8" t="s">
        <v>57</v>
      </c>
      <c r="B43" s="12">
        <v>32.262500000000003</v>
      </c>
      <c r="C43" s="12">
        <v>18.406944444444498</v>
      </c>
      <c r="D43" s="3">
        <f t="shared" si="7"/>
        <v>16.131250000000001</v>
      </c>
      <c r="E43" s="3">
        <f t="shared" si="8"/>
        <v>9.2034722222222491</v>
      </c>
      <c r="F43" s="2">
        <v>20</v>
      </c>
      <c r="G43" s="2">
        <v>25</v>
      </c>
      <c r="H43" s="2">
        <v>27</v>
      </c>
      <c r="I43" s="2">
        <v>23</v>
      </c>
      <c r="J43" s="2">
        <v>22</v>
      </c>
      <c r="K43" s="2">
        <v>21</v>
      </c>
      <c r="L43" s="3">
        <f t="shared" si="9"/>
        <v>23</v>
      </c>
      <c r="M43" s="3">
        <v>248.33</v>
      </c>
      <c r="N43">
        <f t="shared" si="3"/>
        <v>466.17542543402919</v>
      </c>
      <c r="O43">
        <f t="shared" si="4"/>
        <v>291.13924050632909</v>
      </c>
      <c r="P43">
        <f t="shared" si="5"/>
        <v>7229860.7594936704</v>
      </c>
      <c r="Q43">
        <f t="shared" si="6"/>
        <v>3370.3834153857547</v>
      </c>
    </row>
    <row r="44" spans="1:17">
      <c r="A44" s="8" t="s">
        <v>58</v>
      </c>
      <c r="B44" s="12">
        <v>32.028611111111097</v>
      </c>
      <c r="C44" s="12">
        <v>18.7438888888889</v>
      </c>
      <c r="D44" s="3">
        <f t="shared" si="7"/>
        <v>16.014305555555548</v>
      </c>
      <c r="E44" s="3">
        <f t="shared" si="8"/>
        <v>9.3719444444444502</v>
      </c>
      <c r="F44" s="2">
        <v>30</v>
      </c>
      <c r="G44" s="2">
        <v>28</v>
      </c>
      <c r="H44" s="2">
        <v>26</v>
      </c>
      <c r="I44" s="2">
        <v>24</v>
      </c>
      <c r="J44" s="2">
        <v>25</v>
      </c>
      <c r="K44" s="2">
        <v>26</v>
      </c>
      <c r="L44" s="3">
        <f t="shared" si="9"/>
        <v>26.5</v>
      </c>
      <c r="M44" s="3">
        <v>194.95</v>
      </c>
      <c r="N44">
        <f t="shared" si="3"/>
        <v>471.26747142669763</v>
      </c>
      <c r="O44">
        <f t="shared" si="4"/>
        <v>335.44303797468353</v>
      </c>
      <c r="P44">
        <f t="shared" si="5"/>
        <v>6539462.0253164554</v>
      </c>
      <c r="Q44">
        <f t="shared" si="6"/>
        <v>3081.8357331617967</v>
      </c>
    </row>
    <row r="45" spans="1:17">
      <c r="A45" s="8" t="s">
        <v>59</v>
      </c>
      <c r="B45" s="12">
        <v>32.982222222222198</v>
      </c>
      <c r="C45" s="12">
        <v>19.797499999999999</v>
      </c>
      <c r="D45" s="3">
        <f t="shared" si="7"/>
        <v>16.491111111111099</v>
      </c>
      <c r="E45" s="3">
        <f t="shared" si="8"/>
        <v>9.8987499999999997</v>
      </c>
      <c r="F45" s="2">
        <v>26</v>
      </c>
      <c r="G45" s="2">
        <v>25</v>
      </c>
      <c r="H45" s="2">
        <v>25</v>
      </c>
      <c r="I45" s="2">
        <v>25</v>
      </c>
      <c r="J45" s="2">
        <v>26</v>
      </c>
      <c r="K45" s="2">
        <v>24</v>
      </c>
      <c r="L45" s="3">
        <f t="shared" si="9"/>
        <v>25.166666666666668</v>
      </c>
      <c r="M45" s="3">
        <v>182.21</v>
      </c>
      <c r="N45">
        <f t="shared" si="3"/>
        <v>512.57795238888855</v>
      </c>
      <c r="O45">
        <f t="shared" si="4"/>
        <v>318.56540084388189</v>
      </c>
      <c r="P45">
        <f t="shared" si="5"/>
        <v>5804580.1687763724</v>
      </c>
      <c r="Q45">
        <f t="shared" si="6"/>
        <v>2975.2998173885421</v>
      </c>
    </row>
    <row r="46" spans="1:17">
      <c r="A46" s="9" t="s">
        <v>60</v>
      </c>
      <c r="B46" s="12">
        <v>27.629722222222199</v>
      </c>
      <c r="C46" s="12">
        <v>15.83</v>
      </c>
      <c r="D46" s="3">
        <f t="shared" si="7"/>
        <v>13.814861111111099</v>
      </c>
      <c r="E46" s="3">
        <f t="shared" si="8"/>
        <v>7.915</v>
      </c>
      <c r="F46" s="2">
        <v>50</v>
      </c>
      <c r="G46" s="2">
        <v>51</v>
      </c>
      <c r="H46" s="2">
        <v>44</v>
      </c>
      <c r="I46" s="2">
        <v>51</v>
      </c>
      <c r="J46" s="2">
        <v>50</v>
      </c>
      <c r="K46" s="2">
        <v>50</v>
      </c>
      <c r="L46" s="3">
        <f t="shared" si="9"/>
        <v>49.333333333333336</v>
      </c>
      <c r="M46" s="3">
        <v>33.979999999999997</v>
      </c>
      <c r="N46">
        <f t="shared" si="3"/>
        <v>343.34212468055529</v>
      </c>
      <c r="O46">
        <f t="shared" si="4"/>
        <v>624.47257383966246</v>
      </c>
      <c r="P46">
        <f t="shared" si="5"/>
        <v>2121957.8059071731</v>
      </c>
      <c r="Q46">
        <f t="shared" si="6"/>
        <v>728.5575015626581</v>
      </c>
    </row>
    <row r="47" spans="1:17">
      <c r="A47" s="9" t="s">
        <v>61</v>
      </c>
      <c r="B47" s="12">
        <v>27.572777777777802</v>
      </c>
      <c r="C47" s="12">
        <v>15.0380555555555</v>
      </c>
      <c r="D47" s="3">
        <f t="shared" si="7"/>
        <v>13.786388888888901</v>
      </c>
      <c r="E47" s="3">
        <f t="shared" si="8"/>
        <v>7.5190277777777501</v>
      </c>
      <c r="F47" s="2">
        <v>49</v>
      </c>
      <c r="G47" s="2">
        <v>42</v>
      </c>
      <c r="H47" s="2">
        <v>49</v>
      </c>
      <c r="I47" s="2">
        <v>46</v>
      </c>
      <c r="J47" s="2">
        <v>45</v>
      </c>
      <c r="K47" s="2">
        <v>45</v>
      </c>
      <c r="L47" s="3">
        <f t="shared" si="9"/>
        <v>46</v>
      </c>
      <c r="M47" s="3">
        <v>29.3</v>
      </c>
      <c r="N47">
        <f t="shared" si="3"/>
        <v>325.49315677391888</v>
      </c>
      <c r="O47">
        <f t="shared" si="4"/>
        <v>582.27848101265818</v>
      </c>
      <c r="P47">
        <f t="shared" si="5"/>
        <v>1706075.9493670885</v>
      </c>
      <c r="Q47">
        <f t="shared" si="6"/>
        <v>555.31604645555421</v>
      </c>
    </row>
    <row r="48" spans="1:17">
      <c r="A48" s="9" t="s">
        <v>62</v>
      </c>
      <c r="B48" s="12">
        <v>26.011666666666699</v>
      </c>
      <c r="C48" s="12">
        <v>13.0763888888889</v>
      </c>
      <c r="D48" s="3">
        <f t="shared" si="7"/>
        <v>13.005833333333349</v>
      </c>
      <c r="E48" s="3">
        <f t="shared" si="8"/>
        <v>6.53819444444445</v>
      </c>
      <c r="F48" s="2">
        <v>56</v>
      </c>
      <c r="G48" s="2">
        <v>54</v>
      </c>
      <c r="H48" s="2">
        <v>56</v>
      </c>
      <c r="I48" s="2">
        <v>57</v>
      </c>
      <c r="J48" s="2">
        <v>54</v>
      </c>
      <c r="K48" s="2">
        <v>53</v>
      </c>
      <c r="L48" s="3">
        <f t="shared" si="9"/>
        <v>55</v>
      </c>
      <c r="M48" s="3">
        <v>35.950000000000003</v>
      </c>
      <c r="N48">
        <f t="shared" si="3"/>
        <v>267.00885515046349</v>
      </c>
      <c r="O48">
        <f t="shared" si="4"/>
        <v>696.20253164556959</v>
      </c>
      <c r="P48">
        <f t="shared" si="5"/>
        <v>2502848.101265823</v>
      </c>
      <c r="Q48">
        <f t="shared" si="6"/>
        <v>668.28260613449868</v>
      </c>
    </row>
    <row r="49" spans="1:17">
      <c r="A49" s="9" t="s">
        <v>63</v>
      </c>
      <c r="B49" s="12">
        <v>27.639722222222201</v>
      </c>
      <c r="C49" s="12">
        <v>16.713055555555499</v>
      </c>
      <c r="D49" s="3">
        <f t="shared" si="7"/>
        <v>13.8198611111111</v>
      </c>
      <c r="E49" s="3">
        <f t="shared" si="8"/>
        <v>8.3565277777777496</v>
      </c>
      <c r="F49" s="2">
        <v>48</v>
      </c>
      <c r="G49" s="2">
        <v>40</v>
      </c>
      <c r="H49" s="2">
        <v>49</v>
      </c>
      <c r="I49" s="2">
        <v>45</v>
      </c>
      <c r="J49" s="2">
        <v>46</v>
      </c>
      <c r="K49" s="2">
        <v>46</v>
      </c>
      <c r="L49" s="3">
        <f t="shared" si="9"/>
        <v>45.666666666666664</v>
      </c>
      <c r="M49" s="3">
        <v>30.95</v>
      </c>
      <c r="N49">
        <f t="shared" si="3"/>
        <v>362.62620723649542</v>
      </c>
      <c r="O49">
        <f t="shared" si="4"/>
        <v>578.05907172995774</v>
      </c>
      <c r="P49">
        <f t="shared" si="5"/>
        <v>1789092.8270042189</v>
      </c>
      <c r="Q49">
        <f t="shared" si="6"/>
        <v>648.77194625055927</v>
      </c>
    </row>
    <row r="50" spans="1:17">
      <c r="A50" s="10" t="s">
        <v>64</v>
      </c>
      <c r="B50" s="12">
        <v>31.4730555555556</v>
      </c>
      <c r="C50" s="12">
        <v>18.527222222222299</v>
      </c>
      <c r="D50" s="3">
        <f t="shared" si="7"/>
        <v>15.7365277777778</v>
      </c>
      <c r="E50" s="3">
        <f t="shared" si="8"/>
        <v>9.2636111111111497</v>
      </c>
      <c r="F50" s="2">
        <v>21</v>
      </c>
      <c r="G50" s="2">
        <v>23</v>
      </c>
      <c r="H50" s="2">
        <v>24</v>
      </c>
      <c r="I50" s="2">
        <v>18</v>
      </c>
      <c r="J50" s="2">
        <v>21</v>
      </c>
      <c r="K50" s="2">
        <v>21</v>
      </c>
      <c r="L50" s="3">
        <f t="shared" si="9"/>
        <v>21.333333333333332</v>
      </c>
      <c r="M50" s="3">
        <v>55.37</v>
      </c>
      <c r="N50">
        <f t="shared" si="3"/>
        <v>457.74001101774951</v>
      </c>
      <c r="O50">
        <f t="shared" si="4"/>
        <v>270.042194092827</v>
      </c>
      <c r="P50">
        <f t="shared" si="5"/>
        <v>1495223.6286919829</v>
      </c>
      <c r="Q50">
        <f t="shared" si="6"/>
        <v>684.42368027146767</v>
      </c>
    </row>
    <row r="51" spans="1:17">
      <c r="A51" s="10" t="s">
        <v>65</v>
      </c>
      <c r="B51" s="12">
        <v>30.676666666666701</v>
      </c>
      <c r="C51" s="12">
        <v>16.301111111111101</v>
      </c>
      <c r="D51" s="3">
        <f t="shared" si="7"/>
        <v>15.338333333333351</v>
      </c>
      <c r="E51" s="3">
        <f t="shared" si="8"/>
        <v>8.1505555555555507</v>
      </c>
      <c r="F51" s="2">
        <v>21</v>
      </c>
      <c r="G51" s="2">
        <v>21</v>
      </c>
      <c r="H51" s="2">
        <v>20</v>
      </c>
      <c r="I51" s="2">
        <v>18</v>
      </c>
      <c r="J51" s="2">
        <v>26</v>
      </c>
      <c r="K51" s="2">
        <v>20</v>
      </c>
      <c r="L51" s="3">
        <f t="shared" si="9"/>
        <v>21</v>
      </c>
      <c r="M51" s="3">
        <v>48.87</v>
      </c>
      <c r="N51">
        <f t="shared" si="3"/>
        <v>392.55004520370397</v>
      </c>
      <c r="O51">
        <f t="shared" si="4"/>
        <v>265.82278481012656</v>
      </c>
      <c r="P51">
        <f t="shared" si="5"/>
        <v>1299075.9493670885</v>
      </c>
      <c r="Q51">
        <f t="shared" si="6"/>
        <v>509.95232264709523</v>
      </c>
    </row>
    <row r="52" spans="1:17">
      <c r="A52" s="10" t="s">
        <v>66</v>
      </c>
      <c r="B52" s="12">
        <v>32.696666666666701</v>
      </c>
      <c r="C52" s="12">
        <v>19.383888888888901</v>
      </c>
      <c r="D52" s="3">
        <f t="shared" si="7"/>
        <v>16.34833333333335</v>
      </c>
      <c r="E52" s="3">
        <f t="shared" si="8"/>
        <v>9.6919444444444505</v>
      </c>
      <c r="F52" s="2">
        <v>19</v>
      </c>
      <c r="G52" s="2">
        <v>17</v>
      </c>
      <c r="H52" s="2">
        <v>17</v>
      </c>
      <c r="I52" s="2">
        <v>20</v>
      </c>
      <c r="J52" s="2">
        <v>15</v>
      </c>
      <c r="K52" s="2">
        <v>19</v>
      </c>
      <c r="L52" s="3">
        <f t="shared" si="9"/>
        <v>17.833333333333332</v>
      </c>
      <c r="M52" s="3">
        <v>62.31</v>
      </c>
      <c r="N52">
        <f t="shared" si="3"/>
        <v>497.52401465740826</v>
      </c>
      <c r="O52">
        <f t="shared" si="4"/>
        <v>225.73839662447256</v>
      </c>
      <c r="P52">
        <f t="shared" si="5"/>
        <v>1406575.9493670885</v>
      </c>
      <c r="Q52">
        <f t="shared" si="6"/>
        <v>699.80531324966933</v>
      </c>
    </row>
    <row r="53" spans="1:17">
      <c r="A53" s="10" t="s">
        <v>67</v>
      </c>
      <c r="B53" s="12">
        <v>31.017666666666699</v>
      </c>
      <c r="C53" s="12">
        <v>20.325666666666699</v>
      </c>
      <c r="D53" s="3">
        <f t="shared" si="7"/>
        <v>15.508833333333349</v>
      </c>
      <c r="E53" s="3">
        <f t="shared" si="8"/>
        <v>10.162833333333349</v>
      </c>
      <c r="F53" s="2">
        <v>28</v>
      </c>
      <c r="G53" s="2">
        <v>27</v>
      </c>
      <c r="H53" s="2">
        <v>25</v>
      </c>
      <c r="I53" s="2">
        <v>27</v>
      </c>
      <c r="J53" s="2">
        <v>28</v>
      </c>
      <c r="K53" s="2">
        <v>20</v>
      </c>
      <c r="L53" s="3">
        <f t="shared" si="9"/>
        <v>25.833333333333332</v>
      </c>
      <c r="M53" s="3">
        <v>47.81</v>
      </c>
      <c r="N53">
        <f t="shared" si="3"/>
        <v>494.90698145389018</v>
      </c>
      <c r="O53">
        <f t="shared" si="4"/>
        <v>327.00421940928265</v>
      </c>
      <c r="P53">
        <f t="shared" si="5"/>
        <v>1563407.1729957804</v>
      </c>
      <c r="Q53">
        <f t="shared" si="6"/>
        <v>773.7411247707015</v>
      </c>
    </row>
    <row r="54" spans="1:17">
      <c r="A54" s="11" t="s">
        <v>68</v>
      </c>
      <c r="B54" s="12">
        <v>44.868333333333297</v>
      </c>
      <c r="C54" s="12">
        <v>25.6872222222222</v>
      </c>
      <c r="D54" s="3">
        <f t="shared" si="7"/>
        <v>22.434166666666648</v>
      </c>
      <c r="E54" s="3">
        <f t="shared" si="8"/>
        <v>12.8436111111111</v>
      </c>
      <c r="F54" s="2">
        <v>10</v>
      </c>
      <c r="G54" s="2">
        <v>12</v>
      </c>
      <c r="H54" s="2">
        <v>12</v>
      </c>
      <c r="I54" s="2">
        <v>10</v>
      </c>
      <c r="J54" s="2">
        <v>11</v>
      </c>
      <c r="K54" s="2">
        <v>11</v>
      </c>
      <c r="L54" s="3">
        <f t="shared" si="9"/>
        <v>11</v>
      </c>
      <c r="M54" s="3">
        <v>17.84</v>
      </c>
      <c r="N54">
        <f t="shared" si="3"/>
        <v>904.74613652314667</v>
      </c>
      <c r="O54">
        <f t="shared" si="4"/>
        <v>139.24050632911391</v>
      </c>
      <c r="P54">
        <f t="shared" si="5"/>
        <v>248405.06329113923</v>
      </c>
      <c r="Q54">
        <f t="shared" si="6"/>
        <v>224.74352130544594</v>
      </c>
    </row>
    <row r="55" spans="1:17">
      <c r="A55" s="11" t="s">
        <v>69</v>
      </c>
      <c r="B55" s="12">
        <v>46.593055555555601</v>
      </c>
      <c r="C55" s="12">
        <v>25.330277777777798</v>
      </c>
      <c r="D55" s="3">
        <f t="shared" si="7"/>
        <v>23.296527777777801</v>
      </c>
      <c r="E55" s="3">
        <f t="shared" si="8"/>
        <v>12.665138888888899</v>
      </c>
      <c r="F55" s="2">
        <v>10</v>
      </c>
      <c r="G55" s="2">
        <v>10</v>
      </c>
      <c r="H55" s="2">
        <v>12</v>
      </c>
      <c r="I55" s="2">
        <v>9</v>
      </c>
      <c r="J55" s="2">
        <v>12</v>
      </c>
      <c r="K55" s="2">
        <v>10</v>
      </c>
      <c r="L55" s="3">
        <f t="shared" si="9"/>
        <v>10.5</v>
      </c>
      <c r="M55" s="3">
        <v>24.85</v>
      </c>
      <c r="N55">
        <f t="shared" si="3"/>
        <v>926.46880619406045</v>
      </c>
      <c r="O55">
        <f t="shared" si="4"/>
        <v>132.91139240506328</v>
      </c>
      <c r="P55">
        <f t="shared" si="5"/>
        <v>330284.81012658228</v>
      </c>
      <c r="Q55">
        <f t="shared" si="6"/>
        <v>305.99857374200661</v>
      </c>
    </row>
    <row r="56" spans="1:17">
      <c r="A56" s="11" t="s">
        <v>71</v>
      </c>
      <c r="B56" s="12">
        <v>44.4861111111111</v>
      </c>
      <c r="C56" s="12">
        <v>24.621944444444399</v>
      </c>
      <c r="D56" s="3">
        <f t="shared" si="7"/>
        <v>22.24305555555555</v>
      </c>
      <c r="E56" s="3">
        <f t="shared" si="8"/>
        <v>12.310972222222199</v>
      </c>
      <c r="F56" s="2">
        <v>12</v>
      </c>
      <c r="G56" s="2">
        <v>12</v>
      </c>
      <c r="H56" s="2">
        <v>10</v>
      </c>
      <c r="I56" s="2">
        <v>13</v>
      </c>
      <c r="J56" s="2">
        <v>10</v>
      </c>
      <c r="K56" s="2">
        <v>12</v>
      </c>
      <c r="L56" s="3">
        <f t="shared" si="9"/>
        <v>11.5</v>
      </c>
      <c r="M56" s="3">
        <v>21.11</v>
      </c>
      <c r="N56">
        <f t="shared" si="3"/>
        <v>859.83762671681927</v>
      </c>
      <c r="O56">
        <f t="shared" si="4"/>
        <v>145.56962025316454</v>
      </c>
      <c r="P56">
        <f t="shared" si="5"/>
        <v>307297.46835443034</v>
      </c>
      <c r="Q56">
        <f t="shared" si="6"/>
        <v>264.22592588596024</v>
      </c>
    </row>
    <row r="57" spans="1:17">
      <c r="A57" s="11" t="s">
        <v>72</v>
      </c>
      <c r="B57" s="2"/>
    </row>
    <row r="58" spans="1:17">
      <c r="A58" s="2"/>
      <c r="B58" s="2"/>
    </row>
  </sheetData>
  <mergeCells count="1">
    <mergeCell ref="F1:K1"/>
  </mergeCells>
  <phoneticPr fontId="4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8"/>
  <sheetViews>
    <sheetView workbookViewId="0">
      <selection activeCell="F26" sqref="F26"/>
    </sheetView>
  </sheetViews>
  <sheetFormatPr baseColWidth="10" defaultColWidth="9" defaultRowHeight="14"/>
  <cols>
    <col min="1" max="1" width="13" customWidth="1"/>
    <col min="2" max="2" width="23.1640625" style="1" customWidth="1"/>
    <col min="3" max="3" width="9.6640625" customWidth="1"/>
    <col min="4" max="4" width="12.83203125" customWidth="1"/>
  </cols>
  <sheetData>
    <row r="1" spans="1:4">
      <c r="A1" s="2" t="s">
        <v>0</v>
      </c>
      <c r="B1" s="3" t="s">
        <v>4</v>
      </c>
      <c r="C1" s="2" t="s">
        <v>5</v>
      </c>
      <c r="D1" s="2" t="s">
        <v>6</v>
      </c>
    </row>
    <row r="2" spans="1:4">
      <c r="A2" s="4" t="s">
        <v>16</v>
      </c>
      <c r="B2" s="3">
        <v>37.92</v>
      </c>
      <c r="C2" s="2">
        <v>7.7100000000000002E-2</v>
      </c>
      <c r="D2" s="2">
        <f t="shared" ref="D2:D33" si="0">B2/C2</f>
        <v>491.82879377431908</v>
      </c>
    </row>
    <row r="3" spans="1:4">
      <c r="A3" s="4" t="s">
        <v>17</v>
      </c>
      <c r="B3" s="3">
        <v>38.1</v>
      </c>
      <c r="C3" s="2">
        <v>8.8499999999999995E-2</v>
      </c>
      <c r="D3" s="2">
        <f t="shared" si="0"/>
        <v>430.50847457627123</v>
      </c>
    </row>
    <row r="4" spans="1:4">
      <c r="A4" s="4" t="s">
        <v>18</v>
      </c>
      <c r="B4" s="3">
        <v>47.15</v>
      </c>
      <c r="C4" s="2">
        <v>0.1067</v>
      </c>
      <c r="D4" s="2">
        <f t="shared" si="0"/>
        <v>441.89315838800371</v>
      </c>
    </row>
    <row r="5" spans="1:4">
      <c r="A5" s="4" t="s">
        <v>19</v>
      </c>
      <c r="B5" s="3">
        <v>45.34</v>
      </c>
      <c r="C5" s="2">
        <v>0.1143</v>
      </c>
      <c r="D5" s="2">
        <f t="shared" si="0"/>
        <v>396.67541557305339</v>
      </c>
    </row>
    <row r="6" spans="1:4">
      <c r="A6" s="5" t="s">
        <v>20</v>
      </c>
      <c r="B6" s="3">
        <v>52.34</v>
      </c>
      <c r="C6" s="2">
        <v>7.0800000000000002E-2</v>
      </c>
      <c r="D6" s="2">
        <f t="shared" si="0"/>
        <v>739.2655367231639</v>
      </c>
    </row>
    <row r="7" spans="1:4">
      <c r="A7" s="5" t="s">
        <v>21</v>
      </c>
      <c r="B7" s="3">
        <v>108.58</v>
      </c>
      <c r="C7" s="6">
        <v>0.158</v>
      </c>
      <c r="D7" s="2">
        <f t="shared" si="0"/>
        <v>687.21518987341767</v>
      </c>
    </row>
    <row r="8" spans="1:4">
      <c r="A8" s="5" t="s">
        <v>22</v>
      </c>
      <c r="B8" s="3">
        <v>119.04</v>
      </c>
      <c r="C8" s="2">
        <v>0.17180000000000001</v>
      </c>
      <c r="D8" s="2">
        <f t="shared" si="0"/>
        <v>692.89871944121069</v>
      </c>
    </row>
    <row r="9" spans="1:4">
      <c r="A9" s="5" t="s">
        <v>23</v>
      </c>
      <c r="B9" s="3">
        <v>79.39</v>
      </c>
      <c r="C9" s="2">
        <v>0.1133</v>
      </c>
      <c r="D9" s="2">
        <f t="shared" si="0"/>
        <v>700.70609002647836</v>
      </c>
    </row>
    <row r="10" spans="1:4">
      <c r="A10" s="7" t="s">
        <v>24</v>
      </c>
      <c r="B10" s="3">
        <v>38.049999999999997</v>
      </c>
      <c r="C10" s="2">
        <v>7.3099999999999998E-2</v>
      </c>
      <c r="D10" s="2">
        <f t="shared" si="0"/>
        <v>520.51983584131324</v>
      </c>
    </row>
    <row r="11" spans="1:4">
      <c r="A11" s="7" t="s">
        <v>25</v>
      </c>
      <c r="B11" s="3">
        <v>31.79</v>
      </c>
      <c r="C11" s="2">
        <v>5.33E-2</v>
      </c>
      <c r="D11" s="2">
        <f t="shared" si="0"/>
        <v>596.43527204502811</v>
      </c>
    </row>
    <row r="12" spans="1:4">
      <c r="A12" s="7" t="s">
        <v>26</v>
      </c>
      <c r="B12" s="3">
        <v>38.520000000000003</v>
      </c>
      <c r="C12" s="2">
        <v>5.8400000000000001E-2</v>
      </c>
      <c r="D12" s="2">
        <f t="shared" si="0"/>
        <v>659.58904109589048</v>
      </c>
    </row>
    <row r="13" spans="1:4">
      <c r="A13" s="7" t="s">
        <v>27</v>
      </c>
      <c r="B13" s="3">
        <v>31.99</v>
      </c>
      <c r="C13" s="2">
        <v>5.0900000000000001E-2</v>
      </c>
      <c r="D13" s="2">
        <f t="shared" si="0"/>
        <v>628.48722986247537</v>
      </c>
    </row>
    <row r="14" spans="1:4">
      <c r="A14" s="8" t="s">
        <v>28</v>
      </c>
      <c r="B14" s="3">
        <v>87.92</v>
      </c>
      <c r="C14" s="2">
        <v>0.27589999999999998</v>
      </c>
      <c r="D14" s="2">
        <f t="shared" si="0"/>
        <v>318.66618339978254</v>
      </c>
    </row>
    <row r="15" spans="1:4">
      <c r="A15" s="8" t="s">
        <v>29</v>
      </c>
      <c r="B15" s="3">
        <v>68.02</v>
      </c>
      <c r="C15" s="2">
        <v>0.21179999999999999</v>
      </c>
      <c r="D15" s="2">
        <f t="shared" si="0"/>
        <v>321.152030217186</v>
      </c>
    </row>
    <row r="16" spans="1:4">
      <c r="A16" s="8" t="s">
        <v>30</v>
      </c>
      <c r="B16" s="3">
        <v>67.56</v>
      </c>
      <c r="C16" s="6">
        <v>0.27</v>
      </c>
      <c r="D16" s="2">
        <f t="shared" si="0"/>
        <v>250.2222222222222</v>
      </c>
    </row>
    <row r="17" spans="1:4">
      <c r="A17" s="8" t="s">
        <v>31</v>
      </c>
      <c r="B17" s="3">
        <v>77.09</v>
      </c>
      <c r="C17" s="2">
        <v>0.2147</v>
      </c>
      <c r="D17" s="2">
        <f t="shared" si="0"/>
        <v>359.05915230554263</v>
      </c>
    </row>
    <row r="18" spans="1:4">
      <c r="A18" s="9" t="s">
        <v>32</v>
      </c>
      <c r="B18" s="3">
        <v>92.07</v>
      </c>
      <c r="C18" s="2">
        <v>0.17169999999999999</v>
      </c>
      <c r="D18" s="2">
        <f t="shared" si="0"/>
        <v>536.22597553873038</v>
      </c>
    </row>
    <row r="19" spans="1:4">
      <c r="A19" s="9" t="s">
        <v>33</v>
      </c>
      <c r="B19" s="3">
        <v>88.95</v>
      </c>
      <c r="C19" s="6">
        <v>0.15909999999999999</v>
      </c>
      <c r="D19" s="2">
        <f t="shared" si="0"/>
        <v>559.08233815210565</v>
      </c>
    </row>
    <row r="20" spans="1:4">
      <c r="A20" s="9" t="s">
        <v>34</v>
      </c>
      <c r="B20" s="3">
        <v>130.04</v>
      </c>
      <c r="C20" s="2">
        <v>0.24970000000000001</v>
      </c>
      <c r="D20" s="2">
        <f t="shared" si="0"/>
        <v>520.78494193031634</v>
      </c>
    </row>
    <row r="21" spans="1:4">
      <c r="A21" s="9" t="s">
        <v>35</v>
      </c>
      <c r="B21" s="3">
        <v>104.78</v>
      </c>
      <c r="C21" s="2">
        <v>0.20069999999999999</v>
      </c>
      <c r="D21" s="2">
        <f t="shared" si="0"/>
        <v>522.07274539113109</v>
      </c>
    </row>
    <row r="22" spans="1:4">
      <c r="A22" s="10" t="s">
        <v>36</v>
      </c>
      <c r="B22" s="3">
        <v>81.12</v>
      </c>
      <c r="C22" s="2">
        <v>0.51290000000000002</v>
      </c>
      <c r="D22" s="2">
        <f t="shared" si="0"/>
        <v>158.15948527978165</v>
      </c>
    </row>
    <row r="23" spans="1:4">
      <c r="A23" s="10" t="s">
        <v>37</v>
      </c>
      <c r="B23" s="3">
        <v>92.03</v>
      </c>
      <c r="C23" s="2">
        <v>0.49370000000000003</v>
      </c>
      <c r="D23" s="2">
        <f t="shared" si="0"/>
        <v>186.40875025319019</v>
      </c>
    </row>
    <row r="24" spans="1:4">
      <c r="A24" s="10" t="s">
        <v>38</v>
      </c>
      <c r="B24" s="3">
        <v>93.94</v>
      </c>
      <c r="C24" s="2">
        <v>0.51359999999999995</v>
      </c>
      <c r="D24" s="2">
        <f t="shared" si="0"/>
        <v>182.90498442367604</v>
      </c>
    </row>
    <row r="25" spans="1:4">
      <c r="A25" s="10" t="s">
        <v>39</v>
      </c>
      <c r="B25" s="3">
        <v>71.72</v>
      </c>
      <c r="C25" s="2">
        <v>0.28870000000000001</v>
      </c>
      <c r="D25" s="2">
        <f t="shared" si="0"/>
        <v>248.42396951853132</v>
      </c>
    </row>
    <row r="26" spans="1:4">
      <c r="A26" s="11" t="s">
        <v>40</v>
      </c>
      <c r="B26" s="3">
        <v>61.57</v>
      </c>
      <c r="C26" s="6">
        <v>0.16120000000000001</v>
      </c>
      <c r="D26" s="2">
        <f t="shared" si="0"/>
        <v>381.94789081885853</v>
      </c>
    </row>
    <row r="27" spans="1:4">
      <c r="A27" s="11" t="s">
        <v>41</v>
      </c>
      <c r="B27" s="3">
        <v>54.74</v>
      </c>
      <c r="C27" s="2">
        <v>0.1439</v>
      </c>
      <c r="D27" s="2">
        <f t="shared" si="0"/>
        <v>380.4030576789437</v>
      </c>
    </row>
    <row r="28" spans="1:4">
      <c r="A28" s="11" t="s">
        <v>42</v>
      </c>
      <c r="B28" s="3">
        <v>42.96</v>
      </c>
      <c r="C28" s="2">
        <v>0.1144</v>
      </c>
      <c r="D28" s="2">
        <f t="shared" si="0"/>
        <v>375.52447552447552</v>
      </c>
    </row>
    <row r="29" spans="1:4">
      <c r="A29" s="11" t="s">
        <v>43</v>
      </c>
      <c r="B29" s="3">
        <v>66.569999999999993</v>
      </c>
      <c r="C29" s="2">
        <v>0.19550000000000001</v>
      </c>
      <c r="D29" s="2">
        <f t="shared" si="0"/>
        <v>340.5115089514066</v>
      </c>
    </row>
    <row r="30" spans="1:4">
      <c r="A30" s="4" t="s">
        <v>44</v>
      </c>
      <c r="B30" s="3">
        <v>22.08</v>
      </c>
      <c r="C30" s="2">
        <v>8.8099999999999998E-2</v>
      </c>
      <c r="D30" s="2">
        <f t="shared" si="0"/>
        <v>250.62429057888761</v>
      </c>
    </row>
    <row r="31" spans="1:4">
      <c r="A31" s="4" t="s">
        <v>45</v>
      </c>
      <c r="B31" s="3">
        <v>24.64</v>
      </c>
      <c r="C31" s="2">
        <v>0.1135</v>
      </c>
      <c r="D31" s="2">
        <f t="shared" si="0"/>
        <v>217.09251101321587</v>
      </c>
    </row>
    <row r="32" spans="1:4">
      <c r="A32" s="4" t="s">
        <v>46</v>
      </c>
      <c r="B32" s="3">
        <v>21.86</v>
      </c>
      <c r="C32" s="2">
        <v>9.2299999999999993E-2</v>
      </c>
      <c r="D32" s="2">
        <f t="shared" si="0"/>
        <v>236.83640303358615</v>
      </c>
    </row>
    <row r="33" spans="1:4">
      <c r="A33" s="4" t="s">
        <v>47</v>
      </c>
      <c r="B33" s="3">
        <v>22.83</v>
      </c>
      <c r="C33" s="2">
        <v>0.114</v>
      </c>
      <c r="D33" s="2">
        <f t="shared" si="0"/>
        <v>200.26315789473682</v>
      </c>
    </row>
    <row r="34" spans="1:4">
      <c r="A34" s="5" t="s">
        <v>48</v>
      </c>
      <c r="B34" s="3">
        <v>43.6</v>
      </c>
      <c r="C34" s="2">
        <v>0.13969999999999999</v>
      </c>
      <c r="D34" s="2">
        <f t="shared" ref="D34:D56" si="1">B34/C34</f>
        <v>312.09735146743026</v>
      </c>
    </row>
    <row r="35" spans="1:4">
      <c r="A35" s="5" t="s">
        <v>49</v>
      </c>
      <c r="B35" s="3">
        <v>32.5</v>
      </c>
      <c r="C35" s="2">
        <v>0.1045</v>
      </c>
      <c r="D35" s="2">
        <f t="shared" si="1"/>
        <v>311.00478468899524</v>
      </c>
    </row>
    <row r="36" spans="1:4">
      <c r="A36" s="5" t="s">
        <v>50</v>
      </c>
      <c r="B36" s="3">
        <v>34.619999999999997</v>
      </c>
      <c r="C36" s="2">
        <v>8.6300000000000002E-2</v>
      </c>
      <c r="D36" s="2">
        <f t="shared" si="1"/>
        <v>401.15874855156426</v>
      </c>
    </row>
    <row r="37" spans="1:4">
      <c r="A37" s="5" t="s">
        <v>51</v>
      </c>
      <c r="B37" s="3">
        <v>36.32</v>
      </c>
      <c r="C37" s="2">
        <v>0.1358</v>
      </c>
      <c r="D37" s="2">
        <f t="shared" si="1"/>
        <v>267.45213549337262</v>
      </c>
    </row>
    <row r="38" spans="1:4">
      <c r="A38" s="7" t="s">
        <v>52</v>
      </c>
      <c r="B38" s="3">
        <v>26.67</v>
      </c>
      <c r="C38" s="2">
        <v>8.8499999999999995E-2</v>
      </c>
      <c r="D38" s="2">
        <f t="shared" si="1"/>
        <v>301.35593220338984</v>
      </c>
    </row>
    <row r="39" spans="1:4">
      <c r="A39" s="7" t="s">
        <v>53</v>
      </c>
      <c r="B39" s="3">
        <v>26.9</v>
      </c>
      <c r="C39" s="2">
        <v>0.1037</v>
      </c>
      <c r="D39" s="2">
        <f t="shared" si="1"/>
        <v>259.40212150433945</v>
      </c>
    </row>
    <row r="40" spans="1:4">
      <c r="A40" s="7" t="s">
        <v>54</v>
      </c>
      <c r="B40" s="3">
        <v>21.82</v>
      </c>
      <c r="C40" s="2">
        <v>5.21E-2</v>
      </c>
      <c r="D40" s="2">
        <f t="shared" si="1"/>
        <v>418.80998080614205</v>
      </c>
    </row>
    <row r="41" spans="1:4">
      <c r="A41" s="7" t="s">
        <v>55</v>
      </c>
      <c r="B41" s="3">
        <v>26.53</v>
      </c>
      <c r="C41" s="2">
        <v>9.9699999999999997E-2</v>
      </c>
      <c r="D41" s="2">
        <f t="shared" si="1"/>
        <v>266.09829488465397</v>
      </c>
    </row>
    <row r="42" spans="1:4">
      <c r="A42" s="8" t="s">
        <v>56</v>
      </c>
      <c r="B42" s="3">
        <v>106.13</v>
      </c>
      <c r="C42" s="2">
        <v>0.53239999999999998</v>
      </c>
      <c r="D42" s="2">
        <f t="shared" si="1"/>
        <v>199.34259954921112</v>
      </c>
    </row>
    <row r="43" spans="1:4">
      <c r="A43" s="8" t="s">
        <v>57</v>
      </c>
      <c r="B43" s="3">
        <v>111.51</v>
      </c>
      <c r="C43" s="6">
        <v>0.48399999999999999</v>
      </c>
      <c r="D43" s="2">
        <f t="shared" si="1"/>
        <v>230.3925619834711</v>
      </c>
    </row>
    <row r="44" spans="1:4">
      <c r="A44" s="8" t="s">
        <v>58</v>
      </c>
      <c r="B44" s="3">
        <v>76.97</v>
      </c>
      <c r="C44" s="2">
        <v>0.3891</v>
      </c>
      <c r="D44" s="2">
        <f t="shared" si="1"/>
        <v>197.81547160113081</v>
      </c>
    </row>
    <row r="45" spans="1:4">
      <c r="A45" s="8" t="s">
        <v>59</v>
      </c>
      <c r="B45" s="3">
        <v>87.66</v>
      </c>
      <c r="C45" s="2">
        <v>0.3664</v>
      </c>
      <c r="D45" s="2">
        <f t="shared" si="1"/>
        <v>239.24672489082968</v>
      </c>
    </row>
    <row r="46" spans="1:4">
      <c r="A46" s="9" t="s">
        <v>60</v>
      </c>
      <c r="B46" s="3">
        <v>29.99</v>
      </c>
      <c r="C46" s="2">
        <v>0.1008</v>
      </c>
      <c r="D46" s="2">
        <f t="shared" si="1"/>
        <v>297.51984126984127</v>
      </c>
    </row>
    <row r="47" spans="1:4">
      <c r="A47" s="9" t="s">
        <v>61</v>
      </c>
      <c r="B47" s="3">
        <v>24.67</v>
      </c>
      <c r="C47" s="2">
        <v>7.8600000000000003E-2</v>
      </c>
      <c r="D47" s="2">
        <f t="shared" si="1"/>
        <v>313.86768447837153</v>
      </c>
    </row>
    <row r="48" spans="1:4">
      <c r="A48" s="9" t="s">
        <v>62</v>
      </c>
      <c r="B48" s="3">
        <v>26.5</v>
      </c>
      <c r="C48" s="2">
        <v>8.9300000000000004E-2</v>
      </c>
      <c r="D48" s="2">
        <f t="shared" si="1"/>
        <v>296.75251959686449</v>
      </c>
    </row>
    <row r="49" spans="1:4">
      <c r="A49" s="9" t="s">
        <v>63</v>
      </c>
      <c r="B49" s="3">
        <v>20.27</v>
      </c>
      <c r="C49" s="6">
        <v>6.3E-2</v>
      </c>
      <c r="D49" s="2">
        <f t="shared" si="1"/>
        <v>321.74603174603175</v>
      </c>
    </row>
    <row r="50" spans="1:4">
      <c r="A50" s="10" t="s">
        <v>64</v>
      </c>
      <c r="B50" s="3">
        <v>54.92</v>
      </c>
      <c r="C50" s="2">
        <v>0.4748</v>
      </c>
      <c r="D50" s="2">
        <f t="shared" si="1"/>
        <v>115.66975568660489</v>
      </c>
    </row>
    <row r="51" spans="1:4">
      <c r="A51" s="10" t="s">
        <v>65</v>
      </c>
      <c r="B51" s="3">
        <v>45.47</v>
      </c>
      <c r="C51" s="2">
        <v>0.35630000000000001</v>
      </c>
      <c r="D51" s="2">
        <f t="shared" si="1"/>
        <v>127.61717653662643</v>
      </c>
    </row>
    <row r="52" spans="1:4">
      <c r="A52" s="10" t="s">
        <v>66</v>
      </c>
      <c r="B52" s="3">
        <v>56.37</v>
      </c>
      <c r="C52" s="2">
        <v>0.46179999999999999</v>
      </c>
      <c r="D52" s="2">
        <f t="shared" si="1"/>
        <v>122.06582936336076</v>
      </c>
    </row>
    <row r="53" spans="1:4">
      <c r="A53" s="10" t="s">
        <v>67</v>
      </c>
      <c r="B53" s="3">
        <v>45.08</v>
      </c>
      <c r="C53" s="2">
        <v>0.50290000000000001</v>
      </c>
      <c r="D53" s="2">
        <f t="shared" si="1"/>
        <v>89.640087492543245</v>
      </c>
    </row>
    <row r="54" spans="1:4">
      <c r="A54" s="11" t="s">
        <v>68</v>
      </c>
      <c r="B54" s="3">
        <v>14.85</v>
      </c>
      <c r="C54" s="6">
        <v>5.2999999999999999E-2</v>
      </c>
      <c r="D54" s="2">
        <f t="shared" si="1"/>
        <v>280.18867924528303</v>
      </c>
    </row>
    <row r="55" spans="1:4">
      <c r="A55" s="11" t="s">
        <v>69</v>
      </c>
      <c r="B55" s="3">
        <v>22.08</v>
      </c>
      <c r="C55" s="2">
        <v>0.10589999999999999</v>
      </c>
      <c r="D55" s="2">
        <f t="shared" si="1"/>
        <v>208.4985835694051</v>
      </c>
    </row>
    <row r="56" spans="1:4">
      <c r="A56" s="11" t="s">
        <v>71</v>
      </c>
      <c r="B56" s="3">
        <v>17.25</v>
      </c>
      <c r="C56" s="6">
        <v>8.3699999999999997E-2</v>
      </c>
      <c r="D56" s="2">
        <f t="shared" si="1"/>
        <v>206.09318996415772</v>
      </c>
    </row>
    <row r="57" spans="1:4">
      <c r="A57" s="11" t="s">
        <v>72</v>
      </c>
    </row>
    <row r="58" spans="1:4">
      <c r="A58" s="2"/>
    </row>
  </sheetData>
  <phoneticPr fontId="4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E0A3903-CDB9-4358-939A-E3CA4FE2F8BE}"/>
</file>

<file path=customXml/itemProps2.xml><?xml version="1.0" encoding="utf-8"?>
<ds:datastoreItem xmlns:ds="http://schemas.openxmlformats.org/officeDocument/2006/customXml" ds:itemID="{29B9DA63-3340-4C58-AFE8-C3364DEA4BCB}"/>
</file>

<file path=customXml/itemProps3.xml><?xml version="1.0" encoding="utf-8"?>
<ds:datastoreItem xmlns:ds="http://schemas.openxmlformats.org/officeDocument/2006/customXml" ds:itemID="{AC285153-CC2A-43C4-9E38-5F17DC6399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指标汇总</vt:lpstr>
      <vt:lpstr>分析用到的数据lw</vt:lpstr>
      <vt:lpstr>CN测量</vt:lpstr>
      <vt:lpstr>气孔性状</vt:lpstr>
      <vt:lpstr>比叶面积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刘威</dc:creator>
  <cp:lastModifiedBy>许裕苧</cp:lastModifiedBy>
  <dcterms:created xsi:type="dcterms:W3CDTF">2023-05-12T11:15:00Z</dcterms:created>
  <dcterms:modified xsi:type="dcterms:W3CDTF">2026-02-05T07:44:15Z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FE763177B3CD4A1385265F2A99D39D95_13</vt:lpwstr>
  </property>
  <property fmtid="{D5CDD505-2E9C-101B-9397-08002B2CF9AE}" pid="4" name="ContentTypeId">
    <vt:lpwstr>0x01010028C7B6C620067247A35EF62A3E68EE62</vt:lpwstr>
  </property>
</Properties>
</file>
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codeName="ThisWorkbook"/>
  <xr:revisionPtr revIDLastSave="0" documentId="11_1C87D40777DB33DC8166C51EB36D1206D5F3952C" xr6:coauthVersionLast="47" xr6:coauthVersionMax="47" xr10:uidLastSave="{00000000-0000-0000-0000-000000000000}"/>
  <bookViews>
    <workbookView xWindow="0" yWindow="0" windowWidth="18900" windowHeight="8655" firstSheet="1" activeTab="1" xr2:uid="{00000000-000D-0000-FFFF-FFFF00000000}"/>
  </bookViews>
  <sheets>
    <sheet name="动供分解给四高炉" sheetId="16" r:id="rId1"/>
    <sheet name="动供分给六高炉" sheetId="17" r:id="rId2"/>
    <sheet name="一月" sheetId="1" r:id="rId3"/>
    <sheet name="二月" sheetId="2" r:id="rId4"/>
    <sheet name="三月" sheetId="3" r:id="rId5"/>
    <sheet name="四月" sheetId="4" r:id="rId6"/>
    <sheet name="五月" sheetId="5" r:id="rId7"/>
    <sheet name="六月" sheetId="6" r:id="rId8"/>
    <sheet name="七月" sheetId="7" r:id="rId9"/>
    <sheet name="八月" sheetId="8" r:id="rId10"/>
    <sheet name="九月" sheetId="9" r:id="rId11"/>
    <sheet name="十月" sheetId="10" r:id="rId12"/>
    <sheet name="十一月" sheetId="11" r:id="rId13"/>
    <sheet name="十二月" sheetId="12" r:id="rId14"/>
    <sheet name="合计" sheetId="13" r:id="rId15"/>
    <sheet name="Sheet2" sheetId="15" r:id="rId16"/>
    <sheet name="汇总报告" sheetId="19" r:id="rId17"/>
  </sheets>
  <definedNames>
    <definedName name="_xlnm._FilterDatabase" localSheetId="16" hidden="1">汇总报告!$A$1:$A$48</definedName>
    <definedName name="_xlnm._FilterDatabase" localSheetId="1" hidden="1">动供分给六高炉!#REF!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16" i="13" l="1"/>
  <c r="BN16" i="13"/>
  <c r="BM16" i="13"/>
  <c r="BK16" i="13"/>
  <c r="BJ16" i="13"/>
  <c r="BI16" i="13"/>
  <c r="BH16" i="13"/>
  <c r="BF16" i="13"/>
  <c r="BE16" i="13"/>
  <c r="BD16" i="13"/>
  <c r="BC16" i="13"/>
  <c r="BA16" i="13"/>
  <c r="AZ16" i="13"/>
  <c r="AY16" i="13"/>
  <c r="AX16" i="13"/>
  <c r="AV16" i="13"/>
  <c r="AU16" i="13"/>
  <c r="AT16" i="13"/>
  <c r="AS16" i="13"/>
  <c r="AQ16" i="13"/>
  <c r="AP16" i="13"/>
  <c r="AO16" i="13"/>
  <c r="AN16" i="13"/>
  <c r="AL16" i="13"/>
  <c r="AK16" i="13"/>
  <c r="AJ16" i="13"/>
  <c r="AI16" i="13"/>
  <c r="AF16" i="13"/>
  <c r="AE16" i="13"/>
  <c r="AD16" i="13"/>
  <c r="AB16" i="13"/>
  <c r="AA16" i="13"/>
  <c r="Z16" i="13"/>
  <c r="Y16" i="13"/>
  <c r="W16" i="13"/>
  <c r="V16" i="13"/>
  <c r="U16" i="13"/>
  <c r="T16" i="13"/>
  <c r="R16" i="13"/>
  <c r="Q16" i="13"/>
  <c r="P16" i="13"/>
  <c r="O16" i="13"/>
  <c r="M16" i="13"/>
  <c r="L16" i="13"/>
  <c r="K16" i="13"/>
  <c r="J16" i="13"/>
  <c r="H16" i="13"/>
  <c r="G16" i="13"/>
  <c r="F16" i="13"/>
  <c r="E16" i="13"/>
  <c r="C16" i="13"/>
  <c r="BK15" i="13"/>
  <c r="BF15" i="13"/>
  <c r="BA15" i="13"/>
  <c r="AV15" i="13"/>
  <c r="AQ15" i="13"/>
  <c r="AL15" i="13"/>
  <c r="AG15" i="13"/>
  <c r="AB15" i="13"/>
  <c r="X15" i="13"/>
  <c r="W15" i="13"/>
  <c r="S15" i="13"/>
  <c r="R15" i="13"/>
  <c r="N15" i="13"/>
  <c r="M15" i="13"/>
  <c r="I15" i="13"/>
  <c r="H15" i="13"/>
  <c r="D15" i="13"/>
  <c r="C15" i="13"/>
  <c r="AY12" i="13"/>
  <c r="AX12" i="13"/>
  <c r="AW12" i="13"/>
  <c r="AV12" i="13"/>
  <c r="AP12" i="13"/>
  <c r="AO12" i="13"/>
  <c r="AN12" i="13"/>
  <c r="AM12" i="13"/>
  <c r="AL12" i="13"/>
  <c r="AB12" i="13"/>
  <c r="AY11" i="13"/>
  <c r="AX11" i="13"/>
  <c r="AW11" i="13"/>
  <c r="AV11" i="13"/>
  <c r="AP11" i="13"/>
  <c r="AO11" i="13"/>
  <c r="AN11" i="13"/>
  <c r="AM11" i="13"/>
  <c r="AL11" i="13"/>
  <c r="AK11" i="13"/>
  <c r="AI11" i="13"/>
  <c r="AH11" i="13"/>
  <c r="AG11" i="13"/>
  <c r="AF11" i="13"/>
  <c r="AE11" i="13"/>
  <c r="AD11" i="13"/>
  <c r="AC11" i="13"/>
  <c r="AB11" i="13"/>
  <c r="AU10" i="13"/>
  <c r="AT10" i="13"/>
  <c r="AS10" i="13"/>
  <c r="AR10" i="13"/>
  <c r="AQ10" i="13"/>
  <c r="BO9" i="13"/>
  <c r="BN9" i="13"/>
  <c r="BM9" i="13"/>
  <c r="BL9" i="13"/>
  <c r="BK9" i="13"/>
  <c r="BJ9" i="13"/>
  <c r="BI9" i="13"/>
  <c r="BH9" i="13"/>
  <c r="BG9" i="13"/>
  <c r="BF9" i="13"/>
  <c r="BE9" i="13"/>
  <c r="BD9" i="13"/>
  <c r="BC9" i="13"/>
  <c r="BB9" i="13"/>
  <c r="BA9" i="13"/>
  <c r="AA9" i="13"/>
  <c r="Z9" i="13"/>
  <c r="Y9" i="13"/>
  <c r="X9" i="13"/>
  <c r="W9" i="13"/>
  <c r="V9" i="13"/>
  <c r="U9" i="13"/>
  <c r="T9" i="13"/>
  <c r="S9" i="13"/>
  <c r="R9" i="13"/>
  <c r="L9" i="13"/>
  <c r="K9" i="13"/>
  <c r="J9" i="13"/>
  <c r="I9" i="13"/>
  <c r="H9" i="13"/>
  <c r="Q8" i="13"/>
  <c r="P8" i="13"/>
  <c r="O8" i="13"/>
  <c r="N8" i="13"/>
  <c r="M8" i="13"/>
  <c r="G8" i="13"/>
  <c r="F8" i="13"/>
  <c r="E8" i="13"/>
  <c r="D8" i="13"/>
  <c r="C8" i="13"/>
  <c r="BO7" i="13"/>
  <c r="BN7" i="13"/>
  <c r="BM7" i="13"/>
  <c r="BL7" i="13"/>
  <c r="BK7" i="13"/>
  <c r="BJ7" i="13"/>
  <c r="BI7" i="13"/>
  <c r="BH7" i="13"/>
  <c r="BG7" i="13"/>
  <c r="BF7" i="13"/>
  <c r="BE7" i="13"/>
  <c r="BD7" i="13"/>
  <c r="BC7" i="13"/>
  <c r="BB7" i="13"/>
  <c r="BA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O5" i="13"/>
  <c r="BN5" i="13"/>
  <c r="BM5" i="13"/>
  <c r="BL5" i="13"/>
  <c r="BK5" i="13"/>
  <c r="BJ5" i="13"/>
  <c r="BI5" i="13"/>
  <c r="BH5" i="13"/>
  <c r="BG5" i="13"/>
  <c r="BF5" i="13"/>
  <c r="BE5" i="13"/>
  <c r="BD5" i="13"/>
  <c r="BC5" i="13"/>
  <c r="BB5" i="13"/>
  <c r="BA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O4" i="13"/>
  <c r="BN4" i="13"/>
  <c r="BM4" i="13"/>
  <c r="BL4" i="13"/>
  <c r="BK4" i="13"/>
  <c r="BJ4" i="13"/>
  <c r="BI4" i="13"/>
  <c r="BH4" i="13"/>
  <c r="BG4" i="13"/>
  <c r="BF4" i="13"/>
  <c r="BE4" i="13"/>
  <c r="BD4" i="13"/>
  <c r="BC4" i="13"/>
  <c r="BB4" i="13"/>
  <c r="BA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G18" i="4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32" i="1"/>
  <c r="C31" i="1"/>
  <c r="C30" i="1"/>
  <c r="C29" i="1"/>
  <c r="C28" i="1"/>
  <c r="C27" i="1"/>
  <c r="C26" i="1"/>
  <c r="C25" i="1"/>
  <c r="C24" i="1"/>
  <c r="C23" i="1"/>
  <c r="C22" i="1"/>
  <c r="C21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4" authorId="0" shapeId="0" xr:uid="{00000000-0006-0000-0000-000001000000}">
      <text>
        <r>
          <rPr>
            <sz val="9"/>
            <rFont val="宋体"/>
            <charset val="134"/>
          </rPr>
          <t>工序报表没加入动供的量</t>
        </r>
      </text>
    </comment>
    <comment ref="F5" authorId="0" shapeId="0" xr:uid="{00000000-0006-0000-0000-000002000000}">
      <text>
        <r>
          <rPr>
            <sz val="9"/>
            <rFont val="宋体"/>
            <charset val="134"/>
          </rPr>
          <t>工序上加的是1987000
加的是累计，串行了</t>
        </r>
      </text>
    </comment>
    <comment ref="G6" authorId="0" shapeId="0" xr:uid="{00000000-0006-0000-0000-000003000000}">
      <text>
        <r>
          <rPr>
            <sz val="9"/>
            <rFont val="宋体"/>
            <charset val="134"/>
          </rPr>
          <t xml:space="preserve">工序报表没加入动供的量
</t>
        </r>
      </text>
    </comment>
    <comment ref="H6" authorId="0" shapeId="0" xr:uid="{00000000-0006-0000-0000-000004000000}">
      <text>
        <r>
          <rPr>
            <sz val="9"/>
            <rFont val="宋体"/>
            <charset val="134"/>
          </rPr>
          <t xml:space="preserve">工序报表没加入动供的量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5" authorId="0" shapeId="0" xr:uid="{00000000-0006-0000-0100-000001000000}">
      <text>
        <r>
          <rPr>
            <sz val="9"/>
            <rFont val="宋体"/>
            <charset val="134"/>
          </rPr>
          <t xml:space="preserve">工序报表没加入动供的量
</t>
        </r>
      </text>
    </comment>
    <comment ref="H5" authorId="0" shapeId="0" xr:uid="{00000000-0006-0000-0100-000002000000}">
      <text>
        <r>
          <rPr>
            <sz val="14"/>
            <rFont val="宋体"/>
            <charset val="134"/>
          </rPr>
          <t>工序报表没加入动供的量</t>
        </r>
      </text>
    </comment>
  </commentList>
</comments>
</file>

<file path=xl/sharedStrings.xml><?xml version="1.0" encoding="utf-8"?>
<sst xmlns="http://schemas.openxmlformats.org/spreadsheetml/2006/main" count="1728" uniqueCount="78">
  <si>
    <t>查找值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</si>
  <si>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</si>
  <si>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</si>
  <si>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</si>
  <si>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</si>
  <si>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</si>
  <si>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</si>
  <si>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</si>
  <si>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</si>
  <si>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</si>
  <si>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</si>
  <si>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</si>
  <si>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</si>
  <si>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蒸汽</t>
  </si>
  <si>
    <t>自用环水</t>
  </si>
  <si>
    <t>脱盐水（补水）</t>
  </si>
  <si>
    <t>低压氮气</t>
  </si>
  <si>
    <t>中压氮气</t>
  </si>
  <si>
    <t>澄清水（净水）</t>
  </si>
  <si>
    <t>月份</t>
  </si>
  <si>
    <t>项目</t>
  </si>
  <si>
    <t>单位</t>
  </si>
  <si>
    <t>一号净化站</t>
  </si>
  <si>
    <t>三号净化站</t>
  </si>
  <si>
    <t>四号净化站</t>
  </si>
  <si>
    <t>五号净化站</t>
  </si>
  <si>
    <t>六号净化站</t>
  </si>
  <si>
    <t>19泵站</t>
  </si>
  <si>
    <t>21泵站</t>
  </si>
  <si>
    <t>30泵站</t>
  </si>
  <si>
    <t>27泵站</t>
  </si>
  <si>
    <t>3BF泵站</t>
  </si>
  <si>
    <t>7#电鼓</t>
  </si>
  <si>
    <t>8#电鼓</t>
  </si>
  <si>
    <t>9#电鼓</t>
  </si>
  <si>
    <t>月用量</t>
  </si>
  <si>
    <t>当月小时
用量</t>
  </si>
  <si>
    <t>总量
吨标煤</t>
  </si>
  <si>
    <t>单耗（铁）
千克标煤/吨</t>
  </si>
  <si>
    <t>单耗（电）
千克标煤/吨</t>
  </si>
  <si>
    <t>单耗（水）
千克标煤/吨</t>
  </si>
  <si>
    <t>单耗（风）
千克标煤/吨</t>
  </si>
  <si>
    <t>自耗电</t>
  </si>
  <si>
    <t>kw.h</t>
  </si>
  <si>
    <t>GJ</t>
  </si>
  <si>
    <t>m3</t>
  </si>
  <si>
    <t>环水</t>
  </si>
  <si>
    <t>t</t>
  </si>
  <si>
    <t>回用水（补水）</t>
  </si>
  <si>
    <t>湿空气</t>
  </si>
  <si>
    <t>km3</t>
  </si>
  <si>
    <t>干空气</t>
  </si>
  <si>
    <t>TRT发电量
供水量、供风量</t>
  </si>
  <si>
    <t>供水量</t>
  </si>
  <si>
    <t>送风量</t>
  </si>
  <si>
    <t>铁产量</t>
  </si>
  <si>
    <t>天数</t>
  </si>
  <si>
    <t>折标煤系数</t>
  </si>
  <si>
    <t>电力</t>
  </si>
  <si>
    <t>Kwh</t>
  </si>
  <si>
    <t>万吨/万Kwh</t>
  </si>
  <si>
    <t>低压蒸汽</t>
  </si>
  <si>
    <t>吨/吉焦</t>
  </si>
  <si>
    <t>澄清循环水</t>
  </si>
  <si>
    <t>吨</t>
  </si>
  <si>
    <t>万吨/万吨</t>
  </si>
  <si>
    <t>除盐水</t>
  </si>
  <si>
    <t>生活水</t>
  </si>
  <si>
    <t>回用水</t>
  </si>
  <si>
    <t>净水</t>
  </si>
  <si>
    <t>压缩空气</t>
  </si>
  <si>
    <t>m^3</t>
  </si>
  <si>
    <t>万吨/万m^3</t>
  </si>
  <si>
    <t>无油无水压缩空气</t>
  </si>
  <si>
    <t>A12</t>
  </si>
  <si>
    <t>A11</t>
  </si>
  <si>
    <t>A6</t>
  </si>
  <si>
    <t>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</si>
</sst>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8" formatCode="0_ "/>
    <numFmt numFmtId="179" formatCode="0.00_ "/>
    <numFmt numFmtId="180" formatCode="0.0000_ "/>
    <numFmt numFmtId="181" formatCode="0.000_ "/>
    <numFmt numFmtId="182" formatCode="0.00000_ "/>
    <numFmt numFmtId="183" formatCode="0.000000_ "/>
  </numFmts>
  <fonts count="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sz val="10"/>
      <name val="黑体"/>
      <charset val="134"/>
    </font>
    <font>
      <sz val="11"/>
      <color indexed="8"/>
      <name val="宋体"/>
      <charset val="134"/>
      <scheme val="minor"/>
    </font>
    <font>
      <sz val="9"/>
      <name val="宋体"/>
      <charset val="134"/>
    </font>
    <font>
      <sz val="14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182" fontId="1" fillId="0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83" fontId="1" fillId="0" borderId="1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/>
    <xf numFmtId="178" fontId="0" fillId="0" borderId="1" xfId="0" applyNumberFormat="1" applyBorder="1">
      <alignment vertical="center"/>
    </xf>
    <xf numFmtId="178" fontId="0" fillId="3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178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Fill="1" applyBorder="1" applyAlignment="1">
      <alignment horizontal="center" vertical="center"/>
    </xf>
  </cellXfs>
  <cellStyles count="2">
    <cellStyle name="常规" xfId="0" builtinId="0"/>
    <cellStyle name="常规 5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4"/>
  <dimension ref="A1:M6"/>
  <sheetViews>
    <sheetView workbookViewId="0">
      <pane xSplit="1" topLeftCell="B1" activePane="topRight" state="frozen"/>
      <selection pane="topRight" activeCell="I32" sqref="I32"/>
    </sheetView>
  </sheetViews>
  <sheetFormatPr defaultColWidth="9" defaultRowHeight="13.5"/>
  <cols>
    <col min="1" max="1" width="14.5" customWidth="1"/>
    <col min="2" max="2" width="12.625" customWidth="1"/>
    <col min="7" max="12" width="12.625"/>
  </cols>
  <sheetData>
    <row r="1" spans="1:13">
      <c r="A1" s="23" t="s">
        <v>0</v>
      </c>
      <c r="B1" s="24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>
      <c r="A2" s="23" t="s">
        <v>13</v>
      </c>
      <c r="B2" s="23">
        <v>210</v>
      </c>
      <c r="C2" s="23">
        <v>40</v>
      </c>
      <c r="D2" s="23">
        <v>30</v>
      </c>
      <c r="E2" s="25">
        <v>0</v>
      </c>
      <c r="F2" s="25">
        <v>240</v>
      </c>
      <c r="G2" s="25">
        <v>392.16</v>
      </c>
      <c r="H2" s="25">
        <v>333.21440000000001</v>
      </c>
      <c r="I2" s="25">
        <v>425.20479999999998</v>
      </c>
      <c r="J2" s="25">
        <v>479.28640000000001</v>
      </c>
      <c r="K2" s="25">
        <v>539.99519999999995</v>
      </c>
      <c r="L2" s="25">
        <v>799</v>
      </c>
      <c r="M2" s="25">
        <v>1293</v>
      </c>
    </row>
    <row r="3" spans="1:13">
      <c r="A3" s="2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>
      <c r="A4" s="23" t="s">
        <v>15</v>
      </c>
      <c r="B4" s="23">
        <v>77</v>
      </c>
      <c r="C4" s="23">
        <v>130</v>
      </c>
      <c r="D4" s="23">
        <v>271</v>
      </c>
      <c r="E4" s="25">
        <v>88</v>
      </c>
      <c r="F4" s="25">
        <v>137</v>
      </c>
      <c r="G4" s="25">
        <v>121</v>
      </c>
      <c r="H4" s="26">
        <v>50</v>
      </c>
      <c r="I4" s="25">
        <v>171</v>
      </c>
      <c r="J4" s="25">
        <v>33</v>
      </c>
      <c r="K4" s="25">
        <v>45</v>
      </c>
      <c r="L4" s="25">
        <v>35</v>
      </c>
      <c r="M4" s="25">
        <v>0</v>
      </c>
    </row>
    <row r="5" spans="1:13">
      <c r="A5" s="23" t="s">
        <v>16</v>
      </c>
      <c r="B5" s="23">
        <v>491000</v>
      </c>
      <c r="C5" s="23">
        <v>465000</v>
      </c>
      <c r="D5" s="23">
        <v>520000</v>
      </c>
      <c r="E5" s="25">
        <v>511000</v>
      </c>
      <c r="F5" s="26">
        <v>536000</v>
      </c>
      <c r="G5" s="25">
        <v>507000</v>
      </c>
      <c r="H5" s="25">
        <v>514000</v>
      </c>
      <c r="I5" s="25">
        <v>519000</v>
      </c>
      <c r="J5" s="25">
        <v>520000</v>
      </c>
      <c r="K5" s="25">
        <v>537000</v>
      </c>
      <c r="L5" s="25">
        <v>509000</v>
      </c>
      <c r="M5" s="25">
        <v>534000</v>
      </c>
    </row>
    <row r="6" spans="1:13">
      <c r="A6" s="23" t="s">
        <v>17</v>
      </c>
      <c r="B6" s="23">
        <v>0</v>
      </c>
      <c r="C6" s="23">
        <v>0</v>
      </c>
      <c r="D6" s="23">
        <v>0</v>
      </c>
      <c r="E6" s="25">
        <v>0</v>
      </c>
      <c r="F6" s="23">
        <v>0</v>
      </c>
      <c r="G6" s="26">
        <v>82666.666666666701</v>
      </c>
      <c r="H6" s="26">
        <v>85333.333333333299</v>
      </c>
      <c r="I6" s="25">
        <v>85333.333333333299</v>
      </c>
      <c r="J6" s="25">
        <v>82666.666666666701</v>
      </c>
      <c r="K6" s="25">
        <v>85333.333333333299</v>
      </c>
      <c r="L6" s="25">
        <v>82666.666666666701</v>
      </c>
      <c r="M6" s="25">
        <v>85333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6"/>
  <dimension ref="A1:M20"/>
  <sheetViews>
    <sheetView tabSelected="1" topLeftCell="A6" workbookViewId="0">
      <pane xSplit="1" topLeftCell="B1" activePane="topRight" state="frozen"/>
      <selection pane="topRight" activeCell="I22" sqref="I22"/>
    </sheetView>
  </sheetViews>
  <sheetFormatPr defaultColWidth="9" defaultRowHeight="13.5"/>
  <cols>
    <col min="1" max="1" width="15" customWidth="1"/>
    <col min="2" max="2" width="12.625"/>
    <col min="4" max="4" width="15.625" customWidth="1"/>
    <col min="6" max="6" width="9.375"/>
    <col min="7" max="8" width="12.625"/>
    <col min="9" max="9" width="21.125" customWidth="1"/>
    <col min="10" max="12" width="12.625"/>
    <col min="13" max="13" width="9.375"/>
  </cols>
  <sheetData>
    <row r="1" spans="1:13">
      <c r="A1" s="19"/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</row>
    <row r="2" spans="1:13">
      <c r="A2" s="19" t="s">
        <v>15</v>
      </c>
      <c r="B2" s="19">
        <v>251</v>
      </c>
      <c r="C2" s="19">
        <v>366</v>
      </c>
      <c r="D2" s="19">
        <v>605</v>
      </c>
      <c r="E2" s="20">
        <v>1190</v>
      </c>
      <c r="F2" s="20">
        <v>435</v>
      </c>
      <c r="G2" s="20">
        <v>894</v>
      </c>
      <c r="H2" s="20">
        <v>501</v>
      </c>
      <c r="I2" s="20">
        <v>387</v>
      </c>
      <c r="J2" s="20">
        <v>480</v>
      </c>
      <c r="K2" s="20">
        <v>522</v>
      </c>
      <c r="L2" s="20">
        <v>1317</v>
      </c>
      <c r="M2" s="20">
        <v>536</v>
      </c>
    </row>
    <row r="3" spans="1:13">
      <c r="A3" s="19" t="s">
        <v>18</v>
      </c>
      <c r="B3" s="19">
        <v>50817</v>
      </c>
      <c r="C3" s="19">
        <v>27826</v>
      </c>
      <c r="D3" s="19">
        <v>29159</v>
      </c>
      <c r="E3" s="20">
        <v>29231</v>
      </c>
      <c r="F3" s="20">
        <v>33877</v>
      </c>
      <c r="G3" s="20">
        <v>42360</v>
      </c>
      <c r="H3" s="20">
        <v>48444</v>
      </c>
      <c r="I3" s="20">
        <v>49300</v>
      </c>
      <c r="J3" s="20">
        <v>34706</v>
      </c>
      <c r="K3" s="20">
        <v>44633</v>
      </c>
      <c r="L3" s="20">
        <v>28212</v>
      </c>
      <c r="M3" s="20">
        <v>26334</v>
      </c>
    </row>
    <row r="4" spans="1:13">
      <c r="A4" s="19" t="s">
        <v>16</v>
      </c>
      <c r="B4" s="19">
        <v>1039000</v>
      </c>
      <c r="C4" s="19">
        <v>967000</v>
      </c>
      <c r="D4" s="19">
        <v>1016000</v>
      </c>
      <c r="E4" s="20">
        <v>971000</v>
      </c>
      <c r="F4" s="20">
        <v>1002000</v>
      </c>
      <c r="G4" s="20">
        <v>970000</v>
      </c>
      <c r="H4" s="20">
        <v>1017000</v>
      </c>
      <c r="I4" s="20">
        <v>1026000</v>
      </c>
      <c r="J4" s="20">
        <v>986000</v>
      </c>
      <c r="K4" s="20">
        <v>1037000</v>
      </c>
      <c r="L4" s="20">
        <v>1003000</v>
      </c>
      <c r="M4" s="20">
        <v>1063000</v>
      </c>
    </row>
    <row r="5" spans="1:13">
      <c r="A5" s="19" t="s">
        <v>17</v>
      </c>
      <c r="B5" s="19">
        <v>0</v>
      </c>
      <c r="C5" s="19">
        <v>0</v>
      </c>
      <c r="D5" s="19">
        <v>0</v>
      </c>
      <c r="E5" s="20">
        <v>0</v>
      </c>
      <c r="F5" s="20">
        <v>0</v>
      </c>
      <c r="G5" s="21">
        <v>82666.666666666701</v>
      </c>
      <c r="H5" s="21">
        <v>85333.333333333299</v>
      </c>
      <c r="I5" s="20">
        <v>85333.333333333299</v>
      </c>
      <c r="J5" s="20">
        <v>82666.666666666701</v>
      </c>
      <c r="K5" s="20">
        <v>85333.333333333299</v>
      </c>
      <c r="L5" s="20">
        <v>82666.666666666701</v>
      </c>
      <c r="M5" s="20">
        <v>85333</v>
      </c>
    </row>
    <row r="8" spans="1:13">
      <c r="C8" t="s">
        <v>19</v>
      </c>
      <c r="D8" s="22" t="s">
        <v>15</v>
      </c>
      <c r="E8" s="22" t="s">
        <v>18</v>
      </c>
      <c r="F8" s="22"/>
      <c r="G8" s="22" t="s">
        <v>16</v>
      </c>
      <c r="H8" s="22" t="s">
        <v>17</v>
      </c>
      <c r="J8" s="22"/>
    </row>
    <row r="9" spans="1:13">
      <c r="C9" t="s">
        <v>1</v>
      </c>
      <c r="D9" s="22">
        <v>251</v>
      </c>
      <c r="E9" s="22">
        <v>50817</v>
      </c>
      <c r="F9" s="22"/>
      <c r="G9" s="22">
        <v>1039000</v>
      </c>
      <c r="H9" s="22">
        <v>0</v>
      </c>
    </row>
    <row r="10" spans="1:13">
      <c r="C10" t="s">
        <v>2</v>
      </c>
      <c r="D10" s="22">
        <v>366</v>
      </c>
      <c r="E10" s="22">
        <v>27826</v>
      </c>
      <c r="F10" s="22"/>
      <c r="G10" s="22">
        <v>967000</v>
      </c>
      <c r="H10" s="22">
        <v>0</v>
      </c>
    </row>
    <row r="11" spans="1:13">
      <c r="C11" t="s">
        <v>3</v>
      </c>
      <c r="D11" s="22">
        <v>605</v>
      </c>
      <c r="E11" s="22">
        <v>29159</v>
      </c>
      <c r="F11" s="22"/>
      <c r="G11" s="22">
        <v>1016000</v>
      </c>
      <c r="H11" s="22">
        <v>0</v>
      </c>
    </row>
    <row r="12" spans="1:13">
      <c r="C12" t="s">
        <v>4</v>
      </c>
      <c r="D12" s="22">
        <v>1190</v>
      </c>
      <c r="E12" s="22">
        <v>29231</v>
      </c>
      <c r="F12" s="22"/>
      <c r="G12" s="22">
        <v>971000</v>
      </c>
      <c r="H12" s="22">
        <v>0</v>
      </c>
    </row>
    <row r="13" spans="1:13">
      <c r="C13" t="s">
        <v>5</v>
      </c>
      <c r="D13" s="22">
        <v>435</v>
      </c>
      <c r="E13" s="22">
        <v>33877</v>
      </c>
      <c r="F13" s="22"/>
      <c r="G13" s="22">
        <v>1002000</v>
      </c>
      <c r="H13" s="22">
        <v>0</v>
      </c>
    </row>
    <row r="14" spans="1:13">
      <c r="C14" t="s">
        <v>6</v>
      </c>
      <c r="D14" s="22">
        <v>894</v>
      </c>
      <c r="E14" s="22">
        <v>42360</v>
      </c>
      <c r="F14" s="22"/>
      <c r="G14" s="22">
        <v>970000</v>
      </c>
      <c r="H14" s="22">
        <v>82666.666666666701</v>
      </c>
    </row>
    <row r="15" spans="1:13">
      <c r="C15" t="s">
        <v>7</v>
      </c>
      <c r="D15" s="22">
        <v>501</v>
      </c>
      <c r="E15" s="22">
        <v>48444</v>
      </c>
      <c r="F15" s="22"/>
      <c r="G15" s="22">
        <v>1017000</v>
      </c>
      <c r="H15" s="22">
        <v>85333.333333333299</v>
      </c>
    </row>
    <row r="16" spans="1:13">
      <c r="C16" t="s">
        <v>8</v>
      </c>
      <c r="D16" s="22">
        <v>387</v>
      </c>
      <c r="E16" s="22">
        <v>49300</v>
      </c>
      <c r="F16" s="22"/>
      <c r="G16" s="22">
        <v>1026000</v>
      </c>
      <c r="H16" s="22">
        <v>85333.333333333299</v>
      </c>
    </row>
    <row r="17" spans="3:8">
      <c r="C17" t="s">
        <v>9</v>
      </c>
      <c r="D17" s="22">
        <v>480</v>
      </c>
      <c r="E17" s="22">
        <v>34706</v>
      </c>
      <c r="F17" s="22"/>
      <c r="G17" s="22">
        <v>986000</v>
      </c>
      <c r="H17" s="22">
        <v>82666.666666666701</v>
      </c>
    </row>
    <row r="18" spans="3:8">
      <c r="C18" t="s">
        <v>10</v>
      </c>
      <c r="D18" s="22">
        <v>522</v>
      </c>
      <c r="E18" s="22">
        <v>44633</v>
      </c>
      <c r="F18" s="22"/>
      <c r="G18" s="22">
        <v>1037000</v>
      </c>
      <c r="H18" s="22">
        <v>85333.333333333299</v>
      </c>
    </row>
    <row r="19" spans="3:8">
      <c r="C19" t="s">
        <v>11</v>
      </c>
      <c r="D19" s="22">
        <v>1317</v>
      </c>
      <c r="E19" s="22">
        <v>28212</v>
      </c>
      <c r="F19" s="22"/>
      <c r="G19" s="22">
        <v>1003000</v>
      </c>
      <c r="H19" s="22">
        <v>82666.666666666701</v>
      </c>
    </row>
    <row r="20" spans="3:8">
      <c r="C20" t="s">
        <v>12</v>
      </c>
      <c r="D20" s="22">
        <v>536</v>
      </c>
      <c r="E20" s="22">
        <v>26334</v>
      </c>
      <c r="F20" s="22"/>
      <c r="G20" s="22">
        <v>1063000</v>
      </c>
      <c r="H20" s="22">
        <v>85333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XEZ32"/>
  <sheetViews>
    <sheetView zoomScale="85" zoomScaleNormal="85" workbookViewId="0">
      <selection activeCell="M24" sqref="M24"/>
    </sheetView>
  </sheetViews>
  <sheetFormatPr defaultColWidth="9" defaultRowHeight="13.5"/>
  <cols>
    <col min="1" max="1" width="18.875" style="2" customWidth="1"/>
    <col min="2" max="2" width="7.5" style="2" customWidth="1"/>
    <col min="3" max="3" width="11.5" style="2" customWidth="1"/>
    <col min="4" max="5" width="9.625" style="2" customWidth="1"/>
    <col min="6" max="7" width="12.375" style="2" customWidth="1"/>
    <col min="8" max="10" width="9.625" style="2" customWidth="1"/>
    <col min="11" max="12" width="12.375" style="2" customWidth="1"/>
    <col min="13" max="15" width="9.625" style="2" customWidth="1"/>
    <col min="16" max="17" width="12.375" style="2" customWidth="1"/>
    <col min="18" max="20" width="9.625" style="2" customWidth="1"/>
    <col min="21" max="22" width="12.375" style="2" customWidth="1"/>
    <col min="23" max="25" width="9.625" style="2" customWidth="1"/>
    <col min="26" max="27" width="12.375" style="2" customWidth="1"/>
    <col min="28" max="30" width="9.625" style="2" customWidth="1"/>
    <col min="31" max="32" width="12.375" style="2" customWidth="1"/>
    <col min="33" max="35" width="9.625" style="2" customWidth="1"/>
    <col min="36" max="37" width="12.375" style="2" customWidth="1"/>
    <col min="38" max="40" width="9.625" style="2" customWidth="1"/>
    <col min="41" max="42" width="12.375" style="2" customWidth="1"/>
    <col min="43" max="45" width="9.625" style="2" customWidth="1"/>
    <col min="46" max="47" width="12.375" style="2" customWidth="1"/>
    <col min="48" max="50" width="9.625" style="2" customWidth="1"/>
    <col min="51" max="52" width="12.375" style="2" customWidth="1"/>
    <col min="53" max="55" width="9.625" style="2" customWidth="1"/>
    <col min="56" max="57" width="12.375" style="2" customWidth="1"/>
    <col min="58" max="60" width="9.625" style="2" customWidth="1"/>
    <col min="61" max="62" width="12.375" style="2" customWidth="1"/>
    <col min="63" max="65" width="9.625" style="2" customWidth="1"/>
    <col min="66" max="67" width="12.375" style="2" customWidth="1"/>
    <col min="68" max="16380" width="9" style="1"/>
    <col min="16381" max="16384" width="9" style="18"/>
  </cols>
  <sheetData>
    <row r="1" spans="1:67" s="1" customForma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pans="1:67" s="1" customFormat="1">
      <c r="A2" s="27" t="s">
        <v>20</v>
      </c>
      <c r="B2" s="27" t="s">
        <v>21</v>
      </c>
      <c r="C2" s="27" t="s">
        <v>22</v>
      </c>
      <c r="D2" s="27"/>
      <c r="E2" s="27"/>
      <c r="F2" s="27"/>
      <c r="G2" s="3"/>
      <c r="H2" s="27" t="s">
        <v>23</v>
      </c>
      <c r="I2" s="27"/>
      <c r="J2" s="27"/>
      <c r="K2" s="27"/>
      <c r="L2" s="3"/>
      <c r="M2" s="27" t="s">
        <v>24</v>
      </c>
      <c r="N2" s="27"/>
      <c r="O2" s="27"/>
      <c r="P2" s="27"/>
      <c r="Q2" s="3"/>
      <c r="R2" s="27" t="s">
        <v>25</v>
      </c>
      <c r="S2" s="27"/>
      <c r="T2" s="27"/>
      <c r="U2" s="27"/>
      <c r="V2" s="3"/>
      <c r="W2" s="27" t="s">
        <v>26</v>
      </c>
      <c r="X2" s="27"/>
      <c r="Y2" s="27"/>
      <c r="Z2" s="27"/>
      <c r="AA2" s="3"/>
      <c r="AB2" s="27" t="s">
        <v>27</v>
      </c>
      <c r="AC2" s="27"/>
      <c r="AD2" s="27"/>
      <c r="AE2" s="27"/>
      <c r="AF2" s="3"/>
      <c r="AG2" s="27" t="s">
        <v>28</v>
      </c>
      <c r="AH2" s="27"/>
      <c r="AI2" s="27"/>
      <c r="AJ2" s="27"/>
      <c r="AK2" s="3"/>
      <c r="AL2" s="27" t="s">
        <v>29</v>
      </c>
      <c r="AM2" s="27"/>
      <c r="AN2" s="27"/>
      <c r="AO2" s="27"/>
      <c r="AP2" s="3"/>
      <c r="AQ2" s="27" t="s">
        <v>30</v>
      </c>
      <c r="AR2" s="27"/>
      <c r="AS2" s="27"/>
      <c r="AT2" s="27"/>
      <c r="AU2" s="3"/>
      <c r="AV2" s="27" t="s">
        <v>31</v>
      </c>
      <c r="AW2" s="27"/>
      <c r="AX2" s="27"/>
      <c r="AY2" s="27"/>
      <c r="AZ2" s="3"/>
      <c r="BA2" s="27" t="s">
        <v>32</v>
      </c>
      <c r="BB2" s="27"/>
      <c r="BC2" s="27"/>
      <c r="BD2" s="27"/>
      <c r="BE2" s="3"/>
      <c r="BF2" s="27" t="s">
        <v>33</v>
      </c>
      <c r="BG2" s="27"/>
      <c r="BH2" s="27"/>
      <c r="BI2" s="27"/>
      <c r="BJ2" s="3"/>
      <c r="BK2" s="27" t="s">
        <v>34</v>
      </c>
      <c r="BL2" s="27"/>
      <c r="BM2" s="27"/>
      <c r="BN2" s="27"/>
      <c r="BO2" s="3"/>
    </row>
    <row r="3" spans="1:67" s="1" customFormat="1" ht="30" customHeight="1">
      <c r="A3" s="27"/>
      <c r="B3" s="27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pans="1:67" s="1" customFormat="1" ht="30" customHeight="1">
      <c r="A4" s="5" t="s">
        <v>42</v>
      </c>
      <c r="B4" s="5" t="s">
        <v>43</v>
      </c>
      <c r="C4" s="6">
        <v>8520</v>
      </c>
      <c r="D4" s="6">
        <v>11.451612903225801</v>
      </c>
      <c r="E4" s="7">
        <v>1.0471079999999999</v>
      </c>
      <c r="F4" s="7">
        <v>7.2643739466616902E-3</v>
      </c>
      <c r="G4" s="8">
        <v>1.6021114477187201E-4</v>
      </c>
      <c r="H4" s="6">
        <v>7885</v>
      </c>
      <c r="I4" s="6">
        <v>10.598118279569899</v>
      </c>
      <c r="J4" s="7">
        <v>0.96906650000000005</v>
      </c>
      <c r="K4" s="7">
        <v>6.1891126353975099E-3</v>
      </c>
      <c r="L4" s="8">
        <v>1.39558527031309E-4</v>
      </c>
      <c r="M4" s="6">
        <v>3495</v>
      </c>
      <c r="N4" s="6">
        <v>4.69758064516129</v>
      </c>
      <c r="O4" s="7">
        <v>0.42953550000000001</v>
      </c>
      <c r="P4" s="13">
        <v>2.0235241742866399E-3</v>
      </c>
      <c r="Q4" s="14">
        <v>4.30508449094955E-5</v>
      </c>
      <c r="R4" s="6">
        <v>12132</v>
      </c>
      <c r="S4" s="6">
        <v>16.306451612903199</v>
      </c>
      <c r="T4" s="7">
        <v>1.4910228000000001</v>
      </c>
      <c r="U4" s="7" t="e">
        <v>#DIV/0!</v>
      </c>
      <c r="V4" s="8" t="e">
        <v>#DIV/0!</v>
      </c>
      <c r="W4" s="6">
        <v>24578</v>
      </c>
      <c r="X4" s="6">
        <v>33.034946236559101</v>
      </c>
      <c r="Y4" s="7">
        <v>3.0206362000000002</v>
      </c>
      <c r="Z4" s="7">
        <v>1.77150945388008E-2</v>
      </c>
      <c r="AA4" s="8">
        <v>3.8146570688893101E-4</v>
      </c>
      <c r="AB4" s="6">
        <v>1525500</v>
      </c>
      <c r="AC4" s="6">
        <v>2050.4032258064499</v>
      </c>
      <c r="AD4" s="7">
        <v>187.48394999999999</v>
      </c>
      <c r="AE4" s="7">
        <v>0.88322922113713098</v>
      </c>
      <c r="AF4" s="8">
        <v>3.0935908675319899E-2</v>
      </c>
      <c r="AG4" s="6">
        <v>62890.2</v>
      </c>
      <c r="AH4" s="6">
        <v>84.529838709677406</v>
      </c>
      <c r="AI4" s="7">
        <v>7.7292055800000004</v>
      </c>
      <c r="AJ4" s="7" t="e">
        <v>#DIV/0!</v>
      </c>
      <c r="AK4" s="8">
        <v>2.14831440880538E-2</v>
      </c>
      <c r="AL4" s="6">
        <v>1729120</v>
      </c>
      <c r="AM4" s="6">
        <v>2324.0860215053799</v>
      </c>
      <c r="AN4" s="7">
        <v>212.508848</v>
      </c>
      <c r="AO4" s="7">
        <v>1.2462984892558899</v>
      </c>
      <c r="AP4" s="8">
        <v>3.8204847480913198E-2</v>
      </c>
      <c r="AQ4" s="6">
        <v>20520</v>
      </c>
      <c r="AR4" s="6">
        <v>27.580645161290299</v>
      </c>
      <c r="AS4" s="7">
        <v>2.5219079999999998</v>
      </c>
      <c r="AT4" s="7">
        <v>1.47902083137844E-2</v>
      </c>
      <c r="AU4" s="8">
        <v>4.5338870078903698E-4</v>
      </c>
      <c r="AV4" s="6">
        <v>2033449.8</v>
      </c>
      <c r="AW4" s="6">
        <v>2733.1314516129</v>
      </c>
      <c r="AX4" s="7">
        <v>249.91098041999999</v>
      </c>
      <c r="AY4" s="7"/>
      <c r="AZ4" s="8"/>
      <c r="BA4" s="6">
        <v>16472788</v>
      </c>
      <c r="BB4" s="6">
        <v>22140.844086021501</v>
      </c>
      <c r="BC4" s="7">
        <v>2024.5056451999999</v>
      </c>
      <c r="BD4" s="7">
        <v>12.9298592708972</v>
      </c>
      <c r="BE4" s="8">
        <v>10.531300661163</v>
      </c>
      <c r="BF4" s="6">
        <v>17677842</v>
      </c>
      <c r="BG4" s="6">
        <v>23760.5403225806</v>
      </c>
      <c r="BH4" s="7">
        <v>2172.6067818000001</v>
      </c>
      <c r="BI4" s="7">
        <v>12.741664996012</v>
      </c>
      <c r="BJ4" s="8">
        <v>10.7547337402358</v>
      </c>
      <c r="BK4" s="6">
        <v>19070720</v>
      </c>
      <c r="BL4" s="6">
        <v>0</v>
      </c>
      <c r="BM4" s="7">
        <v>2343.7914879999998</v>
      </c>
      <c r="BN4" s="7">
        <v>11.041505848655699</v>
      </c>
      <c r="BO4" s="8">
        <v>11.909872699370901</v>
      </c>
    </row>
    <row r="5" spans="1:67" s="1" customFormat="1" ht="30" customHeight="1">
      <c r="A5" s="5" t="s">
        <v>13</v>
      </c>
      <c r="B5" s="5" t="s">
        <v>44</v>
      </c>
      <c r="C5" s="6">
        <v>120</v>
      </c>
      <c r="D5" s="6">
        <v>0.16129032258064499</v>
      </c>
      <c r="E5" s="7">
        <v>4.0919999999999996</v>
      </c>
      <c r="F5" s="7">
        <v>2.8388493058729002E-2</v>
      </c>
      <c r="G5" s="8">
        <v>6.2609014963738196E-4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210</v>
      </c>
      <c r="N5" s="6">
        <v>0.282258064516129</v>
      </c>
      <c r="O5" s="7">
        <v>7.1609999999999996</v>
      </c>
      <c r="P5" s="7">
        <v>3.3735178144918498E-2</v>
      </c>
      <c r="Q5" s="8">
        <v>7.1772205183715204E-4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220</v>
      </c>
      <c r="X5" s="6">
        <v>0.29569892473118298</v>
      </c>
      <c r="Y5" s="7">
        <v>7.5019999999999998</v>
      </c>
      <c r="Z5" s="7">
        <v>4.3996903443745898E-2</v>
      </c>
      <c r="AA5" s="8">
        <v>9.4740165435372903E-4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pans="1:67" s="1" customFormat="1" ht="30" customHeight="1">
      <c r="A6" s="5" t="s">
        <v>16</v>
      </c>
      <c r="B6" s="5" t="s">
        <v>45</v>
      </c>
      <c r="C6" s="6">
        <v>840000</v>
      </c>
      <c r="D6" s="6">
        <v>1129.03225806452</v>
      </c>
      <c r="E6" s="7">
        <v>14.196</v>
      </c>
      <c r="F6" s="7">
        <v>9.8485593221338499E-2</v>
      </c>
      <c r="G6" s="8">
        <v>2.1720370880381899E-3</v>
      </c>
      <c r="H6" s="6">
        <v>393000</v>
      </c>
      <c r="I6" s="6">
        <v>528.22580645161304</v>
      </c>
      <c r="J6" s="7">
        <v>6.6417000000000002</v>
      </c>
      <c r="K6" s="7">
        <v>4.2418378295524202E-2</v>
      </c>
      <c r="L6" s="8">
        <v>9.5649356260261E-4</v>
      </c>
      <c r="M6" s="6">
        <v>491000</v>
      </c>
      <c r="N6" s="6">
        <v>659.94623655913995</v>
      </c>
      <c r="O6" s="7">
        <v>8.2979000000000003</v>
      </c>
      <c r="P6" s="7">
        <v>3.9091067550442601E-2</v>
      </c>
      <c r="Q6" s="8">
        <v>8.3166957323551195E-4</v>
      </c>
      <c r="R6" s="6">
        <v>1000</v>
      </c>
      <c r="S6" s="6">
        <v>1.34408602150538</v>
      </c>
      <c r="T6" s="7">
        <v>1.6899999999999998E-2</v>
      </c>
      <c r="U6" s="7" t="e">
        <v>#DIV/0!</v>
      </c>
      <c r="V6" s="8" t="e">
        <v>#DIV/0!</v>
      </c>
      <c r="W6" s="6">
        <v>1039000</v>
      </c>
      <c r="X6" s="6">
        <v>1396.5053763440901</v>
      </c>
      <c r="Y6" s="7">
        <v>17.559100000000001</v>
      </c>
      <c r="Z6" s="7">
        <v>0.102978675987614</v>
      </c>
      <c r="AA6" s="8">
        <v>2.21747805771295E-3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pans="1:67" s="1" customFormat="1" ht="30" customHeight="1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pans="1:67" s="1" customFormat="1" ht="30" customHeight="1">
      <c r="A8" s="5" t="s">
        <v>46</v>
      </c>
      <c r="B8" s="5" t="s">
        <v>47</v>
      </c>
      <c r="C8" s="6">
        <v>275705</v>
      </c>
      <c r="D8" s="6">
        <v>370.57123655914</v>
      </c>
      <c r="E8" s="7">
        <v>13.0959875</v>
      </c>
      <c r="F8" s="7">
        <v>9.0854191163477996E-2</v>
      </c>
      <c r="G8" s="8">
        <v>2.0037313718289998E-3</v>
      </c>
      <c r="H8" s="6"/>
      <c r="I8" s="6"/>
      <c r="J8" s="7"/>
      <c r="K8" s="7"/>
      <c r="L8" s="8"/>
      <c r="M8" s="6">
        <v>328718</v>
      </c>
      <c r="N8" s="6">
        <v>441.82526881720401</v>
      </c>
      <c r="O8" s="7">
        <v>15.614105</v>
      </c>
      <c r="P8" s="7">
        <v>7.3557410103122903E-2</v>
      </c>
      <c r="Q8" s="8">
        <v>1.56494728085473E-3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pans="1:67" s="1" customFormat="1" ht="30" customHeight="1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359780</v>
      </c>
      <c r="X9" s="6">
        <v>0</v>
      </c>
      <c r="Y9" s="7">
        <v>17.089549999999999</v>
      </c>
      <c r="Z9" s="7">
        <v>0.10022491085671401</v>
      </c>
      <c r="AA9" s="8">
        <v>2.15818021089853E-3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pans="1:67" s="1" customFormat="1" ht="30" customHeight="1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36811</v>
      </c>
      <c r="AR10" s="6">
        <v>49.477150537634401</v>
      </c>
      <c r="AS10" s="7">
        <v>1.7485225</v>
      </c>
      <c r="AT10" s="7" t="e">
        <v>#DIV/0!</v>
      </c>
      <c r="AU10" s="8" t="e">
        <v>#DIV/0!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pans="1:67" s="1" customFormat="1" ht="30" customHeight="1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24405</v>
      </c>
      <c r="AH11" s="6">
        <v>32.802419354838698</v>
      </c>
      <c r="AI11" s="7">
        <v>1.010367</v>
      </c>
      <c r="AJ11" s="7" t="e">
        <v>#DIV/0!</v>
      </c>
      <c r="AK11" s="8">
        <v>2.80829117794208E-3</v>
      </c>
      <c r="AL11" s="5">
        <v>26412</v>
      </c>
      <c r="AM11" s="6">
        <v>35.5</v>
      </c>
      <c r="AN11" s="7">
        <v>1.0934568</v>
      </c>
      <c r="AO11" s="7">
        <v>6.4127850239279298E-3</v>
      </c>
      <c r="AP11" s="8">
        <v>1.9658169842870499E-4</v>
      </c>
      <c r="AQ11" s="5"/>
      <c r="AR11" s="6"/>
      <c r="AS11" s="7"/>
      <c r="AT11" s="9"/>
      <c r="AU11" s="9"/>
      <c r="AV11" s="5">
        <v>119797</v>
      </c>
      <c r="AW11" s="6">
        <v>161.01747311828001</v>
      </c>
      <c r="AX11" s="7">
        <v>4.9595957999999998</v>
      </c>
      <c r="AY11" s="7">
        <v>3.1675325720416897E-2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pans="1:67" s="1" customFormat="1" ht="30" customHeight="1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77</v>
      </c>
      <c r="AC12" s="6">
        <v>0.103494623655914</v>
      </c>
      <c r="AD12" s="7">
        <v>3.1878000000000002E-3</v>
      </c>
      <c r="AE12" s="8">
        <v>1.5017595432254099E-5</v>
      </c>
      <c r="AF12" s="8">
        <v>5.2600497095983301E-7</v>
      </c>
      <c r="AG12" s="5"/>
      <c r="AH12" s="6"/>
      <c r="AI12" s="7"/>
      <c r="AJ12" s="9"/>
      <c r="AK12" s="9"/>
      <c r="AL12" s="5">
        <v>251</v>
      </c>
      <c r="AM12" s="6">
        <v>0.337365591397849</v>
      </c>
      <c r="AN12" s="7">
        <v>1.03914E-2</v>
      </c>
      <c r="AO12" s="7">
        <v>6.0942338369146999E-5</v>
      </c>
      <c r="AP12" s="8">
        <v>6.0942338369146999E-5</v>
      </c>
      <c r="AQ12" s="5"/>
      <c r="AR12" s="6"/>
      <c r="AS12" s="7"/>
      <c r="AT12" s="9"/>
      <c r="AU12" s="9"/>
      <c r="AV12" s="5">
        <v>230</v>
      </c>
      <c r="AW12" s="6">
        <v>0.30913978494623701</v>
      </c>
      <c r="AX12" s="7">
        <v>9.5219999999999992E-3</v>
      </c>
      <c r="AY12" s="7">
        <v>6.0813917841814801E-5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pans="1:67" s="1" customFormat="1" ht="30" customHeight="1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>
        <v>89</v>
      </c>
      <c r="AM13" s="6">
        <v>0.119623655913978</v>
      </c>
      <c r="AN13" s="7">
        <v>1.3527999999999999E-3</v>
      </c>
      <c r="AO13" s="7">
        <v>7.9337524631697507E-6</v>
      </c>
      <c r="AP13" s="7">
        <v>7.9337524631697507E-6</v>
      </c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pans="1:67" s="1" customFormat="1" ht="30" customHeight="1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>
        <v>78</v>
      </c>
      <c r="AM14" s="6">
        <v>0.104838709677419</v>
      </c>
      <c r="AN14" s="7">
        <v>1.1856E-3</v>
      </c>
      <c r="AO14" s="7">
        <v>6.9531763160364104E-6</v>
      </c>
      <c r="AP14" s="7">
        <v>6.9531763160364104E-6</v>
      </c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pans="1:67" s="1" customFormat="1" ht="30" customHeight="1">
      <c r="A15" s="10" t="s">
        <v>52</v>
      </c>
      <c r="B15" s="5" t="s">
        <v>43</v>
      </c>
      <c r="C15" s="5">
        <v>6535800</v>
      </c>
      <c r="D15" s="6">
        <v>8784.6774193548408</v>
      </c>
      <c r="E15" s="7"/>
      <c r="F15" s="5"/>
      <c r="G15" s="5"/>
      <c r="H15" s="5">
        <v>6943800</v>
      </c>
      <c r="I15" s="6">
        <v>9333.0645161290304</v>
      </c>
      <c r="J15" s="7"/>
      <c r="K15" s="5"/>
      <c r="L15" s="5"/>
      <c r="M15" s="5">
        <v>9977400</v>
      </c>
      <c r="N15" s="6">
        <v>13410.483870967701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7918500</v>
      </c>
      <c r="X15" s="6">
        <v>10643.1451612903</v>
      </c>
      <c r="Y15" s="7"/>
      <c r="Z15" s="5"/>
      <c r="AA15" s="5"/>
      <c r="AB15" s="5">
        <v>6060399</v>
      </c>
      <c r="AC15" s="15" t="s">
        <v>53</v>
      </c>
      <c r="AD15" s="7"/>
      <c r="AE15" s="5"/>
      <c r="AF15" s="5"/>
      <c r="AG15" s="5">
        <v>359780</v>
      </c>
      <c r="AH15" s="15" t="s">
        <v>53</v>
      </c>
      <c r="AI15" s="7"/>
      <c r="AJ15" s="5"/>
      <c r="AK15" s="5"/>
      <c r="AL15" s="5">
        <v>5562353</v>
      </c>
      <c r="AM15" s="15" t="s">
        <v>53</v>
      </c>
      <c r="AN15" s="7"/>
      <c r="AO15" s="5"/>
      <c r="AP15" s="5"/>
      <c r="AQ15" s="5">
        <v>0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192237</v>
      </c>
      <c r="BB15" s="15" t="s">
        <v>54</v>
      </c>
      <c r="BC15" s="7"/>
      <c r="BD15" s="5"/>
      <c r="BE15" s="5"/>
      <c r="BF15" s="5">
        <v>202014</v>
      </c>
      <c r="BG15" s="15" t="s">
        <v>54</v>
      </c>
      <c r="BH15" s="7"/>
      <c r="BI15" s="5"/>
      <c r="BJ15" s="5"/>
      <c r="BK15" s="5">
        <v>196794</v>
      </c>
      <c r="BL15" s="15" t="s">
        <v>54</v>
      </c>
      <c r="BM15" s="7"/>
      <c r="BN15" s="5"/>
      <c r="BO15" s="5"/>
    </row>
    <row r="16" spans="1:67" s="1" customFormat="1" ht="30" customHeight="1">
      <c r="A16" s="5" t="s">
        <v>55</v>
      </c>
      <c r="B16" s="5" t="s">
        <v>47</v>
      </c>
      <c r="C16" s="5">
        <v>144142.91</v>
      </c>
      <c r="D16" s="5"/>
      <c r="E16" s="7"/>
      <c r="F16" s="5"/>
      <c r="G16" s="5"/>
      <c r="H16" s="5">
        <v>156576</v>
      </c>
      <c r="I16" s="5"/>
      <c r="J16" s="7"/>
      <c r="K16" s="5"/>
      <c r="L16" s="5"/>
      <c r="M16" s="5">
        <v>212271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170512</v>
      </c>
      <c r="X16" s="5"/>
      <c r="Y16" s="7"/>
      <c r="Z16" s="5"/>
      <c r="AA16" s="5"/>
      <c r="AB16" s="5">
        <v>212271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170512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156576</v>
      </c>
      <c r="AW16" s="5"/>
      <c r="AX16" s="7"/>
      <c r="AY16" s="5"/>
      <c r="AZ16" s="5"/>
      <c r="BA16" s="5">
        <v>156576</v>
      </c>
      <c r="BB16" s="5"/>
      <c r="BC16" s="7"/>
      <c r="BD16" s="5"/>
      <c r="BE16" s="5"/>
      <c r="BF16" s="5">
        <v>170512</v>
      </c>
      <c r="BG16" s="5"/>
      <c r="BH16" s="7"/>
      <c r="BI16" s="5"/>
      <c r="BJ16" s="5"/>
      <c r="BK16" s="5">
        <v>212271</v>
      </c>
      <c r="BL16" s="5"/>
      <c r="BM16" s="7"/>
      <c r="BN16" s="5"/>
      <c r="BO16" s="5"/>
    </row>
    <row r="17" spans="1:67" s="1" customFormat="1" ht="3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s="1" customFormat="1" ht="3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67" s="1" customFormat="1" ht="3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>
      <c r="C20" s="2">
        <f>C4+H4+M4+R4+W4+AB4+AG4+AL4+AQ4+AV4+BA4+BF4+BK4</f>
        <v>58649440</v>
      </c>
    </row>
    <row r="21" spans="1:67">
      <c r="C21" s="2">
        <f t="shared" ref="C21:C32" si="0">C5+H5+M5+R5+W5+AB5+AG5+AL5+AQ5+AV5+BA5+BF5+BK5</f>
        <v>550</v>
      </c>
    </row>
    <row r="22" spans="1:67">
      <c r="C22" s="2">
        <f t="shared" si="0"/>
        <v>2764000</v>
      </c>
    </row>
    <row r="23" spans="1:67">
      <c r="C23" s="2">
        <f t="shared" si="0"/>
        <v>0</v>
      </c>
    </row>
    <row r="24" spans="1:67">
      <c r="C24" s="2">
        <f t="shared" si="0"/>
        <v>604423</v>
      </c>
    </row>
    <row r="25" spans="1:67">
      <c r="C25" s="2">
        <f t="shared" si="0"/>
        <v>359780</v>
      </c>
    </row>
    <row r="26" spans="1:67">
      <c r="C26" s="2">
        <f t="shared" si="0"/>
        <v>36811</v>
      </c>
    </row>
    <row r="27" spans="1:67">
      <c r="C27" s="2">
        <f t="shared" si="0"/>
        <v>170614</v>
      </c>
    </row>
    <row r="28" spans="1:67">
      <c r="C28" s="2">
        <f t="shared" si="0"/>
        <v>558</v>
      </c>
    </row>
    <row r="29" spans="1:67">
      <c r="C29" s="2">
        <f t="shared" si="0"/>
        <v>89</v>
      </c>
    </row>
    <row r="30" spans="1:67">
      <c r="C30" s="2">
        <f t="shared" si="0"/>
        <v>78</v>
      </c>
    </row>
    <row r="31" spans="1:67">
      <c r="C31" s="2">
        <f t="shared" si="0"/>
        <v>43949077</v>
      </c>
    </row>
    <row r="32" spans="1:67">
      <c r="C32" s="2">
        <f t="shared" si="0"/>
        <v>1762219.91</v>
      </c>
    </row>
  </sheetData>
  <mergeCells count="15">
    <mergeCell ref="BA2:BD2"/>
    <mergeCell ref="BF2:BI2"/>
    <mergeCell ref="BK2:BN2"/>
    <mergeCell ref="A2:A3"/>
    <mergeCell ref="B2:B3"/>
    <mergeCell ref="AB2:AE2"/>
    <mergeCell ref="AG2:AJ2"/>
    <mergeCell ref="AL2:AO2"/>
    <mergeCell ref="AQ2:AT2"/>
    <mergeCell ref="AV2:AY2"/>
    <mergeCell ref="C2:F2"/>
    <mergeCell ref="H2:K2"/>
    <mergeCell ref="M2:P2"/>
    <mergeCell ref="R2:U2"/>
    <mergeCell ref="W2:Z2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BO32"/>
  <sheetViews>
    <sheetView topLeftCell="C1" zoomScale="70" zoomScaleNormal="70" workbookViewId="0">
      <selection activeCell="C25" sqref="C25"/>
    </sheetView>
  </sheetViews>
  <sheetFormatPr defaultColWidth="9" defaultRowHeight="13.5"/>
  <cols>
    <col min="1" max="1" width="18.875" style="2" customWidth="1"/>
    <col min="2" max="2" width="7.5" style="2" customWidth="1"/>
    <col min="3" max="5" width="9.625" style="2" customWidth="1"/>
    <col min="6" max="7" width="12.375" style="2" customWidth="1"/>
    <col min="8" max="10" width="9.625" style="2" customWidth="1"/>
    <col min="11" max="12" width="12.375" style="2" customWidth="1"/>
    <col min="13" max="15" width="9.625" style="2" customWidth="1"/>
    <col min="16" max="17" width="12.375" style="2" customWidth="1"/>
    <col min="18" max="20" width="9.625" style="2" customWidth="1"/>
    <col min="21" max="22" width="12.375" style="2" customWidth="1"/>
    <col min="23" max="25" width="9.625" style="2" customWidth="1"/>
    <col min="26" max="27" width="12.375" style="2" customWidth="1"/>
    <col min="28" max="30" width="9.625" style="2" customWidth="1"/>
    <col min="31" max="32" width="12.375" style="2" customWidth="1"/>
    <col min="33" max="35" width="9.625" style="2" customWidth="1"/>
    <col min="36" max="37" width="12.375" style="2" customWidth="1"/>
    <col min="38" max="40" width="9.625" style="2" customWidth="1"/>
    <col min="41" max="42" width="12.375" style="2" customWidth="1"/>
    <col min="43" max="45" width="9.625" style="2" customWidth="1"/>
    <col min="46" max="47" width="12.375" style="2" customWidth="1"/>
    <col min="48" max="50" width="9.625" style="2" customWidth="1"/>
    <col min="51" max="52" width="12.375" style="2" customWidth="1"/>
    <col min="53" max="55" width="9.625" style="2" customWidth="1"/>
    <col min="56" max="57" width="12.375" style="2" customWidth="1"/>
    <col min="58" max="60" width="9.625" style="2" customWidth="1"/>
    <col min="61" max="62" width="12.375" style="2" customWidth="1"/>
    <col min="63" max="65" width="9.625" style="2" customWidth="1"/>
    <col min="66" max="67" width="12.375" style="2" customWidth="1"/>
    <col min="68" max="16384" width="9" style="1"/>
  </cols>
  <sheetData>
    <row r="1" spans="1:67">
      <c r="A1" s="2" t="s">
        <v>56</v>
      </c>
      <c r="B1" s="2">
        <v>28</v>
      </c>
    </row>
    <row r="2" spans="1:67">
      <c r="A2" s="27" t="s">
        <v>20</v>
      </c>
      <c r="B2" s="27" t="s">
        <v>21</v>
      </c>
      <c r="C2" s="27" t="s">
        <v>22</v>
      </c>
      <c r="D2" s="27"/>
      <c r="E2" s="27"/>
      <c r="F2" s="27"/>
      <c r="G2" s="3"/>
      <c r="H2" s="27" t="s">
        <v>23</v>
      </c>
      <c r="I2" s="27"/>
      <c r="J2" s="27"/>
      <c r="K2" s="27"/>
      <c r="L2" s="3"/>
      <c r="M2" s="27" t="s">
        <v>24</v>
      </c>
      <c r="N2" s="27"/>
      <c r="O2" s="27"/>
      <c r="P2" s="27"/>
      <c r="Q2" s="3"/>
      <c r="R2" s="27" t="s">
        <v>25</v>
      </c>
      <c r="S2" s="27"/>
      <c r="T2" s="27"/>
      <c r="U2" s="27"/>
      <c r="V2" s="3"/>
      <c r="W2" s="27" t="s">
        <v>26</v>
      </c>
      <c r="X2" s="27"/>
      <c r="Y2" s="27"/>
      <c r="Z2" s="27"/>
      <c r="AA2" s="3"/>
      <c r="AB2" s="27" t="s">
        <v>27</v>
      </c>
      <c r="AC2" s="27"/>
      <c r="AD2" s="27"/>
      <c r="AE2" s="27"/>
      <c r="AF2" s="3"/>
      <c r="AG2" s="27" t="s">
        <v>28</v>
      </c>
      <c r="AH2" s="27"/>
      <c r="AI2" s="27"/>
      <c r="AJ2" s="27"/>
      <c r="AK2" s="3"/>
      <c r="AL2" s="27" t="s">
        <v>29</v>
      </c>
      <c r="AM2" s="27"/>
      <c r="AN2" s="27"/>
      <c r="AO2" s="27"/>
      <c r="AP2" s="3"/>
      <c r="AQ2" s="27" t="s">
        <v>30</v>
      </c>
      <c r="AR2" s="27"/>
      <c r="AS2" s="27"/>
      <c r="AT2" s="27"/>
      <c r="AU2" s="3"/>
      <c r="AV2" s="27" t="s">
        <v>31</v>
      </c>
      <c r="AW2" s="27"/>
      <c r="AX2" s="27"/>
      <c r="AY2" s="27"/>
      <c r="AZ2" s="3"/>
      <c r="BA2" s="27" t="s">
        <v>32</v>
      </c>
      <c r="BB2" s="27"/>
      <c r="BC2" s="27"/>
      <c r="BD2" s="27"/>
      <c r="BE2" s="3"/>
      <c r="BF2" s="27" t="s">
        <v>33</v>
      </c>
      <c r="BG2" s="27"/>
      <c r="BH2" s="27"/>
      <c r="BI2" s="27"/>
      <c r="BJ2" s="3"/>
      <c r="BK2" s="27" t="s">
        <v>34</v>
      </c>
      <c r="BL2" s="27"/>
      <c r="BM2" s="27"/>
      <c r="BN2" s="27"/>
      <c r="BO2" s="3"/>
    </row>
    <row r="3" spans="1:67" ht="30" customHeight="1">
      <c r="A3" s="27"/>
      <c r="B3" s="27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pans="1:67" ht="30" customHeight="1">
      <c r="A4" s="5" t="s">
        <v>42</v>
      </c>
      <c r="B4" s="5" t="s">
        <v>43</v>
      </c>
      <c r="C4" s="6">
        <v>5517.3675110000004</v>
      </c>
      <c r="D4" s="6">
        <v>8.2103683199404802</v>
      </c>
      <c r="E4" s="7">
        <v>0.67808446710189996</v>
      </c>
      <c r="F4" s="7">
        <v>5.0133781900994403E-3</v>
      </c>
      <c r="G4" s="8">
        <v>1.13599113283728E-4</v>
      </c>
      <c r="H4" s="6">
        <v>5106.0387410000003</v>
      </c>
      <c r="I4" s="6">
        <v>7.5982719360119004</v>
      </c>
      <c r="J4" s="7">
        <v>0.62753216126889999</v>
      </c>
      <c r="K4" s="7">
        <v>4.3140230686929803E-3</v>
      </c>
      <c r="L4" s="8">
        <v>9.7506473362892E-5</v>
      </c>
      <c r="M4" s="6">
        <v>2263.6017219999999</v>
      </c>
      <c r="N4" s="6">
        <v>3.3684549434523801</v>
      </c>
      <c r="O4" s="7">
        <v>0.27819665163379997</v>
      </c>
      <c r="P4" s="13">
        <v>1.4238237530327001E-3</v>
      </c>
      <c r="Q4" s="14">
        <v>2.99696907799323E-5</v>
      </c>
      <c r="R4" s="6">
        <v>7856.6382050000002</v>
      </c>
      <c r="S4" s="6">
        <v>11.691425900297601</v>
      </c>
      <c r="T4" s="7">
        <v>0.96558083539450001</v>
      </c>
      <c r="U4" s="7" t="e">
        <v>#DIV/0!</v>
      </c>
      <c r="V4" s="8" t="e">
        <v>#DIV/0!</v>
      </c>
      <c r="W4" s="6">
        <v>15916.35382</v>
      </c>
      <c r="X4" s="6">
        <v>23.685050327380999</v>
      </c>
      <c r="Y4" s="7">
        <v>1.9561198844779999</v>
      </c>
      <c r="Z4" s="7">
        <v>1.20264115072548E-2</v>
      </c>
      <c r="AA4" s="8">
        <v>2.5505181360949202E-4</v>
      </c>
      <c r="AB4" s="6">
        <v>1960539.9999072501</v>
      </c>
      <c r="AC4" s="6">
        <v>2917.47023795722</v>
      </c>
      <c r="AD4" s="7">
        <v>240.95036598860099</v>
      </c>
      <c r="AE4" s="7">
        <v>1.2331954837763099</v>
      </c>
      <c r="AF4" s="8">
        <v>4.2255499561767697E-2</v>
      </c>
      <c r="AG4" s="6">
        <v>76828.799997217502</v>
      </c>
      <c r="AH4" s="6">
        <v>114.328571424431</v>
      </c>
      <c r="AI4" s="7">
        <v>9.4422595196580303</v>
      </c>
      <c r="AJ4" s="7" t="e">
        <v>#DIV/0!</v>
      </c>
      <c r="AK4" s="8">
        <v>2.7998053413842199E-2</v>
      </c>
      <c r="AL4" s="6">
        <v>2115139.9999072501</v>
      </c>
      <c r="AM4" s="6">
        <v>3147.5297617667402</v>
      </c>
      <c r="AN4" s="7">
        <v>259.95070598860099</v>
      </c>
      <c r="AO4" s="7">
        <v>1.5982017189373701</v>
      </c>
      <c r="AP4" s="8">
        <v>5.04210873795558E-2</v>
      </c>
      <c r="AQ4" s="6">
        <v>497739.99990724999</v>
      </c>
      <c r="AR4" s="6">
        <v>740.68452367150201</v>
      </c>
      <c r="AS4" s="7">
        <v>61.172245988600999</v>
      </c>
      <c r="AT4" s="7">
        <v>0.37609279928067901</v>
      </c>
      <c r="AU4" s="8">
        <v>1.1865215554868301E-2</v>
      </c>
      <c r="AV4" s="6">
        <v>2484131.1999100298</v>
      </c>
      <c r="AW4" s="6">
        <v>3696.6238093899301</v>
      </c>
      <c r="AX4" s="7">
        <v>305.299724468943</v>
      </c>
      <c r="AY4" s="7"/>
      <c r="AZ4" s="8"/>
      <c r="BA4" s="6">
        <v>13591050</v>
      </c>
      <c r="BB4" s="6">
        <v>20224.776785714301</v>
      </c>
      <c r="BC4" s="7">
        <v>1670.3400449999999</v>
      </c>
      <c r="BD4" s="7">
        <v>11.482894314326501</v>
      </c>
      <c r="BE4" s="8">
        <v>9.3515177446715594</v>
      </c>
      <c r="BF4" s="6">
        <v>14780700</v>
      </c>
      <c r="BG4" s="6">
        <v>21995.089285714301</v>
      </c>
      <c r="BH4" s="7">
        <v>1816.5480299999999</v>
      </c>
      <c r="BI4" s="7">
        <v>11.168310441925099</v>
      </c>
      <c r="BJ4" s="8">
        <v>9.7222191120982604</v>
      </c>
      <c r="BK4" s="6">
        <v>15813600</v>
      </c>
      <c r="BL4" s="6">
        <v>0</v>
      </c>
      <c r="BM4" s="7">
        <v>1943.49144</v>
      </c>
      <c r="BN4" s="7">
        <v>9.9468820341169106</v>
      </c>
      <c r="BO4" s="8">
        <v>10.566243543879899</v>
      </c>
    </row>
    <row r="5" spans="1:67" ht="30" customHeight="1">
      <c r="A5" s="5" t="s">
        <v>13</v>
      </c>
      <c r="B5" s="5" t="s">
        <v>44</v>
      </c>
      <c r="C5" s="6">
        <v>20</v>
      </c>
      <c r="D5" s="6">
        <v>2.9761904761904798E-2</v>
      </c>
      <c r="E5" s="7">
        <v>0.68200000000000005</v>
      </c>
      <c r="F5" s="7">
        <v>5.0423274555469301E-3</v>
      </c>
      <c r="G5" s="8">
        <v>1.14255080330368E-4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40</v>
      </c>
      <c r="N5" s="6">
        <v>5.95238095238095E-2</v>
      </c>
      <c r="O5" s="7">
        <v>1.3640000000000001</v>
      </c>
      <c r="P5" s="7">
        <v>6.9810171608141796E-3</v>
      </c>
      <c r="Q5" s="8">
        <v>1.46941589640833E-4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40</v>
      </c>
      <c r="X5" s="6">
        <v>5.95238095238095E-2</v>
      </c>
      <c r="Y5" s="7">
        <v>1.3640000000000001</v>
      </c>
      <c r="Z5" s="7">
        <v>8.3860020165752603E-3</v>
      </c>
      <c r="AA5" s="8">
        <v>1.7784731729578201E-4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pans="1:67" ht="30" customHeight="1">
      <c r="A6" s="5" t="s">
        <v>16</v>
      </c>
      <c r="B6" s="5" t="s">
        <v>45</v>
      </c>
      <c r="C6" s="6">
        <v>776000</v>
      </c>
      <c r="D6" s="6">
        <v>1154.7619047619</v>
      </c>
      <c r="E6" s="7">
        <v>13.1144</v>
      </c>
      <c r="F6" s="7">
        <v>9.6960555986839697E-2</v>
      </c>
      <c r="G6" s="8">
        <v>2.1970481312090602E-3</v>
      </c>
      <c r="H6" s="6">
        <v>346000</v>
      </c>
      <c r="I6" s="6">
        <v>514.88095238095195</v>
      </c>
      <c r="J6" s="7">
        <v>5.8474000000000004</v>
      </c>
      <c r="K6" s="7">
        <v>4.01984472650255E-2</v>
      </c>
      <c r="L6" s="8">
        <v>9.0857391466484395E-4</v>
      </c>
      <c r="M6" s="6">
        <v>465000</v>
      </c>
      <c r="N6" s="6">
        <v>691.96428571428601</v>
      </c>
      <c r="O6" s="7">
        <v>7.8585000000000003</v>
      </c>
      <c r="P6" s="7">
        <v>4.0220178415145302E-2</v>
      </c>
      <c r="Q6" s="8">
        <v>8.4658393122616501E-4</v>
      </c>
      <c r="R6" s="6">
        <v>0</v>
      </c>
      <c r="S6" s="6">
        <v>0</v>
      </c>
      <c r="T6" s="7">
        <v>0</v>
      </c>
      <c r="U6" s="7" t="e">
        <v>#DIV/0!</v>
      </c>
      <c r="V6" s="8" t="e">
        <v>#DIV/0!</v>
      </c>
      <c r="W6" s="6">
        <v>967000</v>
      </c>
      <c r="X6" s="6">
        <v>1438.9880952381</v>
      </c>
      <c r="Y6" s="7">
        <v>16.342300000000002</v>
      </c>
      <c r="Z6" s="7">
        <v>0.100474018149177</v>
      </c>
      <c r="AA6" s="8">
        <v>2.1308168720255601E-3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pans="1:67" ht="30" customHeight="1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pans="1:67" ht="30" customHeight="1">
      <c r="A8" s="5" t="s">
        <v>46</v>
      </c>
      <c r="B8" s="5" t="s">
        <v>47</v>
      </c>
      <c r="C8" s="6">
        <v>233466</v>
      </c>
      <c r="D8" s="6">
        <v>347.419642857143</v>
      </c>
      <c r="E8" s="7">
        <v>11.089634999999999</v>
      </c>
      <c r="F8" s="7">
        <v>8.1990573361428398E-2</v>
      </c>
      <c r="G8" s="8">
        <v>1.85784037794642E-3</v>
      </c>
      <c r="H8" s="6"/>
      <c r="I8" s="6"/>
      <c r="J8" s="7"/>
      <c r="K8" s="7"/>
      <c r="L8" s="8"/>
      <c r="M8" s="6">
        <v>312099</v>
      </c>
      <c r="N8" s="6">
        <v>464.43303571428601</v>
      </c>
      <c r="O8" s="7">
        <v>14.824702500000001</v>
      </c>
      <c r="P8" s="7">
        <v>7.5873535598581301E-2</v>
      </c>
      <c r="Q8" s="8">
        <v>1.5970420464094101E-3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pans="1:67" ht="30" customHeight="1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337247</v>
      </c>
      <c r="X9" s="6">
        <v>0</v>
      </c>
      <c r="Y9" s="7">
        <v>16.019232500000001</v>
      </c>
      <c r="Z9" s="7">
        <v>9.8487768364360698E-2</v>
      </c>
      <c r="AA9" s="8">
        <v>2.0886932003390101E-3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pans="1:67" ht="30" customHeight="1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34800</v>
      </c>
      <c r="AR10" s="6">
        <v>51.785714285714299</v>
      </c>
      <c r="AS10" s="7">
        <v>1.653</v>
      </c>
      <c r="AT10" s="7" t="e">
        <v>#DIV/0!</v>
      </c>
      <c r="AU10" s="8" t="e">
        <v>#DIV/0!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pans="1:67" ht="30" customHeight="1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23185</v>
      </c>
      <c r="AH11" s="6">
        <v>34.501488095238102</v>
      </c>
      <c r="AI11" s="7">
        <v>0.95985900000000002</v>
      </c>
      <c r="AJ11" s="7" t="e">
        <v>#DIV/0!</v>
      </c>
      <c r="AK11" s="8">
        <v>2.8461602327077801E-3</v>
      </c>
      <c r="AL11" s="5">
        <v>4641</v>
      </c>
      <c r="AM11" s="6">
        <v>6.90625</v>
      </c>
      <c r="AN11" s="7">
        <v>0.19213740000000001</v>
      </c>
      <c r="AO11" s="7">
        <v>1.1812790497503899E-3</v>
      </c>
      <c r="AP11" s="8">
        <v>3.7267745042036801E-5</v>
      </c>
      <c r="AQ11" s="5"/>
      <c r="AR11" s="6"/>
      <c r="AS11" s="7"/>
      <c r="AT11" s="9"/>
      <c r="AU11" s="9"/>
      <c r="AV11" s="5">
        <v>102129</v>
      </c>
      <c r="AW11" s="6">
        <v>151.97767857142901</v>
      </c>
      <c r="AX11" s="7">
        <v>4.2281405999999997</v>
      </c>
      <c r="AY11" s="7">
        <v>2.9066711177311799E-2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pans="1:67" ht="30" customHeight="1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130</v>
      </c>
      <c r="AC12" s="6">
        <v>0.19345238095238099</v>
      </c>
      <c r="AD12" s="7">
        <v>5.3819999999999996E-3</v>
      </c>
      <c r="AE12" s="9">
        <v>2.7545333108139201E-5</v>
      </c>
      <c r="AF12" s="9">
        <v>9.4384209672540102E-7</v>
      </c>
      <c r="AG12" s="5"/>
      <c r="AH12" s="6"/>
      <c r="AI12" s="7"/>
      <c r="AJ12" s="9"/>
      <c r="AK12" s="9"/>
      <c r="AL12" s="5">
        <v>366</v>
      </c>
      <c r="AM12" s="6">
        <v>0.54464285714285698</v>
      </c>
      <c r="AN12" s="7">
        <v>1.51524E-2</v>
      </c>
      <c r="AO12" s="7">
        <v>9.31583995278263E-5</v>
      </c>
      <c r="AP12" s="8">
        <v>9.31583995278263E-5</v>
      </c>
      <c r="AQ12" s="5"/>
      <c r="AR12" s="6"/>
      <c r="AS12" s="7"/>
      <c r="AT12" s="9"/>
      <c r="AU12" s="9"/>
      <c r="AV12" s="5">
        <v>1256</v>
      </c>
      <c r="AW12" s="6">
        <v>1.86904761904762</v>
      </c>
      <c r="AX12" s="7">
        <v>5.19984E-2</v>
      </c>
      <c r="AY12" s="7">
        <v>3.5746741120253501E-4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pans="1:67" ht="30" customHeight="1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pans="1:67" ht="30" customHeight="1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pans="1:67" ht="30" customHeight="1">
      <c r="A15" s="10" t="s">
        <v>52</v>
      </c>
      <c r="B15" s="5" t="s">
        <v>43</v>
      </c>
      <c r="C15" s="5">
        <v>5969100</v>
      </c>
      <c r="D15" s="6">
        <v>8882.5892857142899</v>
      </c>
      <c r="E15" s="7"/>
      <c r="F15" s="5"/>
      <c r="G15" s="5"/>
      <c r="H15" s="5">
        <v>6435800</v>
      </c>
      <c r="I15" s="6">
        <v>9577.0833333333303</v>
      </c>
      <c r="J15" s="7"/>
      <c r="K15" s="5"/>
      <c r="L15" s="5"/>
      <c r="M15" s="5">
        <v>9282600</v>
      </c>
      <c r="N15" s="6">
        <v>13813.392857142901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7669500</v>
      </c>
      <c r="X15" s="6">
        <v>11412.9464285714</v>
      </c>
      <c r="Y15" s="7"/>
      <c r="Z15" s="5"/>
      <c r="AA15" s="5"/>
      <c r="AB15" s="5">
        <v>5702225</v>
      </c>
      <c r="AC15" s="15" t="s">
        <v>53</v>
      </c>
      <c r="AD15" s="7"/>
      <c r="AE15" s="5"/>
      <c r="AF15" s="5"/>
      <c r="AG15" s="5">
        <v>337247</v>
      </c>
      <c r="AH15" s="15" t="s">
        <v>53</v>
      </c>
      <c r="AI15" s="7"/>
      <c r="AJ15" s="5"/>
      <c r="AK15" s="5"/>
      <c r="AL15" s="5">
        <v>5155595</v>
      </c>
      <c r="AM15" s="15" t="s">
        <v>53</v>
      </c>
      <c r="AN15" s="7"/>
      <c r="AO15" s="5"/>
      <c r="AP15" s="5"/>
      <c r="AQ15" s="5">
        <v>0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178617</v>
      </c>
      <c r="BB15" s="15" t="s">
        <v>54</v>
      </c>
      <c r="BC15" s="7"/>
      <c r="BD15" s="5"/>
      <c r="BE15" s="5"/>
      <c r="BF15" s="5">
        <v>186845</v>
      </c>
      <c r="BG15" s="15" t="s">
        <v>54</v>
      </c>
      <c r="BH15" s="7"/>
      <c r="BI15" s="5"/>
      <c r="BJ15" s="5"/>
      <c r="BK15" s="5">
        <v>183934</v>
      </c>
      <c r="BL15" s="15" t="s">
        <v>54</v>
      </c>
      <c r="BM15" s="7"/>
      <c r="BN15" s="5"/>
      <c r="BO15" s="5"/>
    </row>
    <row r="16" spans="1:67" ht="30" customHeight="1">
      <c r="A16" s="5" t="s">
        <v>55</v>
      </c>
      <c r="B16" s="5" t="s">
        <v>47</v>
      </c>
      <c r="C16" s="5">
        <v>135255</v>
      </c>
      <c r="D16" s="5"/>
      <c r="E16" s="7"/>
      <c r="F16" s="5"/>
      <c r="G16" s="5"/>
      <c r="H16" s="5">
        <v>145463.32999999999</v>
      </c>
      <c r="I16" s="5"/>
      <c r="J16" s="7"/>
      <c r="K16" s="5"/>
      <c r="L16" s="5"/>
      <c r="M16" s="5">
        <v>195387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162652</v>
      </c>
      <c r="X16" s="5"/>
      <c r="Y16" s="7"/>
      <c r="Z16" s="5"/>
      <c r="AA16" s="5"/>
      <c r="AB16" s="5">
        <v>195387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162652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145463.32999999999</v>
      </c>
      <c r="AW16" s="5"/>
      <c r="AX16" s="7"/>
      <c r="AY16" s="5"/>
      <c r="AZ16" s="5"/>
      <c r="BA16" s="5">
        <v>145463.32999999999</v>
      </c>
      <c r="BB16" s="5"/>
      <c r="BC16" s="7"/>
      <c r="BD16" s="5"/>
      <c r="BE16" s="5"/>
      <c r="BF16" s="5">
        <v>162652</v>
      </c>
      <c r="BG16" s="5"/>
      <c r="BH16" s="7"/>
      <c r="BI16" s="5"/>
      <c r="BJ16" s="5"/>
      <c r="BK16" s="5">
        <v>195387</v>
      </c>
      <c r="BL16" s="5"/>
      <c r="BM16" s="7"/>
      <c r="BN16" s="5"/>
      <c r="BO16" s="5"/>
    </row>
    <row r="17" spans="3:3" ht="30" customHeight="1"/>
    <row r="18" spans="3:3" ht="30" customHeight="1"/>
    <row r="19" spans="3:3" ht="30" customHeight="1"/>
    <row r="20" spans="3:3">
      <c r="C20" s="2">
        <f t="shared" ref="C20:C32" si="0">C4+H4+M4+R4+W4+AB4+AG4+AL4+AQ4+AV4+BA4+BF4+BK4</f>
        <v>51356389.999628</v>
      </c>
    </row>
    <row r="21" spans="3:3">
      <c r="C21" s="2">
        <f t="shared" si="0"/>
        <v>100</v>
      </c>
    </row>
    <row r="22" spans="3:3">
      <c r="C22" s="2">
        <f t="shared" si="0"/>
        <v>2554000</v>
      </c>
    </row>
    <row r="23" spans="3:3">
      <c r="C23" s="2">
        <f t="shared" si="0"/>
        <v>0</v>
      </c>
    </row>
    <row r="24" spans="3:3">
      <c r="C24" s="2">
        <f t="shared" si="0"/>
        <v>545565</v>
      </c>
    </row>
    <row r="25" spans="3:3">
      <c r="C25" s="2">
        <f t="shared" si="0"/>
        <v>337247</v>
      </c>
    </row>
    <row r="26" spans="3:3">
      <c r="C26" s="2">
        <f t="shared" si="0"/>
        <v>34800</v>
      </c>
    </row>
    <row r="27" spans="3:3">
      <c r="C27" s="2">
        <f t="shared" si="0"/>
        <v>129955</v>
      </c>
    </row>
    <row r="28" spans="3:3">
      <c r="C28" s="2">
        <f t="shared" si="0"/>
        <v>1752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41101463</v>
      </c>
    </row>
    <row r="32" spans="3:3">
      <c r="C32" s="2">
        <f t="shared" si="0"/>
        <v>1645761.99</v>
      </c>
    </row>
  </sheetData>
  <mergeCells count="15">
    <mergeCell ref="BA2:BD2"/>
    <mergeCell ref="BF2:BI2"/>
    <mergeCell ref="BK2:BN2"/>
    <mergeCell ref="A2:A3"/>
    <mergeCell ref="B2:B3"/>
    <mergeCell ref="AB2:AE2"/>
    <mergeCell ref="AG2:AJ2"/>
    <mergeCell ref="AL2:AO2"/>
    <mergeCell ref="AQ2:AT2"/>
    <mergeCell ref="AV2:AY2"/>
    <mergeCell ref="C2:F2"/>
    <mergeCell ref="H2:K2"/>
    <mergeCell ref="M2:P2"/>
    <mergeCell ref="R2:U2"/>
    <mergeCell ref="W2:Z2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5" style="2" customWidth="1"/>
    <col min="2" max="2" width="7.5" style="2" customWidth="1"/>
    <col min="3" max="5" width="9.625" style="2" customWidth="1"/>
    <col min="6" max="7" width="12.375" style="2" customWidth="1"/>
    <col min="8" max="10" width="9.625" style="2" customWidth="1"/>
    <col min="11" max="12" width="12.375" style="2" customWidth="1"/>
    <col min="13" max="15" width="9.625" style="2" customWidth="1"/>
    <col min="16" max="17" width="12.375" style="2" customWidth="1"/>
    <col min="18" max="20" width="9.625" style="2" customWidth="1"/>
    <col min="21" max="22" width="12.375" style="2" customWidth="1"/>
    <col min="23" max="25" width="9.625" style="2" customWidth="1"/>
    <col min="26" max="27" width="12.375" style="2" customWidth="1"/>
    <col min="28" max="30" width="9.625" style="2" customWidth="1"/>
    <col min="31" max="32" width="12.375" style="2" customWidth="1"/>
    <col min="33" max="35" width="9.625" style="2" customWidth="1"/>
    <col min="36" max="37" width="12.375" style="2" customWidth="1"/>
    <col min="38" max="40" width="9.625" style="2" customWidth="1"/>
    <col min="41" max="42" width="12.375" style="2" customWidth="1"/>
    <col min="43" max="45" width="9.625" style="2" customWidth="1"/>
    <col min="46" max="47" width="12.375" style="2" customWidth="1"/>
    <col min="48" max="50" width="9.625" style="2" customWidth="1"/>
    <col min="51" max="52" width="12.375" style="2" customWidth="1"/>
    <col min="53" max="55" width="9.625" style="2" customWidth="1"/>
    <col min="56" max="57" width="12.375" style="2" customWidth="1"/>
    <col min="58" max="60" width="9.625" style="2" customWidth="1"/>
    <col min="61" max="62" width="12.375" style="2" customWidth="1"/>
    <col min="63" max="65" width="9.625" style="2" customWidth="1"/>
    <col min="66" max="67" width="12.375" style="2" customWidth="1"/>
    <col min="68" max="16384" width="9" style="1"/>
  </cols>
  <sheetData>
    <row r="1" spans="1:67">
      <c r="A1" s="2" t="s">
        <v>56</v>
      </c>
      <c r="B1" s="2">
        <v>31</v>
      </c>
    </row>
    <row r="2" spans="1:67">
      <c r="A2" s="27" t="s">
        <v>20</v>
      </c>
      <c r="B2" s="27" t="s">
        <v>21</v>
      </c>
      <c r="C2" s="27" t="s">
        <v>22</v>
      </c>
      <c r="D2" s="27"/>
      <c r="E2" s="27"/>
      <c r="F2" s="27"/>
      <c r="G2" s="3"/>
      <c r="H2" s="27" t="s">
        <v>23</v>
      </c>
      <c r="I2" s="27"/>
      <c r="J2" s="27"/>
      <c r="K2" s="27"/>
      <c r="L2" s="3"/>
      <c r="M2" s="27" t="s">
        <v>24</v>
      </c>
      <c r="N2" s="27"/>
      <c r="O2" s="27"/>
      <c r="P2" s="27"/>
      <c r="Q2" s="3"/>
      <c r="R2" s="27" t="s">
        <v>25</v>
      </c>
      <c r="S2" s="27"/>
      <c r="T2" s="27"/>
      <c r="U2" s="27"/>
      <c r="V2" s="3"/>
      <c r="W2" s="27" t="s">
        <v>26</v>
      </c>
      <c r="X2" s="27"/>
      <c r="Y2" s="27"/>
      <c r="Z2" s="27"/>
      <c r="AA2" s="3"/>
      <c r="AB2" s="27" t="s">
        <v>27</v>
      </c>
      <c r="AC2" s="27"/>
      <c r="AD2" s="27"/>
      <c r="AE2" s="27"/>
      <c r="AF2" s="3"/>
      <c r="AG2" s="27" t="s">
        <v>28</v>
      </c>
      <c r="AH2" s="27"/>
      <c r="AI2" s="27"/>
      <c r="AJ2" s="27"/>
      <c r="AK2" s="3"/>
      <c r="AL2" s="27" t="s">
        <v>29</v>
      </c>
      <c r="AM2" s="27"/>
      <c r="AN2" s="27"/>
      <c r="AO2" s="27"/>
      <c r="AP2" s="3"/>
      <c r="AQ2" s="27" t="s">
        <v>30</v>
      </c>
      <c r="AR2" s="27"/>
      <c r="AS2" s="27"/>
      <c r="AT2" s="27"/>
      <c r="AU2" s="3"/>
      <c r="AV2" s="27" t="s">
        <v>31</v>
      </c>
      <c r="AW2" s="27"/>
      <c r="AX2" s="27"/>
      <c r="AY2" s="27"/>
      <c r="AZ2" s="3"/>
      <c r="BA2" s="27" t="s">
        <v>32</v>
      </c>
      <c r="BB2" s="27"/>
      <c r="BC2" s="27"/>
      <c r="BD2" s="27"/>
      <c r="BE2" s="3"/>
      <c r="BF2" s="27" t="s">
        <v>33</v>
      </c>
      <c r="BG2" s="27"/>
      <c r="BH2" s="27"/>
      <c r="BI2" s="27"/>
      <c r="BJ2" s="3"/>
      <c r="BK2" s="27" t="s">
        <v>34</v>
      </c>
      <c r="BL2" s="27"/>
      <c r="BM2" s="27"/>
      <c r="BN2" s="27"/>
      <c r="BO2" s="3"/>
    </row>
    <row r="3" spans="1:67" ht="30" customHeight="1">
      <c r="A3" s="27"/>
      <c r="B3" s="27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pans="1:67" ht="30" customHeight="1">
      <c r="A4" s="5" t="s">
        <v>42</v>
      </c>
      <c r="B4" s="5" t="s">
        <v>43</v>
      </c>
      <c r="C4" s="6">
        <v>11325.201999999999</v>
      </c>
      <c r="D4" s="6">
        <v>15.222045698924701</v>
      </c>
      <c r="E4" s="7">
        <v>1.3918673258000001</v>
      </c>
      <c r="F4" s="7">
        <v>9.7507795643690196E-3</v>
      </c>
      <c r="G4" s="8">
        <v>2.3523590491642601E-4</v>
      </c>
      <c r="H4" s="6">
        <v>10480.88967</v>
      </c>
      <c r="I4" s="6">
        <v>14.087217298387101</v>
      </c>
      <c r="J4" s="7">
        <v>1.288101340443</v>
      </c>
      <c r="K4" s="7">
        <v>8.8376844100074795E-3</v>
      </c>
      <c r="L4" s="8">
        <v>1.9528522444557301E-4</v>
      </c>
      <c r="M4" s="6">
        <v>4646.3728739999997</v>
      </c>
      <c r="N4" s="6">
        <v>6.2451248306451603</v>
      </c>
      <c r="O4" s="7">
        <v>0.57103922621460002</v>
      </c>
      <c r="P4" s="13">
        <v>2.9676708565356999E-3</v>
      </c>
      <c r="Q4" s="14">
        <v>5.7195435317968701E-5</v>
      </c>
      <c r="R4" s="6">
        <v>16126.896479999999</v>
      </c>
      <c r="S4" s="6">
        <v>21.675936129032301</v>
      </c>
      <c r="T4" s="7">
        <v>1.9819955773919999</v>
      </c>
      <c r="U4" s="7" t="e">
        <v>#DIV/0!</v>
      </c>
      <c r="V4" s="8" t="e">
        <v>#DIV/0!</v>
      </c>
      <c r="W4" s="6">
        <v>32670.63898</v>
      </c>
      <c r="X4" s="6">
        <v>43.912149166666701</v>
      </c>
      <c r="Y4" s="7">
        <v>4.015221530642</v>
      </c>
      <c r="Z4" s="7">
        <v>2.4467691210044901E-2</v>
      </c>
      <c r="AA4" s="8">
        <v>5.2025467499054105E-4</v>
      </c>
      <c r="AB4" s="6">
        <v>1592800</v>
      </c>
      <c r="AC4" s="6">
        <v>2140.8602150537599</v>
      </c>
      <c r="AD4" s="7">
        <v>195.75512000000001</v>
      </c>
      <c r="AE4" s="7">
        <v>1.0173325018189401</v>
      </c>
      <c r="AF4" s="8">
        <v>3.1976840715230097E-2</v>
      </c>
      <c r="AG4" s="6">
        <v>63987.6</v>
      </c>
      <c r="AH4" s="6">
        <v>86.004838709677401</v>
      </c>
      <c r="AI4" s="7">
        <v>7.8640760399999996</v>
      </c>
      <c r="AJ4" s="7" t="e">
        <v>#DIV/0!</v>
      </c>
      <c r="AK4" s="8">
        <v>2.2390422207986298E-2</v>
      </c>
      <c r="AL4" s="6">
        <v>1759360</v>
      </c>
      <c r="AM4" s="6">
        <v>2364.7311827957001</v>
      </c>
      <c r="AN4" s="7">
        <v>216.22534400000001</v>
      </c>
      <c r="AO4" s="7">
        <v>1.3176196900727</v>
      </c>
      <c r="AP4" s="8">
        <v>3.9345504384089403E-2</v>
      </c>
      <c r="AQ4" s="6">
        <v>12240</v>
      </c>
      <c r="AR4" s="6">
        <v>16.451612903225801</v>
      </c>
      <c r="AS4" s="7">
        <v>1.5042960000000001</v>
      </c>
      <c r="AT4" s="7">
        <v>9.1667794007422206E-3</v>
      </c>
      <c r="AU4" s="8">
        <v>2.7372963672088398E-4</v>
      </c>
      <c r="AV4" s="6">
        <v>2068932.4</v>
      </c>
      <c r="AW4" s="6">
        <v>2780.8231182795698</v>
      </c>
      <c r="AX4" s="7">
        <v>254.27179196</v>
      </c>
      <c r="AY4" s="7"/>
      <c r="AZ4" s="8"/>
      <c r="BA4" s="6">
        <v>14277450</v>
      </c>
      <c r="BB4" s="6">
        <v>19190.120967741899</v>
      </c>
      <c r="BC4" s="7">
        <v>1754.698605</v>
      </c>
      <c r="BD4" s="7">
        <v>12.039015890113999</v>
      </c>
      <c r="BE4" s="8">
        <v>9.6211130880578999</v>
      </c>
      <c r="BF4" s="6">
        <v>15472050</v>
      </c>
      <c r="BG4" s="6">
        <v>20795.766129032301</v>
      </c>
      <c r="BH4" s="7">
        <v>1901.5149449999999</v>
      </c>
      <c r="BI4" s="7">
        <v>11.5873259172593</v>
      </c>
      <c r="BJ4" s="8">
        <v>9.7994008833048198</v>
      </c>
      <c r="BK4" s="6">
        <v>17046150</v>
      </c>
      <c r="BL4" s="6">
        <v>0</v>
      </c>
      <c r="BM4" s="7">
        <v>2094.9718349999998</v>
      </c>
      <c r="BN4" s="7">
        <v>10.887495244777</v>
      </c>
      <c r="BO4" s="8">
        <v>10.9339197977067</v>
      </c>
    </row>
    <row r="5" spans="1:67" ht="30" customHeight="1">
      <c r="A5" s="5" t="s">
        <v>13</v>
      </c>
      <c r="B5" s="5" t="s">
        <v>44</v>
      </c>
      <c r="C5" s="6">
        <v>27</v>
      </c>
      <c r="D5" s="6">
        <v>3.6290322580645198E-2</v>
      </c>
      <c r="E5" s="7">
        <v>0.92069999999999996</v>
      </c>
      <c r="F5" s="7">
        <v>6.4499989176443704E-3</v>
      </c>
      <c r="G5" s="8">
        <v>1.5560513106525401E-4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30</v>
      </c>
      <c r="N5" s="6">
        <v>4.0322580645161303E-2</v>
      </c>
      <c r="O5" s="7">
        <v>1.0229999999999999</v>
      </c>
      <c r="P5" s="7">
        <v>5.3164951668225697E-3</v>
      </c>
      <c r="Q5" s="8">
        <v>1.02463942307692E-4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pans="1:67" ht="30" customHeight="1">
      <c r="A6" s="5" t="s">
        <v>16</v>
      </c>
      <c r="B6" s="5" t="s">
        <v>45</v>
      </c>
      <c r="C6" s="6">
        <v>801000</v>
      </c>
      <c r="D6" s="6">
        <v>1076.61290322581</v>
      </c>
      <c r="E6" s="7">
        <v>13.536899999999999</v>
      </c>
      <c r="F6" s="7">
        <v>9.4833268543781907E-2</v>
      </c>
      <c r="G6" s="8">
        <v>2.2878365360239298E-3</v>
      </c>
      <c r="H6" s="6">
        <v>355000</v>
      </c>
      <c r="I6" s="6">
        <v>477.15053763440898</v>
      </c>
      <c r="J6" s="7">
        <v>5.9995000000000003</v>
      </c>
      <c r="K6" s="7">
        <v>4.1162667837613499E-2</v>
      </c>
      <c r="L6" s="8">
        <v>9.0956640388114001E-4</v>
      </c>
      <c r="M6" s="6">
        <v>520000</v>
      </c>
      <c r="N6" s="6">
        <v>698.92473118279599</v>
      </c>
      <c r="O6" s="7">
        <v>8.7880000000000003</v>
      </c>
      <c r="P6" s="7">
        <v>4.5670928177944103E-2</v>
      </c>
      <c r="Q6" s="8">
        <v>8.8020833333333299E-4</v>
      </c>
      <c r="R6" s="6">
        <v>0</v>
      </c>
      <c r="S6" s="6">
        <v>0</v>
      </c>
      <c r="T6" s="7">
        <v>0</v>
      </c>
      <c r="U6" s="7" t="e">
        <v>#DIV/0!</v>
      </c>
      <c r="V6" s="8" t="e">
        <v>#DIV/0!</v>
      </c>
      <c r="W6" s="6">
        <v>1016000</v>
      </c>
      <c r="X6" s="6">
        <v>1365.59139784946</v>
      </c>
      <c r="Y6" s="7">
        <v>17.170400000000001</v>
      </c>
      <c r="Z6" s="7">
        <v>0.104631847071656</v>
      </c>
      <c r="AA6" s="8">
        <v>2.2247790821218502E-3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pans="1:67" ht="30" customHeight="1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pans="1:67" ht="30" customHeight="1">
      <c r="A8" s="5" t="s">
        <v>46</v>
      </c>
      <c r="B8" s="5" t="s">
        <v>47</v>
      </c>
      <c r="C8" s="6">
        <v>276318</v>
      </c>
      <c r="D8" s="6">
        <v>371.39516129032302</v>
      </c>
      <c r="E8" s="7">
        <v>13.125105</v>
      </c>
      <c r="F8" s="7">
        <v>9.1948422986823805E-2</v>
      </c>
      <c r="G8" s="8">
        <v>2.2182401257415199E-3</v>
      </c>
      <c r="H8" s="6"/>
      <c r="I8" s="6"/>
      <c r="J8" s="7"/>
      <c r="K8" s="7"/>
      <c r="L8" s="8"/>
      <c r="M8" s="6">
        <v>328503</v>
      </c>
      <c r="N8" s="6">
        <v>441.53629032258101</v>
      </c>
      <c r="O8" s="7">
        <v>15.603892500000001</v>
      </c>
      <c r="P8" s="7">
        <v>8.1092882756470197E-2</v>
      </c>
      <c r="Q8" s="8">
        <v>1.5628898737980799E-3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pans="1:67" ht="30" customHeight="1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351225</v>
      </c>
      <c r="X9" s="6">
        <v>0</v>
      </c>
      <c r="Y9" s="7">
        <v>16.683187499999999</v>
      </c>
      <c r="Z9" s="7">
        <v>0.101662903786037</v>
      </c>
      <c r="AA9" s="8">
        <v>2.1616506646971899E-3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pans="1:67" ht="30" customHeight="1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37200</v>
      </c>
      <c r="AR10" s="6">
        <v>50</v>
      </c>
      <c r="AS10" s="7">
        <v>1.7669999999999999</v>
      </c>
      <c r="AT10" s="7" t="e">
        <v>#DIV/0!</v>
      </c>
      <c r="AU10" s="8" t="e">
        <v>#DIV/0!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pans="1:67" ht="30" customHeight="1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56</v>
      </c>
      <c r="AC11" s="6">
        <v>7.5268817204301106E-2</v>
      </c>
      <c r="AD11" s="7">
        <v>2.3184E-3</v>
      </c>
      <c r="AE11" s="7">
        <v>1.20486435921422E-5</v>
      </c>
      <c r="AF11" s="8">
        <v>3.7871350447533402E-7</v>
      </c>
      <c r="AG11" s="5">
        <v>24737</v>
      </c>
      <c r="AH11" s="6">
        <v>33.248655913978503</v>
      </c>
      <c r="AI11" s="7">
        <v>1.0241118</v>
      </c>
      <c r="AJ11" s="7" t="e">
        <v>#DIV/0!</v>
      </c>
      <c r="AK11" s="8">
        <v>2.9158283151825802E-3</v>
      </c>
      <c r="AL11" s="5">
        <v>4422</v>
      </c>
      <c r="AM11" s="6">
        <v>5.9435483870967696</v>
      </c>
      <c r="AN11" s="7">
        <v>0.18307080000000001</v>
      </c>
      <c r="AO11" s="7">
        <v>1.11558472422808E-3</v>
      </c>
      <c r="AP11" s="8">
        <v>3.3312528636785302E-5</v>
      </c>
      <c r="AQ11" s="5"/>
      <c r="AR11" s="6"/>
      <c r="AS11" s="7"/>
      <c r="AT11" s="9"/>
      <c r="AU11" s="9"/>
      <c r="AV11" s="5">
        <v>91474</v>
      </c>
      <c r="AW11" s="6">
        <v>122.948924731183</v>
      </c>
      <c r="AX11" s="7">
        <v>3.7870235999999999</v>
      </c>
      <c r="AY11" s="7">
        <v>2.5982830992583202E-2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pans="1:67" ht="30" customHeight="1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271</v>
      </c>
      <c r="AC12" s="6">
        <v>0.364247311827957</v>
      </c>
      <c r="AD12" s="7">
        <v>1.1219399999999999E-2</v>
      </c>
      <c r="AE12" s="9">
        <v>5.8306828811973798E-5</v>
      </c>
      <c r="AF12" s="9">
        <v>1.8327028520145601E-6</v>
      </c>
      <c r="AG12" s="5"/>
      <c r="AH12" s="6"/>
      <c r="AI12" s="7"/>
      <c r="AJ12" s="9"/>
      <c r="AK12" s="9"/>
      <c r="AL12" s="5">
        <v>605</v>
      </c>
      <c r="AM12" s="6">
        <v>0.81317204301075297</v>
      </c>
      <c r="AN12" s="7">
        <v>2.5047E-2</v>
      </c>
      <c r="AO12" s="7">
        <v>1.5262975082722401E-4</v>
      </c>
      <c r="AP12" s="8">
        <v>1.5262975082722401E-4</v>
      </c>
      <c r="AQ12" s="5"/>
      <c r="AR12" s="6"/>
      <c r="AS12" s="7"/>
      <c r="AT12" s="9"/>
      <c r="AU12" s="9"/>
      <c r="AV12" s="5">
        <v>46</v>
      </c>
      <c r="AW12" s="6">
        <v>6.1827956989247299E-2</v>
      </c>
      <c r="AX12" s="7">
        <v>1.9044000000000001E-3</v>
      </c>
      <c r="AY12" s="7">
        <v>1.30661196149598E-5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pans="1:67" ht="30" customHeight="1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pans="1:67" ht="30" customHeight="1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pans="1:67" ht="30" customHeight="1">
      <c r="A15" s="10" t="s">
        <v>52</v>
      </c>
      <c r="B15" s="5" t="s">
        <v>43</v>
      </c>
      <c r="C15" s="5">
        <v>5916900</v>
      </c>
      <c r="D15" s="6">
        <v>7952.8225806451601</v>
      </c>
      <c r="E15" s="7"/>
      <c r="F15" s="5"/>
      <c r="G15" s="5"/>
      <c r="H15" s="5">
        <v>6596000</v>
      </c>
      <c r="I15" s="6">
        <v>8865.5913978494591</v>
      </c>
      <c r="J15" s="7"/>
      <c r="K15" s="5"/>
      <c r="L15" s="5"/>
      <c r="M15" s="5">
        <v>9984000</v>
      </c>
      <c r="N15" s="6">
        <v>13419.3548387097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7717800</v>
      </c>
      <c r="X15" s="6">
        <v>10373.3870967742</v>
      </c>
      <c r="Y15" s="7"/>
      <c r="Z15" s="5"/>
      <c r="AA15" s="5"/>
      <c r="AB15" s="5">
        <v>6121778</v>
      </c>
      <c r="AC15" s="15" t="s">
        <v>53</v>
      </c>
      <c r="AD15" s="7"/>
      <c r="AE15" s="5"/>
      <c r="AF15" s="5"/>
      <c r="AG15" s="5">
        <v>351225</v>
      </c>
      <c r="AH15" s="15" t="s">
        <v>53</v>
      </c>
      <c r="AI15" s="7"/>
      <c r="AJ15" s="5"/>
      <c r="AK15" s="5"/>
      <c r="AL15" s="5">
        <v>5495554</v>
      </c>
      <c r="AM15" s="15" t="s">
        <v>53</v>
      </c>
      <c r="AN15" s="7"/>
      <c r="AO15" s="5"/>
      <c r="AP15" s="5"/>
      <c r="AQ15" s="5">
        <v>0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182380</v>
      </c>
      <c r="BB15" s="15" t="s">
        <v>54</v>
      </c>
      <c r="BC15" s="7"/>
      <c r="BD15" s="5"/>
      <c r="BE15" s="5"/>
      <c r="BF15" s="5">
        <v>194044</v>
      </c>
      <c r="BG15" s="15" t="s">
        <v>54</v>
      </c>
      <c r="BH15" s="7"/>
      <c r="BI15" s="5"/>
      <c r="BJ15" s="5"/>
      <c r="BK15" s="5">
        <v>191603</v>
      </c>
      <c r="BL15" s="15" t="s">
        <v>54</v>
      </c>
      <c r="BM15" s="7"/>
      <c r="BN15" s="5"/>
      <c r="BO15" s="5"/>
    </row>
    <row r="16" spans="1:67" ht="30" customHeight="1">
      <c r="A16" s="5" t="s">
        <v>55</v>
      </c>
      <c r="B16" s="5" t="s">
        <v>47</v>
      </c>
      <c r="C16" s="5">
        <v>142744.21</v>
      </c>
      <c r="D16" s="5"/>
      <c r="E16" s="7"/>
      <c r="F16" s="5"/>
      <c r="G16" s="5"/>
      <c r="H16" s="5">
        <v>145751</v>
      </c>
      <c r="I16" s="5"/>
      <c r="J16" s="7"/>
      <c r="K16" s="5"/>
      <c r="L16" s="5"/>
      <c r="M16" s="5">
        <v>192420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164103</v>
      </c>
      <c r="X16" s="5"/>
      <c r="Y16" s="7"/>
      <c r="Z16" s="5"/>
      <c r="AA16" s="5"/>
      <c r="AB16" s="5">
        <v>192420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164103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145751</v>
      </c>
      <c r="AW16" s="5"/>
      <c r="AX16" s="7"/>
      <c r="AY16" s="5"/>
      <c r="AZ16" s="5"/>
      <c r="BA16" s="5">
        <v>145751</v>
      </c>
      <c r="BB16" s="5"/>
      <c r="BC16" s="7"/>
      <c r="BD16" s="5"/>
      <c r="BE16" s="5"/>
      <c r="BF16" s="5">
        <v>164103</v>
      </c>
      <c r="BG16" s="5"/>
      <c r="BH16" s="7"/>
      <c r="BI16" s="5"/>
      <c r="BJ16" s="5"/>
      <c r="BK16" s="5">
        <v>192420</v>
      </c>
      <c r="BL16" s="5"/>
      <c r="BM16" s="7"/>
      <c r="BN16" s="5"/>
      <c r="BO16" s="5"/>
    </row>
    <row r="17" spans="3:3" ht="30" customHeight="1"/>
    <row r="18" spans="3:3" ht="30" customHeight="1"/>
    <row r="19" spans="3:3" ht="30" customHeight="1"/>
    <row r="20" spans="3:3">
      <c r="C20" s="2">
        <f t="shared" ref="C20:C32" si="0">C4+H4+M4+R4+W4+AB4+AG4+AL4+AQ4+AV4+BA4+BF4+BK4</f>
        <v>52368220.000004001</v>
      </c>
    </row>
    <row r="21" spans="3:3">
      <c r="C21" s="2">
        <f t="shared" si="0"/>
        <v>57</v>
      </c>
    </row>
    <row r="22" spans="3:3">
      <c r="C22" s="2">
        <f t="shared" si="0"/>
        <v>2692000</v>
      </c>
    </row>
    <row r="23" spans="3:3">
      <c r="C23" s="2">
        <f t="shared" si="0"/>
        <v>0</v>
      </c>
    </row>
    <row r="24" spans="3:3">
      <c r="C24" s="2">
        <f t="shared" si="0"/>
        <v>604821</v>
      </c>
    </row>
    <row r="25" spans="3:3">
      <c r="C25" s="2">
        <f t="shared" si="0"/>
        <v>351225</v>
      </c>
    </row>
    <row r="26" spans="3:3">
      <c r="C26" s="2">
        <f t="shared" si="0"/>
        <v>37200</v>
      </c>
    </row>
    <row r="27" spans="3:3">
      <c r="C27" s="2">
        <f t="shared" si="0"/>
        <v>120689</v>
      </c>
    </row>
    <row r="28" spans="3:3">
      <c r="C28" s="2">
        <f t="shared" si="0"/>
        <v>922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42751284</v>
      </c>
    </row>
    <row r="32" spans="3:3">
      <c r="C32" s="2">
        <f t="shared" si="0"/>
        <v>1649566.21</v>
      </c>
    </row>
  </sheetData>
  <mergeCells count="15">
    <mergeCell ref="BA2:BD2"/>
    <mergeCell ref="BF2:BI2"/>
    <mergeCell ref="BK2:BN2"/>
    <mergeCell ref="A2:A3"/>
    <mergeCell ref="B2:B3"/>
    <mergeCell ref="AB2:AE2"/>
    <mergeCell ref="AG2:AJ2"/>
    <mergeCell ref="AL2:AO2"/>
    <mergeCell ref="AQ2:AT2"/>
    <mergeCell ref="AV2:AY2"/>
    <mergeCell ref="C2:F2"/>
    <mergeCell ref="H2:K2"/>
    <mergeCell ref="M2:P2"/>
    <mergeCell ref="R2:U2"/>
    <mergeCell ref="W2:Z2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5" style="2" customWidth="1"/>
    <col min="2" max="2" width="7.5" style="2" customWidth="1"/>
    <col min="3" max="3" width="12.625" style="2" customWidth="1"/>
    <col min="4" max="5" width="9.625" style="2" customWidth="1"/>
    <col min="6" max="7" width="12.375" style="2" customWidth="1"/>
    <col min="8" max="10" width="9.625" style="2" customWidth="1"/>
    <col min="11" max="12" width="12.375" style="2" customWidth="1"/>
    <col min="13" max="15" width="9.625" style="2" customWidth="1"/>
    <col min="16" max="17" width="12.375" style="2" customWidth="1"/>
    <col min="18" max="20" width="9.625" style="2" customWidth="1"/>
    <col min="21" max="22" width="12.375" style="2" customWidth="1"/>
    <col min="23" max="25" width="9.625" style="2" customWidth="1"/>
    <col min="26" max="27" width="12.375" style="2" customWidth="1"/>
    <col min="28" max="30" width="9.625" style="2" customWidth="1"/>
    <col min="31" max="32" width="12.375" style="2" customWidth="1"/>
    <col min="33" max="35" width="9.625" style="2" customWidth="1"/>
    <col min="36" max="37" width="12.375" style="2" customWidth="1"/>
    <col min="38" max="40" width="9.625" style="2" customWidth="1"/>
    <col min="41" max="42" width="12.375" style="2" customWidth="1"/>
    <col min="43" max="45" width="9.625" style="2" customWidth="1"/>
    <col min="46" max="47" width="12.375" style="2" customWidth="1"/>
    <col min="48" max="50" width="9.625" style="2" customWidth="1"/>
    <col min="51" max="52" width="12.375" style="2" customWidth="1"/>
    <col min="53" max="55" width="9.625" style="2" customWidth="1"/>
    <col min="56" max="57" width="12.375" style="2" customWidth="1"/>
    <col min="58" max="60" width="9.625" style="2" customWidth="1"/>
    <col min="61" max="62" width="12.375" style="2" customWidth="1"/>
    <col min="63" max="65" width="9.625" style="2" customWidth="1"/>
    <col min="66" max="67" width="12.375" style="2" customWidth="1"/>
    <col min="68" max="16384" width="9" style="1"/>
  </cols>
  <sheetData>
    <row r="1" spans="1:67">
      <c r="A1" s="2" t="s">
        <v>56</v>
      </c>
      <c r="B1" s="2">
        <v>30</v>
      </c>
    </row>
    <row r="2" spans="1:67">
      <c r="A2" s="27" t="s">
        <v>20</v>
      </c>
      <c r="B2" s="27" t="s">
        <v>21</v>
      </c>
      <c r="C2" s="27" t="s">
        <v>22</v>
      </c>
      <c r="D2" s="27"/>
      <c r="E2" s="27"/>
      <c r="F2" s="27"/>
      <c r="G2" s="3"/>
      <c r="H2" s="27" t="s">
        <v>23</v>
      </c>
      <c r="I2" s="27"/>
      <c r="J2" s="27"/>
      <c r="K2" s="27"/>
      <c r="L2" s="3"/>
      <c r="M2" s="27" t="s">
        <v>24</v>
      </c>
      <c r="N2" s="27"/>
      <c r="O2" s="27"/>
      <c r="P2" s="27"/>
      <c r="Q2" s="3"/>
      <c r="R2" s="27" t="s">
        <v>25</v>
      </c>
      <c r="S2" s="27"/>
      <c r="T2" s="27"/>
      <c r="U2" s="27"/>
      <c r="V2" s="3"/>
      <c r="W2" s="27" t="s">
        <v>26</v>
      </c>
      <c r="X2" s="27"/>
      <c r="Y2" s="27"/>
      <c r="Z2" s="27"/>
      <c r="AA2" s="3"/>
      <c r="AB2" s="27" t="s">
        <v>27</v>
      </c>
      <c r="AC2" s="27"/>
      <c r="AD2" s="27"/>
      <c r="AE2" s="27"/>
      <c r="AF2" s="3"/>
      <c r="AG2" s="27" t="s">
        <v>28</v>
      </c>
      <c r="AH2" s="27"/>
      <c r="AI2" s="27"/>
      <c r="AJ2" s="27"/>
      <c r="AK2" s="3"/>
      <c r="AL2" s="27" t="s">
        <v>29</v>
      </c>
      <c r="AM2" s="27"/>
      <c r="AN2" s="27"/>
      <c r="AO2" s="27"/>
      <c r="AP2" s="3"/>
      <c r="AQ2" s="27" t="s">
        <v>30</v>
      </c>
      <c r="AR2" s="27"/>
      <c r="AS2" s="27"/>
      <c r="AT2" s="27"/>
      <c r="AU2" s="3"/>
      <c r="AV2" s="27" t="s">
        <v>31</v>
      </c>
      <c r="AW2" s="27"/>
      <c r="AX2" s="27"/>
      <c r="AY2" s="27"/>
      <c r="AZ2" s="3"/>
      <c r="BA2" s="27" t="s">
        <v>32</v>
      </c>
      <c r="BB2" s="27"/>
      <c r="BC2" s="27"/>
      <c r="BD2" s="27"/>
      <c r="BE2" s="3"/>
      <c r="BF2" s="27" t="s">
        <v>33</v>
      </c>
      <c r="BG2" s="27"/>
      <c r="BH2" s="27"/>
      <c r="BI2" s="27"/>
      <c r="BJ2" s="3"/>
      <c r="BK2" s="27" t="s">
        <v>34</v>
      </c>
      <c r="BL2" s="27"/>
      <c r="BM2" s="27"/>
      <c r="BN2" s="27"/>
      <c r="BO2" s="3"/>
    </row>
    <row r="3" spans="1:67" ht="30" customHeight="1">
      <c r="A3" s="27"/>
      <c r="B3" s="27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pans="1:67" ht="30" customHeight="1">
      <c r="A4" s="5" t="s">
        <v>42</v>
      </c>
      <c r="B4" s="5" t="s">
        <v>43</v>
      </c>
      <c r="C4" s="6">
        <v>10492.931339999999</v>
      </c>
      <c r="D4" s="6">
        <v>14.57351575</v>
      </c>
      <c r="E4" s="7">
        <v>1.2895812616860001</v>
      </c>
      <c r="F4" s="7">
        <v>9.3442500556924196E-3</v>
      </c>
      <c r="G4" s="8">
        <v>2.7055665946752299E-4</v>
      </c>
      <c r="H4" s="6">
        <v>9710.6661490000006</v>
      </c>
      <c r="I4" s="6">
        <v>13.487036318055599</v>
      </c>
      <c r="J4" s="7">
        <v>1.1934408697120999</v>
      </c>
      <c r="K4" s="7">
        <v>8.0107455343811293E-3</v>
      </c>
      <c r="L4" s="8">
        <v>1.8632374784739001E-4</v>
      </c>
      <c r="M4" s="6">
        <v>4304.9184960000002</v>
      </c>
      <c r="N4" s="6">
        <v>5.9790534666666701</v>
      </c>
      <c r="O4" s="7">
        <v>0.5290744831584</v>
      </c>
      <c r="P4" s="13">
        <v>2.6845448921769101E-3</v>
      </c>
      <c r="Q4" s="14">
        <v>5.8485826441865097E-5</v>
      </c>
      <c r="R4" s="6">
        <v>14942</v>
      </c>
      <c r="S4" s="6">
        <v>0</v>
      </c>
      <c r="T4" s="7">
        <v>0</v>
      </c>
      <c r="U4" s="7" t="e">
        <v>#DIV/0!</v>
      </c>
      <c r="V4" s="8" t="e">
        <v>#DIV/0!</v>
      </c>
      <c r="W4" s="6">
        <v>30269.726910000001</v>
      </c>
      <c r="X4" s="6">
        <v>42.041287375000003</v>
      </c>
      <c r="Y4" s="7">
        <v>3.7201494372389998</v>
      </c>
      <c r="Z4" s="7">
        <v>2.0767990873833901E-2</v>
      </c>
      <c r="AA4" s="8">
        <v>4.28801069336077E-4</v>
      </c>
      <c r="AB4" s="6">
        <v>1535800</v>
      </c>
      <c r="AC4" s="6">
        <v>2133.0555555555602</v>
      </c>
      <c r="AD4" s="7">
        <v>188.74982</v>
      </c>
      <c r="AE4" s="7">
        <v>0.95772406591116599</v>
      </c>
      <c r="AF4" s="8">
        <v>3.2738186359983698E-2</v>
      </c>
      <c r="AG4" s="6">
        <v>67016.399999999994</v>
      </c>
      <c r="AH4" s="6">
        <v>93.078333333333305</v>
      </c>
      <c r="AI4" s="7">
        <v>8.2363155599999995</v>
      </c>
      <c r="AJ4" s="7" t="e">
        <v>#DIV/0!</v>
      </c>
      <c r="AK4" s="8">
        <v>2.3981189521588401E-2</v>
      </c>
      <c r="AL4" s="6">
        <v>1777840</v>
      </c>
      <c r="AM4" s="6">
        <v>2469.2222222222199</v>
      </c>
      <c r="AN4" s="7">
        <v>218.49653599999999</v>
      </c>
      <c r="AO4" s="7">
        <v>1.2197719855523099</v>
      </c>
      <c r="AP4" s="8">
        <v>4.06983872007224E-2</v>
      </c>
      <c r="AQ4" s="6">
        <v>7560</v>
      </c>
      <c r="AR4" s="6">
        <v>10.5</v>
      </c>
      <c r="AS4" s="7">
        <v>0.92912399999999995</v>
      </c>
      <c r="AT4" s="7">
        <v>5.1868988271022596E-3</v>
      </c>
      <c r="AU4" s="8">
        <v>1.7306383433687001E-4</v>
      </c>
      <c r="AV4" s="6">
        <v>2166863.6</v>
      </c>
      <c r="AW4" s="6">
        <v>3009.5327777777802</v>
      </c>
      <c r="AX4" s="7">
        <v>266.30753643999998</v>
      </c>
      <c r="AY4" s="7"/>
      <c r="AZ4" s="8"/>
      <c r="BA4" s="6">
        <v>14128950</v>
      </c>
      <c r="BB4" s="6">
        <v>19623.541666666701</v>
      </c>
      <c r="BC4" s="7">
        <v>1736.4479550000001</v>
      </c>
      <c r="BD4" s="7">
        <v>11.6555776278695</v>
      </c>
      <c r="BE4" s="8">
        <v>9.7633337175436008</v>
      </c>
      <c r="BF4" s="6">
        <v>15788850</v>
      </c>
      <c r="BG4" s="6">
        <v>21928.958333333299</v>
      </c>
      <c r="BH4" s="7">
        <v>1940.4496650000001</v>
      </c>
      <c r="BI4" s="7">
        <v>10.832694119880101</v>
      </c>
      <c r="BJ4" s="8">
        <v>10.3360001757778</v>
      </c>
      <c r="BK4" s="6">
        <v>16318500</v>
      </c>
      <c r="BL4" s="6">
        <v>0</v>
      </c>
      <c r="BM4" s="7">
        <v>2005.5436500000001</v>
      </c>
      <c r="BN4" s="7">
        <v>10.176207949974801</v>
      </c>
      <c r="BO4" s="8">
        <v>10.7769304552489</v>
      </c>
    </row>
    <row r="5" spans="1:67" ht="30" customHeight="1">
      <c r="A5" s="5" t="s">
        <v>13</v>
      </c>
      <c r="B5" s="5" t="s">
        <v>44</v>
      </c>
      <c r="C5" s="6">
        <v>0</v>
      </c>
      <c r="D5" s="6">
        <v>0</v>
      </c>
      <c r="E5" s="7">
        <v>0</v>
      </c>
      <c r="F5" s="7">
        <v>0</v>
      </c>
      <c r="G5" s="8">
        <v>0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0</v>
      </c>
      <c r="N5" s="6">
        <v>0</v>
      </c>
      <c r="O5" s="7">
        <v>0</v>
      </c>
      <c r="P5" s="7">
        <v>0</v>
      </c>
      <c r="Q5" s="8">
        <v>0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pans="1:67" ht="30" customHeight="1">
      <c r="A6" s="5" t="s">
        <v>16</v>
      </c>
      <c r="B6" s="5" t="s">
        <v>45</v>
      </c>
      <c r="C6" s="6">
        <v>802000</v>
      </c>
      <c r="D6" s="6">
        <v>1113.8888888888901</v>
      </c>
      <c r="E6" s="7">
        <v>13.553800000000001</v>
      </c>
      <c r="F6" s="7">
        <v>9.8210248681235901E-2</v>
      </c>
      <c r="G6" s="8">
        <v>2.8436136287344699E-3</v>
      </c>
      <c r="H6" s="6">
        <v>316000</v>
      </c>
      <c r="I6" s="6">
        <v>438.88888888888903</v>
      </c>
      <c r="J6" s="7">
        <v>5.3403999999999998</v>
      </c>
      <c r="K6" s="7">
        <v>3.5846422338568898E-2</v>
      </c>
      <c r="L6" s="8">
        <v>8.3376006994317095E-4</v>
      </c>
      <c r="M6" s="6">
        <v>511000</v>
      </c>
      <c r="N6" s="6">
        <v>709.72222222222194</v>
      </c>
      <c r="O6" s="7">
        <v>8.6358999999999995</v>
      </c>
      <c r="P6" s="7">
        <v>4.3818898798431899E-2</v>
      </c>
      <c r="Q6" s="8">
        <v>9.5464393889146796E-4</v>
      </c>
      <c r="R6" s="6">
        <v>0</v>
      </c>
      <c r="S6" s="6">
        <v>0</v>
      </c>
      <c r="T6" s="7">
        <v>0</v>
      </c>
      <c r="U6" s="7" t="e">
        <v>#DIV/0!</v>
      </c>
      <c r="V6" s="8" t="e">
        <v>#DIV/0!</v>
      </c>
      <c r="W6" s="6">
        <v>971000</v>
      </c>
      <c r="X6" s="6">
        <v>1348.6111111111099</v>
      </c>
      <c r="Y6" s="7">
        <v>16.4099</v>
      </c>
      <c r="Z6" s="7">
        <v>9.1609398813145795E-2</v>
      </c>
      <c r="AA6" s="8">
        <v>1.8914784974123099E-3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pans="1:67" ht="30" customHeight="1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pans="1:67" ht="30" customHeight="1">
      <c r="A8" s="5" t="s">
        <v>46</v>
      </c>
      <c r="B8" s="5" t="s">
        <v>47</v>
      </c>
      <c r="C8" s="6">
        <v>312887</v>
      </c>
      <c r="D8" s="6">
        <v>434.56527777777802</v>
      </c>
      <c r="E8" s="7">
        <v>14.8621325</v>
      </c>
      <c r="F8" s="7">
        <v>0.107690369398875</v>
      </c>
      <c r="G8" s="8">
        <v>3.1181043345082202E-3</v>
      </c>
      <c r="H8" s="6"/>
      <c r="I8" s="6"/>
      <c r="J8" s="7"/>
      <c r="K8" s="7"/>
      <c r="L8" s="8"/>
      <c r="M8" s="6">
        <v>373003</v>
      </c>
      <c r="N8" s="6">
        <v>518.05972222222204</v>
      </c>
      <c r="O8" s="7">
        <v>17.7176425</v>
      </c>
      <c r="P8" s="7">
        <v>8.9900020108418993E-2</v>
      </c>
      <c r="Q8" s="8">
        <v>1.9585729367026998E-3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pans="1:67" ht="30" customHeight="1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343449</v>
      </c>
      <c r="X9" s="6">
        <v>0</v>
      </c>
      <c r="Y9" s="7">
        <v>16.313827499999999</v>
      </c>
      <c r="Z9" s="7">
        <v>9.1073067454181103E-2</v>
      </c>
      <c r="AA9" s="8">
        <v>1.88040475120163E-3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pans="1:67" ht="30" customHeight="1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36000</v>
      </c>
      <c r="AR10" s="6">
        <v>50</v>
      </c>
      <c r="AS10" s="7">
        <v>1.71</v>
      </c>
      <c r="AT10" s="7" t="e">
        <v>#DIV/0!</v>
      </c>
      <c r="AU10" s="8">
        <v>22.207792207792199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pans="1:67" ht="30" customHeight="1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28463</v>
      </c>
      <c r="AH11" s="6">
        <v>39.531944444444399</v>
      </c>
      <c r="AI11" s="7">
        <v>1.1783682</v>
      </c>
      <c r="AJ11" s="7" t="e">
        <v>#DIV/0!</v>
      </c>
      <c r="AK11" s="8">
        <v>3.4309845129844598E-3</v>
      </c>
      <c r="AL11" s="5">
        <v>768</v>
      </c>
      <c r="AM11" s="6">
        <v>1.06666666666667</v>
      </c>
      <c r="AN11" s="7">
        <v>3.1795200000000003E-2</v>
      </c>
      <c r="AO11" s="7">
        <v>1.7749889744262499E-4</v>
      </c>
      <c r="AP11" s="8">
        <v>5.9223518341014303E-6</v>
      </c>
      <c r="AQ11" s="5"/>
      <c r="AR11" s="6"/>
      <c r="AS11" s="7"/>
      <c r="AT11" s="9"/>
      <c r="AU11" s="9"/>
      <c r="AV11" s="5">
        <v>135955</v>
      </c>
      <c r="AW11" s="6">
        <v>188.826388888889</v>
      </c>
      <c r="AX11" s="7">
        <v>5.6285369999999997</v>
      </c>
      <c r="AY11" s="7">
        <v>3.7780487313733402E-2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pans="1:67" ht="30" customHeight="1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88</v>
      </c>
      <c r="AC12" s="6">
        <v>0.122222222222222</v>
      </c>
      <c r="AD12" s="7">
        <v>3.6432000000000001E-3</v>
      </c>
      <c r="AE12" s="9">
        <v>1.8485741162177299E-5</v>
      </c>
      <c r="AF12" s="9">
        <v>6.3190396974520395E-7</v>
      </c>
      <c r="AG12" s="5"/>
      <c r="AH12" s="6"/>
      <c r="AI12" s="7"/>
      <c r="AJ12" s="9"/>
      <c r="AK12" s="9"/>
      <c r="AL12" s="5">
        <v>1190</v>
      </c>
      <c r="AM12" s="6">
        <v>1.6527777777777799</v>
      </c>
      <c r="AN12" s="7">
        <v>4.9265999999999997E-2</v>
      </c>
      <c r="AO12" s="7">
        <v>2.7503084369365102E-4</v>
      </c>
      <c r="AP12" s="8">
        <v>2.7503084369365102E-4</v>
      </c>
      <c r="AQ12" s="5"/>
      <c r="AR12" s="6"/>
      <c r="AS12" s="7"/>
      <c r="AT12" s="9"/>
      <c r="AU12" s="9"/>
      <c r="AV12" s="5">
        <v>2180</v>
      </c>
      <c r="AW12" s="6">
        <v>3.0277777777777799</v>
      </c>
      <c r="AX12" s="7">
        <v>9.0251999999999999E-2</v>
      </c>
      <c r="AY12" s="7">
        <v>6.0579943616592799E-4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pans="1:67" ht="30" customHeight="1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pans="1:67" ht="30" customHeight="1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pans="1:67" ht="30" customHeight="1">
      <c r="A15" s="10" t="s">
        <v>52</v>
      </c>
      <c r="B15" s="5" t="s">
        <v>43</v>
      </c>
      <c r="C15" s="5">
        <v>4766400</v>
      </c>
      <c r="D15" s="6">
        <v>6620</v>
      </c>
      <c r="E15" s="7"/>
      <c r="F15" s="5"/>
      <c r="G15" s="5"/>
      <c r="H15" s="5">
        <v>6405200</v>
      </c>
      <c r="I15" s="6">
        <v>8896.1111111111095</v>
      </c>
      <c r="J15" s="7"/>
      <c r="K15" s="5"/>
      <c r="L15" s="5"/>
      <c r="M15" s="5">
        <v>9046200</v>
      </c>
      <c r="N15" s="6">
        <v>12564.166666666701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8675700</v>
      </c>
      <c r="X15" s="6">
        <v>12049.583333333299</v>
      </c>
      <c r="Y15" s="7"/>
      <c r="Z15" s="5"/>
      <c r="AA15" s="5"/>
      <c r="AB15" s="5">
        <v>5765433</v>
      </c>
      <c r="AC15" s="15" t="s">
        <v>53</v>
      </c>
      <c r="AD15" s="7"/>
      <c r="AE15" s="5"/>
      <c r="AF15" s="5"/>
      <c r="AG15" s="5">
        <v>343449</v>
      </c>
      <c r="AH15" s="15" t="s">
        <v>53</v>
      </c>
      <c r="AI15" s="7"/>
      <c r="AJ15" s="5"/>
      <c r="AK15" s="5"/>
      <c r="AL15" s="5">
        <v>5368678</v>
      </c>
      <c r="AM15" s="15" t="s">
        <v>53</v>
      </c>
      <c r="AN15" s="7"/>
      <c r="AO15" s="5"/>
      <c r="AP15" s="5"/>
      <c r="AQ15" s="5">
        <v>77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177854</v>
      </c>
      <c r="BB15" s="15" t="s">
        <v>54</v>
      </c>
      <c r="BC15" s="7"/>
      <c r="BD15" s="5"/>
      <c r="BE15" s="5"/>
      <c r="BF15" s="5">
        <v>187737</v>
      </c>
      <c r="BG15" s="15" t="s">
        <v>54</v>
      </c>
      <c r="BH15" s="7"/>
      <c r="BI15" s="5"/>
      <c r="BJ15" s="5"/>
      <c r="BK15" s="5">
        <v>186096</v>
      </c>
      <c r="BL15" s="15" t="s">
        <v>54</v>
      </c>
      <c r="BM15" s="7"/>
      <c r="BN15" s="5"/>
      <c r="BO15" s="5"/>
    </row>
    <row r="16" spans="1:67" ht="30" customHeight="1">
      <c r="A16" s="5" t="s">
        <v>55</v>
      </c>
      <c r="B16" s="5" t="s">
        <v>47</v>
      </c>
      <c r="C16" s="5">
        <v>138008</v>
      </c>
      <c r="D16" s="5"/>
      <c r="E16" s="7"/>
      <c r="F16" s="5"/>
      <c r="G16" s="5"/>
      <c r="H16" s="5">
        <v>148980</v>
      </c>
      <c r="I16" s="5"/>
      <c r="J16" s="7"/>
      <c r="K16" s="5"/>
      <c r="L16" s="5"/>
      <c r="M16" s="5">
        <v>197081.63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179129</v>
      </c>
      <c r="X16" s="5"/>
      <c r="Y16" s="7"/>
      <c r="Z16" s="5"/>
      <c r="AA16" s="5"/>
      <c r="AB16" s="5">
        <v>197081.63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179129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148980</v>
      </c>
      <c r="AW16" s="5"/>
      <c r="AX16" s="7"/>
      <c r="AY16" s="5"/>
      <c r="AZ16" s="5"/>
      <c r="BA16" s="5">
        <v>148980</v>
      </c>
      <c r="BB16" s="5"/>
      <c r="BC16" s="7"/>
      <c r="BD16" s="5"/>
      <c r="BE16" s="5"/>
      <c r="BF16" s="5">
        <v>179129</v>
      </c>
      <c r="BG16" s="5"/>
      <c r="BH16" s="7"/>
      <c r="BI16" s="5"/>
      <c r="BJ16" s="5"/>
      <c r="BK16" s="5">
        <v>197081.63</v>
      </c>
      <c r="BL16" s="5"/>
      <c r="BM16" s="7"/>
      <c r="BN16" s="5"/>
      <c r="BO16" s="5"/>
    </row>
    <row r="17" spans="3:7" ht="30" customHeight="1"/>
    <row r="18" spans="3:7" ht="30" customHeight="1">
      <c r="G18" s="2">
        <f>C4+H4+M4+R4+W4+AB4+AG4+AL4+AQ4+AV4+BA4+BF4+BK4</f>
        <v>51861100.242895</v>
      </c>
    </row>
    <row r="19" spans="3:7" ht="30" customHeight="1"/>
    <row r="20" spans="3:7">
      <c r="C20" s="17">
        <f t="shared" ref="C20:C32" si="0">C4+H4+M4+R4+W4+AB4+AG4+AL4+AQ4+AV4+BA4+BF4+BK4</f>
        <v>51861100.242895</v>
      </c>
    </row>
    <row r="21" spans="3:7">
      <c r="C21" s="2">
        <f t="shared" si="0"/>
        <v>0</v>
      </c>
    </row>
    <row r="22" spans="3:7">
      <c r="C22" s="2">
        <f t="shared" si="0"/>
        <v>2600000</v>
      </c>
    </row>
    <row r="23" spans="3:7">
      <c r="C23" s="2">
        <f t="shared" si="0"/>
        <v>0</v>
      </c>
    </row>
    <row r="24" spans="3:7">
      <c r="C24" s="2">
        <f t="shared" si="0"/>
        <v>685890</v>
      </c>
    </row>
    <row r="25" spans="3:7">
      <c r="C25" s="2">
        <f t="shared" si="0"/>
        <v>343449</v>
      </c>
    </row>
    <row r="26" spans="3:7">
      <c r="C26" s="2">
        <f t="shared" si="0"/>
        <v>36000</v>
      </c>
    </row>
    <row r="27" spans="3:7">
      <c r="C27" s="2">
        <f t="shared" si="0"/>
        <v>165186</v>
      </c>
    </row>
    <row r="28" spans="3:7">
      <c r="C28" s="2">
        <f t="shared" si="0"/>
        <v>3458</v>
      </c>
    </row>
    <row r="29" spans="3:7">
      <c r="C29" s="2">
        <f t="shared" si="0"/>
        <v>0</v>
      </c>
    </row>
    <row r="30" spans="3:7">
      <c r="C30" s="2">
        <f t="shared" si="0"/>
        <v>0</v>
      </c>
    </row>
    <row r="31" spans="3:7">
      <c r="C31" s="2">
        <f t="shared" si="0"/>
        <v>40922824</v>
      </c>
    </row>
    <row r="32" spans="3:7">
      <c r="C32" s="2">
        <f t="shared" si="0"/>
        <v>1713579.89</v>
      </c>
    </row>
  </sheetData>
  <mergeCells count="15">
    <mergeCell ref="BA2:BD2"/>
    <mergeCell ref="BF2:BI2"/>
    <mergeCell ref="BK2:BN2"/>
    <mergeCell ref="A2:A3"/>
    <mergeCell ref="B2:B3"/>
    <mergeCell ref="AB2:AE2"/>
    <mergeCell ref="AG2:AJ2"/>
    <mergeCell ref="AL2:AO2"/>
    <mergeCell ref="AQ2:AT2"/>
    <mergeCell ref="AV2:AY2"/>
    <mergeCell ref="C2:F2"/>
    <mergeCell ref="H2:K2"/>
    <mergeCell ref="M2:P2"/>
    <mergeCell ref="R2:U2"/>
    <mergeCell ref="W2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5" style="2" customWidth="1"/>
    <col min="2" max="2" width="7.5" style="2" customWidth="1"/>
    <col min="3" max="5" width="9.625" style="2" customWidth="1"/>
    <col min="6" max="7" width="12.375" style="2" customWidth="1"/>
    <col min="8" max="10" width="9.625" style="2" customWidth="1"/>
    <col min="11" max="12" width="12.375" style="2" customWidth="1"/>
    <col min="13" max="15" width="9.625" style="2" customWidth="1"/>
    <col min="16" max="17" width="12.375" style="2" customWidth="1"/>
    <col min="18" max="20" width="9.625" style="2" customWidth="1"/>
    <col min="21" max="22" width="12.375" style="2" customWidth="1"/>
    <col min="23" max="25" width="9.625" style="2" customWidth="1"/>
    <col min="26" max="27" width="12.375" style="2" customWidth="1"/>
    <col min="28" max="30" width="9.625" style="2" customWidth="1"/>
    <col min="31" max="32" width="12.375" style="2" customWidth="1"/>
    <col min="33" max="35" width="9.625" style="2" customWidth="1"/>
    <col min="36" max="37" width="12.375" style="2" customWidth="1"/>
    <col min="38" max="40" width="9.625" style="2" customWidth="1"/>
    <col min="41" max="42" width="12.375" style="2" customWidth="1"/>
    <col min="43" max="45" width="9.625" style="2" customWidth="1"/>
    <col min="46" max="47" width="12.375" style="2" customWidth="1"/>
    <col min="48" max="50" width="9.625" style="2" customWidth="1"/>
    <col min="51" max="52" width="12.375" style="2" customWidth="1"/>
    <col min="53" max="55" width="9.625" style="2" customWidth="1"/>
    <col min="56" max="57" width="12.375" style="2" customWidth="1"/>
    <col min="58" max="60" width="9.625" style="2" customWidth="1"/>
    <col min="61" max="62" width="12.375" style="2" customWidth="1"/>
    <col min="63" max="65" width="9.625" style="2" customWidth="1"/>
    <col min="66" max="67" width="12.375" style="2" customWidth="1"/>
    <col min="68" max="16384" width="9" style="1"/>
  </cols>
  <sheetData>
    <row r="1" spans="1:67">
      <c r="A1" s="2" t="s">
        <v>56</v>
      </c>
      <c r="B1" s="2">
        <v>31</v>
      </c>
    </row>
    <row r="2" spans="1:67">
      <c r="A2" s="27" t="s">
        <v>20</v>
      </c>
      <c r="B2" s="27" t="s">
        <v>21</v>
      </c>
      <c r="C2" s="27" t="s">
        <v>22</v>
      </c>
      <c r="D2" s="27"/>
      <c r="E2" s="27"/>
      <c r="F2" s="27"/>
      <c r="G2" s="3"/>
      <c r="H2" s="27" t="s">
        <v>23</v>
      </c>
      <c r="I2" s="27"/>
      <c r="J2" s="27"/>
      <c r="K2" s="27"/>
      <c r="L2" s="3"/>
      <c r="M2" s="27" t="s">
        <v>24</v>
      </c>
      <c r="N2" s="27"/>
      <c r="O2" s="27"/>
      <c r="P2" s="27"/>
      <c r="Q2" s="3"/>
      <c r="R2" s="27" t="s">
        <v>25</v>
      </c>
      <c r="S2" s="27"/>
      <c r="T2" s="27"/>
      <c r="U2" s="27"/>
      <c r="V2" s="3"/>
      <c r="W2" s="27" t="s">
        <v>26</v>
      </c>
      <c r="X2" s="27"/>
      <c r="Y2" s="27"/>
      <c r="Z2" s="27"/>
      <c r="AA2" s="3"/>
      <c r="AB2" s="27" t="s">
        <v>27</v>
      </c>
      <c r="AC2" s="27"/>
      <c r="AD2" s="27"/>
      <c r="AE2" s="27"/>
      <c r="AF2" s="3"/>
      <c r="AG2" s="27" t="s">
        <v>28</v>
      </c>
      <c r="AH2" s="27"/>
      <c r="AI2" s="27"/>
      <c r="AJ2" s="27"/>
      <c r="AK2" s="3"/>
      <c r="AL2" s="27" t="s">
        <v>29</v>
      </c>
      <c r="AM2" s="27"/>
      <c r="AN2" s="27"/>
      <c r="AO2" s="27"/>
      <c r="AP2" s="3"/>
      <c r="AQ2" s="27" t="s">
        <v>30</v>
      </c>
      <c r="AR2" s="27"/>
      <c r="AS2" s="27"/>
      <c r="AT2" s="27"/>
      <c r="AU2" s="3"/>
      <c r="AV2" s="27" t="s">
        <v>31</v>
      </c>
      <c r="AW2" s="27"/>
      <c r="AX2" s="27"/>
      <c r="AY2" s="27"/>
      <c r="AZ2" s="3"/>
      <c r="BA2" s="27" t="s">
        <v>32</v>
      </c>
      <c r="BB2" s="27"/>
      <c r="BC2" s="27"/>
      <c r="BD2" s="27"/>
      <c r="BE2" s="3"/>
      <c r="BF2" s="27" t="s">
        <v>33</v>
      </c>
      <c r="BG2" s="27"/>
      <c r="BH2" s="27"/>
      <c r="BI2" s="27"/>
      <c r="BJ2" s="3"/>
      <c r="BK2" s="27" t="s">
        <v>34</v>
      </c>
      <c r="BL2" s="27"/>
      <c r="BM2" s="27"/>
      <c r="BN2" s="27"/>
      <c r="BO2" s="3"/>
    </row>
    <row r="3" spans="1:67" ht="30" customHeight="1">
      <c r="A3" s="27"/>
      <c r="B3" s="27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pans="1:67" ht="30" customHeight="1">
      <c r="A4" s="5" t="s">
        <v>42</v>
      </c>
      <c r="B4" s="5" t="s">
        <v>43</v>
      </c>
      <c r="C4" s="6">
        <v>5425.5618869999998</v>
      </c>
      <c r="D4" s="6">
        <v>7.2924218911290302</v>
      </c>
      <c r="E4" s="7">
        <v>0.66680155591229995</v>
      </c>
      <c r="F4" s="7">
        <v>4.5328386734822699E-3</v>
      </c>
      <c r="G4" s="8">
        <v>1.2415773952859999E-4</v>
      </c>
      <c r="H4" s="6">
        <v>5021.0773760000002</v>
      </c>
      <c r="I4" s="6">
        <v>6.7487599139784997</v>
      </c>
      <c r="J4" s="7">
        <v>0.61709040951039995</v>
      </c>
      <c r="K4" s="7">
        <v>3.8134607772288801E-3</v>
      </c>
      <c r="L4" s="8">
        <v>8.9753383004683395E-5</v>
      </c>
      <c r="M4" s="6">
        <v>2225.936772</v>
      </c>
      <c r="N4" s="6">
        <v>2.9918505</v>
      </c>
      <c r="O4" s="7">
        <v>0.27356762927880002</v>
      </c>
      <c r="P4" s="13">
        <v>1.3511661077899801E-3</v>
      </c>
      <c r="Q4" s="14">
        <v>2.7484842292965199E-5</v>
      </c>
      <c r="R4" s="6">
        <v>7725.9085459999997</v>
      </c>
      <c r="S4" s="6">
        <v>10.384285680107499</v>
      </c>
      <c r="T4" s="7">
        <v>0.94951416030339997</v>
      </c>
      <c r="U4" s="7" t="e">
        <v>#DIV/0!</v>
      </c>
      <c r="V4" s="8" t="e">
        <v>#DIV/0!</v>
      </c>
      <c r="W4" s="6">
        <v>15651.51542</v>
      </c>
      <c r="X4" s="6">
        <v>21.0369830913979</v>
      </c>
      <c r="Y4" s="7">
        <v>1.923571245118</v>
      </c>
      <c r="Z4" s="7">
        <v>1.02169256617678E-2</v>
      </c>
      <c r="AA4" s="8">
        <v>2.2160448435727299E-4</v>
      </c>
      <c r="AB4" s="6">
        <v>1608000</v>
      </c>
      <c r="AC4" s="6">
        <v>2161.2903225806499</v>
      </c>
      <c r="AD4" s="7">
        <v>197.6232</v>
      </c>
      <c r="AE4" s="7">
        <v>0.97607224457419905</v>
      </c>
      <c r="AF4" s="8">
        <v>3.3107871075393702E-2</v>
      </c>
      <c r="AG4" s="6">
        <v>69619.199999999997</v>
      </c>
      <c r="AH4" s="6">
        <v>93.5741935483871</v>
      </c>
      <c r="AI4" s="7">
        <v>8.5561996800000006</v>
      </c>
      <c r="AJ4" s="7" t="e">
        <v>#DIV/0!</v>
      </c>
      <c r="AK4" s="8">
        <v>2.4912577063843502E-2</v>
      </c>
      <c r="AL4" s="6">
        <v>1873120</v>
      </c>
      <c r="AM4" s="6">
        <v>2517.63440860215</v>
      </c>
      <c r="AN4" s="7">
        <v>230.20644799999999</v>
      </c>
      <c r="AO4" s="7">
        <v>1.22272682753236</v>
      </c>
      <c r="AP4" s="8">
        <v>4.1576677834742899E-2</v>
      </c>
      <c r="AQ4" s="6">
        <v>489480</v>
      </c>
      <c r="AR4" s="6">
        <v>657.90322580645204</v>
      </c>
      <c r="AS4" s="7">
        <v>60.157091999999999</v>
      </c>
      <c r="AT4" s="7">
        <v>0.31952054729037099</v>
      </c>
      <c r="AU4" s="8">
        <v>1.08647349163695E-2</v>
      </c>
      <c r="AV4" s="6">
        <v>2251020.7999999998</v>
      </c>
      <c r="AW4" s="6">
        <v>3025.5655913978499</v>
      </c>
      <c r="AX4" s="7">
        <v>276.65045631999999</v>
      </c>
      <c r="AY4" s="7"/>
      <c r="AZ4" s="8"/>
      <c r="BA4" s="6">
        <v>14940750</v>
      </c>
      <c r="BB4" s="6">
        <v>20081.653225806502</v>
      </c>
      <c r="BC4" s="7">
        <v>1836.218175</v>
      </c>
      <c r="BD4" s="7">
        <v>11.347358313918599</v>
      </c>
      <c r="BE4" s="8">
        <v>10.034801623083901</v>
      </c>
      <c r="BF4" s="6">
        <v>16663350</v>
      </c>
      <c r="BG4" s="6">
        <v>22396.975806451599</v>
      </c>
      <c r="BH4" s="7">
        <v>2047.9257150000001</v>
      </c>
      <c r="BI4" s="7">
        <v>10.8774264764464</v>
      </c>
      <c r="BJ4" s="8">
        <v>10.6168450807179</v>
      </c>
      <c r="BK4" s="6">
        <v>17259000</v>
      </c>
      <c r="BL4" s="6">
        <v>0</v>
      </c>
      <c r="BM4" s="7">
        <v>2121.1311000000001</v>
      </c>
      <c r="BN4" s="7">
        <v>10.476387356409299</v>
      </c>
      <c r="BO4" s="8">
        <v>11.3764680958332</v>
      </c>
    </row>
    <row r="5" spans="1:67" ht="30" customHeight="1">
      <c r="A5" s="5" t="s">
        <v>13</v>
      </c>
      <c r="B5" s="5" t="s">
        <v>44</v>
      </c>
      <c r="C5" s="6">
        <v>247</v>
      </c>
      <c r="D5" s="6">
        <v>0.331989247311828</v>
      </c>
      <c r="E5" s="7">
        <v>8.4227000000000007</v>
      </c>
      <c r="F5" s="7">
        <v>5.7256525508408498E-2</v>
      </c>
      <c r="G5" s="8">
        <v>1.5682977693367601E-3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240</v>
      </c>
      <c r="N5" s="6">
        <v>0.32258064516128998</v>
      </c>
      <c r="O5" s="7">
        <v>8.1839999999999993</v>
      </c>
      <c r="P5" s="7">
        <v>4.0421242291366802E-2</v>
      </c>
      <c r="Q5" s="8">
        <v>8.2223159925251695E-4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pans="1:67" ht="30" customHeight="1">
      <c r="A6" s="5" t="s">
        <v>16</v>
      </c>
      <c r="B6" s="5" t="s">
        <v>45</v>
      </c>
      <c r="C6" s="6">
        <v>829000</v>
      </c>
      <c r="D6" s="6">
        <v>1114.2473118279599</v>
      </c>
      <c r="E6" s="7">
        <v>14.0101</v>
      </c>
      <c r="F6" s="7">
        <v>9.5239014570785402E-2</v>
      </c>
      <c r="G6" s="8">
        <v>2.6086656984322101E-3</v>
      </c>
      <c r="H6" s="6">
        <v>332000</v>
      </c>
      <c r="I6" s="6">
        <v>446.23655913978502</v>
      </c>
      <c r="J6" s="7">
        <v>5.6108000000000002</v>
      </c>
      <c r="K6" s="7">
        <v>3.4673307831589603E-2</v>
      </c>
      <c r="L6" s="8">
        <v>8.1606888326497405E-4</v>
      </c>
      <c r="M6" s="6">
        <v>536000</v>
      </c>
      <c r="N6" s="6">
        <v>720.43010752688201</v>
      </c>
      <c r="O6" s="7">
        <v>9.0584000000000007</v>
      </c>
      <c r="P6" s="7">
        <v>4.4739953711158E-2</v>
      </c>
      <c r="Q6" s="8">
        <v>9.1008097735447205E-4</v>
      </c>
      <c r="R6" s="6">
        <v>8000</v>
      </c>
      <c r="S6" s="6">
        <v>10.752688172042999</v>
      </c>
      <c r="T6" s="7">
        <v>0.13519999999999999</v>
      </c>
      <c r="U6" s="7" t="e">
        <v>#DIV/0!</v>
      </c>
      <c r="V6" s="8" t="e">
        <v>#DIV/0!</v>
      </c>
      <c r="W6" s="6">
        <v>1002000</v>
      </c>
      <c r="X6" s="6">
        <v>1346.77419354839</v>
      </c>
      <c r="Y6" s="7">
        <v>16.933800000000002</v>
      </c>
      <c r="Z6" s="7">
        <v>8.9942795833709593E-2</v>
      </c>
      <c r="AA6" s="8">
        <v>1.9508536669661999E-3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pans="1:67" ht="30" customHeight="1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pans="1:67" ht="30" customHeight="1">
      <c r="A8" s="5" t="s">
        <v>46</v>
      </c>
      <c r="B8" s="5" t="s">
        <v>47</v>
      </c>
      <c r="C8" s="6">
        <v>457265</v>
      </c>
      <c r="D8" s="6">
        <v>614.60349462365605</v>
      </c>
      <c r="E8" s="7">
        <v>21.720087500000002</v>
      </c>
      <c r="F8" s="7">
        <v>0.14765060419920201</v>
      </c>
      <c r="G8" s="8">
        <v>4.0442571593490503E-3</v>
      </c>
      <c r="H8" s="6"/>
      <c r="I8" s="6"/>
      <c r="J8" s="7"/>
      <c r="K8" s="7"/>
      <c r="L8" s="8"/>
      <c r="M8" s="6">
        <v>389930</v>
      </c>
      <c r="N8" s="6">
        <v>524.09946236559097</v>
      </c>
      <c r="O8" s="7">
        <v>18.521674999999998</v>
      </c>
      <c r="P8" s="7">
        <v>9.1479608115463296E-2</v>
      </c>
      <c r="Q8" s="8">
        <v>1.8608390097856E-3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pans="1:67" ht="30" customHeight="1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351338</v>
      </c>
      <c r="X9" s="6">
        <v>0</v>
      </c>
      <c r="Y9" s="7">
        <v>16.688555000000001</v>
      </c>
      <c r="Z9" s="7">
        <v>8.86401926989E-2</v>
      </c>
      <c r="AA9" s="8">
        <v>1.9226002857076999E-3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pans="1:67" ht="30" customHeight="1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37200</v>
      </c>
      <c r="AR10" s="6">
        <v>50</v>
      </c>
      <c r="AS10" s="7">
        <v>1.7669999999999999</v>
      </c>
      <c r="AT10" s="7" t="e">
        <v>#DIV/0!</v>
      </c>
      <c r="AU10" s="8">
        <v>9.1978458197430402E-4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pans="1:67" ht="30" customHeight="1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31272</v>
      </c>
      <c r="AH11" s="6">
        <v>42.0322580645161</v>
      </c>
      <c r="AI11" s="7">
        <v>1.2946607999999999</v>
      </c>
      <c r="AJ11" s="7" t="e">
        <v>#DIV/0!</v>
      </c>
      <c r="AK11" s="8">
        <v>3.7695867508713101E-3</v>
      </c>
      <c r="AL11" s="5">
        <v>2605</v>
      </c>
      <c r="AM11" s="6">
        <v>3.5013440860215099</v>
      </c>
      <c r="AN11" s="7">
        <v>0.107847</v>
      </c>
      <c r="AO11" s="7">
        <v>5.7282244400418505E-4</v>
      </c>
      <c r="AP11" s="8">
        <v>1.9477820944631099E-5</v>
      </c>
      <c r="AQ11" s="5"/>
      <c r="AR11" s="6"/>
      <c r="AS11" s="7"/>
      <c r="AT11" s="9"/>
      <c r="AU11" s="9"/>
      <c r="AV11" s="5">
        <v>138453</v>
      </c>
      <c r="AW11" s="6">
        <v>186.09274193548401</v>
      </c>
      <c r="AX11" s="7">
        <v>5.7319541999999997</v>
      </c>
      <c r="AY11" s="7">
        <v>3.5422009776355103E-2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pans="1:67" ht="30" customHeight="1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137</v>
      </c>
      <c r="AC12" s="6">
        <v>0.18413978494623701</v>
      </c>
      <c r="AD12" s="7">
        <v>5.6718000000000003E-3</v>
      </c>
      <c r="AE12" s="9">
        <v>2.8013343356326299E-5</v>
      </c>
      <c r="AF12" s="9">
        <v>9.5019827209263799E-7</v>
      </c>
      <c r="AG12" s="5"/>
      <c r="AH12" s="6"/>
      <c r="AI12" s="7"/>
      <c r="AJ12" s="9"/>
      <c r="AK12" s="9"/>
      <c r="AL12" s="5">
        <v>435</v>
      </c>
      <c r="AM12" s="6">
        <v>0.58467741935483897</v>
      </c>
      <c r="AN12" s="7">
        <v>1.8009000000000001E-2</v>
      </c>
      <c r="AO12" s="7">
        <v>9.5653651877858199E-5</v>
      </c>
      <c r="AP12" s="8">
        <v>9.5653651877858199E-5</v>
      </c>
      <c r="AQ12" s="5"/>
      <c r="AR12" s="6"/>
      <c r="AS12" s="7"/>
      <c r="AT12" s="9"/>
      <c r="AU12" s="9"/>
      <c r="AV12" s="5">
        <v>136</v>
      </c>
      <c r="AW12" s="6">
        <v>0.18279569892473099</v>
      </c>
      <c r="AX12" s="7">
        <v>5.6303999999999998E-3</v>
      </c>
      <c r="AY12" s="7">
        <v>3.4794430814675701E-5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pans="1:67" ht="30" customHeight="1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pans="1:67" ht="30" customHeight="1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pans="1:67" ht="30" customHeight="1">
      <c r="A15" s="10" t="s">
        <v>52</v>
      </c>
      <c r="B15" s="5" t="s">
        <v>43</v>
      </c>
      <c r="C15" s="5">
        <v>5370600</v>
      </c>
      <c r="D15" s="6">
        <v>7218.5483870967701</v>
      </c>
      <c r="E15" s="7"/>
      <c r="F15" s="5"/>
      <c r="G15" s="5"/>
      <c r="H15" s="5">
        <v>6875400</v>
      </c>
      <c r="I15" s="6">
        <v>9241.1290322580608</v>
      </c>
      <c r="J15" s="7"/>
      <c r="K15" s="5"/>
      <c r="L15" s="5"/>
      <c r="M15" s="5">
        <v>9953400</v>
      </c>
      <c r="N15" s="6">
        <v>13378.225806451601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8680200</v>
      </c>
      <c r="X15" s="6">
        <v>11666.935483871001</v>
      </c>
      <c r="Y15" s="7"/>
      <c r="Z15" s="5"/>
      <c r="AA15" s="5"/>
      <c r="AB15" s="5">
        <v>5969070</v>
      </c>
      <c r="AC15" s="15" t="s">
        <v>53</v>
      </c>
      <c r="AD15" s="7"/>
      <c r="AE15" s="5"/>
      <c r="AF15" s="5"/>
      <c r="AG15" s="5">
        <v>343449</v>
      </c>
      <c r="AH15" s="15" t="s">
        <v>53</v>
      </c>
      <c r="AI15" s="7"/>
      <c r="AJ15" s="5"/>
      <c r="AK15" s="5"/>
      <c r="AL15" s="5">
        <v>5536913</v>
      </c>
      <c r="AM15" s="15" t="s">
        <v>53</v>
      </c>
      <c r="AN15" s="7"/>
      <c r="AO15" s="5"/>
      <c r="AP15" s="5"/>
      <c r="AQ15" s="5">
        <v>1921102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182985</v>
      </c>
      <c r="BB15" s="15" t="s">
        <v>54</v>
      </c>
      <c r="BC15" s="7"/>
      <c r="BD15" s="5"/>
      <c r="BE15" s="5"/>
      <c r="BF15" s="5">
        <v>192894</v>
      </c>
      <c r="BG15" s="15" t="s">
        <v>54</v>
      </c>
      <c r="BH15" s="7"/>
      <c r="BI15" s="5"/>
      <c r="BJ15" s="5"/>
      <c r="BK15" s="5">
        <v>186449</v>
      </c>
      <c r="BL15" s="15" t="s">
        <v>54</v>
      </c>
      <c r="BM15" s="7"/>
      <c r="BN15" s="5"/>
      <c r="BO15" s="5"/>
    </row>
    <row r="16" spans="1:67" ht="30" customHeight="1">
      <c r="A16" s="5" t="s">
        <v>55</v>
      </c>
      <c r="B16" s="5" t="s">
        <v>47</v>
      </c>
      <c r="C16" s="5">
        <v>147104.63</v>
      </c>
      <c r="D16" s="5"/>
      <c r="E16" s="7"/>
      <c r="F16" s="5"/>
      <c r="G16" s="5"/>
      <c r="H16" s="5">
        <v>161819</v>
      </c>
      <c r="I16" s="5"/>
      <c r="J16" s="7"/>
      <c r="K16" s="5"/>
      <c r="L16" s="5"/>
      <c r="M16" s="5">
        <v>202467.8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188273</v>
      </c>
      <c r="X16" s="5"/>
      <c r="Y16" s="7"/>
      <c r="Z16" s="5"/>
      <c r="AA16" s="5"/>
      <c r="AB16" s="5">
        <v>202467.8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188273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161819</v>
      </c>
      <c r="AW16" s="5"/>
      <c r="AX16" s="7"/>
      <c r="AY16" s="5"/>
      <c r="AZ16" s="5"/>
      <c r="BA16" s="5">
        <v>161819</v>
      </c>
      <c r="BB16" s="5"/>
      <c r="BC16" s="7"/>
      <c r="BD16" s="5"/>
      <c r="BE16" s="5"/>
      <c r="BF16" s="5">
        <v>188273</v>
      </c>
      <c r="BG16" s="5"/>
      <c r="BH16" s="7"/>
      <c r="BI16" s="5"/>
      <c r="BJ16" s="5"/>
      <c r="BK16" s="5">
        <v>202467.8</v>
      </c>
      <c r="BL16" s="5"/>
      <c r="BM16" s="7"/>
      <c r="BN16" s="5"/>
      <c r="BO16" s="5"/>
    </row>
    <row r="17" spans="3:3" ht="30" customHeight="1"/>
    <row r="18" spans="3:3" ht="30" customHeight="1"/>
    <row r="19" spans="3:3" ht="30" customHeight="1"/>
    <row r="20" spans="3:3">
      <c r="C20" s="2">
        <f t="shared" ref="C20:C32" si="0">C4+H4+M4+R4+W4+AB4+AG4+AL4+AQ4+AV4+BA4+BF4+BK4</f>
        <v>55190390.000000998</v>
      </c>
    </row>
    <row r="21" spans="3:3">
      <c r="C21" s="2">
        <f t="shared" si="0"/>
        <v>487</v>
      </c>
    </row>
    <row r="22" spans="3:3">
      <c r="C22" s="2">
        <f t="shared" si="0"/>
        <v>2707000</v>
      </c>
    </row>
    <row r="23" spans="3:3">
      <c r="C23" s="2">
        <f t="shared" si="0"/>
        <v>0</v>
      </c>
    </row>
    <row r="24" spans="3:3">
      <c r="C24" s="2">
        <f t="shared" si="0"/>
        <v>847195</v>
      </c>
    </row>
    <row r="25" spans="3:3">
      <c r="C25" s="2">
        <f t="shared" si="0"/>
        <v>351338</v>
      </c>
    </row>
    <row r="26" spans="3:3">
      <c r="C26" s="2">
        <f t="shared" si="0"/>
        <v>37200</v>
      </c>
    </row>
    <row r="27" spans="3:3">
      <c r="C27" s="2">
        <f t="shared" si="0"/>
        <v>172330</v>
      </c>
    </row>
    <row r="28" spans="3:3">
      <c r="C28" s="2">
        <f t="shared" si="0"/>
        <v>708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45212462</v>
      </c>
    </row>
    <row r="32" spans="3:3">
      <c r="C32" s="2">
        <f t="shared" si="0"/>
        <v>1804784.03</v>
      </c>
    </row>
  </sheetData>
  <mergeCells count="15">
    <mergeCell ref="BA2:BD2"/>
    <mergeCell ref="BF2:BI2"/>
    <mergeCell ref="BK2:BN2"/>
    <mergeCell ref="A2:A3"/>
    <mergeCell ref="B2:B3"/>
    <mergeCell ref="AB2:AE2"/>
    <mergeCell ref="AG2:AJ2"/>
    <mergeCell ref="AL2:AO2"/>
    <mergeCell ref="AQ2:AT2"/>
    <mergeCell ref="AV2:AY2"/>
    <mergeCell ref="C2:F2"/>
    <mergeCell ref="H2:K2"/>
    <mergeCell ref="M2:P2"/>
    <mergeCell ref="R2:U2"/>
    <mergeCell ref="W2:Z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BO32"/>
  <sheetViews>
    <sheetView topLeftCell="C1" zoomScale="70" zoomScaleNormal="70" workbookViewId="0">
      <selection activeCell="C25" sqref="C25"/>
    </sheetView>
  </sheetViews>
  <sheetFormatPr defaultColWidth="9" defaultRowHeight="13.5"/>
  <cols>
    <col min="1" max="1" width="18.875" style="2" customWidth="1"/>
    <col min="2" max="2" width="7.5" style="2" customWidth="1"/>
    <col min="3" max="5" width="9.625" style="2" customWidth="1"/>
    <col min="6" max="7" width="12.375" style="2" customWidth="1"/>
    <col min="8" max="10" width="9.625" style="2" customWidth="1"/>
    <col min="11" max="12" width="12.375" style="2" customWidth="1"/>
    <col min="13" max="15" width="9.625" style="2" customWidth="1"/>
    <col min="16" max="17" width="12.375" style="2" customWidth="1"/>
    <col min="18" max="20" width="9.625" style="2" customWidth="1"/>
    <col min="21" max="22" width="12.375" style="2" customWidth="1"/>
    <col min="23" max="25" width="9.625" style="2" customWidth="1"/>
    <col min="26" max="27" width="12.375" style="2" customWidth="1"/>
    <col min="28" max="30" width="9.625" style="2" customWidth="1"/>
    <col min="31" max="32" width="12.375" style="2" customWidth="1"/>
    <col min="33" max="35" width="9.625" style="2" customWidth="1"/>
    <col min="36" max="37" width="12.375" style="2" customWidth="1"/>
    <col min="38" max="40" width="9.625" style="2" customWidth="1"/>
    <col min="41" max="42" width="12.375" style="2" customWidth="1"/>
    <col min="43" max="45" width="9.625" style="2" customWidth="1"/>
    <col min="46" max="47" width="12.375" style="2" customWidth="1"/>
    <col min="48" max="50" width="9.625" style="2" customWidth="1"/>
    <col min="51" max="52" width="12.375" style="2" customWidth="1"/>
    <col min="53" max="55" width="9.625" style="2" customWidth="1"/>
    <col min="56" max="57" width="12.375" style="2" customWidth="1"/>
    <col min="58" max="60" width="9.625" style="2" customWidth="1"/>
    <col min="61" max="62" width="12.375" style="2" customWidth="1"/>
    <col min="63" max="65" width="9.625" style="2" customWidth="1"/>
    <col min="66" max="67" width="12.375" style="2" customWidth="1"/>
    <col min="68" max="16384" width="9" style="1"/>
  </cols>
  <sheetData>
    <row r="1" spans="1:67">
      <c r="A1" s="2" t="s">
        <v>56</v>
      </c>
      <c r="B1" s="2">
        <v>31</v>
      </c>
    </row>
    <row r="2" spans="1:67">
      <c r="A2" s="27" t="s">
        <v>20</v>
      </c>
      <c r="B2" s="27" t="s">
        <v>21</v>
      </c>
      <c r="C2" s="27" t="s">
        <v>22</v>
      </c>
      <c r="D2" s="27"/>
      <c r="E2" s="27"/>
      <c r="F2" s="27"/>
      <c r="G2" s="3"/>
      <c r="H2" s="27" t="s">
        <v>23</v>
      </c>
      <c r="I2" s="27"/>
      <c r="J2" s="27"/>
      <c r="K2" s="27"/>
      <c r="L2" s="3"/>
      <c r="M2" s="27" t="s">
        <v>24</v>
      </c>
      <c r="N2" s="27"/>
      <c r="O2" s="27"/>
      <c r="P2" s="27"/>
      <c r="Q2" s="3"/>
      <c r="R2" s="27" t="s">
        <v>25</v>
      </c>
      <c r="S2" s="27"/>
      <c r="T2" s="27"/>
      <c r="U2" s="27"/>
      <c r="V2" s="3"/>
      <c r="W2" s="27" t="s">
        <v>26</v>
      </c>
      <c r="X2" s="27"/>
      <c r="Y2" s="27"/>
      <c r="Z2" s="27"/>
      <c r="AA2" s="3"/>
      <c r="AB2" s="27" t="s">
        <v>27</v>
      </c>
      <c r="AC2" s="27"/>
      <c r="AD2" s="27"/>
      <c r="AE2" s="27"/>
      <c r="AF2" s="3"/>
      <c r="AG2" s="27" t="s">
        <v>28</v>
      </c>
      <c r="AH2" s="27"/>
      <c r="AI2" s="27"/>
      <c r="AJ2" s="27"/>
      <c r="AK2" s="3"/>
      <c r="AL2" s="27" t="s">
        <v>29</v>
      </c>
      <c r="AM2" s="27"/>
      <c r="AN2" s="27"/>
      <c r="AO2" s="27"/>
      <c r="AP2" s="3"/>
      <c r="AQ2" s="27" t="s">
        <v>30</v>
      </c>
      <c r="AR2" s="27"/>
      <c r="AS2" s="27"/>
      <c r="AT2" s="27"/>
      <c r="AU2" s="3"/>
      <c r="AV2" s="27" t="s">
        <v>31</v>
      </c>
      <c r="AW2" s="27"/>
      <c r="AX2" s="27"/>
      <c r="AY2" s="27"/>
      <c r="AZ2" s="3"/>
      <c r="BA2" s="27" t="s">
        <v>32</v>
      </c>
      <c r="BB2" s="27"/>
      <c r="BC2" s="27"/>
      <c r="BD2" s="27"/>
      <c r="BE2" s="3"/>
      <c r="BF2" s="27" t="s">
        <v>33</v>
      </c>
      <c r="BG2" s="27"/>
      <c r="BH2" s="27"/>
      <c r="BI2" s="27"/>
      <c r="BJ2" s="3"/>
      <c r="BK2" s="27" t="s">
        <v>34</v>
      </c>
      <c r="BL2" s="27"/>
      <c r="BM2" s="27"/>
      <c r="BN2" s="27"/>
      <c r="BO2" s="3"/>
    </row>
    <row r="3" spans="1:67" ht="30" customHeight="1">
      <c r="A3" s="27"/>
      <c r="B3" s="27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pans="1:67" ht="30" customHeight="1">
      <c r="A4" s="5" t="s">
        <v>42</v>
      </c>
      <c r="B4" s="5" t="s">
        <v>43</v>
      </c>
      <c r="C4" s="6">
        <v>5457.1671020000003</v>
      </c>
      <c r="D4" s="6">
        <v>7.3349020188172096</v>
      </c>
      <c r="E4" s="7">
        <v>0.67068583683579996</v>
      </c>
      <c r="F4" s="7">
        <v>4.9626974916042298E-3</v>
      </c>
      <c r="G4" s="8">
        <v>1.0768879846432199E-4</v>
      </c>
      <c r="H4" s="6">
        <v>5050.3263710000001</v>
      </c>
      <c r="I4" s="6">
        <v>6.7880730793010802</v>
      </c>
      <c r="J4" s="7">
        <v>0.62068511099589996</v>
      </c>
      <c r="K4" s="7">
        <v>4.0544069854522502E-3</v>
      </c>
      <c r="L4" s="8">
        <v>9.0286723736057395E-5</v>
      </c>
      <c r="M4" s="6">
        <v>2238.9033939999999</v>
      </c>
      <c r="N4" s="6">
        <v>3.0092787553763398</v>
      </c>
      <c r="O4" s="7">
        <v>0.27516122712259999</v>
      </c>
      <c r="P4" s="13">
        <v>1.3768663226814599E-3</v>
      </c>
      <c r="Q4" s="14">
        <v>2.5620225989068901E-5</v>
      </c>
      <c r="R4" s="6">
        <v>7770.9138380000004</v>
      </c>
      <c r="S4" s="6">
        <v>10.4447766639785</v>
      </c>
      <c r="T4" s="7">
        <v>0.95504531069020004</v>
      </c>
      <c r="U4" s="7">
        <v>9.8023741218331101E-2</v>
      </c>
      <c r="V4" s="8" t="e">
        <v>#DIV/0!</v>
      </c>
      <c r="W4" s="6">
        <v>15742.6893</v>
      </c>
      <c r="X4" s="6">
        <v>21.159528629032302</v>
      </c>
      <c r="Y4" s="7">
        <v>1.93477651497</v>
      </c>
      <c r="Z4" s="7">
        <v>1.10099386272691E-2</v>
      </c>
      <c r="AA4" s="8">
        <v>2.30026573809609E-4</v>
      </c>
      <c r="AB4" s="6">
        <v>1679400</v>
      </c>
      <c r="AC4" s="6">
        <v>2257.2580645161302</v>
      </c>
      <c r="AD4" s="7">
        <v>206.39825999999999</v>
      </c>
      <c r="AE4" s="7">
        <v>1.0327865456401399</v>
      </c>
      <c r="AF4" s="8">
        <v>3.48598248279035E-2</v>
      </c>
      <c r="AG4" s="6">
        <v>65810.399999999994</v>
      </c>
      <c r="AH4" s="6">
        <v>88.454838709677404</v>
      </c>
      <c r="AI4" s="7">
        <v>8.0880981599999995</v>
      </c>
      <c r="AJ4" s="7" t="e">
        <v>#DIV/0!</v>
      </c>
      <c r="AK4" s="8">
        <v>2.3312671239983901E-2</v>
      </c>
      <c r="AL4" s="6">
        <v>1890960</v>
      </c>
      <c r="AM4" s="6">
        <v>2541.61290322581</v>
      </c>
      <c r="AN4" s="7">
        <v>232.39898400000001</v>
      </c>
      <c r="AO4" s="7">
        <v>1.32247757355033</v>
      </c>
      <c r="AP4" s="8">
        <v>4.3642182118645699E-2</v>
      </c>
      <c r="AQ4" s="6">
        <v>861120</v>
      </c>
      <c r="AR4" s="6">
        <v>1157.41935483871</v>
      </c>
      <c r="AS4" s="7">
        <v>105.831648</v>
      </c>
      <c r="AT4" s="7">
        <v>0.60224007283901404</v>
      </c>
      <c r="AU4" s="8">
        <v>1.98741146645133E-2</v>
      </c>
      <c r="AV4" s="6">
        <v>2127869.6</v>
      </c>
      <c r="AW4" s="6">
        <v>2860.0397849462402</v>
      </c>
      <c r="AX4" s="7">
        <v>261.51517383999999</v>
      </c>
      <c r="AY4" s="7"/>
      <c r="AZ4" s="8"/>
      <c r="BA4" s="6">
        <v>14582700</v>
      </c>
      <c r="BB4" s="6">
        <v>19600.403225806502</v>
      </c>
      <c r="BC4" s="7">
        <v>1792.2138299999999</v>
      </c>
      <c r="BD4" s="7">
        <v>11.707005924658199</v>
      </c>
      <c r="BE4" s="8">
        <v>10.1554518410227</v>
      </c>
      <c r="BF4" s="6">
        <v>16335000</v>
      </c>
      <c r="BG4" s="6">
        <v>21955.6451612903</v>
      </c>
      <c r="BH4" s="7">
        <v>2007.5715</v>
      </c>
      <c r="BI4" s="7">
        <v>11.424181983724999</v>
      </c>
      <c r="BJ4" s="8">
        <v>10.785393095445301</v>
      </c>
      <c r="BK4" s="6">
        <v>18285300</v>
      </c>
      <c r="BL4" s="6">
        <v>0</v>
      </c>
      <c r="BM4" s="7">
        <v>2247.2633700000001</v>
      </c>
      <c r="BN4" s="7">
        <v>11.2449754811205</v>
      </c>
      <c r="BO4" s="8">
        <v>11.6955423191619</v>
      </c>
    </row>
    <row r="5" spans="1:67" ht="30" customHeight="1">
      <c r="A5" s="5" t="s">
        <v>13</v>
      </c>
      <c r="B5" s="5" t="s">
        <v>44</v>
      </c>
      <c r="C5" s="6">
        <v>452.96</v>
      </c>
      <c r="D5" s="6">
        <v>0.608817204301075</v>
      </c>
      <c r="E5" s="7">
        <v>15.445936</v>
      </c>
      <c r="F5" s="7">
        <v>0.11429122792322501</v>
      </c>
      <c r="G5" s="8">
        <v>2.4800796403339799E-3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392.16</v>
      </c>
      <c r="N5" s="6">
        <v>0.52709677419354795</v>
      </c>
      <c r="O5" s="7">
        <v>13.372655999999999</v>
      </c>
      <c r="P5" s="7">
        <v>6.6914804399387504E-2</v>
      </c>
      <c r="Q5" s="8">
        <v>1.2451262569832401E-3</v>
      </c>
      <c r="R5" s="6">
        <v>453</v>
      </c>
      <c r="S5" s="6">
        <v>0.60887096774193505</v>
      </c>
      <c r="T5" s="7">
        <v>15.4473</v>
      </c>
      <c r="U5" s="7">
        <v>1.58547675254029</v>
      </c>
      <c r="V5" s="8" t="e">
        <v>#DIV/0!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pans="1:67" ht="30" customHeight="1">
      <c r="A6" s="5" t="s">
        <v>16</v>
      </c>
      <c r="B6" s="5" t="s">
        <v>45</v>
      </c>
      <c r="C6" s="6">
        <v>783000</v>
      </c>
      <c r="D6" s="6">
        <v>1052.41935483871</v>
      </c>
      <c r="E6" s="7">
        <v>13.232699999999999</v>
      </c>
      <c r="F6" s="7">
        <v>9.7914527921108996E-2</v>
      </c>
      <c r="G6" s="8">
        <v>2.12471098265896E-3</v>
      </c>
      <c r="H6" s="6">
        <v>328000</v>
      </c>
      <c r="I6" s="6">
        <v>440.860215053763</v>
      </c>
      <c r="J6" s="7">
        <v>5.5431999999999997</v>
      </c>
      <c r="K6" s="7">
        <v>3.6209002606327E-2</v>
      </c>
      <c r="L6" s="8">
        <v>8.0633055014109898E-4</v>
      </c>
      <c r="M6" s="6">
        <v>507000</v>
      </c>
      <c r="N6" s="6">
        <v>681.45161290322596</v>
      </c>
      <c r="O6" s="7">
        <v>8.5683000000000007</v>
      </c>
      <c r="P6" s="7">
        <v>4.2874513375299003E-2</v>
      </c>
      <c r="Q6" s="8">
        <v>7.9779329608938596E-4</v>
      </c>
      <c r="R6" s="6">
        <v>30000</v>
      </c>
      <c r="S6" s="6">
        <v>40.322580645161302</v>
      </c>
      <c r="T6" s="7">
        <v>0.50700000000000001</v>
      </c>
      <c r="U6" s="7">
        <v>5.2037360156009398E-2</v>
      </c>
      <c r="V6" s="8" t="e">
        <v>#DIV/0!</v>
      </c>
      <c r="W6" s="6">
        <v>970000</v>
      </c>
      <c r="X6" s="6">
        <v>1346.77419354839</v>
      </c>
      <c r="Y6" s="7">
        <v>16.933800000000002</v>
      </c>
      <c r="Z6" s="7">
        <v>9.6362601718545507E-2</v>
      </c>
      <c r="AA6" s="8">
        <v>2.0132681813318102E-3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pans="1:67" ht="30" customHeight="1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82666.666666666701</v>
      </c>
      <c r="BB7" s="6">
        <v>111.111111111111</v>
      </c>
      <c r="BC7" s="7">
        <v>1.39706666666667</v>
      </c>
      <c r="BD7" s="7">
        <v>9.1258461853344595E-3</v>
      </c>
      <c r="BE7" s="8">
        <v>7.9163786232089393E-3</v>
      </c>
      <c r="BF7" s="6">
        <v>82666.666666666701</v>
      </c>
      <c r="BG7" s="6">
        <v>111.111111111111</v>
      </c>
      <c r="BH7" s="7">
        <v>1.39706666666667</v>
      </c>
      <c r="BI7" s="7">
        <v>7.9500749255486704E-3</v>
      </c>
      <c r="BJ7" s="8">
        <v>7.5055424828174098E-3</v>
      </c>
      <c r="BK7" s="6">
        <v>82666.666666666701</v>
      </c>
      <c r="BL7" s="6">
        <v>111.111111111111</v>
      </c>
      <c r="BM7" s="7">
        <v>1.39706666666667</v>
      </c>
      <c r="BN7" s="7">
        <v>6.9907161847956303E-3</v>
      </c>
      <c r="BO7" s="8">
        <v>7.2708221656683E-3</v>
      </c>
    </row>
    <row r="8" spans="1:67" ht="30" customHeight="1">
      <c r="A8" s="5" t="s">
        <v>46</v>
      </c>
      <c r="B8" s="5" t="s">
        <v>47</v>
      </c>
      <c r="C8" s="6">
        <v>457159</v>
      </c>
      <c r="D8" s="6">
        <v>614.46102150537604</v>
      </c>
      <c r="E8" s="7">
        <v>21.715052499999999</v>
      </c>
      <c r="F8" s="7">
        <v>0.160679159530526</v>
      </c>
      <c r="G8" s="8">
        <v>3.48668151894669E-3</v>
      </c>
      <c r="H8" s="6"/>
      <c r="I8" s="6"/>
      <c r="J8" s="7"/>
      <c r="K8" s="7"/>
      <c r="L8" s="8"/>
      <c r="M8" s="6">
        <v>384652</v>
      </c>
      <c r="N8" s="6">
        <v>517.00537634408602</v>
      </c>
      <c r="O8" s="7">
        <v>18.270969999999998</v>
      </c>
      <c r="P8" s="7">
        <v>9.1425247440529198E-2</v>
      </c>
      <c r="Q8" s="8">
        <v>1.70120763500931E-3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>
        <v>0</v>
      </c>
      <c r="BB8" s="6">
        <v>0</v>
      </c>
      <c r="BC8" s="7">
        <v>0</v>
      </c>
      <c r="BD8" s="7">
        <v>0</v>
      </c>
      <c r="BE8" s="8">
        <v>0</v>
      </c>
      <c r="BF8" s="6">
        <v>0</v>
      </c>
      <c r="BG8" s="6">
        <v>0</v>
      </c>
      <c r="BH8" s="7">
        <v>0</v>
      </c>
      <c r="BI8" s="7">
        <v>0</v>
      </c>
      <c r="BJ8" s="8">
        <v>0</v>
      </c>
      <c r="BK8" s="6">
        <v>0</v>
      </c>
      <c r="BL8" s="6">
        <v>0</v>
      </c>
      <c r="BM8" s="7">
        <v>0</v>
      </c>
      <c r="BN8" s="7">
        <v>0</v>
      </c>
      <c r="BO8" s="8">
        <v>0</v>
      </c>
    </row>
    <row r="9" spans="1:67" ht="30" customHeight="1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539</v>
      </c>
      <c r="S9" s="6">
        <v>0</v>
      </c>
      <c r="T9" s="7">
        <v>2.56025E-2</v>
      </c>
      <c r="U9" s="7">
        <v>2.6277840500872401E-3</v>
      </c>
      <c r="V9" s="8" t="e">
        <v>#DIV/0!</v>
      </c>
      <c r="W9" s="5">
        <v>346940</v>
      </c>
      <c r="X9" s="6">
        <v>0</v>
      </c>
      <c r="Y9" s="7">
        <v>16.479649999999999</v>
      </c>
      <c r="Z9" s="7">
        <v>9.3778239344448899E-2</v>
      </c>
      <c r="AA9" s="8">
        <v>1.9592740545231902E-3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5"/>
      <c r="BB9" s="6"/>
      <c r="BC9" s="7"/>
      <c r="BD9" s="9"/>
      <c r="BE9" s="9"/>
      <c r="BF9" s="5"/>
      <c r="BG9" s="6"/>
      <c r="BH9" s="7"/>
      <c r="BI9" s="9"/>
      <c r="BJ9" s="9"/>
      <c r="BK9" s="5"/>
      <c r="BL9" s="6"/>
      <c r="BM9" s="7"/>
      <c r="BN9" s="9"/>
      <c r="BO9" s="9"/>
    </row>
    <row r="10" spans="1:67" ht="30" customHeight="1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36000</v>
      </c>
      <c r="AR10" s="6">
        <v>48.387096774193601</v>
      </c>
      <c r="AS10" s="7">
        <v>1.71</v>
      </c>
      <c r="AT10" s="7">
        <v>0.175510623011393</v>
      </c>
      <c r="AU10" s="8">
        <v>5.78777939151146E-4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pans="1:67" ht="30" customHeight="1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38903</v>
      </c>
      <c r="AH11" s="6">
        <v>52.288978494623699</v>
      </c>
      <c r="AI11" s="7">
        <v>1.6105841999999999</v>
      </c>
      <c r="AJ11" s="7" t="e">
        <v>#DIV/0!</v>
      </c>
      <c r="AK11" s="8">
        <v>4.6422557214503904E-3</v>
      </c>
      <c r="AL11" s="5">
        <v>3457</v>
      </c>
      <c r="AM11" s="6">
        <v>4.6465053763440904</v>
      </c>
      <c r="AN11" s="7">
        <v>0.14311979999999999</v>
      </c>
      <c r="AO11" s="7">
        <v>8.1443009161782302E-4</v>
      </c>
      <c r="AP11" s="8">
        <v>2.6876453024356301E-5</v>
      </c>
      <c r="AQ11" s="5"/>
      <c r="AR11" s="6"/>
      <c r="AS11" s="7"/>
      <c r="AT11" s="9"/>
      <c r="AU11" s="9"/>
      <c r="AV11" s="5">
        <v>193623</v>
      </c>
      <c r="AW11" s="6">
        <v>260.24596774193498</v>
      </c>
      <c r="AX11" s="7">
        <v>8.0159921999999995</v>
      </c>
      <c r="AY11" s="7">
        <v>5.2361647146431198E-2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pans="1:67" ht="30" customHeight="1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121</v>
      </c>
      <c r="AC12" s="6">
        <v>0.162634408602151</v>
      </c>
      <c r="AD12" s="7">
        <v>5.0093999999999998E-3</v>
      </c>
      <c r="AE12" s="9">
        <v>2.5066301051809899E-5</v>
      </c>
      <c r="AF12" s="9">
        <v>8.4606724152083304E-7</v>
      </c>
      <c r="AG12" s="5"/>
      <c r="AH12" s="6"/>
      <c r="AI12" s="7"/>
      <c r="AJ12" s="9"/>
      <c r="AK12" s="9"/>
      <c r="AL12" s="5">
        <v>894</v>
      </c>
      <c r="AM12" s="6">
        <v>1.20161290322581</v>
      </c>
      <c r="AN12" s="7">
        <v>3.7011599999999999E-2</v>
      </c>
      <c r="AO12" s="7">
        <v>2.10616286348375E-4</v>
      </c>
      <c r="AP12" s="8">
        <v>2.10616286348375E-4</v>
      </c>
      <c r="AQ12" s="5"/>
      <c r="AR12" s="6"/>
      <c r="AS12" s="7"/>
      <c r="AT12" s="9"/>
      <c r="AU12" s="9"/>
      <c r="AV12" s="5">
        <v>964</v>
      </c>
      <c r="AW12" s="6">
        <v>1.2956989247311801</v>
      </c>
      <c r="AX12" s="7">
        <v>3.9909600000000003E-2</v>
      </c>
      <c r="AY12" s="7">
        <v>2.6069541247248301E-4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pans="1:67" ht="30" customHeight="1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pans="1:67" ht="30" customHeight="1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pans="1:67" ht="30" customHeight="1">
      <c r="A15" s="10" t="s">
        <v>52</v>
      </c>
      <c r="B15" s="5" t="s">
        <v>43</v>
      </c>
      <c r="C15" s="5">
        <v>6228000</v>
      </c>
      <c r="D15" s="6">
        <v>8370.9677419354794</v>
      </c>
      <c r="E15" s="7"/>
      <c r="F15" s="5"/>
      <c r="G15" s="5"/>
      <c r="H15" s="5">
        <v>6874600</v>
      </c>
      <c r="I15" s="6">
        <v>9240.0537634408593</v>
      </c>
      <c r="J15" s="7"/>
      <c r="K15" s="5"/>
      <c r="L15" s="5"/>
      <c r="M15" s="5">
        <v>10740000</v>
      </c>
      <c r="N15" s="6">
        <v>14435.483870967701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8411100</v>
      </c>
      <c r="X15" s="6">
        <v>11305.2419354839</v>
      </c>
      <c r="Y15" s="7"/>
      <c r="Z15" s="5"/>
      <c r="AA15" s="5"/>
      <c r="AB15" s="5">
        <v>5920806</v>
      </c>
      <c r="AC15" s="15" t="s">
        <v>53</v>
      </c>
      <c r="AD15" s="7"/>
      <c r="AE15" s="5"/>
      <c r="AF15" s="5"/>
      <c r="AG15" s="5">
        <v>346940</v>
      </c>
      <c r="AH15" s="15" t="s">
        <v>53</v>
      </c>
      <c r="AI15" s="7"/>
      <c r="AJ15" s="5"/>
      <c r="AK15" s="5"/>
      <c r="AL15" s="5">
        <v>5325100</v>
      </c>
      <c r="AM15" s="15" t="s">
        <v>53</v>
      </c>
      <c r="AN15" s="7"/>
      <c r="AO15" s="5"/>
      <c r="AP15" s="5"/>
      <c r="AQ15" s="5">
        <v>2954501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176478</v>
      </c>
      <c r="BB15" s="15" t="s">
        <v>54</v>
      </c>
      <c r="BC15" s="7"/>
      <c r="BD15" s="5"/>
      <c r="BE15" s="5"/>
      <c r="BF15" s="5">
        <v>186138</v>
      </c>
      <c r="BG15" s="15" t="s">
        <v>54</v>
      </c>
      <c r="BH15" s="7"/>
      <c r="BI15" s="5"/>
      <c r="BJ15" s="5"/>
      <c r="BK15" s="5">
        <v>192147</v>
      </c>
      <c r="BL15" s="15" t="s">
        <v>54</v>
      </c>
      <c r="BM15" s="7"/>
      <c r="BN15" s="5"/>
      <c r="BO15" s="5"/>
    </row>
    <row r="16" spans="1:67" ht="30" customHeight="1">
      <c r="A16" s="5" t="s">
        <v>55</v>
      </c>
      <c r="B16" s="5" t="s">
        <v>47</v>
      </c>
      <c r="C16" s="5">
        <v>135145.42000000001</v>
      </c>
      <c r="D16" s="5"/>
      <c r="E16" s="7"/>
      <c r="F16" s="5"/>
      <c r="G16" s="5"/>
      <c r="H16" s="5">
        <v>153089</v>
      </c>
      <c r="I16" s="5"/>
      <c r="J16" s="7"/>
      <c r="K16" s="5"/>
      <c r="L16" s="5"/>
      <c r="M16" s="5">
        <v>199846</v>
      </c>
      <c r="N16" s="5"/>
      <c r="O16" s="7"/>
      <c r="P16" s="5"/>
      <c r="Q16" s="5"/>
      <c r="R16" s="5">
        <v>9743</v>
      </c>
      <c r="S16" s="5"/>
      <c r="T16" s="7"/>
      <c r="U16" s="5"/>
      <c r="V16" s="5"/>
      <c r="W16" s="5">
        <v>175730</v>
      </c>
      <c r="X16" s="5"/>
      <c r="Y16" s="7"/>
      <c r="Z16" s="5"/>
      <c r="AA16" s="5"/>
      <c r="AB16" s="5">
        <v>199846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175730</v>
      </c>
      <c r="AM16" s="5"/>
      <c r="AN16" s="7"/>
      <c r="AO16" s="5"/>
      <c r="AP16" s="5"/>
      <c r="AQ16" s="5">
        <v>9743</v>
      </c>
      <c r="AR16" s="5"/>
      <c r="AS16" s="7"/>
      <c r="AT16" s="5"/>
      <c r="AU16" s="5"/>
      <c r="AV16" s="5">
        <v>153089</v>
      </c>
      <c r="AW16" s="5"/>
      <c r="AX16" s="7"/>
      <c r="AY16" s="5"/>
      <c r="AZ16" s="5"/>
      <c r="BA16" s="5">
        <v>153089</v>
      </c>
      <c r="BB16" s="5"/>
      <c r="BC16" s="7"/>
      <c r="BD16" s="5"/>
      <c r="BE16" s="5"/>
      <c r="BF16" s="5">
        <v>175730</v>
      </c>
      <c r="BG16" s="5"/>
      <c r="BH16" s="7"/>
      <c r="BI16" s="5"/>
      <c r="BJ16" s="5"/>
      <c r="BK16" s="5">
        <v>199846</v>
      </c>
      <c r="BL16" s="5"/>
      <c r="BM16" s="7"/>
      <c r="BN16" s="5"/>
      <c r="BO16" s="5"/>
    </row>
    <row r="17" spans="3:3" ht="30" customHeight="1"/>
    <row r="18" spans="3:3" ht="30" customHeight="1"/>
    <row r="19" spans="3:3" ht="30" customHeight="1"/>
    <row r="20" spans="3:3">
      <c r="C20" s="2">
        <f t="shared" ref="C20:C32" si="0">C4+H4+M4+R4+W4+AB4+AG4+AL4+AQ4+AV4+BA4+BF4+BK4</f>
        <v>55864420.000004999</v>
      </c>
    </row>
    <row r="21" spans="3:3">
      <c r="C21" s="17">
        <f t="shared" si="0"/>
        <v>1298.1199999999999</v>
      </c>
    </row>
    <row r="22" spans="3:3">
      <c r="C22" s="2">
        <f t="shared" si="0"/>
        <v>2618000</v>
      </c>
    </row>
    <row r="23" spans="3:3">
      <c r="C23" s="2">
        <f t="shared" si="0"/>
        <v>248000</v>
      </c>
    </row>
    <row r="24" spans="3:3">
      <c r="C24" s="2">
        <f t="shared" si="0"/>
        <v>841811</v>
      </c>
    </row>
    <row r="25" spans="3:3">
      <c r="C25" s="2">
        <f t="shared" si="0"/>
        <v>347479</v>
      </c>
    </row>
    <row r="26" spans="3:3">
      <c r="C26" s="2">
        <f t="shared" si="0"/>
        <v>36000</v>
      </c>
    </row>
    <row r="27" spans="3:3">
      <c r="C27" s="2">
        <f t="shared" si="0"/>
        <v>235983</v>
      </c>
    </row>
    <row r="28" spans="3:3">
      <c r="C28" s="2">
        <f t="shared" si="0"/>
        <v>1979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47355810</v>
      </c>
    </row>
    <row r="32" spans="3:3">
      <c r="C32" s="2">
        <f t="shared" si="0"/>
        <v>1740626.42</v>
      </c>
    </row>
  </sheetData>
  <mergeCells count="15">
    <mergeCell ref="BA2:BD2"/>
    <mergeCell ref="BF2:BI2"/>
    <mergeCell ref="BK2:BN2"/>
    <mergeCell ref="A2:A3"/>
    <mergeCell ref="B2:B3"/>
    <mergeCell ref="AB2:AE2"/>
    <mergeCell ref="AG2:AJ2"/>
    <mergeCell ref="AL2:AO2"/>
    <mergeCell ref="AQ2:AT2"/>
    <mergeCell ref="AV2:AY2"/>
    <mergeCell ref="C2:F2"/>
    <mergeCell ref="H2:K2"/>
    <mergeCell ref="M2:P2"/>
    <mergeCell ref="R2:U2"/>
    <mergeCell ref="W2:Z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5" style="2" customWidth="1"/>
    <col min="2" max="2" width="7.5" style="2" customWidth="1"/>
    <col min="3" max="5" width="9.625" style="2" customWidth="1"/>
    <col min="6" max="7" width="12.375" style="2" customWidth="1"/>
    <col min="8" max="10" width="9.625" style="2" customWidth="1"/>
    <col min="11" max="12" width="12.375" style="2" customWidth="1"/>
    <col min="13" max="15" width="9.625" style="2" customWidth="1"/>
    <col min="16" max="17" width="12.375" style="2" customWidth="1"/>
    <col min="18" max="20" width="9.625" style="2" customWidth="1"/>
    <col min="21" max="22" width="12.375" style="2" customWidth="1"/>
    <col min="23" max="25" width="9.625" style="2" customWidth="1"/>
    <col min="26" max="27" width="12.375" style="2" customWidth="1"/>
    <col min="28" max="30" width="9.625" style="2" customWidth="1"/>
    <col min="31" max="32" width="12.375" style="2" customWidth="1"/>
    <col min="33" max="35" width="9.625" style="2" customWidth="1"/>
    <col min="36" max="37" width="12.375" style="2" customWidth="1"/>
    <col min="38" max="40" width="9.625" style="2" customWidth="1"/>
    <col min="41" max="42" width="12.375" style="2" customWidth="1"/>
    <col min="43" max="45" width="9.625" style="2" customWidth="1"/>
    <col min="46" max="47" width="12.375" style="2" customWidth="1"/>
    <col min="48" max="50" width="9.625" style="2" customWidth="1"/>
    <col min="51" max="52" width="12.375" style="2" customWidth="1"/>
    <col min="53" max="55" width="9.625" style="2" customWidth="1"/>
    <col min="56" max="57" width="12.375" style="2" customWidth="1"/>
    <col min="58" max="60" width="9.625" style="2" customWidth="1"/>
    <col min="61" max="62" width="12.375" style="2" customWidth="1"/>
    <col min="63" max="65" width="9.625" style="2" customWidth="1"/>
    <col min="66" max="67" width="12.375" style="2" customWidth="1"/>
    <col min="68" max="16384" width="9" style="1"/>
  </cols>
  <sheetData>
    <row r="1" spans="1:67">
      <c r="A1" s="2" t="s">
        <v>56</v>
      </c>
      <c r="B1" s="2">
        <v>31</v>
      </c>
    </row>
    <row r="2" spans="1:67">
      <c r="A2" s="27" t="s">
        <v>20</v>
      </c>
      <c r="B2" s="27" t="s">
        <v>21</v>
      </c>
      <c r="C2" s="27" t="s">
        <v>22</v>
      </c>
      <c r="D2" s="27"/>
      <c r="E2" s="27"/>
      <c r="F2" s="27"/>
      <c r="G2" s="3"/>
      <c r="H2" s="27" t="s">
        <v>23</v>
      </c>
      <c r="I2" s="27"/>
      <c r="J2" s="27"/>
      <c r="K2" s="27"/>
      <c r="L2" s="3"/>
      <c r="M2" s="27" t="s">
        <v>24</v>
      </c>
      <c r="N2" s="27"/>
      <c r="O2" s="27"/>
      <c r="P2" s="27"/>
      <c r="Q2" s="3"/>
      <c r="R2" s="27" t="s">
        <v>25</v>
      </c>
      <c r="S2" s="27"/>
      <c r="T2" s="27"/>
      <c r="U2" s="27"/>
      <c r="V2" s="3"/>
      <c r="W2" s="27" t="s">
        <v>26</v>
      </c>
      <c r="X2" s="27"/>
      <c r="Y2" s="27"/>
      <c r="Z2" s="27"/>
      <c r="AA2" s="3"/>
      <c r="AB2" s="27" t="s">
        <v>27</v>
      </c>
      <c r="AC2" s="27"/>
      <c r="AD2" s="27"/>
      <c r="AE2" s="27"/>
      <c r="AF2" s="3"/>
      <c r="AG2" s="27" t="s">
        <v>28</v>
      </c>
      <c r="AH2" s="27"/>
      <c r="AI2" s="27"/>
      <c r="AJ2" s="27"/>
      <c r="AK2" s="3"/>
      <c r="AL2" s="27" t="s">
        <v>29</v>
      </c>
      <c r="AM2" s="27"/>
      <c r="AN2" s="27"/>
      <c r="AO2" s="27"/>
      <c r="AP2" s="3"/>
      <c r="AQ2" s="27" t="s">
        <v>30</v>
      </c>
      <c r="AR2" s="27"/>
      <c r="AS2" s="27"/>
      <c r="AT2" s="27"/>
      <c r="AU2" s="3"/>
      <c r="AV2" s="27" t="s">
        <v>31</v>
      </c>
      <c r="AW2" s="27"/>
      <c r="AX2" s="27"/>
      <c r="AY2" s="27"/>
      <c r="AZ2" s="3"/>
      <c r="BA2" s="27" t="s">
        <v>32</v>
      </c>
      <c r="BB2" s="27"/>
      <c r="BC2" s="27"/>
      <c r="BD2" s="27"/>
      <c r="BE2" s="3"/>
      <c r="BF2" s="27" t="s">
        <v>33</v>
      </c>
      <c r="BG2" s="27"/>
      <c r="BH2" s="27"/>
      <c r="BI2" s="27"/>
      <c r="BJ2" s="3"/>
      <c r="BK2" s="27" t="s">
        <v>34</v>
      </c>
      <c r="BL2" s="27"/>
      <c r="BM2" s="27"/>
      <c r="BN2" s="27"/>
      <c r="BO2" s="3"/>
    </row>
    <row r="3" spans="1:67" ht="30" customHeight="1">
      <c r="A3" s="27"/>
      <c r="B3" s="27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pans="1:67" ht="30" customHeight="1">
      <c r="A4" s="5" t="s">
        <v>42</v>
      </c>
      <c r="B4" s="5" t="s">
        <v>43</v>
      </c>
      <c r="C4" s="6">
        <v>12283.893514924799</v>
      </c>
      <c r="D4" s="6">
        <v>16.510609563071</v>
      </c>
      <c r="E4" s="7">
        <v>1.5096905129842599</v>
      </c>
      <c r="F4" s="7">
        <v>1.1527875903046899E-2</v>
      </c>
      <c r="G4" s="8">
        <v>2.6966945554619402E-4</v>
      </c>
      <c r="H4" s="6">
        <v>11368.109166607899</v>
      </c>
      <c r="I4" s="6">
        <v>15.2797166217848</v>
      </c>
      <c r="J4" s="7">
        <v>1.39714061657611</v>
      </c>
      <c r="K4" s="7">
        <v>3.0586059602357999E-2</v>
      </c>
      <c r="L4" s="8">
        <v>3.7889586607802502E-4</v>
      </c>
      <c r="M4" s="6">
        <v>5039.6937407381301</v>
      </c>
      <c r="N4" s="6">
        <v>6.77378190959426</v>
      </c>
      <c r="O4" s="7">
        <v>0.61937836073671604</v>
      </c>
      <c r="P4" s="13">
        <v>3.20037596036188E-3</v>
      </c>
      <c r="Q4" s="14">
        <v>5.7140333659610702E-5</v>
      </c>
      <c r="R4" s="6">
        <v>17492.0570178534</v>
      </c>
      <c r="S4" s="6">
        <v>23.5108293250718</v>
      </c>
      <c r="T4" s="7">
        <v>2.1497738074941801</v>
      </c>
      <c r="U4" s="7">
        <v>1.7625286399998202E-2</v>
      </c>
      <c r="V4" s="8">
        <v>4.4929230218487397E-4</v>
      </c>
      <c r="W4" s="6">
        <v>35436.246559875799</v>
      </c>
      <c r="X4" s="6">
        <v>47.629363655746999</v>
      </c>
      <c r="Y4" s="7">
        <v>4.3551147022087404</v>
      </c>
      <c r="Z4" s="7">
        <v>2.35120564393736E-2</v>
      </c>
      <c r="AA4" s="8">
        <v>4.94012421131234E-4</v>
      </c>
      <c r="AB4" s="6">
        <v>1723800</v>
      </c>
      <c r="AC4" s="6">
        <v>2316.9354838709701</v>
      </c>
      <c r="AD4" s="7">
        <v>211.85502</v>
      </c>
      <c r="AE4" s="7">
        <v>1.09467129636806</v>
      </c>
      <c r="AF4" s="8">
        <v>3.4348995358253101E-2</v>
      </c>
      <c r="AG4" s="6">
        <v>79460</v>
      </c>
      <c r="AH4" s="6">
        <v>106.801075268817</v>
      </c>
      <c r="AI4" s="7">
        <v>9.7656340000000004</v>
      </c>
      <c r="AJ4" s="7" t="e">
        <v>#DIV/0!</v>
      </c>
      <c r="AK4" s="8">
        <v>2.70902645047644E-2</v>
      </c>
      <c r="AL4" s="6">
        <v>2066800</v>
      </c>
      <c r="AM4" s="6">
        <v>2777.95698924731</v>
      </c>
      <c r="AN4" s="7">
        <v>254.00971999999999</v>
      </c>
      <c r="AO4" s="7">
        <v>1.3713280317876799</v>
      </c>
      <c r="AP4" s="8">
        <v>4.5298130542789902E-2</v>
      </c>
      <c r="AQ4" s="6">
        <v>2209440</v>
      </c>
      <c r="AR4" s="6">
        <v>2969.6774193548399</v>
      </c>
      <c r="AS4" s="7">
        <v>271.54017599999997</v>
      </c>
      <c r="AT4" s="7">
        <v>1.4659701018739</v>
      </c>
      <c r="AU4" s="8">
        <v>4.8424376594959302E-2</v>
      </c>
      <c r="AV4" s="6">
        <v>1465800</v>
      </c>
      <c r="AW4" s="6">
        <v>1970.16129032258</v>
      </c>
      <c r="AX4" s="7">
        <v>180.14681999999999</v>
      </c>
      <c r="AY4" s="7"/>
      <c r="AZ4" s="8"/>
      <c r="BA4" s="6">
        <v>8286300</v>
      </c>
      <c r="BB4" s="6">
        <v>11137.5</v>
      </c>
      <c r="BC4" s="7">
        <v>1018.38627</v>
      </c>
      <c r="BD4" s="7">
        <v>22.294408152542701</v>
      </c>
      <c r="BE4" s="8">
        <v>11.0262697055002</v>
      </c>
      <c r="BF4" s="6">
        <v>17212800</v>
      </c>
      <c r="BG4" s="6">
        <v>23135.483870967699</v>
      </c>
      <c r="BH4" s="7">
        <v>2115.4531200000001</v>
      </c>
      <c r="BI4" s="7">
        <v>11.420744699804001</v>
      </c>
      <c r="BJ4" s="8">
        <v>11.4996527468226</v>
      </c>
      <c r="BK4" s="6">
        <v>18486600</v>
      </c>
      <c r="BL4" s="6">
        <v>0</v>
      </c>
      <c r="BM4" s="7">
        <v>2272.0031399999998</v>
      </c>
      <c r="BN4" s="7">
        <v>11.7396161894871</v>
      </c>
      <c r="BO4" s="8">
        <v>11.705925807614999</v>
      </c>
    </row>
    <row r="5" spans="1:67" ht="30" customHeight="1">
      <c r="A5" s="5" t="s">
        <v>13</v>
      </c>
      <c r="B5" s="5" t="s">
        <v>44</v>
      </c>
      <c r="C5" s="6">
        <v>292.53919999999999</v>
      </c>
      <c r="D5" s="6">
        <v>0.39319784946236602</v>
      </c>
      <c r="E5" s="7">
        <v>9.9755867200000008</v>
      </c>
      <c r="F5" s="7">
        <v>7.6172781625899605E-2</v>
      </c>
      <c r="G5" s="8">
        <v>1.78189570405302E-3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333.21440000000001</v>
      </c>
      <c r="N5" s="6">
        <v>0.447868817204301</v>
      </c>
      <c r="O5" s="7">
        <v>11.362611040000001</v>
      </c>
      <c r="P5" s="7">
        <v>5.8711491270222599E-2</v>
      </c>
      <c r="Q5" s="8">
        <v>1.0482500313664701E-3</v>
      </c>
      <c r="R5" s="6">
        <v>0</v>
      </c>
      <c r="S5" s="6">
        <v>0</v>
      </c>
      <c r="T5" s="7">
        <v>0</v>
      </c>
      <c r="U5" s="7">
        <v>0</v>
      </c>
      <c r="V5" s="8">
        <v>0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pans="1:67" ht="30" customHeight="1">
      <c r="A6" s="5" t="s">
        <v>16</v>
      </c>
      <c r="B6" s="5" t="s">
        <v>45</v>
      </c>
      <c r="C6" s="6">
        <v>831000</v>
      </c>
      <c r="D6" s="6">
        <v>1116.9354838709701</v>
      </c>
      <c r="E6" s="7">
        <v>14.043900000000001</v>
      </c>
      <c r="F6" s="7">
        <v>0.10723809615440601</v>
      </c>
      <c r="G6" s="8">
        <v>2.50860082525052E-3</v>
      </c>
      <c r="H6" s="6">
        <v>233000</v>
      </c>
      <c r="I6" s="6">
        <v>313.17204301075299</v>
      </c>
      <c r="J6" s="7">
        <v>3.9377</v>
      </c>
      <c r="K6" s="7">
        <v>8.6203726001006994E-2</v>
      </c>
      <c r="L6" s="8">
        <v>1.06787980691002E-3</v>
      </c>
      <c r="M6" s="6">
        <v>514000</v>
      </c>
      <c r="N6" s="6">
        <v>690.860215053763</v>
      </c>
      <c r="O6" s="7">
        <v>8.6866000000000003</v>
      </c>
      <c r="P6" s="7">
        <v>4.4884334971296902E-2</v>
      </c>
      <c r="Q6" s="8">
        <v>8.0137643455478096E-4</v>
      </c>
      <c r="R6" s="6">
        <v>101000</v>
      </c>
      <c r="S6" s="6">
        <v>135.75268817204301</v>
      </c>
      <c r="T6" s="7">
        <v>1.7069000000000001</v>
      </c>
      <c r="U6" s="7">
        <v>1.3994310122898101E-2</v>
      </c>
      <c r="V6" s="8">
        <v>3.5673382377528798E-4</v>
      </c>
      <c r="W6" s="6">
        <v>1017000</v>
      </c>
      <c r="X6" s="6">
        <v>1366.9354838709701</v>
      </c>
      <c r="Y6" s="7">
        <v>17.1873</v>
      </c>
      <c r="Z6" s="7">
        <v>9.2789466012341504E-2</v>
      </c>
      <c r="AA6" s="8">
        <v>1.94960185122167E-3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pans="1:67" ht="30" customHeight="1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85333.333333333299</v>
      </c>
      <c r="BB7" s="6">
        <v>114.695340501792</v>
      </c>
      <c r="BC7" s="7">
        <v>1.4421333333333299</v>
      </c>
      <c r="BD7" s="7">
        <v>3.1571035559739301E-2</v>
      </c>
      <c r="BE7" s="8">
        <v>1.56142630287282E-2</v>
      </c>
      <c r="BF7" s="6">
        <v>85333.333333333299</v>
      </c>
      <c r="BG7" s="6">
        <v>114.695340501792</v>
      </c>
      <c r="BH7" s="7">
        <v>1.4421333333333299</v>
      </c>
      <c r="BI7" s="7">
        <v>7.7856779086068204E-3</v>
      </c>
      <c r="BJ7" s="8">
        <v>7.8394706037972408E-3</v>
      </c>
      <c r="BK7" s="6">
        <v>85333.333333333299</v>
      </c>
      <c r="BL7" s="6">
        <v>114.695340501792</v>
      </c>
      <c r="BM7" s="7">
        <v>1.4421333333333299</v>
      </c>
      <c r="BN7" s="7">
        <v>7.4516146255849403E-3</v>
      </c>
      <c r="BO7" s="8">
        <v>7.4302299620450998E-3</v>
      </c>
    </row>
    <row r="8" spans="1:67" ht="30" customHeight="1">
      <c r="A8" s="5" t="s">
        <v>46</v>
      </c>
      <c r="B8" s="5" t="s">
        <v>47</v>
      </c>
      <c r="C8" s="6">
        <v>459910</v>
      </c>
      <c r="D8" s="6">
        <v>618.15860215053794</v>
      </c>
      <c r="E8" s="7">
        <v>21.845725000000002</v>
      </c>
      <c r="F8" s="7">
        <v>0.16681220730087101</v>
      </c>
      <c r="G8" s="8">
        <v>3.90220691995784E-3</v>
      </c>
      <c r="H8" s="6"/>
      <c r="I8" s="6"/>
      <c r="J8" s="7"/>
      <c r="K8" s="7"/>
      <c r="L8" s="8"/>
      <c r="M8" s="6">
        <v>392217</v>
      </c>
      <c r="N8" s="6">
        <v>527.17338709677404</v>
      </c>
      <c r="O8" s="7">
        <v>18.630307500000001</v>
      </c>
      <c r="P8" s="7">
        <v>9.6264241757219704E-2</v>
      </c>
      <c r="Q8" s="8">
        <v>1.7187264751466801E-3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pans="1:67" ht="30" customHeight="1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371728</v>
      </c>
      <c r="S9" s="6">
        <v>0</v>
      </c>
      <c r="T9" s="7">
        <v>17.657080000000001</v>
      </c>
      <c r="U9" s="7">
        <v>0.14476457518590499</v>
      </c>
      <c r="V9" s="8">
        <v>3.6902441063367299E-3</v>
      </c>
      <c r="W9" s="5">
        <v>360485</v>
      </c>
      <c r="X9" s="6">
        <v>0</v>
      </c>
      <c r="Y9" s="7">
        <v>17.123037499999999</v>
      </c>
      <c r="Z9" s="7">
        <v>9.2442530597260694E-2</v>
      </c>
      <c r="AA9" s="8">
        <v>1.94231238231357E-3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pans="1:67" ht="30" customHeight="1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104160</v>
      </c>
      <c r="AR10" s="6">
        <v>140</v>
      </c>
      <c r="AS10" s="7">
        <v>4.9476000000000004</v>
      </c>
      <c r="AT10" s="7">
        <v>4.0563740561281002E-2</v>
      </c>
      <c r="AU10" s="8">
        <v>7.9367269166627605E-4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pans="1:67" ht="30" customHeight="1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47217</v>
      </c>
      <c r="AH11" s="6">
        <v>63.463709677419402</v>
      </c>
      <c r="AI11" s="7">
        <v>1.9547838</v>
      </c>
      <c r="AJ11" s="7" t="e">
        <v>#DIV/0!</v>
      </c>
      <c r="AK11" s="8">
        <v>5.4226494861089897E-3</v>
      </c>
      <c r="AL11" s="5">
        <v>1227</v>
      </c>
      <c r="AM11" s="6">
        <v>1.6491935483871001</v>
      </c>
      <c r="AN11" s="7">
        <v>5.0797799999999997E-2</v>
      </c>
      <c r="AO11" s="7">
        <v>2.7424323405082399E-4</v>
      </c>
      <c r="AP11" s="8">
        <v>9.0588870996217608E-6</v>
      </c>
      <c r="AQ11" s="5"/>
      <c r="AR11" s="6"/>
      <c r="AS11" s="7"/>
      <c r="AT11" s="9"/>
      <c r="AU11" s="9"/>
      <c r="AV11" s="5">
        <v>113875</v>
      </c>
      <c r="AW11" s="6">
        <v>153.05779569892499</v>
      </c>
      <c r="AX11" s="7">
        <v>4.7144250000000003</v>
      </c>
      <c r="AY11" s="7">
        <v>0.10320771032640801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pans="1:67" ht="30" customHeight="1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50</v>
      </c>
      <c r="AC12" s="6">
        <v>6.7204301075268799E-2</v>
      </c>
      <c r="AD12" s="7">
        <v>2.0699999999999998E-3</v>
      </c>
      <c r="AE12" s="9">
        <v>1.06958503201004E-5</v>
      </c>
      <c r="AF12" s="9">
        <v>3.3561829401816302E-7</v>
      </c>
      <c r="AG12" s="5"/>
      <c r="AH12" s="6"/>
      <c r="AI12" s="7"/>
      <c r="AJ12" s="9"/>
      <c r="AK12" s="9"/>
      <c r="AL12" s="5">
        <v>501</v>
      </c>
      <c r="AM12" s="6">
        <v>0.67338709677419395</v>
      </c>
      <c r="AN12" s="7">
        <v>2.07414E-2</v>
      </c>
      <c r="AO12" s="7">
        <v>1.11977066226131E-4</v>
      </c>
      <c r="AP12" s="8">
        <v>1.11977066226131E-4</v>
      </c>
      <c r="AQ12" s="5"/>
      <c r="AR12" s="6"/>
      <c r="AS12" s="7"/>
      <c r="AT12" s="9"/>
      <c r="AU12" s="9"/>
      <c r="AV12" s="5">
        <v>4980</v>
      </c>
      <c r="AW12" s="6">
        <v>6.6935483870967696</v>
      </c>
      <c r="AX12" s="7">
        <v>0.20617199999999999</v>
      </c>
      <c r="AY12" s="7">
        <v>4.5134963549990099E-3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pans="1:67" ht="30" customHeight="1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pans="1:67" ht="30" customHeight="1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pans="1:67" ht="30" customHeight="1">
      <c r="A15" s="10" t="s">
        <v>52</v>
      </c>
      <c r="B15" s="5" t="s">
        <v>43</v>
      </c>
      <c r="C15" s="5">
        <v>5598300</v>
      </c>
      <c r="D15" s="6">
        <v>7524.5967741935501</v>
      </c>
      <c r="E15" s="7"/>
      <c r="F15" s="5"/>
      <c r="G15" s="5"/>
      <c r="H15" s="5">
        <v>3687400</v>
      </c>
      <c r="I15" s="6">
        <v>4956.18279569892</v>
      </c>
      <c r="J15" s="7"/>
      <c r="K15" s="5"/>
      <c r="L15" s="5"/>
      <c r="M15" s="5">
        <v>10839600</v>
      </c>
      <c r="N15" s="6">
        <v>14569.3548387097</v>
      </c>
      <c r="O15" s="7"/>
      <c r="P15" s="5"/>
      <c r="Q15" s="5"/>
      <c r="R15" s="5">
        <v>4784800</v>
      </c>
      <c r="S15" s="6">
        <v>6431.18279569892</v>
      </c>
      <c r="T15" s="7"/>
      <c r="U15" s="5"/>
      <c r="V15" s="5"/>
      <c r="W15" s="5">
        <v>8815800</v>
      </c>
      <c r="X15" s="6">
        <v>11849.1935483871</v>
      </c>
      <c r="Y15" s="7"/>
      <c r="Z15" s="5"/>
      <c r="AA15" s="5"/>
      <c r="AB15" s="5">
        <v>6167721</v>
      </c>
      <c r="AC15" s="15" t="s">
        <v>53</v>
      </c>
      <c r="AD15" s="7"/>
      <c r="AE15" s="5"/>
      <c r="AF15" s="5"/>
      <c r="AG15" s="5">
        <v>360485</v>
      </c>
      <c r="AH15" s="15" t="s">
        <v>53</v>
      </c>
      <c r="AI15" s="7"/>
      <c r="AJ15" s="5"/>
      <c r="AK15" s="5"/>
      <c r="AL15" s="5">
        <v>5607510</v>
      </c>
      <c r="AM15" s="15" t="s">
        <v>53</v>
      </c>
      <c r="AN15" s="7"/>
      <c r="AO15" s="5"/>
      <c r="AP15" s="5"/>
      <c r="AQ15" s="5">
        <v>6233804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92360</v>
      </c>
      <c r="BB15" s="15" t="s">
        <v>54</v>
      </c>
      <c r="BC15" s="7"/>
      <c r="BD15" s="5"/>
      <c r="BE15" s="5"/>
      <c r="BF15" s="5">
        <v>183958</v>
      </c>
      <c r="BG15" s="15" t="s">
        <v>54</v>
      </c>
      <c r="BH15" s="7"/>
      <c r="BI15" s="5"/>
      <c r="BJ15" s="5"/>
      <c r="BK15" s="5">
        <v>194090</v>
      </c>
      <c r="BL15" s="15" t="s">
        <v>54</v>
      </c>
      <c r="BM15" s="7"/>
      <c r="BN15" s="5"/>
      <c r="BO15" s="5"/>
    </row>
    <row r="16" spans="1:67" ht="30" customHeight="1">
      <c r="A16" s="5" t="s">
        <v>55</v>
      </c>
      <c r="B16" s="5" t="s">
        <v>47</v>
      </c>
      <c r="C16" s="5">
        <v>130959.99</v>
      </c>
      <c r="D16" s="5"/>
      <c r="E16" s="7"/>
      <c r="F16" s="5"/>
      <c r="G16" s="5"/>
      <c r="H16" s="5">
        <v>45679</v>
      </c>
      <c r="I16" s="5"/>
      <c r="J16" s="7"/>
      <c r="K16" s="5"/>
      <c r="L16" s="5"/>
      <c r="M16" s="5">
        <v>193533</v>
      </c>
      <c r="N16" s="5"/>
      <c r="O16" s="7"/>
      <c r="P16" s="5"/>
      <c r="Q16" s="5"/>
      <c r="R16" s="5">
        <v>121971</v>
      </c>
      <c r="S16" s="5"/>
      <c r="T16" s="7"/>
      <c r="U16" s="5"/>
      <c r="V16" s="5"/>
      <c r="W16" s="5">
        <v>185229</v>
      </c>
      <c r="X16" s="5"/>
      <c r="Y16" s="7"/>
      <c r="Z16" s="5"/>
      <c r="AA16" s="5"/>
      <c r="AB16" s="5">
        <v>193533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185229</v>
      </c>
      <c r="AM16" s="5"/>
      <c r="AN16" s="7"/>
      <c r="AO16" s="5"/>
      <c r="AP16" s="5"/>
      <c r="AQ16" s="5">
        <v>121971</v>
      </c>
      <c r="AR16" s="5"/>
      <c r="AS16" s="7"/>
      <c r="AT16" s="5"/>
      <c r="AU16" s="5"/>
      <c r="AV16" s="5">
        <v>45679</v>
      </c>
      <c r="AW16" s="5"/>
      <c r="AX16" s="7"/>
      <c r="AY16" s="5"/>
      <c r="AZ16" s="5"/>
      <c r="BA16" s="5">
        <v>45679</v>
      </c>
      <c r="BB16" s="5"/>
      <c r="BC16" s="7"/>
      <c r="BD16" s="5"/>
      <c r="BE16" s="5"/>
      <c r="BF16" s="5">
        <v>185229</v>
      </c>
      <c r="BG16" s="5"/>
      <c r="BH16" s="7"/>
      <c r="BI16" s="5"/>
      <c r="BJ16" s="5"/>
      <c r="BK16" s="5">
        <v>193533</v>
      </c>
      <c r="BL16" s="5"/>
      <c r="BM16" s="7"/>
      <c r="BN16" s="5"/>
      <c r="BO16" s="5"/>
    </row>
    <row r="17" spans="3:3" ht="30" customHeight="1"/>
    <row r="18" spans="3:3" ht="30" customHeight="1"/>
    <row r="19" spans="3:3" ht="30" customHeight="1"/>
    <row r="20" spans="3:3">
      <c r="C20" s="2">
        <f t="shared" ref="C20:C32" si="0">C4+H4+M4+R4+W4+AB4+AG4+AL4+AQ4+AV4+BA4+BF4+BK4</f>
        <v>51612620</v>
      </c>
    </row>
    <row r="21" spans="3:3">
      <c r="C21" s="17">
        <f t="shared" si="0"/>
        <v>625.75360000000001</v>
      </c>
    </row>
    <row r="22" spans="3:3">
      <c r="C22" s="2">
        <f t="shared" si="0"/>
        <v>2696000</v>
      </c>
    </row>
    <row r="23" spans="3:3">
      <c r="C23" s="2">
        <f t="shared" si="0"/>
        <v>256000</v>
      </c>
    </row>
    <row r="24" spans="3:3">
      <c r="C24" s="2">
        <f t="shared" si="0"/>
        <v>852127</v>
      </c>
    </row>
    <row r="25" spans="3:3">
      <c r="C25" s="2">
        <f t="shared" si="0"/>
        <v>732213</v>
      </c>
    </row>
    <row r="26" spans="3:3">
      <c r="C26" s="2">
        <f t="shared" si="0"/>
        <v>104160</v>
      </c>
    </row>
    <row r="27" spans="3:3">
      <c r="C27" s="2">
        <f t="shared" si="0"/>
        <v>162319</v>
      </c>
    </row>
    <row r="28" spans="3:3">
      <c r="C28" s="2">
        <f t="shared" si="0"/>
        <v>5531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52565828</v>
      </c>
    </row>
    <row r="32" spans="3:3">
      <c r="C32" s="2">
        <f t="shared" si="0"/>
        <v>1648224.99</v>
      </c>
    </row>
  </sheetData>
  <mergeCells count="15">
    <mergeCell ref="BA2:BD2"/>
    <mergeCell ref="BF2:BI2"/>
    <mergeCell ref="BK2:BN2"/>
    <mergeCell ref="A2:A3"/>
    <mergeCell ref="B2:B3"/>
    <mergeCell ref="AB2:AE2"/>
    <mergeCell ref="AG2:AJ2"/>
    <mergeCell ref="AL2:AO2"/>
    <mergeCell ref="AQ2:AT2"/>
    <mergeCell ref="AV2:AY2"/>
    <mergeCell ref="C2:F2"/>
    <mergeCell ref="H2:K2"/>
    <mergeCell ref="M2:P2"/>
    <mergeCell ref="R2:U2"/>
    <mergeCell ref="W2:Z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BO32"/>
  <sheetViews>
    <sheetView topLeftCell="C1" zoomScale="70" zoomScaleNormal="70" workbookViewId="0">
      <selection activeCell="C25" sqref="C25"/>
    </sheetView>
  </sheetViews>
  <sheetFormatPr defaultColWidth="9" defaultRowHeight="13.5"/>
  <cols>
    <col min="1" max="1" width="18.875" style="2" customWidth="1"/>
    <col min="2" max="2" width="7.5" style="2" customWidth="1"/>
    <col min="3" max="5" width="9.625" style="2" customWidth="1"/>
    <col min="6" max="7" width="12.375" style="2" customWidth="1"/>
    <col min="8" max="10" width="9.625" style="2" customWidth="1"/>
    <col min="11" max="12" width="12.375" style="2" customWidth="1"/>
    <col min="13" max="15" width="9.625" style="2" customWidth="1"/>
    <col min="16" max="17" width="12.375" style="2" customWidth="1"/>
    <col min="18" max="20" width="9.625" style="2" customWidth="1"/>
    <col min="21" max="22" width="12.375" style="2" customWidth="1"/>
    <col min="23" max="25" width="9.625" style="2" customWidth="1"/>
    <col min="26" max="27" width="12.375" style="2" customWidth="1"/>
    <col min="28" max="30" width="9.625" style="2" customWidth="1"/>
    <col min="31" max="32" width="12.375" style="2" customWidth="1"/>
    <col min="33" max="35" width="9.625" style="2" customWidth="1"/>
    <col min="36" max="37" width="12.375" style="2" customWidth="1"/>
    <col min="38" max="40" width="9.625" style="2" customWidth="1"/>
    <col min="41" max="42" width="12.375" style="2" customWidth="1"/>
    <col min="43" max="45" width="9.625" style="2" customWidth="1"/>
    <col min="46" max="47" width="12.375" style="2" customWidth="1"/>
    <col min="48" max="50" width="9.625" style="2" customWidth="1"/>
    <col min="51" max="52" width="12.375" style="2" customWidth="1"/>
    <col min="53" max="55" width="9.625" style="2" customWidth="1"/>
    <col min="56" max="57" width="12.375" style="2" customWidth="1"/>
    <col min="58" max="60" width="9.625" style="2" customWidth="1"/>
    <col min="61" max="62" width="12.375" style="2" customWidth="1"/>
    <col min="63" max="65" width="9.625" style="2" customWidth="1"/>
    <col min="66" max="67" width="12.375" style="2" customWidth="1"/>
    <col min="68" max="16384" width="9" style="1"/>
  </cols>
  <sheetData>
    <row r="1" spans="1:67">
      <c r="A1" s="2" t="s">
        <v>56</v>
      </c>
      <c r="B1" s="2">
        <v>31</v>
      </c>
    </row>
    <row r="2" spans="1:67">
      <c r="A2" s="27" t="s">
        <v>20</v>
      </c>
      <c r="B2" s="27" t="s">
        <v>21</v>
      </c>
      <c r="C2" s="27" t="s">
        <v>22</v>
      </c>
      <c r="D2" s="27"/>
      <c r="E2" s="27"/>
      <c r="F2" s="27"/>
      <c r="G2" s="3"/>
      <c r="H2" s="27" t="s">
        <v>23</v>
      </c>
      <c r="I2" s="27"/>
      <c r="J2" s="27"/>
      <c r="K2" s="27"/>
      <c r="L2" s="3"/>
      <c r="M2" s="27" t="s">
        <v>24</v>
      </c>
      <c r="N2" s="27"/>
      <c r="O2" s="27"/>
      <c r="P2" s="27"/>
      <c r="Q2" s="3"/>
      <c r="R2" s="27" t="s">
        <v>25</v>
      </c>
      <c r="S2" s="27"/>
      <c r="T2" s="27"/>
      <c r="U2" s="27"/>
      <c r="V2" s="3"/>
      <c r="W2" s="27" t="s">
        <v>26</v>
      </c>
      <c r="X2" s="27"/>
      <c r="Y2" s="27"/>
      <c r="Z2" s="27"/>
      <c r="AA2" s="3"/>
      <c r="AB2" s="27" t="s">
        <v>27</v>
      </c>
      <c r="AC2" s="27"/>
      <c r="AD2" s="27"/>
      <c r="AE2" s="27"/>
      <c r="AF2" s="3"/>
      <c r="AG2" s="27" t="s">
        <v>28</v>
      </c>
      <c r="AH2" s="27"/>
      <c r="AI2" s="27"/>
      <c r="AJ2" s="27"/>
      <c r="AK2" s="3"/>
      <c r="AL2" s="27" t="s">
        <v>29</v>
      </c>
      <c r="AM2" s="27"/>
      <c r="AN2" s="27"/>
      <c r="AO2" s="27"/>
      <c r="AP2" s="3"/>
      <c r="AQ2" s="27" t="s">
        <v>30</v>
      </c>
      <c r="AR2" s="27"/>
      <c r="AS2" s="27"/>
      <c r="AT2" s="27"/>
      <c r="AU2" s="3"/>
      <c r="AV2" s="27" t="s">
        <v>31</v>
      </c>
      <c r="AW2" s="27"/>
      <c r="AX2" s="27"/>
      <c r="AY2" s="27"/>
      <c r="AZ2" s="3"/>
      <c r="BA2" s="27" t="s">
        <v>32</v>
      </c>
      <c r="BB2" s="27"/>
      <c r="BC2" s="27"/>
      <c r="BD2" s="27"/>
      <c r="BE2" s="3"/>
      <c r="BF2" s="27" t="s">
        <v>33</v>
      </c>
      <c r="BG2" s="27"/>
      <c r="BH2" s="27"/>
      <c r="BI2" s="27"/>
      <c r="BJ2" s="3"/>
      <c r="BK2" s="27" t="s">
        <v>34</v>
      </c>
      <c r="BL2" s="27"/>
      <c r="BM2" s="27"/>
      <c r="BN2" s="27"/>
      <c r="BO2" s="3"/>
    </row>
    <row r="3" spans="1:67" ht="30" customHeight="1">
      <c r="A3" s="27"/>
      <c r="B3" s="27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pans="1:67" ht="30" customHeight="1">
      <c r="A4" s="5" t="s">
        <v>42</v>
      </c>
      <c r="B4" s="5" t="s">
        <v>43</v>
      </c>
      <c r="C4" s="6">
        <v>11973.861407099001</v>
      </c>
      <c r="D4" s="6">
        <v>16.093899740724499</v>
      </c>
      <c r="E4" s="7">
        <v>1.4715875669324701</v>
      </c>
      <c r="F4" s="7">
        <v>1.10152595638985E-2</v>
      </c>
      <c r="G4" s="8">
        <v>2.4663340991376603E-4</v>
      </c>
      <c r="H4" s="6">
        <v>11081.190459388899</v>
      </c>
      <c r="I4" s="6">
        <v>14.894073198103399</v>
      </c>
      <c r="J4" s="7">
        <v>1.3618783074589</v>
      </c>
      <c r="K4" s="7" t="e">
        <v>#DIV/0!</v>
      </c>
      <c r="L4" s="8" t="e">
        <v>#DIV/0!</v>
      </c>
      <c r="M4" s="6">
        <v>4912.4973537506203</v>
      </c>
      <c r="N4" s="6">
        <v>6.6028190238583599</v>
      </c>
      <c r="O4" s="7">
        <v>0.60374592477595102</v>
      </c>
      <c r="P4" s="13">
        <v>3.3561707807767899E-3</v>
      </c>
      <c r="Q4" s="14">
        <v>5.9977541155148001E-5</v>
      </c>
      <c r="R4" s="6">
        <v>17050.5765295321</v>
      </c>
      <c r="S4" s="6">
        <v>22.917441571951699</v>
      </c>
      <c r="T4" s="7">
        <v>2.0955158554794902</v>
      </c>
      <c r="U4" s="7">
        <v>1.59749405011687E-2</v>
      </c>
      <c r="V4" s="8">
        <v>3.5312524948257498E-4</v>
      </c>
      <c r="W4" s="6">
        <v>34541.874250229303</v>
      </c>
      <c r="X4" s="6">
        <v>46.427250336329699</v>
      </c>
      <c r="Y4" s="7">
        <v>4.2451963453531798</v>
      </c>
      <c r="Z4" s="7">
        <v>2.2821059694083899E-2</v>
      </c>
      <c r="AA4" s="8">
        <v>4.8106933484652701E-4</v>
      </c>
      <c r="AB4" s="6">
        <v>1732200</v>
      </c>
      <c r="AC4" s="6">
        <v>2328.22580645161</v>
      </c>
      <c r="AD4" s="7">
        <v>212.88738000000001</v>
      </c>
      <c r="AE4" s="7">
        <v>1.1834223222579401</v>
      </c>
      <c r="AF4" s="8">
        <v>3.47014479788917E-2</v>
      </c>
      <c r="AG4" s="6">
        <v>79120</v>
      </c>
      <c r="AH4" s="6">
        <v>106.34408602150501</v>
      </c>
      <c r="AI4" s="7">
        <v>9.7238480000000003</v>
      </c>
      <c r="AJ4" s="7" t="e">
        <v>#DIV/0!</v>
      </c>
      <c r="AK4" s="8">
        <v>2.7429367709905401E-2</v>
      </c>
      <c r="AL4" s="6">
        <v>2063360</v>
      </c>
      <c r="AM4" s="6">
        <v>2773.3333333333298</v>
      </c>
      <c r="AN4" s="7">
        <v>253.58694399999999</v>
      </c>
      <c r="AO4" s="7">
        <v>1.36321675509754</v>
      </c>
      <c r="AP4" s="8">
        <v>4.5166578858031797E-2</v>
      </c>
      <c r="AQ4" s="6">
        <v>2460000</v>
      </c>
      <c r="AR4" s="6">
        <v>3306.4516129032299</v>
      </c>
      <c r="AS4" s="7">
        <v>302.334</v>
      </c>
      <c r="AT4" s="7">
        <v>1.6252681148902499</v>
      </c>
      <c r="AU4" s="8">
        <v>5.3848957036463897E-2</v>
      </c>
      <c r="AV4" s="6">
        <v>13440</v>
      </c>
      <c r="AW4" s="6">
        <v>18.064516129032299</v>
      </c>
      <c r="AX4" s="7">
        <v>1.6517759999999999</v>
      </c>
      <c r="AY4" s="7"/>
      <c r="AZ4" s="8"/>
      <c r="BA4" s="6">
        <v>13237950</v>
      </c>
      <c r="BB4" s="6">
        <v>17792.943548387098</v>
      </c>
      <c r="BC4" s="7">
        <v>1626.9440549999999</v>
      </c>
      <c r="BD4" s="7">
        <v>12.402833607483201</v>
      </c>
      <c r="BE4" s="8">
        <v>10.024856923674101</v>
      </c>
      <c r="BF4" s="6">
        <v>9942900</v>
      </c>
      <c r="BG4" s="6">
        <v>13364.1129032258</v>
      </c>
      <c r="BH4" s="7">
        <v>1221.9824100000001</v>
      </c>
      <c r="BI4" s="7">
        <v>6.5690562355862996</v>
      </c>
      <c r="BJ4" s="8">
        <v>10.111646848546499</v>
      </c>
      <c r="BK4" s="6">
        <v>17268900</v>
      </c>
      <c r="BL4" s="6">
        <v>0</v>
      </c>
      <c r="BM4" s="7">
        <v>2122.3478100000002</v>
      </c>
      <c r="BN4" s="7">
        <v>11.797945815056099</v>
      </c>
      <c r="BO4" s="8">
        <v>11.462979940372</v>
      </c>
    </row>
    <row r="5" spans="1:67" ht="30" customHeight="1">
      <c r="A5" s="5" t="s">
        <v>13</v>
      </c>
      <c r="B5" s="5" t="s">
        <v>44</v>
      </c>
      <c r="C5" s="6">
        <v>283</v>
      </c>
      <c r="D5" s="6">
        <v>0.380376344086022</v>
      </c>
      <c r="E5" s="7">
        <v>9.6502999999999997</v>
      </c>
      <c r="F5" s="7">
        <v>7.2235293201799805E-2</v>
      </c>
      <c r="G5" s="8">
        <v>1.6173596795548599E-3</v>
      </c>
      <c r="H5" s="6">
        <v>0</v>
      </c>
      <c r="I5" s="6">
        <v>0</v>
      </c>
      <c r="J5" s="7">
        <v>0</v>
      </c>
      <c r="K5" s="7" t="e">
        <v>#DIV/0!</v>
      </c>
      <c r="L5" s="8" t="e">
        <v>#DIV/0!</v>
      </c>
      <c r="M5" s="6">
        <v>425.20479999999998</v>
      </c>
      <c r="N5" s="6">
        <v>0.57151182795698896</v>
      </c>
      <c r="O5" s="7">
        <v>14.499483680000001</v>
      </c>
      <c r="P5" s="7">
        <v>8.06013613776764E-2</v>
      </c>
      <c r="Q5" s="8">
        <v>1.44041283503209E-3</v>
      </c>
      <c r="R5" s="6">
        <v>0</v>
      </c>
      <c r="S5" s="6">
        <v>0</v>
      </c>
      <c r="T5" s="7">
        <v>0</v>
      </c>
      <c r="U5" s="7">
        <v>0</v>
      </c>
      <c r="V5" s="8">
        <v>0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pans="1:67" ht="30" customHeight="1">
      <c r="A6" s="5" t="s">
        <v>16</v>
      </c>
      <c r="B6" s="5" t="s">
        <v>45</v>
      </c>
      <c r="C6" s="6">
        <v>850000</v>
      </c>
      <c r="D6" s="6">
        <v>1142.4731182795699</v>
      </c>
      <c r="E6" s="7">
        <v>14.365</v>
      </c>
      <c r="F6" s="7">
        <v>0.10752618953233101</v>
      </c>
      <c r="G6" s="8">
        <v>2.4075284495617302E-3</v>
      </c>
      <c r="H6" s="6">
        <v>8000</v>
      </c>
      <c r="I6" s="6">
        <v>10.752688172042999</v>
      </c>
      <c r="J6" s="7">
        <v>0.13519999999999999</v>
      </c>
      <c r="K6" s="7" t="e">
        <v>#DIV/0!</v>
      </c>
      <c r="L6" s="8" t="e">
        <v>#DIV/0!</v>
      </c>
      <c r="M6" s="6">
        <v>519000</v>
      </c>
      <c r="N6" s="6">
        <v>697.58064516129002</v>
      </c>
      <c r="O6" s="7">
        <v>8.7711000000000006</v>
      </c>
      <c r="P6" s="7">
        <v>4.8757777613480997E-2</v>
      </c>
      <c r="Q6" s="8">
        <v>8.71341717827979E-4</v>
      </c>
      <c r="R6" s="6">
        <v>113000</v>
      </c>
      <c r="S6" s="6">
        <v>151.881720430108</v>
      </c>
      <c r="T6" s="7">
        <v>1.9097</v>
      </c>
      <c r="U6" s="7">
        <v>1.4558393244942101E-2</v>
      </c>
      <c r="V6" s="8">
        <v>3.2181254423511199E-4</v>
      </c>
      <c r="W6" s="6">
        <v>1026000</v>
      </c>
      <c r="X6" s="6">
        <v>1379.03225806452</v>
      </c>
      <c r="Y6" s="7">
        <v>17.339400000000001</v>
      </c>
      <c r="Z6" s="7">
        <v>9.3212056703275398E-2</v>
      </c>
      <c r="AA6" s="8">
        <v>1.9649158592554799E-3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pans="1:67" ht="30" customHeight="1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 t="e">
        <v>#DIV/0!</v>
      </c>
      <c r="L7" s="8" t="e">
        <v>#DIV/0!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85333.333333333299</v>
      </c>
      <c r="BB7" s="6">
        <v>114.695340501792</v>
      </c>
      <c r="BC7" s="7">
        <v>1.4421333333333299</v>
      </c>
      <c r="BD7" s="7">
        <v>1.09939488811362E-2</v>
      </c>
      <c r="BE7" s="8">
        <v>8.8860955526389798E-3</v>
      </c>
      <c r="BF7" s="6">
        <v>85333.333333333299</v>
      </c>
      <c r="BG7" s="6">
        <v>114.695340501792</v>
      </c>
      <c r="BH7" s="7">
        <v>1.4421333333333299</v>
      </c>
      <c r="BI7" s="7">
        <v>7.7525297323062098E-3</v>
      </c>
      <c r="BJ7" s="8">
        <v>1.1933349331259099E-2</v>
      </c>
      <c r="BK7" s="6">
        <v>85333.333333333299</v>
      </c>
      <c r="BL7" s="6">
        <v>114.695340501792</v>
      </c>
      <c r="BM7" s="7">
        <v>1.4421333333333299</v>
      </c>
      <c r="BN7" s="7">
        <v>8.0166930437065801E-3</v>
      </c>
      <c r="BO7" s="8">
        <v>7.7890840480768497E-3</v>
      </c>
    </row>
    <row r="8" spans="1:67" ht="30" customHeight="1">
      <c r="A8" s="5" t="s">
        <v>46</v>
      </c>
      <c r="B8" s="5" t="s">
        <v>47</v>
      </c>
      <c r="C8" s="6">
        <v>448074</v>
      </c>
      <c r="D8" s="6">
        <v>602.25</v>
      </c>
      <c r="E8" s="7">
        <v>21.283515000000001</v>
      </c>
      <c r="F8" s="7">
        <v>0.159313280042061</v>
      </c>
      <c r="G8" s="8">
        <v>3.56704962542109E-3</v>
      </c>
      <c r="H8" s="6"/>
      <c r="I8" s="6"/>
      <c r="J8" s="7"/>
      <c r="K8" s="7"/>
      <c r="L8" s="8"/>
      <c r="M8" s="6">
        <v>378565</v>
      </c>
      <c r="N8" s="6">
        <v>508.82392473118301</v>
      </c>
      <c r="O8" s="7">
        <v>17.981837500000001</v>
      </c>
      <c r="P8" s="7">
        <v>9.9959461630440199E-2</v>
      </c>
      <c r="Q8" s="8">
        <v>1.78635805964515E-3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pans="1:67" ht="30" customHeight="1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 t="e">
        <v>#DIV/0!</v>
      </c>
      <c r="L9" s="8" t="e">
        <v>#DIV/0!</v>
      </c>
      <c r="M9" s="5"/>
      <c r="N9" s="6"/>
      <c r="O9" s="7"/>
      <c r="P9" s="9"/>
      <c r="Q9" s="9"/>
      <c r="R9" s="5">
        <v>438360</v>
      </c>
      <c r="S9" s="6">
        <v>0</v>
      </c>
      <c r="T9" s="7">
        <v>20.822099999999999</v>
      </c>
      <c r="U9" s="7">
        <v>0.15873504738205499</v>
      </c>
      <c r="V9" s="8">
        <v>3.5088301708739202E-3</v>
      </c>
      <c r="W9" s="5">
        <v>354505</v>
      </c>
      <c r="X9" s="6">
        <v>0</v>
      </c>
      <c r="Y9" s="7">
        <v>16.838987500000002</v>
      </c>
      <c r="Z9" s="7">
        <v>9.05219706377237E-2</v>
      </c>
      <c r="AA9" s="8">
        <v>1.9082086803784901E-3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pans="1:67" ht="30" customHeight="1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54344</v>
      </c>
      <c r="AR10" s="6">
        <v>73.043010752688204</v>
      </c>
      <c r="AS10" s="7">
        <v>2.58134</v>
      </c>
      <c r="AT10" s="7">
        <v>1.9678568790333001E-2</v>
      </c>
      <c r="AU10" s="8">
        <v>4.1409867597316802E-4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pans="1:67" ht="30" customHeight="1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43979</v>
      </c>
      <c r="AH11" s="6">
        <v>59.111559139784902</v>
      </c>
      <c r="AI11" s="7">
        <v>1.8207306000000001</v>
      </c>
      <c r="AJ11" s="7" t="e">
        <v>#DIV/0!</v>
      </c>
      <c r="AK11" s="8">
        <v>5.1359800284904297E-3</v>
      </c>
      <c r="AL11" s="5">
        <v>5321</v>
      </c>
      <c r="AM11" s="6">
        <v>7.1518817204301097</v>
      </c>
      <c r="AN11" s="7">
        <v>0.2202894</v>
      </c>
      <c r="AO11" s="7">
        <v>1.1842179108810301E-3</v>
      </c>
      <c r="AP11" s="8">
        <v>3.9235925950069799E-5</v>
      </c>
      <c r="AQ11" s="5"/>
      <c r="AR11" s="6"/>
      <c r="AS11" s="7"/>
      <c r="AT11" s="9"/>
      <c r="AU11" s="9"/>
      <c r="AV11" s="5">
        <v>56218</v>
      </c>
      <c r="AW11" s="6">
        <v>75.561827956989205</v>
      </c>
      <c r="AX11" s="7">
        <v>2.3274252</v>
      </c>
      <c r="AY11" s="7" t="e">
        <v>#DIV/0!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pans="1:67" ht="30" customHeight="1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171</v>
      </c>
      <c r="AC12" s="6">
        <v>0.22983870967741901</v>
      </c>
      <c r="AD12" s="7">
        <v>7.0793999999999996E-3</v>
      </c>
      <c r="AE12" s="9">
        <v>3.9353765301601599E-5</v>
      </c>
      <c r="AF12" s="9">
        <v>1.15396897092616E-6</v>
      </c>
      <c r="AG12" s="5"/>
      <c r="AH12" s="6"/>
      <c r="AI12" s="7"/>
      <c r="AJ12" s="9"/>
      <c r="AK12" s="9"/>
      <c r="AL12" s="5">
        <v>387</v>
      </c>
      <c r="AM12" s="6">
        <v>0.52016129032258096</v>
      </c>
      <c r="AN12" s="7">
        <v>1.6021799999999999E-2</v>
      </c>
      <c r="AO12" s="7">
        <v>8.6128985437128097E-5</v>
      </c>
      <c r="AP12" s="8">
        <v>8.6128985437128097E-5</v>
      </c>
      <c r="AQ12" s="5"/>
      <c r="AR12" s="6"/>
      <c r="AS12" s="7"/>
      <c r="AT12" s="9"/>
      <c r="AU12" s="9"/>
      <c r="AV12" s="5">
        <v>0</v>
      </c>
      <c r="AW12" s="6">
        <v>0</v>
      </c>
      <c r="AX12" s="7">
        <v>0</v>
      </c>
      <c r="AY12" s="7" t="e">
        <v>#DIV/0!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pans="1:67" ht="30" customHeight="1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pans="1:67" ht="30" customHeight="1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pans="1:67" ht="30" customHeight="1">
      <c r="A15" s="10" t="s">
        <v>52</v>
      </c>
      <c r="B15" s="5" t="s">
        <v>43</v>
      </c>
      <c r="C15" s="5">
        <v>5966700</v>
      </c>
      <c r="D15" s="6">
        <v>8019.7580645161297</v>
      </c>
      <c r="E15" s="7"/>
      <c r="F15" s="5"/>
      <c r="G15" s="5"/>
      <c r="H15" s="5">
        <v>0</v>
      </c>
      <c r="I15" s="6">
        <v>0</v>
      </c>
      <c r="J15" s="7"/>
      <c r="K15" s="5"/>
      <c r="L15" s="5"/>
      <c r="M15" s="5">
        <v>10066200</v>
      </c>
      <c r="N15" s="6">
        <v>13529.8387096774</v>
      </c>
      <c r="O15" s="7"/>
      <c r="P15" s="5"/>
      <c r="Q15" s="5"/>
      <c r="R15" s="5">
        <v>5934200</v>
      </c>
      <c r="S15" s="6">
        <v>7976.0752688171997</v>
      </c>
      <c r="T15" s="7"/>
      <c r="U15" s="5"/>
      <c r="V15" s="5"/>
      <c r="W15" s="5">
        <v>8824500</v>
      </c>
      <c r="X15" s="6">
        <v>11860.8870967742</v>
      </c>
      <c r="Y15" s="7"/>
      <c r="Z15" s="5"/>
      <c r="AA15" s="5"/>
      <c r="AB15" s="5">
        <v>6134827</v>
      </c>
      <c r="AC15" s="15" t="s">
        <v>53</v>
      </c>
      <c r="AD15" s="7"/>
      <c r="AE15" s="5"/>
      <c r="AF15" s="5"/>
      <c r="AG15" s="5">
        <v>354505</v>
      </c>
      <c r="AH15" s="15" t="s">
        <v>53</v>
      </c>
      <c r="AI15" s="7"/>
      <c r="AJ15" s="5"/>
      <c r="AK15" s="5"/>
      <c r="AL15" s="5">
        <v>5614482</v>
      </c>
      <c r="AM15" s="15" t="s">
        <v>53</v>
      </c>
      <c r="AN15" s="7"/>
      <c r="AO15" s="5"/>
      <c r="AP15" s="5"/>
      <c r="AQ15" s="5">
        <v>6233635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162291</v>
      </c>
      <c r="BB15" s="15" t="s">
        <v>54</v>
      </c>
      <c r="BC15" s="7"/>
      <c r="BD15" s="5"/>
      <c r="BE15" s="5"/>
      <c r="BF15" s="5">
        <v>120849</v>
      </c>
      <c r="BG15" s="15" t="s">
        <v>54</v>
      </c>
      <c r="BH15" s="7"/>
      <c r="BI15" s="5"/>
      <c r="BJ15" s="5"/>
      <c r="BK15" s="5">
        <v>185148</v>
      </c>
      <c r="BL15" s="15" t="s">
        <v>54</v>
      </c>
      <c r="BM15" s="7"/>
      <c r="BN15" s="5"/>
      <c r="BO15" s="5"/>
    </row>
    <row r="16" spans="1:67" ht="30" customHeight="1">
      <c r="A16" s="5" t="s">
        <v>55</v>
      </c>
      <c r="B16" s="5" t="s">
        <v>47</v>
      </c>
      <c r="C16" s="5">
        <v>133595.35999999999</v>
      </c>
      <c r="D16" s="5"/>
      <c r="E16" s="7"/>
      <c r="F16" s="5"/>
      <c r="G16" s="5"/>
      <c r="H16" s="5">
        <v>0</v>
      </c>
      <c r="I16" s="5"/>
      <c r="J16" s="7"/>
      <c r="K16" s="5"/>
      <c r="L16" s="5"/>
      <c r="M16" s="5">
        <v>179891.3</v>
      </c>
      <c r="N16" s="5"/>
      <c r="O16" s="7"/>
      <c r="P16" s="5"/>
      <c r="Q16" s="5"/>
      <c r="R16" s="5">
        <v>131175.19</v>
      </c>
      <c r="S16" s="5"/>
      <c r="T16" s="7"/>
      <c r="U16" s="5"/>
      <c r="V16" s="5"/>
      <c r="W16" s="5">
        <v>186021</v>
      </c>
      <c r="X16" s="5"/>
      <c r="Y16" s="7"/>
      <c r="Z16" s="5"/>
      <c r="AA16" s="5"/>
      <c r="AB16" s="5">
        <v>179891.3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186021</v>
      </c>
      <c r="AM16" s="5"/>
      <c r="AN16" s="7"/>
      <c r="AO16" s="5"/>
      <c r="AP16" s="5"/>
      <c r="AQ16" s="5">
        <v>131175.19</v>
      </c>
      <c r="AR16" s="5"/>
      <c r="AS16" s="7"/>
      <c r="AT16" s="5"/>
      <c r="AU16" s="5"/>
      <c r="AV16" s="5">
        <v>0</v>
      </c>
      <c r="AW16" s="5"/>
      <c r="AX16" s="7"/>
      <c r="AY16" s="5"/>
      <c r="AZ16" s="5"/>
      <c r="BA16" s="5">
        <v>131175.19</v>
      </c>
      <c r="BB16" s="5"/>
      <c r="BC16" s="7"/>
      <c r="BD16" s="5"/>
      <c r="BE16" s="5"/>
      <c r="BF16" s="5">
        <v>186021</v>
      </c>
      <c r="BG16" s="5"/>
      <c r="BH16" s="7"/>
      <c r="BI16" s="5"/>
      <c r="BJ16" s="5"/>
      <c r="BK16" s="5">
        <v>179891.3</v>
      </c>
      <c r="BL16" s="5"/>
      <c r="BM16" s="7"/>
      <c r="BN16" s="5"/>
      <c r="BO16" s="5"/>
    </row>
    <row r="17" spans="3:3" ht="30" customHeight="1"/>
    <row r="18" spans="3:3" ht="30" customHeight="1"/>
    <row r="19" spans="3:3" ht="30" customHeight="1"/>
    <row r="20" spans="3:3">
      <c r="C20" s="2">
        <f t="shared" ref="C20:C32" si="0">C4+H4+M4+R4+W4+AB4+AG4+AL4+AQ4+AV4+BA4+BF4+BK4</f>
        <v>46877430</v>
      </c>
    </row>
    <row r="21" spans="3:3">
      <c r="C21" s="17">
        <f t="shared" si="0"/>
        <v>708.20479999999998</v>
      </c>
    </row>
    <row r="22" spans="3:3">
      <c r="C22" s="2">
        <f t="shared" si="0"/>
        <v>2516000</v>
      </c>
    </row>
    <row r="23" spans="3:3">
      <c r="C23" s="2">
        <f t="shared" si="0"/>
        <v>256000</v>
      </c>
    </row>
    <row r="24" spans="3:3">
      <c r="C24" s="2">
        <f t="shared" si="0"/>
        <v>826639</v>
      </c>
    </row>
    <row r="25" spans="3:3">
      <c r="C25" s="2">
        <f t="shared" si="0"/>
        <v>792865</v>
      </c>
    </row>
    <row r="26" spans="3:3">
      <c r="C26" s="2">
        <f t="shared" si="0"/>
        <v>54344</v>
      </c>
    </row>
    <row r="27" spans="3:3">
      <c r="C27" s="2">
        <f t="shared" si="0"/>
        <v>105518</v>
      </c>
    </row>
    <row r="28" spans="3:3">
      <c r="C28" s="2">
        <f t="shared" si="0"/>
        <v>558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49597337</v>
      </c>
    </row>
    <row r="32" spans="3:3">
      <c r="C32" s="2">
        <f t="shared" si="0"/>
        <v>1624857.83</v>
      </c>
    </row>
  </sheetData>
  <mergeCells count="15">
    <mergeCell ref="BA2:BD2"/>
    <mergeCell ref="BF2:BI2"/>
    <mergeCell ref="BK2:BN2"/>
    <mergeCell ref="A2:A3"/>
    <mergeCell ref="B2:B3"/>
    <mergeCell ref="AB2:AE2"/>
    <mergeCell ref="AG2:AJ2"/>
    <mergeCell ref="AL2:AO2"/>
    <mergeCell ref="AQ2:AT2"/>
    <mergeCell ref="AV2:AY2"/>
    <mergeCell ref="C2:F2"/>
    <mergeCell ref="H2:K2"/>
    <mergeCell ref="M2:P2"/>
    <mergeCell ref="R2:U2"/>
    <mergeCell ref="W2:Z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5" style="2" customWidth="1"/>
    <col min="2" max="2" width="7.5" style="2" customWidth="1"/>
    <col min="3" max="5" width="9.625" style="2" customWidth="1"/>
    <col min="6" max="7" width="12.375" style="2" customWidth="1"/>
    <col min="8" max="10" width="9.625" style="2" customWidth="1"/>
    <col min="11" max="12" width="12.375" style="2" customWidth="1"/>
    <col min="13" max="15" width="9.625" style="2" customWidth="1"/>
    <col min="16" max="17" width="12.375" style="2" customWidth="1"/>
    <col min="18" max="20" width="9.625" style="2" customWidth="1"/>
    <col min="21" max="22" width="12.375" style="2" customWidth="1"/>
    <col min="23" max="25" width="9.625" style="2" customWidth="1"/>
    <col min="26" max="27" width="12.375" style="2" customWidth="1"/>
    <col min="28" max="30" width="9.625" style="2" customWidth="1"/>
    <col min="31" max="32" width="12.375" style="2" customWidth="1"/>
    <col min="33" max="35" width="9.625" style="2" customWidth="1"/>
    <col min="36" max="37" width="12.375" style="2" customWidth="1"/>
    <col min="38" max="40" width="9.625" style="2" customWidth="1"/>
    <col min="41" max="42" width="12.375" style="2" customWidth="1"/>
    <col min="43" max="45" width="9.625" style="2" customWidth="1"/>
    <col min="46" max="47" width="12.375" style="2" customWidth="1"/>
    <col min="48" max="50" width="9.625" style="2" customWidth="1"/>
    <col min="51" max="52" width="12.375" style="2" customWidth="1"/>
    <col min="53" max="55" width="9.625" style="2" customWidth="1"/>
    <col min="56" max="57" width="12.375" style="2" customWidth="1"/>
    <col min="58" max="60" width="9.625" style="2" customWidth="1"/>
    <col min="61" max="62" width="12.375" style="2" customWidth="1"/>
    <col min="63" max="65" width="9.625" style="2" customWidth="1"/>
    <col min="66" max="67" width="12.375" style="2" customWidth="1"/>
    <col min="68" max="16384" width="9" style="1"/>
  </cols>
  <sheetData>
    <row r="1" spans="1:67">
      <c r="A1" s="2" t="s">
        <v>56</v>
      </c>
      <c r="B1" s="2">
        <v>30</v>
      </c>
    </row>
    <row r="2" spans="1:67">
      <c r="A2" s="27" t="s">
        <v>20</v>
      </c>
      <c r="B2" s="27" t="s">
        <v>21</v>
      </c>
      <c r="C2" s="27" t="s">
        <v>22</v>
      </c>
      <c r="D2" s="27"/>
      <c r="E2" s="27"/>
      <c r="F2" s="27"/>
      <c r="G2" s="3"/>
      <c r="H2" s="27" t="s">
        <v>23</v>
      </c>
      <c r="I2" s="27"/>
      <c r="J2" s="27"/>
      <c r="K2" s="27"/>
      <c r="L2" s="3"/>
      <c r="M2" s="27" t="s">
        <v>24</v>
      </c>
      <c r="N2" s="27"/>
      <c r="O2" s="27"/>
      <c r="P2" s="27"/>
      <c r="Q2" s="3"/>
      <c r="R2" s="27" t="s">
        <v>25</v>
      </c>
      <c r="S2" s="27"/>
      <c r="T2" s="27"/>
      <c r="U2" s="27"/>
      <c r="V2" s="3"/>
      <c r="W2" s="27" t="s">
        <v>26</v>
      </c>
      <c r="X2" s="27"/>
      <c r="Y2" s="27"/>
      <c r="Z2" s="27"/>
      <c r="AA2" s="3"/>
      <c r="AB2" s="27" t="s">
        <v>27</v>
      </c>
      <c r="AC2" s="27"/>
      <c r="AD2" s="27"/>
      <c r="AE2" s="27"/>
      <c r="AF2" s="3"/>
      <c r="AG2" s="27" t="s">
        <v>28</v>
      </c>
      <c r="AH2" s="27"/>
      <c r="AI2" s="27"/>
      <c r="AJ2" s="27"/>
      <c r="AK2" s="3"/>
      <c r="AL2" s="27" t="s">
        <v>29</v>
      </c>
      <c r="AM2" s="27"/>
      <c r="AN2" s="27"/>
      <c r="AO2" s="27"/>
      <c r="AP2" s="3"/>
      <c r="AQ2" s="27" t="s">
        <v>30</v>
      </c>
      <c r="AR2" s="27"/>
      <c r="AS2" s="27"/>
      <c r="AT2" s="27"/>
      <c r="AU2" s="3"/>
      <c r="AV2" s="27" t="s">
        <v>31</v>
      </c>
      <c r="AW2" s="27"/>
      <c r="AX2" s="27"/>
      <c r="AY2" s="27"/>
      <c r="AZ2" s="3"/>
      <c r="BA2" s="27" t="s">
        <v>32</v>
      </c>
      <c r="BB2" s="27"/>
      <c r="BC2" s="27"/>
      <c r="BD2" s="27"/>
      <c r="BE2" s="3"/>
      <c r="BF2" s="27" t="s">
        <v>33</v>
      </c>
      <c r="BG2" s="27"/>
      <c r="BH2" s="27"/>
      <c r="BI2" s="27"/>
      <c r="BJ2" s="3"/>
      <c r="BK2" s="27" t="s">
        <v>34</v>
      </c>
      <c r="BL2" s="27"/>
      <c r="BM2" s="27"/>
      <c r="BN2" s="27"/>
      <c r="BO2" s="3"/>
    </row>
    <row r="3" spans="1:67" ht="30" customHeight="1">
      <c r="A3" s="27"/>
      <c r="B3" s="27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pans="1:67" ht="30" customHeight="1">
      <c r="A4" s="5" t="s">
        <v>42</v>
      </c>
      <c r="B4" s="5" t="s">
        <v>43</v>
      </c>
      <c r="C4" s="6">
        <v>6602.4798885046903</v>
      </c>
      <c r="D4" s="6">
        <v>9.1701109562565204</v>
      </c>
      <c r="E4" s="7">
        <v>0.81144477829722605</v>
      </c>
      <c r="F4" s="7">
        <v>5.5741778699161901E-2</v>
      </c>
      <c r="G4" s="8">
        <v>5.3223453909040201E-4</v>
      </c>
      <c r="H4" s="6">
        <v>6110.2542163573498</v>
      </c>
      <c r="I4" s="6">
        <v>8.4864641893852095</v>
      </c>
      <c r="J4" s="7">
        <v>0.750950243190318</v>
      </c>
      <c r="K4" s="7" t="e">
        <v>#DIV/0!</v>
      </c>
      <c r="L4" s="8" t="e">
        <v>#DIV/0!</v>
      </c>
      <c r="M4" s="6">
        <v>2708.78907628255</v>
      </c>
      <c r="N4" s="6">
        <v>3.7622070503924299</v>
      </c>
      <c r="O4" s="7">
        <v>0.33291017747512502</v>
      </c>
      <c r="P4" s="13">
        <v>1.6555253769020999E-3</v>
      </c>
      <c r="Q4" s="14">
        <v>3.2294412187409102E-5</v>
      </c>
      <c r="R4" s="6">
        <v>9401.8199139086901</v>
      </c>
      <c r="S4" s="6">
        <v>13.058083213762099</v>
      </c>
      <c r="T4" s="7">
        <v>1.15548366741938</v>
      </c>
      <c r="U4" s="7">
        <v>9.1655573508600992E-3</v>
      </c>
      <c r="V4" s="8">
        <v>2.0151441705953599E-4</v>
      </c>
      <c r="W4" s="6">
        <v>19046.6569049467</v>
      </c>
      <c r="X4" s="6">
        <v>26.4536901457593</v>
      </c>
      <c r="Y4" s="7">
        <v>2.3408341336179501</v>
      </c>
      <c r="Z4" s="7">
        <v>1.3200073632521001E-2</v>
      </c>
      <c r="AA4" s="8">
        <v>2.9851105418696801E-4</v>
      </c>
      <c r="AB4" s="6">
        <v>1648600</v>
      </c>
      <c r="AC4" s="6">
        <v>2289.7222222222199</v>
      </c>
      <c r="AD4" s="7">
        <v>202.61294000000001</v>
      </c>
      <c r="AE4" s="7">
        <v>1.0075716711418501</v>
      </c>
      <c r="AF4" s="8">
        <v>3.4351668085744198E-2</v>
      </c>
      <c r="AG4" s="6">
        <v>64940</v>
      </c>
      <c r="AH4" s="6">
        <v>90.1944444444444</v>
      </c>
      <c r="AI4" s="7">
        <v>7.9811259999999997</v>
      </c>
      <c r="AJ4" s="7" t="e">
        <v>#DIV/0!</v>
      </c>
      <c r="AK4" s="8">
        <v>2.32736779179121E-2</v>
      </c>
      <c r="AL4" s="6">
        <v>1995920</v>
      </c>
      <c r="AM4" s="6">
        <v>2772.1111111111099</v>
      </c>
      <c r="AN4" s="7">
        <v>245.29856799999999</v>
      </c>
      <c r="AO4" s="7">
        <v>1.38325014705225</v>
      </c>
      <c r="AP4" s="8">
        <v>4.51404815687559E-2</v>
      </c>
      <c r="AQ4" s="6">
        <v>2545320</v>
      </c>
      <c r="AR4" s="6">
        <v>3535.1666666666702</v>
      </c>
      <c r="AS4" s="7">
        <v>312.81982799999997</v>
      </c>
      <c r="AT4" s="7">
        <v>1.76400570378323</v>
      </c>
      <c r="AU4" s="8">
        <v>5.7565919749582001E-2</v>
      </c>
      <c r="AV4" s="6">
        <v>84600</v>
      </c>
      <c r="AW4" s="6">
        <v>117.5</v>
      </c>
      <c r="AX4" s="7">
        <v>10.39734</v>
      </c>
      <c r="AY4" s="7"/>
      <c r="AZ4" s="8"/>
      <c r="BA4" s="6">
        <v>13817100</v>
      </c>
      <c r="BB4" s="6">
        <v>19190.416666666701</v>
      </c>
      <c r="BC4" s="7">
        <v>1698.12159</v>
      </c>
      <c r="BD4" s="7">
        <v>13.4698838769737</v>
      </c>
      <c r="BE4" s="8">
        <v>9.8006059434283497</v>
      </c>
      <c r="BF4" s="6">
        <v>16150200</v>
      </c>
      <c r="BG4" s="6">
        <v>22430.833333333299</v>
      </c>
      <c r="BH4" s="7">
        <v>1984.8595800000001</v>
      </c>
      <c r="BI4" s="7">
        <v>11.1927164039256</v>
      </c>
      <c r="BJ4" s="8">
        <v>10.721494633471799</v>
      </c>
      <c r="BK4" s="6">
        <v>16912500</v>
      </c>
      <c r="BL4" s="6">
        <v>0</v>
      </c>
      <c r="BM4" s="7">
        <v>2078.5462499999999</v>
      </c>
      <c r="BN4" s="7">
        <v>10.336379890929599</v>
      </c>
      <c r="BO4" s="8">
        <v>11.4219017029437</v>
      </c>
    </row>
    <row r="5" spans="1:67" ht="30" customHeight="1">
      <c r="A5" s="5" t="s">
        <v>13</v>
      </c>
      <c r="B5" s="5" t="s">
        <v>44</v>
      </c>
      <c r="C5" s="6">
        <v>187</v>
      </c>
      <c r="D5" s="6">
        <v>0.25840000000000002</v>
      </c>
      <c r="E5" s="7">
        <v>6.3442368</v>
      </c>
      <c r="F5" s="7">
        <v>0.43581406052395999</v>
      </c>
      <c r="G5" s="8">
        <v>4.1612467532467501E-3</v>
      </c>
      <c r="H5" s="6">
        <v>0</v>
      </c>
      <c r="I5" s="6">
        <v>0</v>
      </c>
      <c r="J5" s="7">
        <v>0</v>
      </c>
      <c r="K5" s="7" t="e">
        <v>#DIV/0!</v>
      </c>
      <c r="L5" s="8" t="e">
        <v>#DIV/0!</v>
      </c>
      <c r="M5" s="6">
        <v>479.28640000000001</v>
      </c>
      <c r="N5" s="6">
        <v>0.66567555555555602</v>
      </c>
      <c r="O5" s="7">
        <v>16.343666240000001</v>
      </c>
      <c r="P5" s="7">
        <v>8.1275238916238404E-2</v>
      </c>
      <c r="Q5" s="8">
        <v>1.5854399472285301E-3</v>
      </c>
      <c r="R5" s="6">
        <v>674.30240000000003</v>
      </c>
      <c r="S5" s="6">
        <v>0.93653111111111098</v>
      </c>
      <c r="T5" s="7">
        <v>22.99371184</v>
      </c>
      <c r="U5" s="7">
        <v>0.18239131414929799</v>
      </c>
      <c r="V5" s="8">
        <v>4.01006484827346E-3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pans="1:67" ht="30" customHeight="1">
      <c r="A6" s="5" t="s">
        <v>16</v>
      </c>
      <c r="B6" s="5" t="s">
        <v>45</v>
      </c>
      <c r="C6" s="6">
        <v>472000</v>
      </c>
      <c r="D6" s="6">
        <v>655.555555555556</v>
      </c>
      <c r="E6" s="7">
        <v>7.9767999999999999</v>
      </c>
      <c r="F6" s="7">
        <v>0.54796214384487196</v>
      </c>
      <c r="G6" s="8">
        <v>5.2320608684245096E-3</v>
      </c>
      <c r="H6" s="6">
        <v>46000</v>
      </c>
      <c r="I6" s="6">
        <v>63.8888888888889</v>
      </c>
      <c r="J6" s="7">
        <v>0.77739999999999998</v>
      </c>
      <c r="K6" s="7" t="e">
        <v>#DIV/0!</v>
      </c>
      <c r="L6" s="8" t="e">
        <v>#DIV/0!</v>
      </c>
      <c r="M6" s="6">
        <v>520000</v>
      </c>
      <c r="N6" s="6">
        <v>722.22222222222194</v>
      </c>
      <c r="O6" s="7">
        <v>8.7880000000000003</v>
      </c>
      <c r="P6" s="7">
        <v>4.3701748989944098E-2</v>
      </c>
      <c r="Q6" s="8">
        <v>8.5249209397978397E-4</v>
      </c>
      <c r="R6" s="6">
        <v>116000</v>
      </c>
      <c r="S6" s="6">
        <v>161.111111111111</v>
      </c>
      <c r="T6" s="7">
        <v>1.9603999999999999</v>
      </c>
      <c r="U6" s="7">
        <v>1.5550335445896599E-2</v>
      </c>
      <c r="V6" s="8">
        <v>3.4189047785141297E-4</v>
      </c>
      <c r="W6" s="6">
        <v>986000</v>
      </c>
      <c r="X6" s="6">
        <v>1425</v>
      </c>
      <c r="Y6" s="7">
        <v>17.339400000000001</v>
      </c>
      <c r="Z6" s="7">
        <v>9.7777691061766606E-2</v>
      </c>
      <c r="AA6" s="8">
        <v>2.2111786984965001E-3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pans="1:67" ht="30" customHeight="1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 t="e">
        <v>#DIV/0!</v>
      </c>
      <c r="L7" s="8" t="e">
        <v>#DIV/0!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82666.666666666701</v>
      </c>
      <c r="BB7" s="6">
        <v>114.81481481481499</v>
      </c>
      <c r="BC7" s="7">
        <v>1.39706666666667</v>
      </c>
      <c r="BD7" s="7">
        <v>1.1081848248799901E-2</v>
      </c>
      <c r="BE7" s="8">
        <v>8.0630856808663297E-3</v>
      </c>
      <c r="BF7" s="6">
        <v>82666.666666666701</v>
      </c>
      <c r="BG7" s="6">
        <v>114.81481481481499</v>
      </c>
      <c r="BH7" s="7">
        <v>1.39706666666667</v>
      </c>
      <c r="BI7" s="7">
        <v>7.8781245559837905E-3</v>
      </c>
      <c r="BJ7" s="8">
        <v>7.5464495928064604E-3</v>
      </c>
      <c r="BK7" s="6">
        <v>82666.666666666701</v>
      </c>
      <c r="BL7" s="6">
        <v>114.81481481481499</v>
      </c>
      <c r="BM7" s="7">
        <v>1.39706666666667</v>
      </c>
      <c r="BN7" s="7">
        <v>6.9474575317347203E-3</v>
      </c>
      <c r="BO7" s="8">
        <v>7.6770762926857902E-3</v>
      </c>
    </row>
    <row r="8" spans="1:67" ht="30" customHeight="1">
      <c r="A8" s="5" t="s">
        <v>46</v>
      </c>
      <c r="B8" s="5" t="s">
        <v>47</v>
      </c>
      <c r="C8" s="6">
        <v>121121</v>
      </c>
      <c r="D8" s="6">
        <v>168.22361111111101</v>
      </c>
      <c r="E8" s="7">
        <v>5.7532474999999996</v>
      </c>
      <c r="F8" s="7">
        <v>0.39521635670571498</v>
      </c>
      <c r="G8" s="8">
        <v>3.77361111111111E-3</v>
      </c>
      <c r="H8" s="6"/>
      <c r="I8" s="6"/>
      <c r="J8" s="7"/>
      <c r="K8" s="7"/>
      <c r="L8" s="8"/>
      <c r="M8" s="6">
        <v>341975</v>
      </c>
      <c r="N8" s="6">
        <v>474.965277777778</v>
      </c>
      <c r="O8" s="7">
        <v>16.243812500000001</v>
      </c>
      <c r="P8" s="7">
        <v>8.0778677345780106E-2</v>
      </c>
      <c r="Q8" s="8">
        <v>1.57575349708011E-3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pans="1:67" ht="30" customHeight="1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 t="e">
        <v>#DIV/0!</v>
      </c>
      <c r="L9" s="8" t="e">
        <v>#DIV/0!</v>
      </c>
      <c r="M9" s="5"/>
      <c r="N9" s="6"/>
      <c r="O9" s="7"/>
      <c r="P9" s="9"/>
      <c r="Q9" s="9"/>
      <c r="R9" s="5">
        <v>411833</v>
      </c>
      <c r="S9" s="6">
        <v>0</v>
      </c>
      <c r="T9" s="7">
        <v>19.562067500000001</v>
      </c>
      <c r="U9" s="7">
        <v>0.15517073640087301</v>
      </c>
      <c r="V9" s="8">
        <v>3.4115918207185199E-3</v>
      </c>
      <c r="W9" s="5">
        <v>342925</v>
      </c>
      <c r="X9" s="6">
        <v>0</v>
      </c>
      <c r="Y9" s="7">
        <v>16.288937499999999</v>
      </c>
      <c r="Z9" s="7">
        <v>9.1854083682216495E-2</v>
      </c>
      <c r="AA9" s="8">
        <v>2.0772201818483201E-3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pans="1:67" ht="30" customHeight="1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101546</v>
      </c>
      <c r="AR10" s="6">
        <v>141.03611111111101</v>
      </c>
      <c r="AS10" s="7">
        <v>4.8234349999999999</v>
      </c>
      <c r="AT10" s="7">
        <v>3.8260575521056002E-2</v>
      </c>
      <c r="AU10" s="8">
        <v>7.98365839710608E-4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pans="1:67" ht="30" customHeight="1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33512</v>
      </c>
      <c r="AH11" s="6">
        <v>46.544444444444402</v>
      </c>
      <c r="AI11" s="7">
        <v>1.3873968000000001</v>
      </c>
      <c r="AJ11" s="7" t="e">
        <v>#DIV/0!</v>
      </c>
      <c r="AK11" s="8">
        <v>4.0457732740395097E-3</v>
      </c>
      <c r="AL11" s="5">
        <v>1194</v>
      </c>
      <c r="AM11" s="6">
        <v>1.6583333333333301</v>
      </c>
      <c r="AN11" s="7">
        <v>4.9431599999999999E-2</v>
      </c>
      <c r="AO11" s="7">
        <v>2.7874711428819998E-4</v>
      </c>
      <c r="AP11" s="8">
        <v>9.0965318179685193E-6</v>
      </c>
      <c r="AQ11" s="5"/>
      <c r="AR11" s="6"/>
      <c r="AS11" s="7"/>
      <c r="AT11" s="9"/>
      <c r="AU11" s="9"/>
      <c r="AV11" s="5">
        <v>56040</v>
      </c>
      <c r="AW11" s="6">
        <v>77.8333333333333</v>
      </c>
      <c r="AX11" s="7">
        <v>2.3200560000000001</v>
      </c>
      <c r="AY11" s="7" t="e">
        <v>#DIV/0!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pans="1:67" ht="30" customHeight="1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33</v>
      </c>
      <c r="AC12" s="6">
        <v>4.5833333333333302E-2</v>
      </c>
      <c r="AD12" s="7">
        <v>1.3661999999999999E-3</v>
      </c>
      <c r="AE12" s="9">
        <v>6.7939610229928996E-6</v>
      </c>
      <c r="AF12" s="9">
        <v>2.31630067352775E-7</v>
      </c>
      <c r="AG12" s="5"/>
      <c r="AH12" s="6"/>
      <c r="AI12" s="7"/>
      <c r="AJ12" s="9"/>
      <c r="AK12" s="9"/>
      <c r="AL12" s="5">
        <v>480</v>
      </c>
      <c r="AM12" s="6">
        <v>0.66666666666666696</v>
      </c>
      <c r="AN12" s="7">
        <v>1.9872000000000001E-2</v>
      </c>
      <c r="AO12" s="7">
        <v>1.12059141422392E-4</v>
      </c>
      <c r="AP12" s="8">
        <v>1.12059141422392E-4</v>
      </c>
      <c r="AQ12" s="5"/>
      <c r="AR12" s="6"/>
      <c r="AS12" s="7"/>
      <c r="AT12" s="9"/>
      <c r="AU12" s="9"/>
      <c r="AV12" s="5">
        <v>0</v>
      </c>
      <c r="AW12" s="6">
        <v>0</v>
      </c>
      <c r="AX12" s="7">
        <v>0</v>
      </c>
      <c r="AY12" s="7" t="e">
        <v>#DIV/0!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pans="1:67" ht="30" customHeight="1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pans="1:67" ht="30" customHeight="1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pans="1:67" ht="30" customHeight="1">
      <c r="A15" s="10" t="s">
        <v>52</v>
      </c>
      <c r="B15" s="5" t="s">
        <v>43</v>
      </c>
      <c r="C15" s="5">
        <v>1524600</v>
      </c>
      <c r="D15" s="6">
        <v>2117.5</v>
      </c>
      <c r="E15" s="7"/>
      <c r="F15" s="5"/>
      <c r="G15" s="5"/>
      <c r="H15" s="5">
        <v>0</v>
      </c>
      <c r="I15" s="6">
        <v>0</v>
      </c>
      <c r="J15" s="7"/>
      <c r="K15" s="5"/>
      <c r="L15" s="5"/>
      <c r="M15" s="5">
        <v>10308600</v>
      </c>
      <c r="N15" s="6">
        <v>14317.5</v>
      </c>
      <c r="O15" s="7"/>
      <c r="P15" s="5"/>
      <c r="Q15" s="5"/>
      <c r="R15" s="5">
        <v>5734000</v>
      </c>
      <c r="S15" s="6">
        <v>7963.8888888888896</v>
      </c>
      <c r="T15" s="7"/>
      <c r="U15" s="5"/>
      <c r="V15" s="5"/>
      <c r="W15" s="5">
        <v>7841700</v>
      </c>
      <c r="X15" s="6">
        <v>10891.25</v>
      </c>
      <c r="Y15" s="7"/>
      <c r="Z15" s="5"/>
      <c r="AA15" s="5"/>
      <c r="AB15" s="5">
        <v>5898198</v>
      </c>
      <c r="AC15" s="15" t="s">
        <v>53</v>
      </c>
      <c r="AD15" s="7"/>
      <c r="AE15" s="5"/>
      <c r="AF15" s="5"/>
      <c r="AG15" s="5">
        <v>342925</v>
      </c>
      <c r="AH15" s="15" t="s">
        <v>53</v>
      </c>
      <c r="AI15" s="7"/>
      <c r="AJ15" s="5"/>
      <c r="AK15" s="5"/>
      <c r="AL15" s="5">
        <v>5434115</v>
      </c>
      <c r="AM15" s="15" t="s">
        <v>53</v>
      </c>
      <c r="AN15" s="7"/>
      <c r="AO15" s="5"/>
      <c r="AP15" s="5"/>
      <c r="AQ15" s="5">
        <v>6041635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173267</v>
      </c>
      <c r="BB15" s="15" t="s">
        <v>54</v>
      </c>
      <c r="BC15" s="7"/>
      <c r="BD15" s="5"/>
      <c r="BE15" s="5"/>
      <c r="BF15" s="5">
        <v>185129</v>
      </c>
      <c r="BG15" s="15" t="s">
        <v>54</v>
      </c>
      <c r="BH15" s="7"/>
      <c r="BI15" s="5"/>
      <c r="BJ15" s="5"/>
      <c r="BK15" s="5">
        <v>181979</v>
      </c>
      <c r="BL15" s="15" t="s">
        <v>54</v>
      </c>
      <c r="BM15" s="7"/>
      <c r="BN15" s="5"/>
      <c r="BO15" s="5"/>
    </row>
    <row r="16" spans="1:67" ht="30" customHeight="1">
      <c r="A16" s="5" t="s">
        <v>55</v>
      </c>
      <c r="B16" s="5" t="s">
        <v>47</v>
      </c>
      <c r="C16" s="5">
        <v>14557.21</v>
      </c>
      <c r="D16" s="5"/>
      <c r="E16" s="7"/>
      <c r="F16" s="5"/>
      <c r="G16" s="5"/>
      <c r="H16" s="5">
        <v>0</v>
      </c>
      <c r="I16" s="5"/>
      <c r="J16" s="7"/>
      <c r="K16" s="5"/>
      <c r="L16" s="5"/>
      <c r="M16" s="5">
        <v>201090.35</v>
      </c>
      <c r="N16" s="5"/>
      <c r="O16" s="7"/>
      <c r="P16" s="5"/>
      <c r="Q16" s="5"/>
      <c r="R16" s="5">
        <v>126068.02</v>
      </c>
      <c r="S16" s="5"/>
      <c r="T16" s="7"/>
      <c r="U16" s="5"/>
      <c r="V16" s="5"/>
      <c r="W16" s="5">
        <v>177334.93</v>
      </c>
      <c r="X16" s="5"/>
      <c r="Y16" s="7"/>
      <c r="Z16" s="5"/>
      <c r="AA16" s="5"/>
      <c r="AB16" s="5">
        <v>201090.35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177334.93</v>
      </c>
      <c r="AM16" s="5"/>
      <c r="AN16" s="7"/>
      <c r="AO16" s="5"/>
      <c r="AP16" s="5"/>
      <c r="AQ16" s="5">
        <v>126068.02</v>
      </c>
      <c r="AR16" s="5"/>
      <c r="AS16" s="7"/>
      <c r="AT16" s="5"/>
      <c r="AU16" s="5"/>
      <c r="AV16" s="5">
        <v>0</v>
      </c>
      <c r="AW16" s="5"/>
      <c r="AX16" s="7"/>
      <c r="AY16" s="5"/>
      <c r="AZ16" s="5"/>
      <c r="BA16" s="5">
        <v>126068.02</v>
      </c>
      <c r="BB16" s="5"/>
      <c r="BC16" s="7"/>
      <c r="BD16" s="5"/>
      <c r="BE16" s="5"/>
      <c r="BF16" s="5">
        <v>177334.93</v>
      </c>
      <c r="BG16" s="5"/>
      <c r="BH16" s="7"/>
      <c r="BI16" s="5"/>
      <c r="BJ16" s="5"/>
      <c r="BK16" s="5">
        <v>201090.35</v>
      </c>
      <c r="BL16" s="5"/>
      <c r="BM16" s="7"/>
      <c r="BN16" s="5"/>
      <c r="BO16" s="5"/>
    </row>
    <row r="17" spans="3:3" ht="30" customHeight="1"/>
    <row r="18" spans="3:3" ht="30" customHeight="1"/>
    <row r="19" spans="3:3" ht="30" customHeight="1"/>
    <row r="20" spans="3:3">
      <c r="C20" s="2">
        <f t="shared" ref="C20:C32" si="0">C4+H4+M4+R4+W4+AB4+AG4+AL4+AQ4+AV4+BA4+BF4+BK4</f>
        <v>53263050</v>
      </c>
    </row>
    <row r="21" spans="3:3">
      <c r="C21" s="17">
        <f t="shared" si="0"/>
        <v>1340.5888</v>
      </c>
    </row>
    <row r="22" spans="3:3">
      <c r="C22" s="2">
        <f t="shared" si="0"/>
        <v>2140000</v>
      </c>
    </row>
    <row r="23" spans="3:3">
      <c r="C23" s="2">
        <f t="shared" si="0"/>
        <v>248000</v>
      </c>
    </row>
    <row r="24" spans="3:3">
      <c r="C24" s="2">
        <f t="shared" si="0"/>
        <v>463096</v>
      </c>
    </row>
    <row r="25" spans="3:3">
      <c r="C25" s="2">
        <f t="shared" si="0"/>
        <v>754758</v>
      </c>
    </row>
    <row r="26" spans="3:3">
      <c r="C26" s="2">
        <f t="shared" si="0"/>
        <v>101546</v>
      </c>
    </row>
    <row r="27" spans="3:3">
      <c r="C27" s="2">
        <f t="shared" si="0"/>
        <v>90746</v>
      </c>
    </row>
    <row r="28" spans="3:3">
      <c r="C28" s="2">
        <f t="shared" si="0"/>
        <v>513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43666148</v>
      </c>
    </row>
    <row r="32" spans="3:3">
      <c r="C32" s="2">
        <f t="shared" si="0"/>
        <v>1528037.11</v>
      </c>
    </row>
  </sheetData>
  <mergeCells count="15">
    <mergeCell ref="BA2:BD2"/>
    <mergeCell ref="BF2:BI2"/>
    <mergeCell ref="BK2:BN2"/>
    <mergeCell ref="A2:A3"/>
    <mergeCell ref="B2:B3"/>
    <mergeCell ref="AB2:AE2"/>
    <mergeCell ref="AG2:AJ2"/>
    <mergeCell ref="AL2:AO2"/>
    <mergeCell ref="AQ2:AT2"/>
    <mergeCell ref="AV2:AY2"/>
    <mergeCell ref="C2:F2"/>
    <mergeCell ref="H2:K2"/>
    <mergeCell ref="M2:P2"/>
    <mergeCell ref="R2:U2"/>
    <mergeCell ref="W2:Z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BO32"/>
  <sheetViews>
    <sheetView topLeftCell="A5" workbookViewId="0">
      <selection activeCell="C25" sqref="C25"/>
    </sheetView>
  </sheetViews>
  <sheetFormatPr defaultColWidth="9" defaultRowHeight="13.5"/>
  <cols>
    <col min="1" max="1" width="18.875" style="2" customWidth="1"/>
    <col min="2" max="2" width="7.5" style="2" customWidth="1"/>
    <col min="3" max="5" width="9.625" style="2" customWidth="1"/>
    <col min="6" max="7" width="12.375" style="2" customWidth="1"/>
    <col min="8" max="10" width="9.625" style="2" customWidth="1"/>
    <col min="11" max="12" width="12.375" style="2" customWidth="1"/>
    <col min="13" max="15" width="9.625" style="2" customWidth="1"/>
    <col min="16" max="17" width="12.375" style="2" customWidth="1"/>
    <col min="18" max="20" width="9.625" style="2" customWidth="1"/>
    <col min="21" max="22" width="12.375" style="2" customWidth="1"/>
    <col min="23" max="25" width="9.625" style="2" customWidth="1"/>
    <col min="26" max="27" width="12.375" style="2" customWidth="1"/>
    <col min="28" max="30" width="9.625" style="2" customWidth="1"/>
    <col min="31" max="32" width="12.375" style="2" customWidth="1"/>
    <col min="33" max="35" width="9.625" style="2" customWidth="1"/>
    <col min="36" max="37" width="12.375" style="2" customWidth="1"/>
    <col min="38" max="40" width="9.625" style="2" customWidth="1"/>
    <col min="41" max="42" width="12.375" style="2" customWidth="1"/>
    <col min="43" max="45" width="9.625" style="2" customWidth="1"/>
    <col min="46" max="47" width="12.375" style="2" customWidth="1"/>
    <col min="48" max="50" width="9.625" style="2" customWidth="1"/>
    <col min="51" max="52" width="12.375" style="2" customWidth="1"/>
    <col min="53" max="55" width="9.625" style="2" customWidth="1"/>
    <col min="56" max="57" width="12.375" style="2" customWidth="1"/>
    <col min="58" max="60" width="9.625" style="2" customWidth="1"/>
    <col min="61" max="62" width="12.375" style="2" customWidth="1"/>
    <col min="63" max="65" width="9.625" style="2" customWidth="1"/>
    <col min="66" max="67" width="12.375" style="2" customWidth="1"/>
    <col min="68" max="16384" width="9" style="1"/>
  </cols>
  <sheetData>
    <row r="1" spans="1:67">
      <c r="A1" s="2" t="s">
        <v>56</v>
      </c>
      <c r="B1" s="2">
        <v>31</v>
      </c>
    </row>
    <row r="2" spans="1:67">
      <c r="A2" s="27" t="s">
        <v>20</v>
      </c>
      <c r="B2" s="27" t="s">
        <v>21</v>
      </c>
      <c r="C2" s="27" t="s">
        <v>22</v>
      </c>
      <c r="D2" s="27"/>
      <c r="E2" s="27"/>
      <c r="F2" s="27"/>
      <c r="G2" s="3"/>
      <c r="H2" s="27" t="s">
        <v>23</v>
      </c>
      <c r="I2" s="27"/>
      <c r="J2" s="27"/>
      <c r="K2" s="27"/>
      <c r="L2" s="3"/>
      <c r="M2" s="27" t="s">
        <v>24</v>
      </c>
      <c r="N2" s="27"/>
      <c r="O2" s="27"/>
      <c r="P2" s="27"/>
      <c r="Q2" s="3"/>
      <c r="R2" s="27" t="s">
        <v>25</v>
      </c>
      <c r="S2" s="27"/>
      <c r="T2" s="27"/>
      <c r="U2" s="27"/>
      <c r="V2" s="3"/>
      <c r="W2" s="27" t="s">
        <v>26</v>
      </c>
      <c r="X2" s="27"/>
      <c r="Y2" s="27"/>
      <c r="Z2" s="27"/>
      <c r="AA2" s="3"/>
      <c r="AB2" s="27" t="s">
        <v>27</v>
      </c>
      <c r="AC2" s="27"/>
      <c r="AD2" s="27"/>
      <c r="AE2" s="27"/>
      <c r="AF2" s="3"/>
      <c r="AG2" s="27" t="s">
        <v>28</v>
      </c>
      <c r="AH2" s="27"/>
      <c r="AI2" s="27"/>
      <c r="AJ2" s="27"/>
      <c r="AK2" s="3"/>
      <c r="AL2" s="27" t="s">
        <v>29</v>
      </c>
      <c r="AM2" s="27"/>
      <c r="AN2" s="27"/>
      <c r="AO2" s="27"/>
      <c r="AP2" s="3"/>
      <c r="AQ2" s="27" t="s">
        <v>30</v>
      </c>
      <c r="AR2" s="27"/>
      <c r="AS2" s="27"/>
      <c r="AT2" s="27"/>
      <c r="AU2" s="3"/>
      <c r="AV2" s="27" t="s">
        <v>31</v>
      </c>
      <c r="AW2" s="27"/>
      <c r="AX2" s="27"/>
      <c r="AY2" s="27"/>
      <c r="AZ2" s="3"/>
      <c r="BA2" s="27" t="s">
        <v>32</v>
      </c>
      <c r="BB2" s="27"/>
      <c r="BC2" s="27"/>
      <c r="BD2" s="27"/>
      <c r="BE2" s="3"/>
      <c r="BF2" s="27" t="s">
        <v>33</v>
      </c>
      <c r="BG2" s="27"/>
      <c r="BH2" s="27"/>
      <c r="BI2" s="27"/>
      <c r="BJ2" s="3"/>
      <c r="BK2" s="27" t="s">
        <v>34</v>
      </c>
      <c r="BL2" s="27"/>
      <c r="BM2" s="27"/>
      <c r="BN2" s="27"/>
      <c r="BO2" s="3"/>
    </row>
    <row r="3" spans="1:67" ht="30" customHeight="1">
      <c r="A3" s="27"/>
      <c r="B3" s="27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pans="1:67" ht="30" customHeight="1">
      <c r="A4" s="5" t="s">
        <v>42</v>
      </c>
      <c r="B4" s="5" t="s">
        <v>43</v>
      </c>
      <c r="C4" s="6">
        <v>3913.0266040000001</v>
      </c>
      <c r="D4" s="6">
        <v>5.25944436021505</v>
      </c>
      <c r="E4" s="7">
        <v>0.48091096963160002</v>
      </c>
      <c r="F4" s="7" t="e">
        <v>#DIV/0!</v>
      </c>
      <c r="G4" s="8" t="e">
        <v>#DIV/0!</v>
      </c>
      <c r="H4" s="6">
        <v>3621.3040719999999</v>
      </c>
      <c r="I4" s="6">
        <v>4.8673441827956996</v>
      </c>
      <c r="J4" s="7">
        <v>0.44505827044879998</v>
      </c>
      <c r="K4" s="7">
        <v>4.60485930581057E-2</v>
      </c>
      <c r="L4" s="8" t="e">
        <v>#DIV/0!</v>
      </c>
      <c r="M4" s="6">
        <v>1605.391292</v>
      </c>
      <c r="N4" s="6">
        <v>2.1577839946236601</v>
      </c>
      <c r="O4" s="7">
        <v>0.19730258978679999</v>
      </c>
      <c r="P4" s="13">
        <v>9.6159874286529199E-4</v>
      </c>
      <c r="Q4" s="14">
        <v>2.28090205760329E-5</v>
      </c>
      <c r="R4" s="6">
        <v>5572.0838329999997</v>
      </c>
      <c r="S4" s="6">
        <v>7.4893599905914003</v>
      </c>
      <c r="T4" s="7">
        <v>0.68480910307569998</v>
      </c>
      <c r="U4" s="7">
        <v>5.5182190110407998E-3</v>
      </c>
      <c r="V4" s="8">
        <v>1.19076526356408E-4</v>
      </c>
      <c r="W4" s="6">
        <v>11288.1942</v>
      </c>
      <c r="X4" s="6">
        <v>15.172304032258101</v>
      </c>
      <c r="Y4" s="7">
        <v>1.38731906718</v>
      </c>
      <c r="Z4" s="7">
        <v>7.5894654392759204E-3</v>
      </c>
      <c r="AA4" s="8">
        <v>1.7772470755572601E-4</v>
      </c>
      <c r="AB4" s="6">
        <v>1661800</v>
      </c>
      <c r="AC4" s="6">
        <v>2233.6021505376302</v>
      </c>
      <c r="AD4" s="7">
        <v>204.23522</v>
      </c>
      <c r="AE4" s="7">
        <v>3.3838927640095398E-2</v>
      </c>
      <c r="AF4" s="8">
        <v>3.3838927640095398E-2</v>
      </c>
      <c r="AG4" s="6">
        <v>15680</v>
      </c>
      <c r="AH4" s="6">
        <v>21.0752688172043</v>
      </c>
      <c r="AI4" s="7">
        <v>1.9270719999999999</v>
      </c>
      <c r="AJ4" s="7" t="e">
        <v>#DIV/0!</v>
      </c>
      <c r="AK4" s="8">
        <v>5.6079200544765697E-3</v>
      </c>
      <c r="AL4" s="6">
        <v>2077920</v>
      </c>
      <c r="AM4" s="6">
        <v>2792.9032258064499</v>
      </c>
      <c r="AN4" s="7">
        <v>255.37636800000001</v>
      </c>
      <c r="AO4" s="7">
        <v>1.3970615446694099</v>
      </c>
      <c r="AP4" s="8">
        <v>4.5018859429617898E-2</v>
      </c>
      <c r="AQ4" s="6">
        <v>2461680</v>
      </c>
      <c r="AR4" s="6">
        <v>3308.7096774193501</v>
      </c>
      <c r="AS4" s="7">
        <v>302.54047200000002</v>
      </c>
      <c r="AT4" s="7">
        <v>1.65507741553177</v>
      </c>
      <c r="AU4" s="8">
        <v>5.3333153288241002E-2</v>
      </c>
      <c r="AV4" s="6">
        <v>767880</v>
      </c>
      <c r="AW4" s="6">
        <v>1032.0967741935499</v>
      </c>
      <c r="AX4" s="7">
        <v>94.372451999999996</v>
      </c>
      <c r="AY4" s="7"/>
      <c r="AZ4" s="8"/>
      <c r="BA4" s="6">
        <v>10913100</v>
      </c>
      <c r="BB4" s="6">
        <v>14668.1451612903</v>
      </c>
      <c r="BC4" s="7">
        <v>1341.2199900000001</v>
      </c>
      <c r="BD4" s="7">
        <v>10.807604065957999</v>
      </c>
      <c r="BE4" s="8">
        <v>9.9624888766740707</v>
      </c>
      <c r="BF4" s="6">
        <v>16707900</v>
      </c>
      <c r="BG4" s="6">
        <v>22456.8548387097</v>
      </c>
      <c r="BH4" s="7">
        <v>2053.4009099999998</v>
      </c>
      <c r="BI4" s="7">
        <v>11.2333316885068</v>
      </c>
      <c r="BJ4" s="8">
        <v>10.586177811001701</v>
      </c>
      <c r="BK4" s="6">
        <v>17527950</v>
      </c>
      <c r="BL4" s="6">
        <v>0</v>
      </c>
      <c r="BM4" s="7">
        <v>2154.1850549999999</v>
      </c>
      <c r="BN4" s="7">
        <v>10.4989075056013</v>
      </c>
      <c r="BO4" s="8">
        <v>11.224624601388101</v>
      </c>
    </row>
    <row r="5" spans="1:67" ht="30" customHeight="1">
      <c r="A5" s="5" t="s">
        <v>13</v>
      </c>
      <c r="B5" s="5" t="s">
        <v>44</v>
      </c>
      <c r="C5" s="6">
        <v>0</v>
      </c>
      <c r="D5" s="6">
        <v>0</v>
      </c>
      <c r="E5" s="7">
        <v>0</v>
      </c>
      <c r="F5" s="7" t="e">
        <v>#DIV/0!</v>
      </c>
      <c r="G5" s="8" t="e">
        <v>#DIV/0!</v>
      </c>
      <c r="H5" s="6">
        <v>0</v>
      </c>
      <c r="I5" s="6">
        <v>0</v>
      </c>
      <c r="J5" s="7">
        <v>0</v>
      </c>
      <c r="K5" s="7">
        <v>0</v>
      </c>
      <c r="L5" s="8" t="e">
        <v>#DIV/0!</v>
      </c>
      <c r="M5" s="6">
        <v>539.99519999999995</v>
      </c>
      <c r="N5" s="6">
        <v>0.7258</v>
      </c>
      <c r="O5" s="7">
        <v>18.413836320000001</v>
      </c>
      <c r="P5" s="7">
        <v>8.9743991073673507E-2</v>
      </c>
      <c r="Q5" s="8">
        <v>2.1287179857113099E-3</v>
      </c>
      <c r="R5" s="6">
        <v>2263.0367999999999</v>
      </c>
      <c r="S5" s="6">
        <v>3.0417161290322601</v>
      </c>
      <c r="T5" s="7">
        <v>77.169554880000007</v>
      </c>
      <c r="U5" s="7">
        <v>0.62183534491553005</v>
      </c>
      <c r="V5" s="8">
        <v>1.3418458508085601E-2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pans="1:67" ht="30" customHeight="1">
      <c r="A6" s="5" t="s">
        <v>16</v>
      </c>
      <c r="B6" s="5" t="s">
        <v>45</v>
      </c>
      <c r="C6" s="6">
        <v>13000</v>
      </c>
      <c r="D6" s="6">
        <v>17.473118279569899</v>
      </c>
      <c r="E6" s="7">
        <v>0.21970000000000001</v>
      </c>
      <c r="F6" s="7" t="e">
        <v>#DIV/0!</v>
      </c>
      <c r="G6" s="8" t="e">
        <v>#DIV/0!</v>
      </c>
      <c r="H6" s="6">
        <v>62000</v>
      </c>
      <c r="I6" s="6">
        <v>83.3333333333333</v>
      </c>
      <c r="J6" s="7">
        <v>1.0478000000000001</v>
      </c>
      <c r="K6" s="7">
        <v>0.108412131646555</v>
      </c>
      <c r="L6" s="8" t="e">
        <v>#DIV/0!</v>
      </c>
      <c r="M6" s="6">
        <v>537000</v>
      </c>
      <c r="N6" s="6">
        <v>721.77419354838696</v>
      </c>
      <c r="O6" s="7">
        <v>9.0753000000000004</v>
      </c>
      <c r="P6" s="7">
        <v>4.4230524700944497E-2</v>
      </c>
      <c r="Q6" s="8">
        <v>1.0491433724075701E-3</v>
      </c>
      <c r="R6" s="6">
        <v>118000</v>
      </c>
      <c r="S6" s="6">
        <v>158.602150537634</v>
      </c>
      <c r="T6" s="7">
        <v>1.9942</v>
      </c>
      <c r="U6" s="7">
        <v>1.6069342978054901E-2</v>
      </c>
      <c r="V6" s="8">
        <v>3.4675708572422199E-4</v>
      </c>
      <c r="W6" s="6">
        <v>1037000</v>
      </c>
      <c r="X6" s="6">
        <v>1393.81720430108</v>
      </c>
      <c r="Y6" s="7">
        <v>17.525300000000001</v>
      </c>
      <c r="Z6" s="7">
        <v>9.5873877761448706E-2</v>
      </c>
      <c r="AA6" s="8">
        <v>2.2451063284652799E-3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pans="1:67" ht="30" customHeight="1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 t="e">
        <v>#DIV/0!</v>
      </c>
      <c r="G7" s="8" t="e">
        <v>#DIV/0!</v>
      </c>
      <c r="H7" s="6">
        <v>0</v>
      </c>
      <c r="I7" s="6">
        <v>0</v>
      </c>
      <c r="J7" s="7">
        <v>0</v>
      </c>
      <c r="K7" s="7">
        <v>0</v>
      </c>
      <c r="L7" s="8" t="e">
        <v>#DIV/0!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85333.333333333299</v>
      </c>
      <c r="BB7" s="6">
        <v>114.695340501792</v>
      </c>
      <c r="BC7" s="7">
        <v>1.4421333333333299</v>
      </c>
      <c r="BD7" s="7">
        <v>1.1620767803339101E-2</v>
      </c>
      <c r="BE7" s="8">
        <v>1.07120661779088E-2</v>
      </c>
      <c r="BF7" s="6">
        <v>85333.333333333299</v>
      </c>
      <c r="BG7" s="6">
        <v>114.695340501792</v>
      </c>
      <c r="BH7" s="7">
        <v>1.4421333333333299</v>
      </c>
      <c r="BI7" s="7">
        <v>7.8893322748090199E-3</v>
      </c>
      <c r="BJ7" s="8">
        <v>7.4348266914127598E-3</v>
      </c>
      <c r="BK7" s="6">
        <v>85333.333333333299</v>
      </c>
      <c r="BL7" s="6">
        <v>114.695340501792</v>
      </c>
      <c r="BM7" s="7">
        <v>1.4421333333333299</v>
      </c>
      <c r="BN7" s="7">
        <v>7.0285625843834899E-3</v>
      </c>
      <c r="BO7" s="8">
        <v>7.5143986605250897E-3</v>
      </c>
    </row>
    <row r="8" spans="1:67" ht="30" customHeight="1">
      <c r="A8" s="5" t="s">
        <v>46</v>
      </c>
      <c r="B8" s="5" t="s">
        <v>47</v>
      </c>
      <c r="C8" s="6">
        <v>0</v>
      </c>
      <c r="D8" s="6">
        <v>0</v>
      </c>
      <c r="E8" s="7">
        <v>0</v>
      </c>
      <c r="F8" s="7" t="e">
        <v>#DIV/0!</v>
      </c>
      <c r="G8" s="8" t="e">
        <v>#DIV/0!</v>
      </c>
      <c r="H8" s="6"/>
      <c r="I8" s="6"/>
      <c r="J8" s="7"/>
      <c r="K8" s="7"/>
      <c r="L8" s="8"/>
      <c r="M8" s="6">
        <v>344848</v>
      </c>
      <c r="N8" s="6">
        <v>463.50537634408602</v>
      </c>
      <c r="O8" s="7">
        <v>16.380279999999999</v>
      </c>
      <c r="P8" s="7">
        <v>7.9832994958666706E-2</v>
      </c>
      <c r="Q8" s="8">
        <v>1.89363020508196E-3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pans="1:67" ht="30" customHeight="1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 t="e">
        <v>#DIV/0!</v>
      </c>
      <c r="M9" s="5"/>
      <c r="N9" s="6"/>
      <c r="O9" s="7"/>
      <c r="P9" s="9"/>
      <c r="Q9" s="9"/>
      <c r="R9" s="5">
        <v>416079</v>
      </c>
      <c r="S9" s="6">
        <v>0</v>
      </c>
      <c r="T9" s="7">
        <v>19.763752499999999</v>
      </c>
      <c r="U9" s="7">
        <v>0.159257104330503</v>
      </c>
      <c r="V9" s="8">
        <v>3.4365766823161201E-3</v>
      </c>
      <c r="W9" s="5">
        <v>343634</v>
      </c>
      <c r="X9" s="6">
        <v>0</v>
      </c>
      <c r="Y9" s="7">
        <v>16.322614999999999</v>
      </c>
      <c r="Z9" s="7">
        <v>8.92944711506901E-2</v>
      </c>
      <c r="AA9" s="8">
        <v>2.0910344606712801E-3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pans="1:67" ht="30" customHeight="1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60012</v>
      </c>
      <c r="AR10" s="6">
        <v>80.661290322580598</v>
      </c>
      <c r="AS10" s="7">
        <v>2.8505699999999998</v>
      </c>
      <c r="AT10" s="7">
        <v>2.2970006525400599E-2</v>
      </c>
      <c r="AU10" s="8">
        <v>4.6297027155816299E-4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pans="1:67" ht="30" customHeight="1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39450</v>
      </c>
      <c r="AH11" s="6">
        <v>53.024193548387103</v>
      </c>
      <c r="AI11" s="7">
        <v>1.63323</v>
      </c>
      <c r="AJ11" s="7" t="e">
        <v>#DIV/0!</v>
      </c>
      <c r="AK11" s="8">
        <v>4.7528184056292496E-3</v>
      </c>
      <c r="AL11" s="5">
        <v>5183</v>
      </c>
      <c r="AM11" s="6">
        <v>6.9663978494623704</v>
      </c>
      <c r="AN11" s="7">
        <v>0.21457619999999999</v>
      </c>
      <c r="AO11" s="7">
        <v>1.1738602117690501E-3</v>
      </c>
      <c r="AP11" s="8">
        <v>3.7826427951789098E-5</v>
      </c>
      <c r="AQ11" s="5"/>
      <c r="AR11" s="6"/>
      <c r="AS11" s="7"/>
      <c r="AT11" s="9"/>
      <c r="AU11" s="9"/>
      <c r="AV11" s="5">
        <v>91467</v>
      </c>
      <c r="AW11" s="6">
        <v>122.939516129032</v>
      </c>
      <c r="AX11" s="7">
        <v>3.7867337999999999</v>
      </c>
      <c r="AY11" s="7">
        <v>0.39179985038753401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pans="1:67" ht="30" customHeight="1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45</v>
      </c>
      <c r="AC12" s="6">
        <v>6.0483870967741903E-2</v>
      </c>
      <c r="AD12" s="7">
        <v>1.8630000000000001E-3</v>
      </c>
      <c r="AE12" s="9">
        <v>3.0867311815022802E-7</v>
      </c>
      <c r="AF12" s="9">
        <v>3.0867311815022802E-7</v>
      </c>
      <c r="AG12" s="5"/>
      <c r="AH12" s="6"/>
      <c r="AI12" s="7"/>
      <c r="AJ12" s="9"/>
      <c r="AK12" s="9"/>
      <c r="AL12" s="5">
        <v>522</v>
      </c>
      <c r="AM12" s="6">
        <v>0.70161290322580605</v>
      </c>
      <c r="AN12" s="7">
        <v>2.1610799999999999E-2</v>
      </c>
      <c r="AO12" s="7">
        <v>1.1822400743651301E-4</v>
      </c>
      <c r="AP12" s="8">
        <v>1.1822400743651301E-4</v>
      </c>
      <c r="AQ12" s="5"/>
      <c r="AR12" s="6"/>
      <c r="AS12" s="7"/>
      <c r="AT12" s="9"/>
      <c r="AU12" s="9"/>
      <c r="AV12" s="5">
        <v>5800</v>
      </c>
      <c r="AW12" s="6">
        <v>7.7956989247311803</v>
      </c>
      <c r="AX12" s="7">
        <v>0.24012</v>
      </c>
      <c r="AY12" s="7">
        <v>2.4844360613638702E-2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pans="1:67" ht="30" customHeight="1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pans="1:67" ht="30" customHeight="1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pans="1:67" ht="30" customHeight="1">
      <c r="A15" s="10" t="s">
        <v>52</v>
      </c>
      <c r="B15" s="5" t="s">
        <v>43</v>
      </c>
      <c r="C15" s="5">
        <v>0</v>
      </c>
      <c r="D15" s="6">
        <v>0</v>
      </c>
      <c r="E15" s="7"/>
      <c r="F15" s="5"/>
      <c r="G15" s="5"/>
      <c r="H15" s="5">
        <v>0</v>
      </c>
      <c r="I15" s="6">
        <v>0</v>
      </c>
      <c r="J15" s="7"/>
      <c r="K15" s="5"/>
      <c r="L15" s="5"/>
      <c r="M15" s="5">
        <v>8650200</v>
      </c>
      <c r="N15" s="6">
        <v>11626.6129032258</v>
      </c>
      <c r="O15" s="7"/>
      <c r="P15" s="5"/>
      <c r="Q15" s="5"/>
      <c r="R15" s="5">
        <v>5751000</v>
      </c>
      <c r="S15" s="6">
        <v>7729.8387096774204</v>
      </c>
      <c r="T15" s="7"/>
      <c r="U15" s="5"/>
      <c r="V15" s="5"/>
      <c r="W15" s="5">
        <v>7806000</v>
      </c>
      <c r="X15" s="6">
        <v>10491.935483871001</v>
      </c>
      <c r="Y15" s="7"/>
      <c r="Z15" s="5"/>
      <c r="AA15" s="5"/>
      <c r="AB15" s="5">
        <v>6035511</v>
      </c>
      <c r="AC15" s="15" t="s">
        <v>53</v>
      </c>
      <c r="AD15" s="7"/>
      <c r="AE15" s="5"/>
      <c r="AF15" s="5"/>
      <c r="AG15" s="5">
        <v>343634</v>
      </c>
      <c r="AH15" s="15" t="s">
        <v>53</v>
      </c>
      <c r="AI15" s="7"/>
      <c r="AJ15" s="5"/>
      <c r="AK15" s="5"/>
      <c r="AL15" s="5">
        <v>5672653</v>
      </c>
      <c r="AM15" s="15" t="s">
        <v>53</v>
      </c>
      <c r="AN15" s="7"/>
      <c r="AO15" s="5"/>
      <c r="AP15" s="5"/>
      <c r="AQ15" s="5">
        <v>6157134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134627</v>
      </c>
      <c r="BB15" s="15" t="s">
        <v>54</v>
      </c>
      <c r="BC15" s="7"/>
      <c r="BD15" s="5"/>
      <c r="BE15" s="5"/>
      <c r="BF15" s="5">
        <v>193970</v>
      </c>
      <c r="BG15" s="15" t="s">
        <v>54</v>
      </c>
      <c r="BH15" s="7"/>
      <c r="BI15" s="5"/>
      <c r="BJ15" s="5"/>
      <c r="BK15" s="5">
        <v>191916</v>
      </c>
      <c r="BL15" s="15" t="s">
        <v>54</v>
      </c>
      <c r="BM15" s="7"/>
      <c r="BN15" s="5"/>
      <c r="BO15" s="5"/>
    </row>
    <row r="16" spans="1:67" ht="30" customHeight="1">
      <c r="A16" s="5" t="s">
        <v>55</v>
      </c>
      <c r="B16" s="5" t="s">
        <v>47</v>
      </c>
      <c r="C16" s="5">
        <v>0</v>
      </c>
      <c r="D16" s="5"/>
      <c r="E16" s="7"/>
      <c r="F16" s="5"/>
      <c r="G16" s="5"/>
      <c r="H16" s="5">
        <v>9664.9699999999993</v>
      </c>
      <c r="I16" s="5"/>
      <c r="J16" s="7"/>
      <c r="K16" s="5"/>
      <c r="L16" s="5"/>
      <c r="M16" s="5">
        <v>205181.83</v>
      </c>
      <c r="N16" s="5"/>
      <c r="O16" s="7"/>
      <c r="P16" s="5"/>
      <c r="Q16" s="5"/>
      <c r="R16" s="5">
        <v>124099.66</v>
      </c>
      <c r="S16" s="5"/>
      <c r="T16" s="7"/>
      <c r="U16" s="5"/>
      <c r="V16" s="5"/>
      <c r="W16" s="5">
        <v>182795.36</v>
      </c>
      <c r="X16" s="5"/>
      <c r="Y16" s="7"/>
      <c r="Z16" s="5"/>
      <c r="AA16" s="5"/>
      <c r="AB16" s="5">
        <v>6035511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182795.36</v>
      </c>
      <c r="AM16" s="5"/>
      <c r="AN16" s="7"/>
      <c r="AO16" s="5"/>
      <c r="AP16" s="5"/>
      <c r="AQ16" s="5">
        <v>124099.66</v>
      </c>
      <c r="AR16" s="5"/>
      <c r="AS16" s="7"/>
      <c r="AT16" s="5"/>
      <c r="AU16" s="5"/>
      <c r="AV16" s="5">
        <v>9664.9699999999993</v>
      </c>
      <c r="AW16" s="5"/>
      <c r="AX16" s="7"/>
      <c r="AY16" s="5"/>
      <c r="AZ16" s="5"/>
      <c r="BA16" s="5">
        <v>124099.66</v>
      </c>
      <c r="BB16" s="5"/>
      <c r="BC16" s="7"/>
      <c r="BD16" s="5"/>
      <c r="BE16" s="5"/>
      <c r="BF16" s="5">
        <v>182795.36</v>
      </c>
      <c r="BG16" s="5"/>
      <c r="BH16" s="7"/>
      <c r="BI16" s="5"/>
      <c r="BJ16" s="5"/>
      <c r="BK16" s="5">
        <v>205181.83</v>
      </c>
      <c r="BL16" s="5"/>
      <c r="BM16" s="7"/>
      <c r="BN16" s="5"/>
      <c r="BO16" s="5"/>
    </row>
    <row r="17" spans="3:3" ht="30" customHeight="1"/>
    <row r="18" spans="3:3" ht="30" customHeight="1"/>
    <row r="19" spans="3:3" ht="30" customHeight="1"/>
    <row r="20" spans="3:3">
      <c r="C20" s="2">
        <f t="shared" ref="C20:C32" si="0">C4+H4+M4+R4+W4+AB4+AG4+AL4+AQ4+AV4+BA4+BF4+BK4</f>
        <v>52159910.000000998</v>
      </c>
    </row>
    <row r="21" spans="3:3">
      <c r="C21" s="17">
        <f t="shared" si="0"/>
        <v>2803.0320000000002</v>
      </c>
    </row>
    <row r="22" spans="3:3">
      <c r="C22" s="2">
        <f t="shared" si="0"/>
        <v>1767000</v>
      </c>
    </row>
    <row r="23" spans="3:3">
      <c r="C23" s="2">
        <f t="shared" si="0"/>
        <v>256000</v>
      </c>
    </row>
    <row r="24" spans="3:3">
      <c r="C24" s="2">
        <f t="shared" si="0"/>
        <v>344848</v>
      </c>
    </row>
    <row r="25" spans="3:3">
      <c r="C25" s="2">
        <f t="shared" si="0"/>
        <v>759713</v>
      </c>
    </row>
    <row r="26" spans="3:3">
      <c r="C26" s="2">
        <f t="shared" si="0"/>
        <v>60012</v>
      </c>
    </row>
    <row r="27" spans="3:3">
      <c r="C27" s="2">
        <f t="shared" si="0"/>
        <v>136100</v>
      </c>
    </row>
    <row r="28" spans="3:3">
      <c r="C28" s="2">
        <f t="shared" si="0"/>
        <v>6367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40936645</v>
      </c>
    </row>
    <row r="32" spans="3:3">
      <c r="C32" s="2">
        <f t="shared" si="0"/>
        <v>7385889.6600000001</v>
      </c>
    </row>
  </sheetData>
  <mergeCells count="15">
    <mergeCell ref="BA2:BD2"/>
    <mergeCell ref="BF2:BI2"/>
    <mergeCell ref="BK2:BN2"/>
    <mergeCell ref="A2:A3"/>
    <mergeCell ref="B2:B3"/>
    <mergeCell ref="AB2:AE2"/>
    <mergeCell ref="AG2:AJ2"/>
    <mergeCell ref="AL2:AO2"/>
    <mergeCell ref="AQ2:AT2"/>
    <mergeCell ref="AV2:AY2"/>
    <mergeCell ref="C2:F2"/>
    <mergeCell ref="H2:K2"/>
    <mergeCell ref="M2:P2"/>
    <mergeCell ref="R2:U2"/>
    <mergeCell ref="W2:Z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5" style="2" customWidth="1"/>
    <col min="2" max="2" width="7.5" style="2" customWidth="1"/>
    <col min="3" max="5" width="9.625" style="2" customWidth="1"/>
    <col min="6" max="7" width="12.375" style="2" customWidth="1"/>
    <col min="8" max="10" width="9.625" style="2" customWidth="1"/>
    <col min="11" max="12" width="12.375" style="2" customWidth="1"/>
    <col min="13" max="15" width="9.625" style="2" customWidth="1"/>
    <col min="16" max="17" width="12.375" style="2" customWidth="1"/>
    <col min="18" max="20" width="9.625" style="2" customWidth="1"/>
    <col min="21" max="22" width="12.375" style="2" customWidth="1"/>
    <col min="23" max="25" width="9.625" style="2" customWidth="1"/>
    <col min="26" max="27" width="12.375" style="2" customWidth="1"/>
    <col min="28" max="30" width="9.625" style="2" customWidth="1"/>
    <col min="31" max="32" width="12.375" style="2" customWidth="1"/>
    <col min="33" max="35" width="9.625" style="2" customWidth="1"/>
    <col min="36" max="37" width="12.375" style="2" customWidth="1"/>
    <col min="38" max="40" width="9.625" style="2" customWidth="1"/>
    <col min="41" max="42" width="12.375" style="2" customWidth="1"/>
    <col min="43" max="45" width="9.625" style="2" customWidth="1"/>
    <col min="46" max="47" width="12.375" style="2" customWidth="1"/>
    <col min="48" max="50" width="9.625" style="2" customWidth="1"/>
    <col min="51" max="52" width="12.375" style="2" customWidth="1"/>
    <col min="53" max="55" width="9.625" style="2" customWidth="1"/>
    <col min="56" max="57" width="12.375" style="2" customWidth="1"/>
    <col min="58" max="60" width="9.625" style="2" customWidth="1"/>
    <col min="61" max="62" width="12.375" style="2" customWidth="1"/>
    <col min="63" max="65" width="9.625" style="2" customWidth="1"/>
    <col min="66" max="67" width="12.375" style="2" customWidth="1"/>
    <col min="68" max="16384" width="9" style="1"/>
  </cols>
  <sheetData>
    <row r="1" spans="1:67">
      <c r="A1" s="2" t="s">
        <v>56</v>
      </c>
      <c r="B1" s="2">
        <v>30</v>
      </c>
    </row>
    <row r="2" spans="1:67">
      <c r="A2" s="27" t="s">
        <v>20</v>
      </c>
      <c r="B2" s="27" t="s">
        <v>21</v>
      </c>
      <c r="C2" s="27" t="s">
        <v>22</v>
      </c>
      <c r="D2" s="27"/>
      <c r="E2" s="27"/>
      <c r="F2" s="27"/>
      <c r="G2" s="3"/>
      <c r="H2" s="27" t="s">
        <v>23</v>
      </c>
      <c r="I2" s="27"/>
      <c r="J2" s="27"/>
      <c r="K2" s="27"/>
      <c r="L2" s="3"/>
      <c r="M2" s="27" t="s">
        <v>24</v>
      </c>
      <c r="N2" s="27"/>
      <c r="O2" s="27"/>
      <c r="P2" s="27"/>
      <c r="Q2" s="3"/>
      <c r="R2" s="27" t="s">
        <v>25</v>
      </c>
      <c r="S2" s="27"/>
      <c r="T2" s="27"/>
      <c r="U2" s="27"/>
      <c r="V2" s="3"/>
      <c r="W2" s="27" t="s">
        <v>26</v>
      </c>
      <c r="X2" s="27"/>
      <c r="Y2" s="27"/>
      <c r="Z2" s="27"/>
      <c r="AA2" s="3"/>
      <c r="AB2" s="27" t="s">
        <v>27</v>
      </c>
      <c r="AC2" s="27"/>
      <c r="AD2" s="27"/>
      <c r="AE2" s="27"/>
      <c r="AF2" s="3"/>
      <c r="AG2" s="27" t="s">
        <v>28</v>
      </c>
      <c r="AH2" s="27"/>
      <c r="AI2" s="27"/>
      <c r="AJ2" s="27"/>
      <c r="AK2" s="3"/>
      <c r="AL2" s="27" t="s">
        <v>29</v>
      </c>
      <c r="AM2" s="27"/>
      <c r="AN2" s="27"/>
      <c r="AO2" s="27"/>
      <c r="AP2" s="3"/>
      <c r="AQ2" s="27" t="s">
        <v>30</v>
      </c>
      <c r="AR2" s="27"/>
      <c r="AS2" s="27"/>
      <c r="AT2" s="27"/>
      <c r="AU2" s="3"/>
      <c r="AV2" s="27" t="s">
        <v>31</v>
      </c>
      <c r="AW2" s="27"/>
      <c r="AX2" s="27"/>
      <c r="AY2" s="27"/>
      <c r="AZ2" s="3"/>
      <c r="BA2" s="27" t="s">
        <v>32</v>
      </c>
      <c r="BB2" s="27"/>
      <c r="BC2" s="27"/>
      <c r="BD2" s="27"/>
      <c r="BE2" s="3"/>
      <c r="BF2" s="27" t="s">
        <v>33</v>
      </c>
      <c r="BG2" s="27"/>
      <c r="BH2" s="27"/>
      <c r="BI2" s="27"/>
      <c r="BJ2" s="3"/>
      <c r="BK2" s="27" t="s">
        <v>34</v>
      </c>
      <c r="BL2" s="27"/>
      <c r="BM2" s="27"/>
      <c r="BN2" s="27"/>
      <c r="BO2" s="3"/>
    </row>
    <row r="3" spans="1:67" ht="30" customHeight="1">
      <c r="A3" s="27"/>
      <c r="B3" s="27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pans="1:67" ht="30" customHeight="1">
      <c r="A4" s="5" t="s">
        <v>42</v>
      </c>
      <c r="B4" s="5" t="s">
        <v>43</v>
      </c>
      <c r="C4" s="6">
        <v>5180.2452190000004</v>
      </c>
      <c r="D4" s="6">
        <v>7.1947850263888897</v>
      </c>
      <c r="E4" s="7">
        <v>0.63665213741509996</v>
      </c>
      <c r="F4" s="7" t="e">
        <v>#DIV/0!</v>
      </c>
      <c r="G4" s="8" t="e">
        <v>#DIV/0!</v>
      </c>
      <c r="H4" s="6">
        <v>4794.0494669999998</v>
      </c>
      <c r="I4" s="6">
        <v>6.6584020375000001</v>
      </c>
      <c r="J4" s="7">
        <v>0.58918867949429998</v>
      </c>
      <c r="K4" s="7">
        <v>3.7008904449068302E-3</v>
      </c>
      <c r="L4" s="8">
        <v>1.07125214453509E-4</v>
      </c>
      <c r="M4" s="6">
        <v>2125.2910870000001</v>
      </c>
      <c r="N4" s="6">
        <v>2.95179317638889</v>
      </c>
      <c r="O4" s="7">
        <v>0.26119827459229999</v>
      </c>
      <c r="P4" s="13">
        <v>1.30464875892369E-3</v>
      </c>
      <c r="Q4" s="14">
        <v>3.1375168119195198E-5</v>
      </c>
      <c r="R4" s="6">
        <v>7376.5817509999997</v>
      </c>
      <c r="S4" s="6">
        <v>10.245252431944399</v>
      </c>
      <c r="T4" s="7">
        <v>0.90658189719790006</v>
      </c>
      <c r="U4" s="7">
        <v>7.5493557287971804E-3</v>
      </c>
      <c r="V4" s="8">
        <v>1.6448615596159001E-4</v>
      </c>
      <c r="W4" s="6">
        <v>14943.832469999999</v>
      </c>
      <c r="X4" s="6">
        <v>20.755322875000001</v>
      </c>
      <c r="Y4" s="7">
        <v>1.8365970105630001</v>
      </c>
      <c r="Z4" s="7">
        <v>1.04264408211832E-2</v>
      </c>
      <c r="AA4" s="8">
        <v>2.4150814766696899E-4</v>
      </c>
      <c r="AB4" s="6">
        <v>1559200</v>
      </c>
      <c r="AC4" s="6">
        <v>2165.5555555555602</v>
      </c>
      <c r="AD4" s="7">
        <v>191.62567999999999</v>
      </c>
      <c r="AE4" s="7">
        <v>0.95714340372322804</v>
      </c>
      <c r="AF4" s="8">
        <v>3.30092532381683E-2</v>
      </c>
      <c r="AG4" s="6">
        <v>67000</v>
      </c>
      <c r="AH4" s="6">
        <v>93.0555555555556</v>
      </c>
      <c r="AI4" s="7">
        <v>8.2342999999999993</v>
      </c>
      <c r="AJ4" s="7" t="e">
        <v>#DIV/0!</v>
      </c>
      <c r="AK4" s="8">
        <v>2.4388170657662901E-2</v>
      </c>
      <c r="AL4" s="6">
        <v>2252720</v>
      </c>
      <c r="AM4" s="6">
        <v>3128.7777777777801</v>
      </c>
      <c r="AN4" s="7">
        <v>276.85928799999999</v>
      </c>
      <c r="AO4" s="7">
        <v>1.57174217616853</v>
      </c>
      <c r="AP4" s="8">
        <v>4.9605994159643299E-2</v>
      </c>
      <c r="AQ4" s="6">
        <v>2382840</v>
      </c>
      <c r="AR4" s="6">
        <v>3309.5</v>
      </c>
      <c r="AS4" s="7">
        <v>292.85103600000002</v>
      </c>
      <c r="AT4" s="7">
        <v>2.3598053048654601</v>
      </c>
      <c r="AU4" s="8">
        <v>4.7562881691384298E-2</v>
      </c>
      <c r="AV4" s="6">
        <v>1918920</v>
      </c>
      <c r="AW4" s="6">
        <v>2665.1666666666702</v>
      </c>
      <c r="AX4" s="7">
        <v>235.83526800000001</v>
      </c>
      <c r="AY4" s="7">
        <v>1.4813599111618501</v>
      </c>
      <c r="AZ4" s="8" t="e">
        <v>#DIV/0!</v>
      </c>
      <c r="BA4" s="6">
        <v>13305600</v>
      </c>
      <c r="BB4" s="6">
        <v>18480</v>
      </c>
      <c r="BC4" s="7">
        <v>1635.2582399999999</v>
      </c>
      <c r="BD4" s="7">
        <v>10.271601960454401</v>
      </c>
      <c r="BE4" s="8">
        <v>9.0746850166481696</v>
      </c>
      <c r="BF4" s="6">
        <v>15980250</v>
      </c>
      <c r="BG4" s="6">
        <v>22194.791666666701</v>
      </c>
      <c r="BH4" s="7">
        <v>1963.9727250000001</v>
      </c>
      <c r="BI4" s="7">
        <v>11.149558272096501</v>
      </c>
      <c r="BJ4" s="8">
        <v>10.4170192537195</v>
      </c>
      <c r="BK4" s="6">
        <v>17087400</v>
      </c>
      <c r="BL4" s="6">
        <v>0</v>
      </c>
      <c r="BM4" s="7">
        <v>2100.0414599999999</v>
      </c>
      <c r="BN4" s="7">
        <v>10.489412645446601</v>
      </c>
      <c r="BO4" s="8">
        <v>11.109038134987999</v>
      </c>
    </row>
    <row r="5" spans="1:67" ht="30" customHeight="1">
      <c r="A5" s="5" t="s">
        <v>13</v>
      </c>
      <c r="B5" s="5" t="s">
        <v>44</v>
      </c>
      <c r="C5" s="6">
        <v>0</v>
      </c>
      <c r="D5" s="6">
        <v>0</v>
      </c>
      <c r="E5" s="7">
        <v>0</v>
      </c>
      <c r="F5" s="7" t="e">
        <v>#DIV/0!</v>
      </c>
      <c r="G5" s="8" t="e">
        <v>#DIV/0!</v>
      </c>
      <c r="H5" s="6">
        <v>0.51680000000000004</v>
      </c>
      <c r="I5" s="6">
        <v>7.1777777777777801E-4</v>
      </c>
      <c r="J5" s="7">
        <v>1.762288E-2</v>
      </c>
      <c r="K5" s="7">
        <v>1.10695182160863E-4</v>
      </c>
      <c r="L5" s="8">
        <v>3.2041599999999999E-6</v>
      </c>
      <c r="M5" s="6">
        <v>799</v>
      </c>
      <c r="N5" s="6">
        <v>1.1097222222222201</v>
      </c>
      <c r="O5" s="7">
        <v>27.245899999999999</v>
      </c>
      <c r="P5" s="7">
        <v>0.13608945034664799</v>
      </c>
      <c r="Q5" s="8">
        <v>3.2727807807807802E-3</v>
      </c>
      <c r="R5" s="6">
        <v>1417.4304</v>
      </c>
      <c r="S5" s="6">
        <v>1.96865333333333</v>
      </c>
      <c r="T5" s="7">
        <v>48.334376640000002</v>
      </c>
      <c r="U5" s="7">
        <v>0.40249359083040598</v>
      </c>
      <c r="V5" s="8">
        <v>8.76957265403875E-3</v>
      </c>
      <c r="W5" s="6">
        <v>577</v>
      </c>
      <c r="X5" s="6">
        <v>0.80138888888888904</v>
      </c>
      <c r="Y5" s="7">
        <v>19.675699999999999</v>
      </c>
      <c r="Z5" s="7">
        <v>0.111699801581658</v>
      </c>
      <c r="AA5" s="8">
        <v>2.58730784909332E-3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pans="1:67" ht="30" customHeight="1">
      <c r="A6" s="5" t="s">
        <v>16</v>
      </c>
      <c r="B6" s="5" t="s">
        <v>45</v>
      </c>
      <c r="C6" s="6">
        <v>0</v>
      </c>
      <c r="D6" s="6">
        <v>0</v>
      </c>
      <c r="E6" s="7">
        <v>0</v>
      </c>
      <c r="F6" s="7" t="e">
        <v>#DIV/0!</v>
      </c>
      <c r="G6" s="8" t="e">
        <v>#DIV/0!</v>
      </c>
      <c r="H6" s="6">
        <v>350000</v>
      </c>
      <c r="I6" s="6">
        <v>486.11111111111097</v>
      </c>
      <c r="J6" s="7">
        <v>5.915</v>
      </c>
      <c r="K6" s="7">
        <v>3.7154086192580503E-2</v>
      </c>
      <c r="L6" s="8">
        <v>1.07545454545455E-3</v>
      </c>
      <c r="M6" s="6">
        <v>509000</v>
      </c>
      <c r="N6" s="6">
        <v>706.944444444444</v>
      </c>
      <c r="O6" s="7">
        <v>8.6021000000000001</v>
      </c>
      <c r="P6" s="7">
        <v>4.2966283397755399E-2</v>
      </c>
      <c r="Q6" s="8">
        <v>1.0332852852852901E-3</v>
      </c>
      <c r="R6" s="6">
        <v>146000</v>
      </c>
      <c r="S6" s="6">
        <v>202.777777777778</v>
      </c>
      <c r="T6" s="7">
        <v>2.4674</v>
      </c>
      <c r="U6" s="7">
        <v>2.0546715506683001E-2</v>
      </c>
      <c r="V6" s="8">
        <v>4.4767399666158599E-4</v>
      </c>
      <c r="W6" s="6">
        <v>1003000</v>
      </c>
      <c r="X6" s="6">
        <v>1393.05555555556</v>
      </c>
      <c r="Y6" s="7">
        <v>16.950700000000001</v>
      </c>
      <c r="Z6" s="7">
        <v>9.6229858488908498E-2</v>
      </c>
      <c r="AA6" s="8">
        <v>2.2289768169684501E-3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pans="1:67" ht="30" customHeight="1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 t="e">
        <v>#DIV/0!</v>
      </c>
      <c r="G7" s="8" t="e">
        <v>#DIV/0!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82666.666666666701</v>
      </c>
      <c r="BB7" s="6">
        <v>114.81481481481499</v>
      </c>
      <c r="BC7" s="7">
        <v>1.39706666666667</v>
      </c>
      <c r="BD7" s="7">
        <v>8.7754413102476003E-3</v>
      </c>
      <c r="BE7" s="8">
        <v>7.7528671846097E-3</v>
      </c>
      <c r="BF7" s="6">
        <v>82666.666666666701</v>
      </c>
      <c r="BG7" s="6">
        <v>114.81481481481499</v>
      </c>
      <c r="BH7" s="7">
        <v>1.39706666666667</v>
      </c>
      <c r="BI7" s="7">
        <v>7.9312080110499495E-3</v>
      </c>
      <c r="BJ7" s="8">
        <v>7.4101183688262996E-3</v>
      </c>
      <c r="BK7" s="6">
        <v>82666.666666666701</v>
      </c>
      <c r="BL7" s="6">
        <v>114.81481481481499</v>
      </c>
      <c r="BM7" s="7">
        <v>1.39706666666667</v>
      </c>
      <c r="BN7" s="7">
        <v>6.9781521169897404E-3</v>
      </c>
      <c r="BO7" s="8">
        <v>7.3903621298603301E-3</v>
      </c>
    </row>
    <row r="8" spans="1:67" ht="30" customHeight="1">
      <c r="A8" s="5" t="s">
        <v>46</v>
      </c>
      <c r="B8" s="5" t="s">
        <v>47</v>
      </c>
      <c r="C8" s="6">
        <v>0</v>
      </c>
      <c r="D8" s="6">
        <v>0</v>
      </c>
      <c r="E8" s="7">
        <v>0</v>
      </c>
      <c r="F8" s="7" t="e">
        <v>#DIV/0!</v>
      </c>
      <c r="G8" s="8" t="e">
        <v>#DIV/0!</v>
      </c>
      <c r="H8" s="6"/>
      <c r="I8" s="6"/>
      <c r="J8" s="7"/>
      <c r="K8" s="7"/>
      <c r="L8" s="8"/>
      <c r="M8" s="6">
        <v>322229</v>
      </c>
      <c r="N8" s="6">
        <v>447.54027777777799</v>
      </c>
      <c r="O8" s="7">
        <v>15.305877499999999</v>
      </c>
      <c r="P8" s="7">
        <v>7.6450712072206495E-2</v>
      </c>
      <c r="Q8" s="8">
        <v>1.8385438438438401E-3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pans="1:67" ht="30" customHeight="1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414083</v>
      </c>
      <c r="S9" s="6">
        <v>0</v>
      </c>
      <c r="T9" s="7">
        <v>19.6689425</v>
      </c>
      <c r="U9" s="7">
        <v>0.163788670610686</v>
      </c>
      <c r="V9" s="8">
        <v>3.56864476739967E-3</v>
      </c>
      <c r="W9" s="5">
        <v>337635</v>
      </c>
      <c r="X9" s="6">
        <v>0</v>
      </c>
      <c r="Y9" s="7">
        <v>16.0376625</v>
      </c>
      <c r="Z9" s="7">
        <v>9.1046505033295005E-2</v>
      </c>
      <c r="AA9" s="8">
        <v>2.10891455284232E-3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pans="1:67" ht="30" customHeight="1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63454</v>
      </c>
      <c r="AR10" s="6">
        <v>83.35</v>
      </c>
      <c r="AS10" s="7">
        <v>2.8505699999999998</v>
      </c>
      <c r="AT10" s="7">
        <v>2.2970006525400599E-2</v>
      </c>
      <c r="AU10" s="8">
        <v>4.6297027155816299E-4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pans="1:67" ht="30" customHeight="1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27882</v>
      </c>
      <c r="AH11" s="6">
        <v>38.725000000000001</v>
      </c>
      <c r="AI11" s="7">
        <v>1.1543148000000001</v>
      </c>
      <c r="AJ11" s="7" t="e">
        <v>#DIV/0!</v>
      </c>
      <c r="AK11" s="8">
        <v>3.4188244702119102E-3</v>
      </c>
      <c r="AL11" s="5">
        <v>330</v>
      </c>
      <c r="AM11" s="6">
        <v>0.45833333333333298</v>
      </c>
      <c r="AN11" s="7">
        <v>1.3662000000000001E-2</v>
      </c>
      <c r="AO11" s="7">
        <v>7.7559766067210597E-5</v>
      </c>
      <c r="AP11" s="8">
        <v>2.4478755872876701E-6</v>
      </c>
      <c r="AQ11" s="5"/>
      <c r="AR11" s="6"/>
      <c r="AS11" s="7"/>
      <c r="AT11" s="9"/>
      <c r="AU11" s="9"/>
      <c r="AV11" s="5">
        <v>106326</v>
      </c>
      <c r="AW11" s="6">
        <v>147.67500000000001</v>
      </c>
      <c r="AX11" s="7">
        <v>4.4018964</v>
      </c>
      <c r="AY11" s="7">
        <v>2.76497782343888E-2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pans="1:67" ht="30" customHeight="1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35</v>
      </c>
      <c r="AC12" s="6">
        <v>4.8611111111111098E-2</v>
      </c>
      <c r="AD12" s="7">
        <v>1.449E-3</v>
      </c>
      <c r="AE12" s="7">
        <v>7.2375518354061801E-6</v>
      </c>
      <c r="AF12" s="7">
        <v>2.4960333052493699E-7</v>
      </c>
      <c r="AG12" s="5"/>
      <c r="AH12" s="6"/>
      <c r="AI12" s="7"/>
      <c r="AJ12" s="9"/>
      <c r="AK12" s="9"/>
      <c r="AL12" s="5">
        <v>1317</v>
      </c>
      <c r="AM12" s="6">
        <v>1.8291666666666699</v>
      </c>
      <c r="AN12" s="7">
        <v>5.4523799999999997E-2</v>
      </c>
      <c r="AO12" s="7">
        <v>3.0953397548641302E-4</v>
      </c>
      <c r="AP12" s="8">
        <v>3.0953397548641302E-4</v>
      </c>
      <c r="AQ12" s="5"/>
      <c r="AR12" s="6"/>
      <c r="AS12" s="7"/>
      <c r="AT12" s="9"/>
      <c r="AU12" s="9"/>
      <c r="AV12" s="5">
        <v>240</v>
      </c>
      <c r="AW12" s="6">
        <v>0.33333333333333298</v>
      </c>
      <c r="AX12" s="7">
        <v>9.9360000000000004E-3</v>
      </c>
      <c r="AY12" s="7">
        <v>6.2411327203631495E-5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pans="1:67" ht="30" customHeight="1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pans="1:67" ht="30" customHeight="1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pans="1:67" ht="30" customHeight="1">
      <c r="A15" s="10" t="s">
        <v>52</v>
      </c>
      <c r="B15" s="5" t="s">
        <v>43</v>
      </c>
      <c r="C15" s="5">
        <v>0</v>
      </c>
      <c r="D15" s="6">
        <v>0</v>
      </c>
      <c r="E15" s="7"/>
      <c r="F15" s="5"/>
      <c r="G15" s="5"/>
      <c r="H15" s="5">
        <v>5500000</v>
      </c>
      <c r="I15" s="6">
        <v>7638.8888888888896</v>
      </c>
      <c r="J15" s="7"/>
      <c r="K15" s="5"/>
      <c r="L15" s="5"/>
      <c r="M15" s="5">
        <v>8325000</v>
      </c>
      <c r="N15" s="6">
        <v>11562.5</v>
      </c>
      <c r="O15" s="7"/>
      <c r="P15" s="5"/>
      <c r="Q15" s="5"/>
      <c r="R15" s="5">
        <v>5511600</v>
      </c>
      <c r="S15" s="6">
        <v>7655</v>
      </c>
      <c r="T15" s="7"/>
      <c r="U15" s="5"/>
      <c r="V15" s="5"/>
      <c r="W15" s="5">
        <v>7604700</v>
      </c>
      <c r="X15" s="6">
        <v>10562.083333333299</v>
      </c>
      <c r="Y15" s="7"/>
      <c r="Z15" s="5"/>
      <c r="AA15" s="5"/>
      <c r="AB15" s="5">
        <v>5805211</v>
      </c>
      <c r="AC15" s="15" t="s">
        <v>53</v>
      </c>
      <c r="AD15" s="7"/>
      <c r="AE15" s="5"/>
      <c r="AF15" s="5"/>
      <c r="AG15" s="5">
        <v>337635</v>
      </c>
      <c r="AH15" s="15" t="s">
        <v>53</v>
      </c>
      <c r="AI15" s="7"/>
      <c r="AJ15" s="5"/>
      <c r="AK15" s="5"/>
      <c r="AL15" s="5">
        <v>5581166</v>
      </c>
      <c r="AM15" s="15" t="s">
        <v>53</v>
      </c>
      <c r="AN15" s="7"/>
      <c r="AO15" s="5"/>
      <c r="AP15" s="5"/>
      <c r="AQ15" s="5">
        <v>6157134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180200</v>
      </c>
      <c r="BB15" s="15" t="s">
        <v>54</v>
      </c>
      <c r="BC15" s="7"/>
      <c r="BD15" s="5"/>
      <c r="BE15" s="5"/>
      <c r="BF15" s="5">
        <v>188535</v>
      </c>
      <c r="BG15" s="15" t="s">
        <v>54</v>
      </c>
      <c r="BH15" s="7"/>
      <c r="BI15" s="5"/>
      <c r="BJ15" s="5"/>
      <c r="BK15" s="5">
        <v>189039</v>
      </c>
      <c r="BL15" s="15" t="s">
        <v>54</v>
      </c>
      <c r="BM15" s="7"/>
      <c r="BN15" s="5"/>
      <c r="BO15" s="5"/>
    </row>
    <row r="16" spans="1:67" ht="30" customHeight="1">
      <c r="A16" s="5" t="s">
        <v>55</v>
      </c>
      <c r="B16" s="5" t="s">
        <v>47</v>
      </c>
      <c r="C16" s="5">
        <v>0</v>
      </c>
      <c r="D16" s="5"/>
      <c r="E16" s="7"/>
      <c r="F16" s="5"/>
      <c r="G16" s="5"/>
      <c r="H16" s="5">
        <v>159201.87</v>
      </c>
      <c r="I16" s="5"/>
      <c r="J16" s="7"/>
      <c r="K16" s="5"/>
      <c r="L16" s="5"/>
      <c r="M16" s="5">
        <v>200205.82</v>
      </c>
      <c r="N16" s="5"/>
      <c r="O16" s="7"/>
      <c r="P16" s="5"/>
      <c r="Q16" s="5"/>
      <c r="R16" s="5">
        <v>120087.32</v>
      </c>
      <c r="S16" s="5"/>
      <c r="T16" s="7"/>
      <c r="U16" s="5"/>
      <c r="V16" s="5"/>
      <c r="W16" s="5">
        <v>176148.03</v>
      </c>
      <c r="X16" s="5"/>
      <c r="Y16" s="7"/>
      <c r="Z16" s="5"/>
      <c r="AA16" s="5"/>
      <c r="AB16" s="5">
        <v>200205.82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176148.03</v>
      </c>
      <c r="AM16" s="5"/>
      <c r="AN16" s="7"/>
      <c r="AO16" s="5"/>
      <c r="AP16" s="5"/>
      <c r="AQ16" s="5">
        <v>124099.66</v>
      </c>
      <c r="AR16" s="5"/>
      <c r="AS16" s="7"/>
      <c r="AT16" s="5"/>
      <c r="AU16" s="5"/>
      <c r="AV16" s="5">
        <v>159201.87</v>
      </c>
      <c r="AW16" s="5"/>
      <c r="AX16" s="7"/>
      <c r="AY16" s="5"/>
      <c r="AZ16" s="5"/>
      <c r="BA16" s="5">
        <v>159201.87</v>
      </c>
      <c r="BB16" s="5"/>
      <c r="BC16" s="7"/>
      <c r="BD16" s="5"/>
      <c r="BE16" s="5"/>
      <c r="BF16" s="5">
        <v>176148.03</v>
      </c>
      <c r="BG16" s="5"/>
      <c r="BH16" s="7"/>
      <c r="BI16" s="5"/>
      <c r="BJ16" s="5"/>
      <c r="BK16" s="5">
        <v>200205.82</v>
      </c>
      <c r="BL16" s="5"/>
      <c r="BM16" s="7"/>
      <c r="BN16" s="5"/>
      <c r="BO16" s="5"/>
    </row>
    <row r="17" spans="3:3" ht="30" customHeight="1"/>
    <row r="18" spans="3:3" ht="30" customHeight="1"/>
    <row r="19" spans="3:3" ht="30" customHeight="1"/>
    <row r="20" spans="3:3">
      <c r="C20" s="2">
        <f t="shared" ref="C20:C32" si="0">C4+H4+M4+R4+W4+AB4+AG4+AL4+AQ4+AV4+BA4+BF4+BK4</f>
        <v>54588349.999994002</v>
      </c>
    </row>
    <row r="21" spans="3:3">
      <c r="C21" s="17">
        <f t="shared" si="0"/>
        <v>2793.9472000000001</v>
      </c>
    </row>
    <row r="22" spans="3:3">
      <c r="C22" s="2">
        <f t="shared" si="0"/>
        <v>2008000</v>
      </c>
    </row>
    <row r="23" spans="3:3">
      <c r="C23" s="2">
        <f t="shared" si="0"/>
        <v>248000</v>
      </c>
    </row>
    <row r="24" spans="3:3">
      <c r="C24" s="2">
        <f t="shared" si="0"/>
        <v>322229</v>
      </c>
    </row>
    <row r="25" spans="3:3">
      <c r="C25" s="2">
        <f t="shared" si="0"/>
        <v>751718</v>
      </c>
    </row>
    <row r="26" spans="3:3">
      <c r="C26" s="2">
        <f t="shared" si="0"/>
        <v>63454</v>
      </c>
    </row>
    <row r="27" spans="3:3">
      <c r="C27" s="2">
        <f t="shared" si="0"/>
        <v>134538</v>
      </c>
    </row>
    <row r="28" spans="3:3">
      <c r="C28" s="2">
        <f t="shared" si="0"/>
        <v>1592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45380220</v>
      </c>
    </row>
    <row r="32" spans="3:3">
      <c r="C32" s="2">
        <f t="shared" si="0"/>
        <v>1850854.14</v>
      </c>
    </row>
  </sheetData>
  <mergeCells count="15">
    <mergeCell ref="BA2:BD2"/>
    <mergeCell ref="BF2:BI2"/>
    <mergeCell ref="BK2:BN2"/>
    <mergeCell ref="A2:A3"/>
    <mergeCell ref="B2:B3"/>
    <mergeCell ref="AB2:AE2"/>
    <mergeCell ref="AG2:AJ2"/>
    <mergeCell ref="AL2:AO2"/>
    <mergeCell ref="AQ2:AT2"/>
    <mergeCell ref="AV2:AY2"/>
    <mergeCell ref="C2:F2"/>
    <mergeCell ref="H2:K2"/>
    <mergeCell ref="M2:P2"/>
    <mergeCell ref="R2:U2"/>
    <mergeCell ref="W2:Z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BO32"/>
  <sheetViews>
    <sheetView topLeftCell="C1" zoomScale="70" zoomScaleNormal="70" workbookViewId="0">
      <selection activeCell="C25" sqref="C25"/>
    </sheetView>
  </sheetViews>
  <sheetFormatPr defaultColWidth="9" defaultRowHeight="13.5"/>
  <cols>
    <col min="1" max="1" width="18.875" style="2" customWidth="1"/>
    <col min="2" max="2" width="7.5" style="2" customWidth="1"/>
    <col min="3" max="5" width="9.625" style="2" customWidth="1"/>
    <col min="6" max="7" width="12.375" style="2" customWidth="1"/>
    <col min="8" max="10" width="9.625" style="2" customWidth="1"/>
    <col min="11" max="12" width="12.375" style="2" customWidth="1"/>
    <col min="13" max="15" width="9.625" style="2" customWidth="1"/>
    <col min="16" max="17" width="12.375" style="2" customWidth="1"/>
    <col min="18" max="20" width="9.625" style="2" customWidth="1"/>
    <col min="21" max="22" width="12.375" style="2" customWidth="1"/>
    <col min="23" max="25" width="9.625" style="2" customWidth="1"/>
    <col min="26" max="27" width="12.375" style="2" customWidth="1"/>
    <col min="28" max="30" width="9.625" style="2" customWidth="1"/>
    <col min="31" max="32" width="12.375" style="2" customWidth="1"/>
    <col min="33" max="35" width="9.625" style="2" customWidth="1"/>
    <col min="36" max="37" width="12.375" style="2" customWidth="1"/>
    <col min="38" max="40" width="9.625" style="2" customWidth="1"/>
    <col min="41" max="42" width="12.375" style="2" customWidth="1"/>
    <col min="43" max="45" width="9.625" style="2" customWidth="1"/>
    <col min="46" max="47" width="12.375" style="2" customWidth="1"/>
    <col min="48" max="50" width="9.625" style="2" customWidth="1"/>
    <col min="51" max="52" width="12.375" style="2" customWidth="1"/>
    <col min="53" max="55" width="9.625" style="2" customWidth="1"/>
    <col min="56" max="57" width="12.375" style="2" customWidth="1"/>
    <col min="58" max="60" width="9.625" style="2" customWidth="1"/>
    <col min="61" max="62" width="12.375" style="2" customWidth="1"/>
    <col min="63" max="65" width="9.625" style="2" customWidth="1"/>
    <col min="66" max="67" width="12.375" style="2" customWidth="1"/>
    <col min="68" max="16384" width="9" style="1"/>
  </cols>
  <sheetData>
    <row r="1" spans="1:67">
      <c r="A1" s="2" t="s">
        <v>56</v>
      </c>
      <c r="B1" s="2">
        <v>31</v>
      </c>
    </row>
    <row r="2" spans="1:67">
      <c r="A2" s="27" t="s">
        <v>20</v>
      </c>
      <c r="B2" s="27" t="s">
        <v>21</v>
      </c>
      <c r="C2" s="27" t="s">
        <v>22</v>
      </c>
      <c r="D2" s="27"/>
      <c r="E2" s="27"/>
      <c r="F2" s="27"/>
      <c r="G2" s="3"/>
      <c r="H2" s="27" t="s">
        <v>23</v>
      </c>
      <c r="I2" s="27"/>
      <c r="J2" s="27"/>
      <c r="K2" s="27"/>
      <c r="L2" s="3"/>
      <c r="M2" s="27" t="s">
        <v>24</v>
      </c>
      <c r="N2" s="27"/>
      <c r="O2" s="27"/>
      <c r="P2" s="27"/>
      <c r="Q2" s="3"/>
      <c r="R2" s="27" t="s">
        <v>25</v>
      </c>
      <c r="S2" s="27"/>
      <c r="T2" s="27"/>
      <c r="U2" s="27"/>
      <c r="V2" s="3"/>
      <c r="W2" s="27" t="s">
        <v>26</v>
      </c>
      <c r="X2" s="27"/>
      <c r="Y2" s="27"/>
      <c r="Z2" s="27"/>
      <c r="AA2" s="3"/>
      <c r="AB2" s="27" t="s">
        <v>27</v>
      </c>
      <c r="AC2" s="27"/>
      <c r="AD2" s="27"/>
      <c r="AE2" s="27"/>
      <c r="AF2" s="3"/>
      <c r="AG2" s="27" t="s">
        <v>28</v>
      </c>
      <c r="AH2" s="27"/>
      <c r="AI2" s="27"/>
      <c r="AJ2" s="27"/>
      <c r="AK2" s="3"/>
      <c r="AL2" s="27" t="s">
        <v>29</v>
      </c>
      <c r="AM2" s="27"/>
      <c r="AN2" s="27"/>
      <c r="AO2" s="27"/>
      <c r="AP2" s="3"/>
      <c r="AQ2" s="27" t="s">
        <v>30</v>
      </c>
      <c r="AR2" s="27"/>
      <c r="AS2" s="27"/>
      <c r="AT2" s="27"/>
      <c r="AU2" s="3"/>
      <c r="AV2" s="27" t="s">
        <v>31</v>
      </c>
      <c r="AW2" s="27"/>
      <c r="AX2" s="27"/>
      <c r="AY2" s="27"/>
      <c r="AZ2" s="3"/>
      <c r="BA2" s="27" t="s">
        <v>32</v>
      </c>
      <c r="BB2" s="27"/>
      <c r="BC2" s="27"/>
      <c r="BD2" s="27"/>
      <c r="BE2" s="3"/>
      <c r="BF2" s="27" t="s">
        <v>33</v>
      </c>
      <c r="BG2" s="27"/>
      <c r="BH2" s="27"/>
      <c r="BI2" s="27"/>
      <c r="BJ2" s="3"/>
      <c r="BK2" s="27" t="s">
        <v>34</v>
      </c>
      <c r="BL2" s="27"/>
      <c r="BM2" s="27"/>
      <c r="BN2" s="27"/>
      <c r="BO2" s="3"/>
    </row>
    <row r="3" spans="1:67" ht="30" customHeight="1">
      <c r="A3" s="27"/>
      <c r="B3" s="27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pans="1:67" ht="30" customHeight="1">
      <c r="A4" s="5" t="s">
        <v>42</v>
      </c>
      <c r="B4" s="5" t="s">
        <v>43</v>
      </c>
      <c r="C4" s="6">
        <v>5526.3975730000002</v>
      </c>
      <c r="D4" s="6">
        <v>7.6755521847222203</v>
      </c>
      <c r="E4" s="7">
        <v>0.67919426172170005</v>
      </c>
      <c r="F4" s="7" t="e">
        <v>#DIV/0!</v>
      </c>
      <c r="G4" s="8" t="e">
        <v>#DIV/0!</v>
      </c>
      <c r="H4" s="6">
        <v>5114.3955969999997</v>
      </c>
      <c r="I4" s="6">
        <v>7.1033272180555604</v>
      </c>
      <c r="J4" s="7">
        <v>0.62855921887129995</v>
      </c>
      <c r="K4" s="7">
        <v>3.6688773322466799E-3</v>
      </c>
      <c r="L4" s="8">
        <v>9.1988763189126304E-5</v>
      </c>
      <c r="M4" s="6">
        <v>2267.3064709999999</v>
      </c>
      <c r="N4" s="6">
        <v>3.14903676527778</v>
      </c>
      <c r="O4" s="7">
        <v>0.27865196528590003</v>
      </c>
      <c r="P4" s="13">
        <v>1.2786728386653401E-3</v>
      </c>
      <c r="Q4" s="14">
        <v>2.5025322887335201E-5</v>
      </c>
      <c r="R4" s="6">
        <v>7869.4968600000002</v>
      </c>
      <c r="S4" s="6">
        <v>10.929856750000001</v>
      </c>
      <c r="T4" s="7">
        <v>0.96716116409399999</v>
      </c>
      <c r="U4" s="7">
        <v>7.99638498033068E-3</v>
      </c>
      <c r="V4" s="8">
        <v>1.7371240105143999E-4</v>
      </c>
      <c r="W4" s="6">
        <v>15942.4035</v>
      </c>
      <c r="X4" s="6">
        <v>22.142227083333299</v>
      </c>
      <c r="Y4" s="7">
        <v>1.95932139015</v>
      </c>
      <c r="Z4" s="7">
        <v>1.04623034402784E-2</v>
      </c>
      <c r="AA4" s="8">
        <v>2.4683742017838901E-4</v>
      </c>
      <c r="AB4" s="6">
        <v>1595200</v>
      </c>
      <c r="AC4" s="6">
        <v>2215.5555555555602</v>
      </c>
      <c r="AD4" s="7">
        <v>196.05008000000001</v>
      </c>
      <c r="AE4" s="7">
        <v>0.89963087845787604</v>
      </c>
      <c r="AF4" s="8">
        <v>3.2870813814287102E-2</v>
      </c>
      <c r="AG4" s="6">
        <v>35380</v>
      </c>
      <c r="AH4" s="6">
        <v>49.1388888888889</v>
      </c>
      <c r="AI4" s="7">
        <v>4.3482019999999997</v>
      </c>
      <c r="AJ4" s="7" t="e">
        <v>#DIV/0!</v>
      </c>
      <c r="AK4" s="8">
        <v>1.24039069921352E-2</v>
      </c>
      <c r="AL4" s="6">
        <v>2191280</v>
      </c>
      <c r="AM4" s="6">
        <v>3043.4444444444398</v>
      </c>
      <c r="AN4" s="7">
        <v>269.308312</v>
      </c>
      <c r="AO4" s="7">
        <v>1.4380414021394701</v>
      </c>
      <c r="AP4" s="8">
        <v>4.7248837895170502E-2</v>
      </c>
      <c r="AQ4" s="6">
        <v>2506800</v>
      </c>
      <c r="AR4" s="6">
        <v>3481.6666666666702</v>
      </c>
      <c r="AS4" s="7">
        <v>308.08571999999998</v>
      </c>
      <c r="AT4" s="7">
        <v>2.4825669949458402</v>
      </c>
      <c r="AU4" s="8">
        <v>5.0037195877172702E-2</v>
      </c>
      <c r="AV4" s="6">
        <v>2011800</v>
      </c>
      <c r="AW4" s="6">
        <v>2794.1666666666702</v>
      </c>
      <c r="AX4" s="7">
        <v>247.25022000000001</v>
      </c>
      <c r="AY4" s="7">
        <v>1.4431905543918899</v>
      </c>
      <c r="AZ4" s="8" t="e">
        <v>#DIV/0!</v>
      </c>
      <c r="BA4" s="6">
        <v>14793900</v>
      </c>
      <c r="BB4" s="6">
        <v>20547.083333333299</v>
      </c>
      <c r="BC4" s="7">
        <v>1818.17031</v>
      </c>
      <c r="BD4" s="7">
        <v>10.612594066317801</v>
      </c>
      <c r="BE4" s="8">
        <v>9.4954032034844502</v>
      </c>
      <c r="BF4" s="6">
        <v>16290450</v>
      </c>
      <c r="BG4" s="6">
        <v>22625.625</v>
      </c>
      <c r="BH4" s="7">
        <v>2002.096305</v>
      </c>
      <c r="BI4" s="7">
        <v>10.6907111640151</v>
      </c>
      <c r="BJ4" s="8">
        <v>10.022608881746899</v>
      </c>
      <c r="BK4" s="6">
        <v>17801850</v>
      </c>
      <c r="BL4" s="6">
        <v>0</v>
      </c>
      <c r="BM4" s="7">
        <v>2187.8473650000001</v>
      </c>
      <c r="BN4" s="7">
        <v>10.0395523781816</v>
      </c>
      <c r="BO4" s="8">
        <v>11.004327421699401</v>
      </c>
    </row>
    <row r="5" spans="1:67" ht="30" customHeight="1">
      <c r="A5" s="5" t="s">
        <v>13</v>
      </c>
      <c r="B5" s="5" t="s">
        <v>44</v>
      </c>
      <c r="C5" s="6">
        <v>0</v>
      </c>
      <c r="D5" s="6">
        <v>0</v>
      </c>
      <c r="E5" s="7">
        <v>0</v>
      </c>
      <c r="F5" s="7" t="e">
        <v>#DIV/0!</v>
      </c>
      <c r="G5" s="8" t="e">
        <v>#DIV/0!</v>
      </c>
      <c r="H5" s="6">
        <v>1149</v>
      </c>
      <c r="I5" s="6">
        <v>2</v>
      </c>
      <c r="J5" s="7">
        <v>39.19</v>
      </c>
      <c r="K5" s="7">
        <v>0.25</v>
      </c>
      <c r="L5" s="8">
        <v>5.7000000000000002E-3</v>
      </c>
      <c r="M5" s="6">
        <v>1293</v>
      </c>
      <c r="N5" s="6">
        <v>2</v>
      </c>
      <c r="O5" s="7">
        <v>44.09</v>
      </c>
      <c r="P5" s="7">
        <v>0.22</v>
      </c>
      <c r="Q5" s="8">
        <v>4.0000000000000001E-3</v>
      </c>
      <c r="R5" s="6">
        <v>1053</v>
      </c>
      <c r="S5" s="6">
        <v>1</v>
      </c>
      <c r="T5" s="7">
        <v>35.909999999999997</v>
      </c>
      <c r="U5" s="7">
        <v>0.3</v>
      </c>
      <c r="V5" s="8">
        <v>6.4000000000000003E-3</v>
      </c>
      <c r="W5" s="6">
        <v>1343</v>
      </c>
      <c r="X5" s="6">
        <v>2</v>
      </c>
      <c r="Y5" s="7">
        <v>45.79</v>
      </c>
      <c r="Z5" s="7">
        <v>0.26</v>
      </c>
      <c r="AA5" s="8">
        <v>5.7999999999999996E-3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pans="1:67" ht="30" customHeight="1">
      <c r="A6" s="5" t="s">
        <v>16</v>
      </c>
      <c r="B6" s="5" t="s">
        <v>45</v>
      </c>
      <c r="C6" s="6">
        <v>0</v>
      </c>
      <c r="D6" s="6">
        <v>0</v>
      </c>
      <c r="E6" s="7">
        <v>0</v>
      </c>
      <c r="F6" s="7" t="e">
        <v>#DIV/0!</v>
      </c>
      <c r="G6" s="8" t="e">
        <v>#DIV/0!</v>
      </c>
      <c r="H6" s="6">
        <v>360000</v>
      </c>
      <c r="I6" s="6">
        <v>500</v>
      </c>
      <c r="J6" s="7">
        <v>6.08</v>
      </c>
      <c r="K6" s="7">
        <v>0.04</v>
      </c>
      <c r="L6" s="8">
        <v>8.9999999999999998E-4</v>
      </c>
      <c r="M6" s="6">
        <v>534000</v>
      </c>
      <c r="N6" s="6">
        <v>742</v>
      </c>
      <c r="O6" s="7">
        <v>9.02</v>
      </c>
      <c r="P6" s="7">
        <v>0.05</v>
      </c>
      <c r="Q6" s="8">
        <v>8.0000000000000004E-4</v>
      </c>
      <c r="R6" s="6">
        <v>166000</v>
      </c>
      <c r="S6" s="6">
        <v>231</v>
      </c>
      <c r="T6" s="7">
        <v>2.81</v>
      </c>
      <c r="U6" s="7">
        <v>0.02</v>
      </c>
      <c r="V6" s="8">
        <v>5.0000000000000001E-4</v>
      </c>
      <c r="W6" s="6">
        <v>1063000</v>
      </c>
      <c r="X6" s="6">
        <v>1476</v>
      </c>
      <c r="Y6" s="7">
        <v>17.96</v>
      </c>
      <c r="Z6" s="7">
        <v>0.1</v>
      </c>
      <c r="AA6" s="8">
        <v>2.3E-3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pans="1:67" ht="30" customHeight="1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 t="e">
        <v>#DIV/0!</v>
      </c>
      <c r="G7" s="8" t="e">
        <v>#DIV/0!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85334</v>
      </c>
      <c r="BB7" s="6">
        <v>119</v>
      </c>
      <c r="BC7" s="7">
        <v>1.44</v>
      </c>
      <c r="BD7" s="7">
        <v>0.01</v>
      </c>
      <c r="BE7" s="8">
        <v>7.4999999999999997E-3</v>
      </c>
      <c r="BF7" s="6">
        <v>85333</v>
      </c>
      <c r="BG7" s="6">
        <v>119</v>
      </c>
      <c r="BH7" s="7">
        <v>1.44</v>
      </c>
      <c r="BI7" s="7">
        <v>0.01</v>
      </c>
      <c r="BJ7" s="8">
        <v>7.1999999999999998E-3</v>
      </c>
      <c r="BK7" s="6">
        <v>85333</v>
      </c>
      <c r="BL7" s="6">
        <v>119</v>
      </c>
      <c r="BM7" s="7">
        <v>1.44</v>
      </c>
      <c r="BN7" s="7">
        <v>0.01</v>
      </c>
      <c r="BO7" s="8">
        <v>7.3000000000000001E-3</v>
      </c>
    </row>
    <row r="8" spans="1:67" ht="30" customHeight="1">
      <c r="A8" s="5" t="s">
        <v>46</v>
      </c>
      <c r="B8" s="5" t="s">
        <v>47</v>
      </c>
      <c r="C8" s="6">
        <v>0</v>
      </c>
      <c r="D8" s="6">
        <v>0</v>
      </c>
      <c r="E8" s="7">
        <v>0</v>
      </c>
      <c r="F8" s="7" t="e">
        <v>#DIV/0!</v>
      </c>
      <c r="G8" s="8" t="e">
        <v>#DIV/0!</v>
      </c>
      <c r="H8" s="6"/>
      <c r="I8" s="6"/>
      <c r="J8" s="7"/>
      <c r="K8" s="7"/>
      <c r="L8" s="8"/>
      <c r="M8" s="6">
        <v>339241</v>
      </c>
      <c r="N8" s="6">
        <v>471</v>
      </c>
      <c r="O8" s="7">
        <v>16.11</v>
      </c>
      <c r="P8" s="7">
        <v>0.08</v>
      </c>
      <c r="Q8" s="8">
        <v>1.4E-3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pans="1:67" ht="30" customHeight="1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438436</v>
      </c>
      <c r="S9" s="6">
        <v>0</v>
      </c>
      <c r="T9" s="7">
        <v>20.83</v>
      </c>
      <c r="U9" s="7">
        <v>0.17</v>
      </c>
      <c r="V9" s="8">
        <v>3.7000000000000002E-3</v>
      </c>
      <c r="W9" s="5">
        <v>350551</v>
      </c>
      <c r="X9" s="6">
        <v>0</v>
      </c>
      <c r="Y9" s="7">
        <v>16.649999999999999</v>
      </c>
      <c r="Z9" s="7">
        <v>0.09</v>
      </c>
      <c r="AA9" s="8">
        <v>2.0999999999999999E-3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pans="1:67" ht="30" customHeight="1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49677</v>
      </c>
      <c r="AR10" s="6">
        <v>69</v>
      </c>
      <c r="AS10" s="7">
        <v>2.36</v>
      </c>
      <c r="AT10" s="7">
        <v>0.02</v>
      </c>
      <c r="AU10" s="8">
        <v>4.0000000000000002E-4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pans="1:67" ht="30" customHeight="1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26257</v>
      </c>
      <c r="AH11" s="6">
        <v>36</v>
      </c>
      <c r="AI11" s="7">
        <v>1.0900000000000001</v>
      </c>
      <c r="AJ11" s="7" t="e">
        <v>#DIV/0!</v>
      </c>
      <c r="AK11" s="8">
        <v>3.0999999999999999E-3</v>
      </c>
      <c r="AL11" s="5">
        <v>77</v>
      </c>
      <c r="AM11" s="6">
        <v>0</v>
      </c>
      <c r="AN11" s="7">
        <v>0</v>
      </c>
      <c r="AO11" s="7">
        <v>0</v>
      </c>
      <c r="AP11" s="8">
        <v>0</v>
      </c>
      <c r="AQ11" s="5"/>
      <c r="AR11" s="6"/>
      <c r="AS11" s="7"/>
      <c r="AT11" s="9"/>
      <c r="AU11" s="9"/>
      <c r="AV11" s="5">
        <v>104071</v>
      </c>
      <c r="AW11" s="6">
        <v>145</v>
      </c>
      <c r="AX11" s="7">
        <v>4.3099999999999996</v>
      </c>
      <c r="AY11" s="7">
        <v>0.03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pans="1:67" ht="30" customHeight="1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0</v>
      </c>
      <c r="AC12" s="6">
        <v>0</v>
      </c>
      <c r="AD12" s="7">
        <v>0</v>
      </c>
      <c r="AE12" s="9">
        <v>0</v>
      </c>
      <c r="AF12" s="9">
        <v>0</v>
      </c>
      <c r="AG12" s="5"/>
      <c r="AH12" s="6"/>
      <c r="AI12" s="7"/>
      <c r="AJ12" s="9"/>
      <c r="AK12" s="9"/>
      <c r="AL12" s="5">
        <v>536</v>
      </c>
      <c r="AM12" s="6">
        <v>1</v>
      </c>
      <c r="AN12" s="7">
        <v>0.02</v>
      </c>
      <c r="AO12" s="7">
        <v>0</v>
      </c>
      <c r="AP12" s="8">
        <v>1E-4</v>
      </c>
      <c r="AQ12" s="5"/>
      <c r="AR12" s="6"/>
      <c r="AS12" s="7"/>
      <c r="AT12" s="9"/>
      <c r="AU12" s="9"/>
      <c r="AV12" s="5">
        <v>90</v>
      </c>
      <c r="AW12" s="6">
        <v>0</v>
      </c>
      <c r="AX12" s="7">
        <v>0</v>
      </c>
      <c r="AY12" s="7">
        <v>0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pans="1:67" ht="30" customHeight="1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pans="1:67" ht="30" customHeight="1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pans="1:67" ht="30" customHeight="1">
      <c r="A15" s="10" t="s">
        <v>52</v>
      </c>
      <c r="B15" s="5" t="s">
        <v>43</v>
      </c>
      <c r="C15" s="5">
        <v>0</v>
      </c>
      <c r="D15" s="6">
        <v>0</v>
      </c>
      <c r="E15" s="7"/>
      <c r="F15" s="5"/>
      <c r="G15" s="5"/>
      <c r="H15" s="5">
        <v>6833000</v>
      </c>
      <c r="I15" s="6">
        <v>9490</v>
      </c>
      <c r="J15" s="7"/>
      <c r="K15" s="5"/>
      <c r="L15" s="5"/>
      <c r="M15" s="5">
        <v>11134800</v>
      </c>
      <c r="N15" s="6">
        <v>15465</v>
      </c>
      <c r="O15" s="7"/>
      <c r="P15" s="5"/>
      <c r="Q15" s="5"/>
      <c r="R15" s="5">
        <v>5567600</v>
      </c>
      <c r="S15" s="6">
        <v>7733</v>
      </c>
      <c r="T15" s="7"/>
      <c r="U15" s="5"/>
      <c r="V15" s="5"/>
      <c r="W15" s="5">
        <v>7937700</v>
      </c>
      <c r="X15" s="6">
        <v>11025</v>
      </c>
      <c r="Y15" s="7"/>
      <c r="Z15" s="5"/>
      <c r="AA15" s="5"/>
      <c r="AB15" s="5">
        <v>5964260</v>
      </c>
      <c r="AC15" s="15" t="s">
        <v>53</v>
      </c>
      <c r="AD15" s="7"/>
      <c r="AE15" s="5"/>
      <c r="AF15" s="5"/>
      <c r="AG15" s="5">
        <v>350551</v>
      </c>
      <c r="AH15" s="15" t="s">
        <v>53</v>
      </c>
      <c r="AI15" s="7"/>
      <c r="AJ15" s="5"/>
      <c r="AK15" s="5"/>
      <c r="AL15" s="5">
        <v>5699787</v>
      </c>
      <c r="AM15" s="15" t="s">
        <v>53</v>
      </c>
      <c r="AN15" s="7"/>
      <c r="AO15" s="5"/>
      <c r="AP15" s="5"/>
      <c r="AQ15" s="5">
        <v>6157134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191479</v>
      </c>
      <c r="BB15" s="15" t="s">
        <v>54</v>
      </c>
      <c r="BC15" s="7"/>
      <c r="BD15" s="5"/>
      <c r="BE15" s="5"/>
      <c r="BF15" s="5">
        <v>199758</v>
      </c>
      <c r="BG15" s="15" t="s">
        <v>54</v>
      </c>
      <c r="BH15" s="7"/>
      <c r="BI15" s="5"/>
      <c r="BJ15" s="5"/>
      <c r="BK15" s="5">
        <v>198817</v>
      </c>
      <c r="BL15" s="15" t="s">
        <v>54</v>
      </c>
      <c r="BM15" s="7"/>
      <c r="BN15" s="5"/>
      <c r="BO15" s="5"/>
    </row>
    <row r="16" spans="1:67" ht="30" customHeight="1">
      <c r="A16" s="5" t="s">
        <v>55</v>
      </c>
      <c r="B16" s="5" t="s">
        <v>47</v>
      </c>
      <c r="C16" s="5">
        <v>0</v>
      </c>
      <c r="D16" s="5"/>
      <c r="E16" s="7"/>
      <c r="F16" s="5"/>
      <c r="G16" s="5"/>
      <c r="H16" s="5">
        <v>159201.87</v>
      </c>
      <c r="I16" s="5"/>
      <c r="J16" s="7"/>
      <c r="K16" s="5"/>
      <c r="L16" s="5"/>
      <c r="M16" s="5">
        <v>200205.82</v>
      </c>
      <c r="N16" s="5"/>
      <c r="O16" s="7"/>
      <c r="P16" s="5"/>
      <c r="Q16" s="5"/>
      <c r="R16" s="5">
        <v>120087.32</v>
      </c>
      <c r="S16" s="5"/>
      <c r="T16" s="7"/>
      <c r="U16" s="5"/>
      <c r="V16" s="5"/>
      <c r="W16" s="5">
        <v>176148.03</v>
      </c>
      <c r="X16" s="5"/>
      <c r="Y16" s="7"/>
      <c r="Z16" s="5"/>
      <c r="AA16" s="5"/>
      <c r="AB16" s="5">
        <v>200205.82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176148.03</v>
      </c>
      <c r="AM16" s="5"/>
      <c r="AN16" s="7"/>
      <c r="AO16" s="5"/>
      <c r="AP16" s="5"/>
      <c r="AQ16" s="5">
        <v>124099.66</v>
      </c>
      <c r="AR16" s="5"/>
      <c r="AS16" s="7"/>
      <c r="AT16" s="5"/>
      <c r="AU16" s="5"/>
      <c r="AV16" s="5">
        <v>159201.87</v>
      </c>
      <c r="AW16" s="5"/>
      <c r="AX16" s="7"/>
      <c r="AY16" s="5"/>
      <c r="AZ16" s="5"/>
      <c r="BA16" s="5">
        <v>159201.87</v>
      </c>
      <c r="BB16" s="5"/>
      <c r="BC16" s="7"/>
      <c r="BD16" s="5"/>
      <c r="BE16" s="5"/>
      <c r="BF16" s="5">
        <v>176148.03</v>
      </c>
      <c r="BG16" s="5"/>
      <c r="BH16" s="7"/>
      <c r="BI16" s="5"/>
      <c r="BJ16" s="5"/>
      <c r="BK16" s="5">
        <v>200205.82</v>
      </c>
      <c r="BL16" s="5"/>
      <c r="BM16" s="7"/>
      <c r="BN16" s="5"/>
      <c r="BO16" s="5"/>
    </row>
    <row r="17" spans="3:3" ht="30" customHeight="1"/>
    <row r="18" spans="3:3" ht="30" customHeight="1"/>
    <row r="19" spans="3:3" ht="30" customHeight="1"/>
    <row r="20" spans="3:3">
      <c r="C20" s="2">
        <f t="shared" ref="C20:C32" si="0">C4+H4+M4+R4+W4+AB4+AG4+AL4+AQ4+AV4+BA4+BF4+BK4</f>
        <v>57263380.000000998</v>
      </c>
    </row>
    <row r="21" spans="3:3">
      <c r="C21" s="2">
        <f t="shared" si="0"/>
        <v>4838</v>
      </c>
    </row>
    <row r="22" spans="3:3">
      <c r="C22" s="2">
        <f t="shared" si="0"/>
        <v>2123000</v>
      </c>
    </row>
    <row r="23" spans="3:3">
      <c r="C23" s="2">
        <f t="shared" si="0"/>
        <v>256000</v>
      </c>
    </row>
    <row r="24" spans="3:3">
      <c r="C24" s="2">
        <f t="shared" si="0"/>
        <v>339241</v>
      </c>
    </row>
    <row r="25" spans="3:3">
      <c r="C25" s="2">
        <f t="shared" si="0"/>
        <v>788987</v>
      </c>
    </row>
    <row r="26" spans="3:3">
      <c r="C26" s="2">
        <f t="shared" si="0"/>
        <v>49677</v>
      </c>
    </row>
    <row r="27" spans="3:3">
      <c r="C27" s="2">
        <f t="shared" si="0"/>
        <v>130405</v>
      </c>
    </row>
    <row r="28" spans="3:3">
      <c r="C28" s="2">
        <f t="shared" si="0"/>
        <v>626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50234886</v>
      </c>
    </row>
    <row r="32" spans="3:3">
      <c r="C32" s="2">
        <f t="shared" si="0"/>
        <v>1850854.14</v>
      </c>
    </row>
  </sheetData>
  <mergeCells count="15">
    <mergeCell ref="BA2:BD2"/>
    <mergeCell ref="BF2:BI2"/>
    <mergeCell ref="BK2:BN2"/>
    <mergeCell ref="A2:A3"/>
    <mergeCell ref="B2:B3"/>
    <mergeCell ref="AB2:AE2"/>
    <mergeCell ref="AG2:AJ2"/>
    <mergeCell ref="AL2:AO2"/>
    <mergeCell ref="AQ2:AT2"/>
    <mergeCell ref="AV2:AY2"/>
    <mergeCell ref="C2:F2"/>
    <mergeCell ref="H2:K2"/>
    <mergeCell ref="M2:P2"/>
    <mergeCell ref="R2:U2"/>
    <mergeCell ref="W2:Z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2:BO31"/>
  <sheetViews>
    <sheetView zoomScale="115" zoomScaleNormal="115" workbookViewId="0">
      <pane xSplit="1" topLeftCell="BG1" activePane="topRight" state="frozen"/>
      <selection pane="topRight" activeCell="BO9" sqref="BO9"/>
    </sheetView>
  </sheetViews>
  <sheetFormatPr defaultColWidth="9" defaultRowHeight="13.5"/>
  <cols>
    <col min="1" max="1" width="18.875" style="2" customWidth="1"/>
    <col min="2" max="2" width="7.5" style="2" customWidth="1"/>
    <col min="3" max="3" width="12.625" style="2" customWidth="1"/>
    <col min="4" max="5" width="9.625" style="2" customWidth="1"/>
    <col min="6" max="7" width="12.375" style="2" customWidth="1"/>
    <col min="8" max="8" width="12.625" style="2" customWidth="1"/>
    <col min="9" max="9" width="9.125" style="2" customWidth="1"/>
    <col min="10" max="10" width="9.625" style="2" customWidth="1"/>
    <col min="11" max="12" width="12.375" style="2" customWidth="1"/>
    <col min="13" max="13" width="11.5" style="2" customWidth="1"/>
    <col min="14" max="15" width="9.625" style="2" customWidth="1"/>
    <col min="16" max="17" width="12.375" style="2" customWidth="1"/>
    <col min="18" max="18" width="11.5" style="2" customWidth="1"/>
    <col min="19" max="20" width="9.625" style="2" customWidth="1"/>
    <col min="21" max="22" width="12.375" style="2" customWidth="1"/>
    <col min="23" max="23" width="12.625" style="2" customWidth="1"/>
    <col min="24" max="25" width="9.625" style="2" customWidth="1"/>
    <col min="26" max="27" width="12.375" style="2" customWidth="1"/>
    <col min="28" max="28" width="12.625" style="2" customWidth="1"/>
    <col min="29" max="30" width="9.625" style="2" customWidth="1"/>
    <col min="31" max="32" width="12.375" style="2" customWidth="1"/>
    <col min="33" max="35" width="9.625" style="2" customWidth="1"/>
    <col min="36" max="37" width="12.375" style="2" customWidth="1"/>
    <col min="38" max="38" width="12.625" style="2" customWidth="1"/>
    <col min="39" max="40" width="9.625" style="2" customWidth="1"/>
    <col min="41" max="42" width="12.375" style="2" customWidth="1"/>
    <col min="43" max="43" width="11.5" style="2" customWidth="1"/>
    <col min="44" max="45" width="9.625" style="2" customWidth="1"/>
    <col min="46" max="47" width="12.375" style="2" customWidth="1"/>
    <col min="48" max="48" width="12.625" style="2" customWidth="1"/>
    <col min="49" max="50" width="9.625" style="2" customWidth="1"/>
    <col min="51" max="52" width="12.375" style="2" customWidth="1"/>
    <col min="53" max="53" width="11.5" style="2" customWidth="1"/>
    <col min="54" max="55" width="9.625" style="2" customWidth="1"/>
    <col min="56" max="57" width="12.375" style="2" customWidth="1"/>
    <col min="58" max="58" width="11.5" style="2" customWidth="1"/>
    <col min="59" max="60" width="9.625" style="2" customWidth="1"/>
    <col min="61" max="62" width="12.375" style="2" customWidth="1"/>
    <col min="63" max="63" width="11.5" style="2" customWidth="1"/>
    <col min="64" max="65" width="9.625" style="2" customWidth="1"/>
    <col min="66" max="67" width="12.375" style="2" customWidth="1"/>
    <col min="68" max="16384" width="9" style="1"/>
  </cols>
  <sheetData>
    <row r="2" spans="1:67">
      <c r="A2" s="27" t="s">
        <v>20</v>
      </c>
      <c r="B2" s="27" t="s">
        <v>21</v>
      </c>
      <c r="C2" s="27" t="s">
        <v>22</v>
      </c>
      <c r="D2" s="27"/>
      <c r="E2" s="27"/>
      <c r="F2" s="27"/>
      <c r="G2" s="3"/>
      <c r="H2" s="27" t="s">
        <v>23</v>
      </c>
      <c r="I2" s="27"/>
      <c r="J2" s="27"/>
      <c r="K2" s="27"/>
      <c r="L2" s="3"/>
      <c r="M2" s="27" t="s">
        <v>24</v>
      </c>
      <c r="N2" s="27"/>
      <c r="O2" s="27"/>
      <c r="P2" s="27"/>
      <c r="Q2" s="3"/>
      <c r="R2" s="27" t="s">
        <v>25</v>
      </c>
      <c r="S2" s="27"/>
      <c r="T2" s="27"/>
      <c r="U2" s="27"/>
      <c r="V2" s="3"/>
      <c r="W2" s="27" t="s">
        <v>26</v>
      </c>
      <c r="X2" s="27"/>
      <c r="Y2" s="27"/>
      <c r="Z2" s="27"/>
      <c r="AA2" s="3"/>
      <c r="AB2" s="27" t="s">
        <v>27</v>
      </c>
      <c r="AC2" s="27"/>
      <c r="AD2" s="27"/>
      <c r="AE2" s="27"/>
      <c r="AF2" s="3"/>
      <c r="AG2" s="27" t="s">
        <v>28</v>
      </c>
      <c r="AH2" s="27"/>
      <c r="AI2" s="27"/>
      <c r="AJ2" s="27"/>
      <c r="AK2" s="3"/>
      <c r="AL2" s="27" t="s">
        <v>29</v>
      </c>
      <c r="AM2" s="27"/>
      <c r="AN2" s="27"/>
      <c r="AO2" s="27"/>
      <c r="AP2" s="3"/>
      <c r="AQ2" s="27" t="s">
        <v>30</v>
      </c>
      <c r="AR2" s="27"/>
      <c r="AS2" s="27"/>
      <c r="AT2" s="27"/>
      <c r="AU2" s="3"/>
      <c r="AV2" s="27" t="s">
        <v>31</v>
      </c>
      <c r="AW2" s="27"/>
      <c r="AX2" s="27"/>
      <c r="AY2" s="27"/>
      <c r="AZ2" s="3"/>
      <c r="BA2" s="27" t="s">
        <v>32</v>
      </c>
      <c r="BB2" s="27"/>
      <c r="BC2" s="27"/>
      <c r="BD2" s="27"/>
      <c r="BE2" s="3"/>
      <c r="BF2" s="27" t="s">
        <v>33</v>
      </c>
      <c r="BG2" s="27"/>
      <c r="BH2" s="27"/>
      <c r="BI2" s="27"/>
      <c r="BJ2" s="3"/>
      <c r="BK2" s="27" t="s">
        <v>34</v>
      </c>
      <c r="BL2" s="27"/>
      <c r="BM2" s="27"/>
      <c r="BN2" s="27"/>
      <c r="BO2" s="3"/>
    </row>
    <row r="3" spans="1:67" ht="30" customHeight="1">
      <c r="A3" s="27"/>
      <c r="B3" s="27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pans="1:67" ht="30" customHeight="1">
      <c r="A4" s="5" t="s">
        <v>42</v>
      </c>
      <c r="B4" s="5" t="s">
        <v>43</v>
      </c>
      <c r="C4" s="6">
        <f>一月!C4+二月!C4+三月!C4+四月!C4+五月!C4+六月!C4+七月!C4+八月!C4+九月!C4+十月!C4+十一月!C4+十二月!C4</f>
        <v>92218.134046528503</v>
      </c>
      <c r="D4" s="6">
        <f>一月!D4+二月!D4+三月!D4+四月!D4+五月!D4+六月!D4+七月!D4+八月!D4+九月!D4+十月!D4+十一月!D4</f>
        <v>118.313716228693</v>
      </c>
      <c r="E4" s="6">
        <f>C4*$C$21</f>
        <v>11.3336086743184</v>
      </c>
      <c r="F4" s="7">
        <f>E4/$C$16*1000</f>
        <v>1.0105644252757E-2</v>
      </c>
      <c r="G4" s="8">
        <f>E4/$C$15*1000</f>
        <v>2.3672641790774501E-4</v>
      </c>
      <c r="H4" s="6">
        <f>一月!H4+二月!H4+三月!H4+四月!H4+五月!H4+六月!H4+七月!H4+八月!H4+九月!H4+十月!H4+十一月!H4+十二月!H4</f>
        <v>85343.301285354202</v>
      </c>
      <c r="I4" s="6">
        <f>一月!I4+二月!I4+三月!I4+四月!I4+五月!I4+六月!I4+七月!I4+八月!I4+九月!I4+十月!I4+十一月!I4</f>
        <v>109.493477054873</v>
      </c>
      <c r="J4" s="6">
        <f>一月!J4+二月!J4+三月!J4+四月!J4+五月!J4+六月!J4+七月!J4+八月!J4+九月!J4+十月!J4+十一月!J4</f>
        <v>9.8601325090987295</v>
      </c>
      <c r="K4" s="7">
        <f>J4/$H$16*1000</f>
        <v>7.6707116568906003E-3</v>
      </c>
      <c r="L4" s="8">
        <f>J4/$H$15*1000</f>
        <v>1.7559967568099599E-4</v>
      </c>
      <c r="M4" s="6">
        <f>一月!M4+二月!M4+三月!M4+四月!M4+五月!M4+六月!M4+七月!M4+八月!M4+九月!M4+十月!M4+十一月!M4+十二月!M4</f>
        <v>37833.702278771299</v>
      </c>
      <c r="N4" s="6">
        <f>一月!N4+二月!N4+三月!N4+四月!N4+五月!N4+六月!N4+七月!N4+八月!N4+九月!N4+十月!N4+十一月!N4</f>
        <v>48.539728296159403</v>
      </c>
      <c r="O4" s="6">
        <f>一月!O4+二月!O4+三月!O4+四月!O4+五月!O4+六月!O4+七月!O4+八月!O4+九月!O4+十月!O4+十一月!O4</f>
        <v>4.3711100447750901</v>
      </c>
      <c r="P4" s="13">
        <f>O4/$M$16*1000</f>
        <v>1.8369238258613501E-3</v>
      </c>
      <c r="Q4" s="14">
        <f>O4/$M$15*1000</f>
        <v>3.6946867876856103E-5</v>
      </c>
      <c r="R4" s="6">
        <f>一月!R4+二月!R4+三月!R4+四月!R4+五月!R4+六月!R4+七月!R4+八月!R4+九月!R4+十月!R4+十一月!R4+十二月!R4</f>
        <v>131316.97297429401</v>
      </c>
      <c r="S4" s="6">
        <f>一月!S4+二月!S4+三月!S4+四月!S4+五月!S4+六月!S4+七月!S4+八月!S4+九月!S4+十月!S4+十一月!S4</f>
        <v>147.72384251963999</v>
      </c>
      <c r="T4" s="6">
        <f>一月!T4+二月!T4+三月!T4+四月!T4+五月!T4+六月!T4+七月!T4+八月!T4+九月!T4+十月!T4+十一月!T4</f>
        <v>13.3353230144468</v>
      </c>
      <c r="U4" s="7">
        <f>T4/$R$16*1000</f>
        <v>1.77041491724725E-2</v>
      </c>
      <c r="V4" s="8">
        <f>T4/$R$15*1000</f>
        <v>4.00662286512317E-4</v>
      </c>
      <c r="W4" s="6">
        <f>一月!W4+二月!W4+三月!W4+四月!W4+五月!W4+六月!W4+七月!W4+八月!W4+九月!W4+十月!W4+十一月!W4+十二月!W4</f>
        <v>266028.13231505197</v>
      </c>
      <c r="X4" s="6">
        <f>一月!X4+二月!X4+三月!X4+四月!X4+五月!X4+六月!X4+七月!X4+八月!X4+九月!X4+十月!X4+十一月!X4</f>
        <v>341.30787587113099</v>
      </c>
      <c r="Y4" s="6">
        <f>一月!Y4+二月!Y4+三月!Y4+四月!Y4+五月!Y4+六月!Y4+七月!Y4+八月!Y4+九月!Y4+十月!Y4+十一月!Y4</f>
        <v>30.7355360713699</v>
      </c>
      <c r="Z4" s="7">
        <f>Y4/$W$16*1000</f>
        <v>1.44700780371892E-2</v>
      </c>
      <c r="AA4" s="8">
        <f>Y4/$W$15*1000</f>
        <v>3.1393801296964602E-4</v>
      </c>
      <c r="AB4" s="6">
        <f>一月!AB4+二月!AB4+三月!AB4+四月!AB4+五月!AB4+六月!AB4+七月!AB4+八月!AB4+九月!AB4+十月!AB4+十一月!AB4+十二月!AB4</f>
        <v>19822839.999907199</v>
      </c>
      <c r="AC4" s="6">
        <f>一月!AC4+二月!AC4+三月!AC4+四月!AC4+五月!AC4+六月!AC4+七月!AC4+八月!AC4+九月!AC4+十月!AC4+十一月!AC4</f>
        <v>24994.378840107802</v>
      </c>
      <c r="AD4" s="6">
        <f>一月!AD4+二月!AD4+三月!AD4+四月!AD4+五月!AD4+六月!AD4+七月!AD4+八月!AD4+九月!AD4+十月!AD4+十一月!AD4</f>
        <v>2240.1769559886002</v>
      </c>
      <c r="AE4" s="7">
        <f>AD4/$AB$16*1000</f>
        <v>0.27286252340495598</v>
      </c>
      <c r="AF4" s="8">
        <f>AD4/$AB$15*1000</f>
        <v>3.13112476113062E-2</v>
      </c>
      <c r="AG4" s="6">
        <f>一月!AG4+二月!AG4+三月!AG4+四月!AG4+五月!AG4+六月!AG4+七月!AG4+八月!AG4+九月!AG4+十月!AG4+十一月!AG4+十二月!AG4</f>
        <v>747732.599997218</v>
      </c>
      <c r="AH4" s="6">
        <f>一月!AH4+二月!AH4+三月!AH4+四月!AH4+五月!AH4+六月!AH4+七月!AH4+八月!AH4+九月!AH4+十月!AH4+十一月!AH4</f>
        <v>977.44104454270996</v>
      </c>
      <c r="AI4" s="6">
        <f>一月!AI4+二月!AI4+三月!AI4+四月!AI4+五月!AI4+六月!AI4+七月!AI4+八月!AI4+九月!AI4+十月!AI4+十一月!AI4</f>
        <v>87.548134539657994</v>
      </c>
      <c r="AJ4" s="7"/>
      <c r="AK4" s="7">
        <f>AI4/$AG$15*1000</f>
        <v>2.09855721511947E-2</v>
      </c>
      <c r="AL4" s="6">
        <f>一月!AL4+二月!AL4+三月!AL4+四月!AL4+五月!AL4+六月!AL4+七月!AL4+八月!AL4+九月!AL4+十月!AL4+十一月!AL4+十二月!AL4</f>
        <v>23793539.999907199</v>
      </c>
      <c r="AM4" s="6">
        <f>一月!AM4+二月!AM4+三月!AM4+四月!AM4+五月!AM4+六月!AM4+七月!AM4+八月!AM4+九月!AM4+十月!AM4+十一月!AM4</f>
        <v>29609.898937393998</v>
      </c>
      <c r="AN4" s="6">
        <f>一月!AN4+二月!AN4+三月!AN4+四月!AN4+五月!AN4+六月!AN4+七月!AN4+八月!AN4+九月!AN4+十月!AN4+十一月!AN4</f>
        <v>2654.9177539886</v>
      </c>
      <c r="AO4" s="7">
        <f>AN4/$AL$16*1000</f>
        <v>1.2499169363217699</v>
      </c>
      <c r="AP4" s="8">
        <f>AN4/$AL$15*1000</f>
        <v>4.0193198476235502E-2</v>
      </c>
      <c r="AQ4" s="6">
        <f>一月!AQ4+二月!AQ4+三月!AQ4+四月!AQ4+五月!AQ4+六月!AQ4+七月!AQ4+八月!AQ4+九月!AQ4+十月!AQ4+十一月!AQ4+十二月!AQ4</f>
        <v>16454739.999907199</v>
      </c>
      <c r="AR4" s="6">
        <f>一月!AR4+二月!AR4+三月!AR4+四月!AR4+五月!AR4+六月!AR4+七月!AR4+八月!AR4+九月!AR4+十月!AR4+十一月!AR4</f>
        <v>19040.044738725301</v>
      </c>
      <c r="AS4" s="6">
        <f>一月!AS4+二月!AS4+三月!AS4+四月!AS4+五月!AS4+六月!AS4+七月!AS4+八月!AS4+九月!AS4+十月!AS4+十一月!AS4</f>
        <v>1714.2018259885999</v>
      </c>
      <c r="AT4" s="7">
        <f>AS4/$AQ$16*1000</f>
        <v>2.2518067485120898</v>
      </c>
      <c r="AU4" s="7">
        <f>AS4/$AQ$15*1000</f>
        <v>4.0954592819957003E-2</v>
      </c>
      <c r="AV4" s="6">
        <f>一月!AV4+二月!AV4+三月!AV4+四月!AV4+五月!AV4+六月!AV4+七月!AV4+八月!AV4+九月!AV4+十月!AV4+十一月!AV4+十二月!AV4</f>
        <v>19394707.399909999</v>
      </c>
      <c r="AW4" s="6">
        <f>一月!AW4+二月!AW4+三月!AW4+四月!AW4+五月!AW4+六月!AW4+七月!AW4+八月!AW4+九月!AW4+十月!AW4+十一月!AW4</f>
        <v>23908.7057807161</v>
      </c>
      <c r="AX4" s="6">
        <f>一月!AX4+二月!AX4+三月!AX4+四月!AX4+五月!AX4+六月!AX4+七月!AX4+八月!AX4+九月!AX4+十月!AX4+十一月!AX4</f>
        <v>2136.3593194489399</v>
      </c>
      <c r="AY4" s="7">
        <f>AX4/$AV$16*1000</f>
        <v>1.66198540637075</v>
      </c>
      <c r="AZ4" s="7"/>
      <c r="BA4" s="6">
        <f>一月!BA4+二月!BA4+三月!BA4+四月!BA4+五月!BA4+六月!BA4+七月!BA4+八月!BA4+九月!BA4+十月!BA4+十一月!BA4+十二月!BA4</f>
        <v>162347638</v>
      </c>
      <c r="BB4" s="6">
        <f>一月!BB4+二月!BB4+三月!BB4+四月!BB4+五月!BB4+六月!BB4+七月!BB4+八月!BB4+九月!BB4+十月!BB4+十一月!BB4</f>
        <v>202130.345334101</v>
      </c>
      <c r="BC4" s="6">
        <f>一月!BC4+二月!BC4+三月!BC4+四月!BC4+五月!BC4+六月!BC4+七月!BC4+八月!BC4+九月!BC4+十月!BC4+十一月!BC4</f>
        <v>18134.354400200002</v>
      </c>
      <c r="BD4" s="7">
        <f>BC4/$BA$16*1000</f>
        <v>10.9434018968056</v>
      </c>
      <c r="BE4" s="7">
        <f>BC4/$BA$15*1000</f>
        <v>8.95623187771481</v>
      </c>
      <c r="BF4" s="6">
        <f>一月!BF4+二月!BF4+三月!BF4+四月!BF4+五月!BF4+六月!BF4+七月!BF4+八月!BF4+九月!BF4+十月!BF4+十一月!BF4+十二月!BF4</f>
        <v>189002292</v>
      </c>
      <c r="BG4" s="6">
        <f>一月!BG4+二月!BG4+三月!BG4+四月!BG4+五月!BG4+六月!BG4+七月!BG4+八月!BG4+九月!BG4+十月!BG4+十一月!BG4</f>
        <v>236415.05165130601</v>
      </c>
      <c r="BH4" s="6">
        <f>一月!BH4+二月!BH4+三月!BH4+四月!BH4+五月!BH4+六月!BH4+七月!BH4+八月!BH4+九月!BH4+十月!BH4+十一月!BH4</f>
        <v>21226.2853818</v>
      </c>
      <c r="BI4" s="7">
        <f>BH4/$BF$16*1000</f>
        <v>9.9931885099085598</v>
      </c>
      <c r="BJ4" s="7">
        <f>BH4/$BF$15*1000</f>
        <v>9.55333832693257</v>
      </c>
      <c r="BK4" s="6">
        <f>一月!BK4+二月!BK4+三月!BK4+四月!BK4+五月!BK4+六月!BK4+七月!BK4+八月!BK4+九月!BK4+十月!BK4+十一月!BK4+十二月!BK4</f>
        <v>208878470</v>
      </c>
      <c r="BL4" s="6">
        <f>一月!BL4+二月!BL4+三月!BL4+四月!BL4+五月!BL4+六月!BL4+七月!BL4+八月!BL4+九月!BL4+十月!BL4+十一月!BL4</f>
        <v>0</v>
      </c>
      <c r="BM4" s="6">
        <f>一月!BM4+二月!BM4+三月!BM4+四月!BM4+五月!BM4+六月!BM4+七月!BM4+八月!BM4+九月!BM4+十月!BM4+十一月!BM4</f>
        <v>23483.316598000001</v>
      </c>
      <c r="BN4" s="7">
        <f>BM4/$BK$16*1000</f>
        <v>9.8686748508366904</v>
      </c>
      <c r="BO4" s="7">
        <f>BM4/$BK$15*1000</f>
        <v>10.3086887154238</v>
      </c>
    </row>
    <row r="5" spans="1:67" ht="30" customHeight="1">
      <c r="A5" s="5" t="s">
        <v>13</v>
      </c>
      <c r="B5" s="5" t="s">
        <v>44</v>
      </c>
      <c r="C5" s="6">
        <f>一月!C5+二月!C5+三月!C5+四月!C5+五月!C5+六月!C5+七月!C5+八月!C5+九月!C5+十月!C5+十一月!C5+十二月!C5</f>
        <v>1629.4992</v>
      </c>
      <c r="D5" s="6">
        <f>一月!D5+二月!D5+三月!D5+四月!D5+五月!D5+六月!D5+七月!D5+八月!D5+九月!D5+十月!D5+十一月!D5</f>
        <v>2.2001231950844899</v>
      </c>
      <c r="E5" s="6">
        <f>C5*$C$22</f>
        <v>55.565922720000003</v>
      </c>
      <c r="F5" s="7">
        <f>E5/$C$16*1000</f>
        <v>4.9545512265384603E-2</v>
      </c>
      <c r="G5" s="8">
        <f>E5/$C$15*1000</f>
        <v>1.1606119658119701E-3</v>
      </c>
      <c r="H5" s="6">
        <f>一月!H5+二月!H5+三月!H5+四月!H5+五月!H5+六月!H5+七月!H5+八月!H5+九月!H5+十月!H5+十一月!H5+十二月!H5</f>
        <v>1149.5168000000001</v>
      </c>
      <c r="I5" s="6">
        <f>一月!I5+二月!I5+三月!I5+四月!I5+五月!I5+六月!I5+七月!I5+八月!I5+九月!I5+十月!I5+十一月!I5</f>
        <v>7.1777777777777801E-4</v>
      </c>
      <c r="J5" s="6">
        <f>一月!J5+二月!J5+三月!J5+四月!J5+五月!J5+六月!J5+七月!J5+八月!J5+九月!J5+十月!J5+十一月!J5</f>
        <v>1.762288E-2</v>
      </c>
      <c r="K5" s="7">
        <f>J5/$H$16*1000</f>
        <v>1.37097580503348E-5</v>
      </c>
      <c r="L5" s="8">
        <f>J5/$H$15*1000</f>
        <v>3.13846899086752E-7</v>
      </c>
      <c r="M5" s="6">
        <f>一月!M5+二月!M5+三月!M5+四月!M5+五月!M5+六月!M5+七月!M5+八月!M5+九月!M5+十月!M5+十一月!M5+十二月!M5</f>
        <v>4781.8608000000004</v>
      </c>
      <c r="N5" s="6">
        <f>一月!N5+二月!N5+三月!N5+四月!N5+五月!N5+六月!N5+七月!N5+八月!N5+九月!N5+十月!N5+十一月!N5</f>
        <v>4.752360296979</v>
      </c>
      <c r="O5" s="6">
        <f>一月!O5+二月!O5+三月!O5+四月!O5+五月!O5+六月!O5+七月!O5+八月!O5+九月!O5+十月!O5+十一月!O5</f>
        <v>118.97015328000001</v>
      </c>
      <c r="P5" s="7">
        <f>O5/$M$16*1000</f>
        <v>4.9996249668350298E-2</v>
      </c>
      <c r="Q5" s="13">
        <f>O5/$M$15*1000</f>
        <v>1.0055968597220801E-3</v>
      </c>
      <c r="R5" s="6">
        <f>一月!R5+二月!R5+三月!R5+四月!R5+五月!R5+六月!R5+七月!R5+八月!R5+九月!R5+十月!R5+十一月!R5+十二月!R5</f>
        <v>5860.7695999999996</v>
      </c>
      <c r="S5" s="6">
        <f>一月!S5+二月!S5+三月!S5+四月!S5+五月!S5+六月!S5+七月!S5+八月!S5+九月!S5+十月!S5+十一月!S5</f>
        <v>6.5557715412186397</v>
      </c>
      <c r="T5" s="6">
        <f>一月!T5+二月!T5+三月!T5+四月!T5+五月!T5+六月!T5+七月!T5+八月!T5+九月!T5+十月!T5+十一月!T5</f>
        <v>163.94494336</v>
      </c>
      <c r="U5" s="7">
        <f>T5/$R$16*1000</f>
        <v>0.21765545012847401</v>
      </c>
      <c r="V5" s="8">
        <f>T5/$R$15*1000</f>
        <v>4.9257566387847299E-3</v>
      </c>
      <c r="W5" s="6">
        <f>一月!W5+二月!W5+三月!W5+四月!W5+五月!W5+六月!W5+七月!W5+八月!W5+九月!W5+十月!W5+十一月!W5+十二月!W5</f>
        <v>2180</v>
      </c>
      <c r="X5" s="6">
        <f>一月!X5+二月!X5+三月!X5+四月!X5+五月!X5+六月!X5+七月!X5+八月!X5+九月!X5+十月!X5+十一月!X5</f>
        <v>1.1566116231438801</v>
      </c>
      <c r="Y5" s="6">
        <f>一月!Y5+二月!Y5+三月!Y5+四月!Y5+五月!Y5+六月!Y5+七月!Y5+八月!Y5+九月!Y5+十月!Y5+十一月!Y5</f>
        <v>28.541699999999999</v>
      </c>
      <c r="Z5" s="7">
        <f>Y5/$W$16*1000</f>
        <v>1.3437235171530001E-2</v>
      </c>
      <c r="AA5" s="8">
        <f>Y5/$W$15*1000</f>
        <v>2.9152979677885899E-4</v>
      </c>
      <c r="AB5" s="6"/>
      <c r="AC5" s="6"/>
      <c r="AD5" s="6"/>
      <c r="AE5" s="7"/>
      <c r="AF5" s="8"/>
      <c r="AG5" s="6"/>
      <c r="AH5" s="6"/>
      <c r="AI5" s="6"/>
      <c r="AJ5" s="7"/>
      <c r="AK5" s="13"/>
      <c r="AL5" s="6"/>
      <c r="AM5" s="6"/>
      <c r="AN5" s="6"/>
      <c r="AO5" s="7"/>
      <c r="AP5" s="8"/>
      <c r="AQ5" s="6"/>
      <c r="AR5" s="6"/>
      <c r="AS5" s="6"/>
      <c r="AT5" s="7"/>
      <c r="AU5" s="8"/>
      <c r="AV5" s="6"/>
      <c r="AW5" s="6"/>
      <c r="AX5" s="6"/>
      <c r="AY5" s="7"/>
      <c r="AZ5" s="8"/>
      <c r="BA5" s="6">
        <f>一月!BA5+二月!BA5+三月!BA5+四月!BA5+五月!BA5+六月!BA5+七月!BA5+八月!BA5+九月!BA5+十月!BA5+十一月!BA5+十二月!BA5</f>
        <v>0</v>
      </c>
      <c r="BB5" s="6">
        <f>一月!BB5+二月!BB5+三月!BB5+四月!BB5+五月!BB5+六月!BB5+七月!BB5+八月!BB5+九月!BB5+十月!BB5+十一月!BB5</f>
        <v>0</v>
      </c>
      <c r="BC5" s="6">
        <f>一月!BC5+二月!BC5+三月!BC5+四月!BC5+五月!BC5+六月!BC5+七月!BC5+八月!BC5+九月!BC5+十月!BC5+十一月!BC5</f>
        <v>0</v>
      </c>
      <c r="BD5" s="7">
        <f>BC5/$BA$16*1000</f>
        <v>0</v>
      </c>
      <c r="BE5" s="7">
        <f>BC5/$BA$15*1000</f>
        <v>0</v>
      </c>
      <c r="BF5" s="6">
        <f>一月!BF5+二月!BF5+三月!BF5+四月!BF5+五月!BF5+六月!BF5+七月!BF5+八月!BF5+九月!BF5+十月!BF5+十一月!BF5+十二月!BF5</f>
        <v>0</v>
      </c>
      <c r="BG5" s="6">
        <f>一月!BG5+二月!BG5+三月!BG5+四月!BG5+五月!BG5+六月!BG5+七月!BG5+八月!BG5+九月!BG5+十月!BG5+十一月!BG5</f>
        <v>0</v>
      </c>
      <c r="BH5" s="6">
        <f>一月!BH5+二月!BH5+三月!BH5+四月!BH5+五月!BH5+六月!BH5+七月!BH5+八月!BH5+九月!BH5+十月!BH5+十一月!BH5</f>
        <v>0</v>
      </c>
      <c r="BI5" s="7">
        <f>BH5/$BF$16*1000</f>
        <v>0</v>
      </c>
      <c r="BJ5" s="7">
        <f>BH5/$BF$15*1000</f>
        <v>0</v>
      </c>
      <c r="BK5" s="6">
        <f>一月!BK5+二月!BK5+三月!BK5+四月!BK5+五月!BK5+六月!BK5+七月!BK5+八月!BK5+九月!BK5+十月!BK5+十一月!BK5+十二月!BK5</f>
        <v>0</v>
      </c>
      <c r="BL5" s="6">
        <f>一月!BL5+二月!BL5+三月!BL5+四月!BL5+五月!BL5+六月!BL5+七月!BL5+八月!BL5+九月!BL5+十月!BL5+十一月!BL5</f>
        <v>0</v>
      </c>
      <c r="BM5" s="6">
        <f>一月!BM5+二月!BM5+三月!BM5+四月!BM5+五月!BM5+六月!BM5+七月!BM5+八月!BM5+九月!BM5+十月!BM5+十一月!BM5</f>
        <v>0</v>
      </c>
      <c r="BN5" s="7">
        <f>BM5/$BK$16*1000</f>
        <v>0</v>
      </c>
      <c r="BO5" s="7">
        <f>BM5/$BK$15*1000</f>
        <v>0</v>
      </c>
    </row>
    <row r="6" spans="1:67" ht="30" customHeight="1">
      <c r="A6" s="5" t="s">
        <v>16</v>
      </c>
      <c r="B6" s="5" t="s">
        <v>45</v>
      </c>
      <c r="C6" s="6">
        <f>一月!C6+二月!C6+三月!C6+四月!C6+五月!C6+六月!C6+七月!C6+八月!C6+九月!C6+十月!C6+十一月!C6+十二月!C6</f>
        <v>6997000</v>
      </c>
      <c r="D6" s="6">
        <f>一月!D6+二月!D6+三月!D6+四月!D6+五月!D6+六月!D6+七月!D6+八月!D6+九月!D6+十月!D6+十一月!D6</f>
        <v>9573.3998975934592</v>
      </c>
      <c r="E6" s="6">
        <f>C6*$C$30</f>
        <v>118.24930000000001</v>
      </c>
      <c r="F6" s="7">
        <f>E6/$C$16*1000</f>
        <v>0.10543732303422</v>
      </c>
      <c r="G6" s="8">
        <f>E6/$C$15*1000</f>
        <v>2.46988704246769E-3</v>
      </c>
      <c r="H6" s="6">
        <f>一月!H6+二月!H6+三月!H6+四月!H6+五月!H6+六月!H6+七月!H6+八月!H6+九月!H6+十月!H6+十一月!H6+十二月!H6</f>
        <v>3129000</v>
      </c>
      <c r="I6" s="6">
        <f>一月!I6+二月!I6+三月!I6+四月!I6+五月!I6+六月!I6+七月!I6+八月!I6+九月!I6+十月!I6+十一月!I6</f>
        <v>3803.5010240655402</v>
      </c>
      <c r="J6" s="6">
        <f>一月!J6+二月!J6+三月!J6+四月!J6+五月!J6+六月!J6+七月!J6+八月!J6+九月!J6+十月!J6+十一月!J6</f>
        <v>46.796100000000003</v>
      </c>
      <c r="K6" s="7">
        <f>J6/$H$16*1000</f>
        <v>3.64051283728467E-2</v>
      </c>
      <c r="L6" s="8">
        <f>J6/$H$15*1000</f>
        <v>8.3339447776717196E-4</v>
      </c>
      <c r="M6" s="6">
        <f>一月!M6+二月!M6+三月!M6+四月!M6+五月!M6+六月!M6+七月!M6+八月!M6+九月!M6+十月!M6+十一月!M6+十二月!M6</f>
        <v>6163000</v>
      </c>
      <c r="N6" s="6">
        <f>一月!N6+二月!N6+三月!N6+四月!N6+五月!N6+六月!N6+七月!N6+八月!N6+九月!N6+十月!N6+十一月!N6</f>
        <v>7701.8209165386597</v>
      </c>
      <c r="O6" s="6">
        <f>一月!O6+二月!O6+三月!O6+四月!O6+五月!O6+六月!O6+七月!O6+八月!O6+九月!O6+十月!O6+十一月!O6</f>
        <v>95.130099999999999</v>
      </c>
      <c r="P6" s="7">
        <f>O6/$M$16*1000</f>
        <v>3.9977659097247598E-2</v>
      </c>
      <c r="Q6" s="8">
        <f>O6/$M$15*1000</f>
        <v>8.0408848091422403E-4</v>
      </c>
      <c r="R6" s="6">
        <f>一月!R6+二月!R6+三月!R6+四月!R6+五月!R6+六月!R6+七月!R6+八月!R6+九月!R6+十月!R6+十一月!R6+十二月!R6</f>
        <v>799000</v>
      </c>
      <c r="S6" s="6">
        <f>一月!S6+二月!S6+三月!S6+四月!S6+五月!S6+六月!S6+七月!S6+八月!S6+九月!S6+十月!S6+十一月!S6</f>
        <v>862.54480286738396</v>
      </c>
      <c r="T6" s="6">
        <f>一月!T6+二月!T6+三月!T6+四月!T6+五月!T6+六月!T6+七月!T6+八月!T6+九月!T6+十月!T6+十一月!T6</f>
        <v>10.697699999999999</v>
      </c>
      <c r="U6" s="7">
        <f>T6/$R$16*1000</f>
        <v>1.42024063756972E-2</v>
      </c>
      <c r="V6" s="8">
        <f>T6/$R$15*1000</f>
        <v>3.2141440726853201E-4</v>
      </c>
      <c r="W6" s="6">
        <f>一月!W6+二月!W6+三月!W6+四月!W6+五月!W6+六月!W6+七月!W6+八月!W6+九月!W6+十月!W6+十一月!W6+十二月!W6</f>
        <v>12097000</v>
      </c>
      <c r="X6" s="6">
        <f>一月!X6+二月!X6+三月!X6+四月!X6+五月!X6+六月!X6+七月!X6+八月!X6+九月!X6+十月!X6+十一月!X6</f>
        <v>15201.084869431699</v>
      </c>
      <c r="Y6" s="6">
        <f>一月!Y6+二月!Y6+三月!Y6+四月!Y6+五月!Y6+六月!Y6+七月!Y6+八月!Y6+九月!Y6+十月!Y6+十一月!Y6</f>
        <v>187.69139999999999</v>
      </c>
      <c r="Z6" s="7">
        <f>Y6/$W$16*1000</f>
        <v>8.8363814400463703E-2</v>
      </c>
      <c r="AA6" s="13">
        <f>Y6/$W$15*1000</f>
        <v>1.91711200451058E-3</v>
      </c>
      <c r="AB6" s="6"/>
      <c r="AC6" s="6"/>
      <c r="AD6" s="6"/>
      <c r="AE6" s="7"/>
      <c r="AF6" s="8"/>
      <c r="AG6" s="6"/>
      <c r="AH6" s="6"/>
      <c r="AI6" s="6"/>
      <c r="AJ6" s="7"/>
      <c r="AK6" s="13"/>
      <c r="AL6" s="6"/>
      <c r="AM6" s="6"/>
      <c r="AN6" s="6"/>
      <c r="AO6" s="7"/>
      <c r="AP6" s="8"/>
      <c r="AQ6" s="6"/>
      <c r="AR6" s="6"/>
      <c r="AS6" s="6"/>
      <c r="AT6" s="7"/>
      <c r="AU6" s="8"/>
      <c r="AV6" s="6"/>
      <c r="AW6" s="6"/>
      <c r="AX6" s="6"/>
      <c r="AY6" s="7"/>
      <c r="AZ6" s="8"/>
      <c r="BA6" s="6"/>
      <c r="BB6" s="6"/>
      <c r="BC6" s="6"/>
      <c r="BD6" s="7"/>
      <c r="BE6" s="7"/>
      <c r="BF6" s="6"/>
      <c r="BG6" s="6"/>
      <c r="BH6" s="6"/>
      <c r="BI6" s="7"/>
      <c r="BJ6" s="7"/>
      <c r="BK6" s="6"/>
      <c r="BL6" s="6"/>
      <c r="BM6" s="6"/>
      <c r="BN6" s="7"/>
      <c r="BO6" s="7"/>
    </row>
    <row r="7" spans="1:67" ht="30" customHeight="1">
      <c r="A7" s="5" t="s">
        <v>17</v>
      </c>
      <c r="B7" s="5" t="s">
        <v>45</v>
      </c>
      <c r="C7" s="6">
        <f>一月!C7+二月!C7+三月!C7+四月!C7+五月!C7+六月!C7+七月!C7+八月!C7+九月!C7+十月!C7+十一月!C7+十二月!C7</f>
        <v>0</v>
      </c>
      <c r="D7" s="6">
        <f>一月!D7+二月!D7+三月!D7+四月!D7+五月!D7+六月!D7+七月!D7+八月!D7+九月!D7+十月!D7+十一月!D7</f>
        <v>0</v>
      </c>
      <c r="E7" s="6">
        <f>C7*$C$31</f>
        <v>0</v>
      </c>
      <c r="F7" s="7">
        <f>E7/$C$16*1000</f>
        <v>0</v>
      </c>
      <c r="G7" s="8">
        <f>E7/$C$15*1000</f>
        <v>0</v>
      </c>
      <c r="H7" s="6">
        <f>一月!H7+二月!H7+三月!H7+四月!H7+五月!H7+六月!H7+七月!H7+八月!H7+九月!H7+十月!H7+十一月!H7+十二月!H7</f>
        <v>0</v>
      </c>
      <c r="I7" s="6">
        <f>一月!I7+二月!I7+三月!I7+四月!I7+五月!I7+六月!I7+七月!I7+八月!I7+九月!I7+十月!I7+十一月!I7</f>
        <v>0</v>
      </c>
      <c r="J7" s="6">
        <f>一月!J7+二月!J7+三月!J7+四月!J7+五月!J7+六月!J7+七月!J7+八月!J7+九月!J7+十月!J7+十一月!J7</f>
        <v>0</v>
      </c>
      <c r="K7" s="7">
        <f>J7/$H$16*1000</f>
        <v>0</v>
      </c>
      <c r="L7" s="8">
        <f>J7/$H$15*1000</f>
        <v>0</v>
      </c>
      <c r="M7" s="6">
        <f>一月!M7+二月!M7+三月!M7+四月!M7+五月!M7+六月!M7+七月!M7+八月!M7+九月!M7+十月!M7+十一月!M7+十二月!M7</f>
        <v>0</v>
      </c>
      <c r="N7" s="6">
        <f>一月!N7+二月!N7+三月!N7+四月!N7+五月!N7+六月!N7+七月!N7+八月!N7+九月!N7+十月!N7+十一月!N7</f>
        <v>0</v>
      </c>
      <c r="O7" s="6">
        <f>一月!O7+二月!O7+三月!O7+四月!O7+五月!O7+六月!O7+七月!O7+八月!O7+九月!O7+十月!O7+十一月!O7</f>
        <v>0</v>
      </c>
      <c r="P7" s="7">
        <f>O7/$M$16*1000</f>
        <v>0</v>
      </c>
      <c r="Q7" s="8">
        <f>O7/$M$15*1000</f>
        <v>0</v>
      </c>
      <c r="R7" s="6">
        <f>一月!R7+二月!R7+三月!R7+四月!R7+五月!R7+六月!R7+七月!R7+八月!R7+九月!R7+十月!R7+十一月!R7+十二月!R7</f>
        <v>0</v>
      </c>
      <c r="S7" s="6">
        <f>一月!S7+二月!S7+三月!S7+四月!S7+五月!S7+六月!S7+七月!S7+八月!S7+九月!S7+十月!S7+十一月!S7</f>
        <v>0</v>
      </c>
      <c r="T7" s="6">
        <f>一月!T7+二月!T7+三月!T7+四月!T7+五月!T7+六月!T7+七月!T7+八月!T7+九月!T7+十月!T7+十一月!T7</f>
        <v>0</v>
      </c>
      <c r="U7" s="7">
        <f>T7/$R$16*1000</f>
        <v>0</v>
      </c>
      <c r="V7" s="8">
        <f>T7/$R$15*1000</f>
        <v>0</v>
      </c>
      <c r="W7" s="6">
        <f>一月!W7+二月!W7+三月!W7+四月!W7+五月!W7+六月!W7+七月!W7+八月!W7+九月!W7+十月!W7+十一月!W7+十二月!W7</f>
        <v>0</v>
      </c>
      <c r="X7" s="6">
        <f>一月!X7+二月!X7+三月!X7+四月!X7+五月!X7+六月!X7+七月!X7+八月!X7+九月!X7+十月!X7+十一月!X7</f>
        <v>0</v>
      </c>
      <c r="Y7" s="6">
        <f>一月!Y7+二月!Y7+三月!Y7+四月!Y7+五月!Y7+六月!Y7+七月!Y7+八月!Y7+九月!Y7+十月!Y7+十一月!Y7</f>
        <v>0</v>
      </c>
      <c r="Z7" s="7">
        <f>Y7/$W$16*1000</f>
        <v>0</v>
      </c>
      <c r="AA7" s="8">
        <f>Y7/$W$15*1000</f>
        <v>0</v>
      </c>
      <c r="AB7" s="6"/>
      <c r="AC7" s="6"/>
      <c r="AD7" s="6"/>
      <c r="AE7" s="7"/>
      <c r="AF7" s="8"/>
      <c r="AG7" s="6"/>
      <c r="AH7" s="6"/>
      <c r="AI7" s="6"/>
      <c r="AJ7" s="7"/>
      <c r="AK7" s="13"/>
      <c r="AL7" s="6"/>
      <c r="AM7" s="6"/>
      <c r="AN7" s="6"/>
      <c r="AO7" s="7"/>
      <c r="AP7" s="8"/>
      <c r="AQ7" s="6"/>
      <c r="AR7" s="6"/>
      <c r="AS7" s="6"/>
      <c r="AT7" s="7"/>
      <c r="AU7" s="8"/>
      <c r="AV7" s="6"/>
      <c r="AW7" s="6"/>
      <c r="AX7" s="6"/>
      <c r="AY7" s="7"/>
      <c r="AZ7" s="8"/>
      <c r="BA7" s="6">
        <f>一月!BA7+二月!BA7+三月!BA7+四月!BA7+五月!BA7+六月!BA7+七月!BA7+八月!BA7+九月!BA7+十月!BA7+十一月!BA7+十二月!BA7</f>
        <v>589334</v>
      </c>
      <c r="BB7" s="6">
        <f>一月!BB7+二月!BB7+三月!BB7+四月!BB7+五月!BB7+六月!BB7+七月!BB7+八月!BB7+九月!BB7+十月!BB7+十一月!BB7</f>
        <v>684.82676224611703</v>
      </c>
      <c r="BC7" s="6">
        <f>一月!BC7+二月!BC7+三月!BC7+四月!BC7+五月!BC7+六月!BC7+七月!BC7+八月!BC7+九月!BC7+十月!BC7+十一月!BC7</f>
        <v>8.5175999999999998</v>
      </c>
      <c r="BD7" s="7">
        <f>BC7/$BA$16*1000</f>
        <v>5.1400517459393603E-3</v>
      </c>
      <c r="BE7" s="13">
        <f>BC7/$BA$15*1000</f>
        <v>4.2066896321813502E-3</v>
      </c>
      <c r="BF7" s="6">
        <f>一月!BF7+二月!BF7+三月!BF7+四月!BF7+五月!BF7+六月!BF7+七月!BF7+八月!BF7+九月!BF7+十月!BF7+十一月!BF7+十二月!BF7</f>
        <v>589333</v>
      </c>
      <c r="BG7" s="6">
        <f>一月!BG7+二月!BG7+三月!BG7+四月!BG7+五月!BG7+六月!BG7+七月!BG7+八月!BG7+九月!BG7+十月!BG7+十一月!BG7</f>
        <v>684.82676224611703</v>
      </c>
      <c r="BH7" s="6">
        <f>一月!BH7+二月!BH7+三月!BH7+四月!BH7+五月!BH7+六月!BH7+七月!BH7+八月!BH7+九月!BH7+十月!BH7+十一月!BH7</f>
        <v>8.5175999999999998</v>
      </c>
      <c r="BI7" s="13">
        <f>BH7/$BF$16*1000</f>
        <v>4.01002723373255E-3</v>
      </c>
      <c r="BJ7" s="13">
        <f>BH7/$BF$15*1000</f>
        <v>3.8335258887667199E-3</v>
      </c>
      <c r="BK7" s="6">
        <f>一月!BK7+二月!BK7+三月!BK7+四月!BK7+五月!BK7+六月!BK7+七月!BK7+八月!BK7+九月!BK7+十月!BK7+十一月!BK7+十二月!BK7</f>
        <v>589333</v>
      </c>
      <c r="BL7" s="6">
        <f>一月!BL7+二月!BL7+三月!BL7+四月!BL7+五月!BL7+六月!BL7+七月!BL7+八月!BL7+九月!BL7+十月!BL7+十一月!BL7</f>
        <v>684.82676224611703</v>
      </c>
      <c r="BM7" s="6">
        <f>一月!BM7+二月!BM7+三月!BM7+四月!BM7+五月!BM7+六月!BM7+七月!BM7+八月!BM7+九月!BM7+十月!BM7+十一月!BM7</f>
        <v>8.5175999999999998</v>
      </c>
      <c r="BN7" s="13">
        <f>BM7/$BK$16*1000</f>
        <v>3.5794528664083798E-3</v>
      </c>
      <c r="BO7" s="13">
        <f>BM7/$BK$15*1000</f>
        <v>3.7390496626005499E-3</v>
      </c>
    </row>
    <row r="8" spans="1:67" ht="30" customHeight="1">
      <c r="A8" s="5" t="s">
        <v>46</v>
      </c>
      <c r="B8" s="5" t="s">
        <v>47</v>
      </c>
      <c r="C8" s="6">
        <f>一月!C8+二月!C8+三月!C8+四月!C8+五月!C8+六月!C8+七月!C8+八月!C8+九月!C8+十月!C8+十一月!C8+十二月!C8</f>
        <v>3041905</v>
      </c>
      <c r="D8" s="6">
        <f>一月!D8+二月!D8+三月!D8+四月!D8+五月!D8+六月!D8+七月!D8+八月!D8+九月!D8+十月!D8+十一月!D8</f>
        <v>4141.64804787506</v>
      </c>
      <c r="E8" s="6">
        <f>C8*$C$23</f>
        <v>144.4904875</v>
      </c>
      <c r="F8" s="7">
        <f>E8/$C$16*1000</f>
        <v>0.12883535214085401</v>
      </c>
      <c r="G8" s="8">
        <f>E8/$C$15*1000</f>
        <v>3.0179898133527198E-3</v>
      </c>
      <c r="H8" s="6"/>
      <c r="I8" s="6"/>
      <c r="J8" s="6"/>
      <c r="K8" s="7"/>
      <c r="L8" s="8"/>
      <c r="M8" s="6">
        <f>一月!M8+二月!M8+三月!M8+四月!M8+五月!M8+六月!M8+七月!M8+八月!M8+九月!M8+十月!M8+十一月!M8+十二月!M8</f>
        <v>4235980</v>
      </c>
      <c r="N8" s="6">
        <f>一月!N8+二月!N8+三月!N8+四月!N8+五月!N8+六月!N8+七月!N8+八月!N8+九月!N8+十月!N8+十一月!N8</f>
        <v>5328.9673995135699</v>
      </c>
      <c r="O8" s="6">
        <f>一月!O8+二月!O8+三月!O8+四月!O8+五月!O8+六月!O8+七月!O8+八月!O8+九月!O8+十月!O8+十一月!O8</f>
        <v>185.0951025</v>
      </c>
      <c r="P8" s="7">
        <f>O8/$M$16*1000</f>
        <v>7.77847275290902E-2</v>
      </c>
      <c r="Q8" s="13">
        <f>O8/$M$15*1000</f>
        <v>1.5645189040470601E-3</v>
      </c>
      <c r="R8" s="6"/>
      <c r="S8" s="6"/>
      <c r="T8" s="6"/>
      <c r="U8" s="7"/>
      <c r="V8" s="8"/>
      <c r="W8" s="6"/>
      <c r="X8" s="6"/>
      <c r="Y8" s="6"/>
      <c r="Z8" s="7"/>
      <c r="AA8" s="8"/>
      <c r="AB8" s="6"/>
      <c r="AC8" s="6"/>
      <c r="AD8" s="6"/>
      <c r="AE8" s="7"/>
      <c r="AF8" s="8"/>
      <c r="AG8" s="6"/>
      <c r="AH8" s="6"/>
      <c r="AI8" s="6"/>
      <c r="AJ8" s="7"/>
      <c r="AK8" s="13"/>
      <c r="AL8" s="6"/>
      <c r="AM8" s="6"/>
      <c r="AN8" s="6"/>
      <c r="AO8" s="7"/>
      <c r="AP8" s="8"/>
      <c r="AQ8" s="6"/>
      <c r="AR8" s="6"/>
      <c r="AS8" s="6"/>
      <c r="AT8" s="7"/>
      <c r="AU8" s="8"/>
      <c r="AV8" s="6"/>
      <c r="AW8" s="6"/>
      <c r="AX8" s="6"/>
      <c r="AY8" s="7"/>
      <c r="AZ8" s="8"/>
      <c r="BA8" s="6"/>
      <c r="BB8" s="6"/>
      <c r="BC8" s="6"/>
      <c r="BD8" s="7"/>
      <c r="BE8" s="7"/>
      <c r="BF8" s="6"/>
      <c r="BG8" s="6"/>
      <c r="BH8" s="6"/>
      <c r="BI8" s="7"/>
      <c r="BJ8" s="7"/>
      <c r="BK8" s="6"/>
      <c r="BL8" s="6"/>
      <c r="BM8" s="6"/>
      <c r="BN8" s="7"/>
      <c r="BO8" s="7"/>
    </row>
    <row r="9" spans="1:67" ht="30" customHeight="1">
      <c r="A9" s="5" t="s">
        <v>14</v>
      </c>
      <c r="B9" s="5" t="s">
        <v>47</v>
      </c>
      <c r="C9" s="6"/>
      <c r="D9" s="6"/>
      <c r="E9" s="7"/>
      <c r="F9" s="9"/>
      <c r="G9" s="9"/>
      <c r="H9" s="6">
        <f>一月!H9+二月!H9+三月!H9+四月!H9+五月!H9+六月!H9+七月!H9+八月!H9+九月!H9+十月!H9+十一月!H9+十二月!H9</f>
        <v>0</v>
      </c>
      <c r="I9" s="6">
        <f>一月!I9+二月!I9+三月!I9+四月!I9+五月!I9+六月!I9+七月!I9+八月!I9+九月!I9+十月!I9+十一月!I9</f>
        <v>0</v>
      </c>
      <c r="J9" s="6">
        <f>一月!J9+二月!J9+三月!J9+四月!J9+五月!J9+六月!J9+七月!J9+八月!J9+九月!J9+十月!J9+十一月!J9</f>
        <v>0</v>
      </c>
      <c r="K9" s="7">
        <f>J9/$H$16*1000</f>
        <v>0</v>
      </c>
      <c r="L9" s="8">
        <f>J9/$H$15*1000</f>
        <v>0</v>
      </c>
      <c r="M9" s="6"/>
      <c r="N9" s="6"/>
      <c r="O9" s="7"/>
      <c r="P9" s="9"/>
      <c r="Q9" s="9"/>
      <c r="R9" s="6">
        <f>一月!R9+二月!R9+三月!R9+四月!R9+五月!R9+六月!R9+七月!R9+八月!R9+九月!R9+十月!R9+十一月!R9+十二月!R9</f>
        <v>2491058</v>
      </c>
      <c r="S9" s="6">
        <f>一月!S9+二月!S9+三月!S9+四月!S9+五月!S9+六月!S9+七月!S9+八月!S9+九月!S9+十月!S9+十一月!S9</f>
        <v>0</v>
      </c>
      <c r="T9" s="6">
        <f>一月!T9+二月!T9+三月!T9+四月!T9+五月!T9+六月!T9+七月!T9+八月!T9+九月!T9+十月!T9+十一月!T9</f>
        <v>97.499544999999998</v>
      </c>
      <c r="U9" s="7">
        <f>T9/$R$16*1000</f>
        <v>0.12944167059606901</v>
      </c>
      <c r="V9" s="8">
        <f>T9/$R$15*1000</f>
        <v>2.9293921558023301E-3</v>
      </c>
      <c r="W9" s="6">
        <f>一月!W9+二月!W9+三月!W9+四月!W9+五月!W9+六月!W9+七月!W9+八月!W9+九月!W9+十月!W9+十一月!W9+十二月!W9</f>
        <v>4179714</v>
      </c>
      <c r="X9" s="6">
        <f>一月!X9+二月!X9+三月!X9+四月!X9+五月!X9+六月!X9+七月!X9+八月!X9+九月!X9+十月!X9+十一月!X9</f>
        <v>0</v>
      </c>
      <c r="Y9" s="6">
        <f>一月!Y9+二月!Y9+三月!Y9+四月!Y9+五月!Y9+六月!Y9+七月!Y9+八月!Y9+九月!Y9+十月!Y9+十一月!Y9</f>
        <v>181.8852425</v>
      </c>
      <c r="Z9" s="7">
        <f>Y9/$W$16*1000</f>
        <v>8.5630315562957804E-2</v>
      </c>
      <c r="AA9" s="13">
        <f>Y9/$W$15*1000</f>
        <v>1.8578069205092401E-3</v>
      </c>
      <c r="AB9" s="6"/>
      <c r="AC9" s="6"/>
      <c r="AD9" s="6"/>
      <c r="AE9" s="7"/>
      <c r="AF9" s="8"/>
      <c r="AG9" s="6"/>
      <c r="AH9" s="6"/>
      <c r="AI9" s="6"/>
      <c r="AJ9" s="9"/>
      <c r="AK9" s="13"/>
      <c r="AL9" s="6"/>
      <c r="AM9" s="6"/>
      <c r="AN9" s="6"/>
      <c r="AO9" s="7"/>
      <c r="AP9" s="8"/>
      <c r="AQ9" s="6"/>
      <c r="AR9" s="6"/>
      <c r="AS9" s="6"/>
      <c r="AT9" s="7"/>
      <c r="AU9" s="8"/>
      <c r="AV9" s="6"/>
      <c r="AW9" s="6"/>
      <c r="AX9" s="6"/>
      <c r="AY9" s="7"/>
      <c r="AZ9" s="9"/>
      <c r="BA9" s="6">
        <f>一月!BA9+二月!BA9+三月!BA9+四月!BA9+五月!BA9+六月!BA9+七月!BA9+八月!BA9+九月!BA9+十月!BA9+十一月!BA9+十二月!BA9</f>
        <v>0</v>
      </c>
      <c r="BB9" s="6">
        <f>一月!BB9+二月!BB9+三月!BB9+四月!BB9+五月!BB9+六月!BB9+七月!BB9+八月!BB9+九月!BB9+十月!BB9+十一月!BB9</f>
        <v>0</v>
      </c>
      <c r="BC9" s="6">
        <f>一月!BC9+二月!BC9+三月!BC9+四月!BC9+五月!BC9+六月!BC9+七月!BC9+八月!BC9+九月!BC9+十月!BC9+十一月!BC9</f>
        <v>0</v>
      </c>
      <c r="BD9" s="7">
        <f>BC9/$BA$16*1000</f>
        <v>0</v>
      </c>
      <c r="BE9" s="7">
        <f>BC9/$BA$15*1000</f>
        <v>0</v>
      </c>
      <c r="BF9" s="6">
        <f>一月!BF9+二月!BF9+三月!BF9+四月!BF9+五月!BF9+六月!BF9+七月!BF9+八月!BF9+九月!BF9+十月!BF9+十一月!BF9+十二月!BF9</f>
        <v>0</v>
      </c>
      <c r="BG9" s="6">
        <f>一月!BG9+二月!BG9+三月!BG9+四月!BG9+五月!BG9+六月!BG9+七月!BG9+八月!BG9+九月!BG9+十月!BG9+十一月!BG9</f>
        <v>0</v>
      </c>
      <c r="BH9" s="6">
        <f>一月!BH9+二月!BH9+三月!BH9+四月!BH9+五月!BH9+六月!BH9+七月!BH9+八月!BH9+九月!BH9+十月!BH9+十一月!BH9</f>
        <v>0</v>
      </c>
      <c r="BI9" s="7">
        <f>BH9/$BF$16*1000</f>
        <v>0</v>
      </c>
      <c r="BJ9" s="7">
        <f>BH9/$BF$15*1000</f>
        <v>0</v>
      </c>
      <c r="BK9" s="6">
        <f>一月!BK9+二月!BK9+三月!BK9+四月!BK9+五月!BK9+六月!BK9+七月!BK9+八月!BK9+九月!BK9+十月!BK9+十一月!BK9+十二月!BK9</f>
        <v>0</v>
      </c>
      <c r="BL9" s="6">
        <f>一月!BL9+二月!BL9+三月!BL9+四月!BL9+五月!BL9+六月!BL9+七月!BL9+八月!BL9+九月!BL9+十月!BL9+十一月!BL9</f>
        <v>0</v>
      </c>
      <c r="BM9" s="6">
        <f>一月!BM9+二月!BM9+三月!BM9+四月!BM9+五月!BM9+六月!BM9+七月!BM9+八月!BM9+九月!BM9+十月!BM9+十一月!BM9</f>
        <v>0</v>
      </c>
      <c r="BN9" s="7">
        <f>BM9/$BK$16*1000</f>
        <v>0</v>
      </c>
      <c r="BO9" s="7">
        <f>BM9/$BK$15*1000</f>
        <v>0</v>
      </c>
    </row>
    <row r="10" spans="1:67" ht="30" customHeight="1">
      <c r="A10" s="5" t="s">
        <v>48</v>
      </c>
      <c r="B10" s="5" t="s">
        <v>47</v>
      </c>
      <c r="C10" s="6"/>
      <c r="D10" s="6"/>
      <c r="E10" s="7"/>
      <c r="F10" s="9"/>
      <c r="G10" s="9"/>
      <c r="H10" s="6"/>
      <c r="I10" s="6"/>
      <c r="J10" s="7"/>
      <c r="K10" s="9"/>
      <c r="L10" s="9"/>
      <c r="M10" s="6"/>
      <c r="N10" s="6"/>
      <c r="O10" s="7"/>
      <c r="P10" s="9"/>
      <c r="Q10" s="9"/>
      <c r="R10" s="6"/>
      <c r="S10" s="6"/>
      <c r="T10" s="7"/>
      <c r="U10" s="9"/>
      <c r="V10" s="9"/>
      <c r="W10" s="6"/>
      <c r="X10" s="6"/>
      <c r="Y10" s="7"/>
      <c r="Z10" s="9"/>
      <c r="AA10" s="9"/>
      <c r="AB10" s="6"/>
      <c r="AC10" s="6"/>
      <c r="AD10" s="6"/>
      <c r="AE10" s="7"/>
      <c r="AF10" s="8"/>
      <c r="AG10" s="6"/>
      <c r="AH10" s="6"/>
      <c r="AI10" s="6"/>
      <c r="AJ10" s="9"/>
      <c r="AK10" s="13"/>
      <c r="AL10" s="6"/>
      <c r="AM10" s="6"/>
      <c r="AN10" s="6"/>
      <c r="AO10" s="7"/>
      <c r="AP10" s="8"/>
      <c r="AQ10" s="6">
        <f>一月!AQ10+二月!AQ10+三月!AQ10+四月!AQ10+五月!AQ10+六月!AQ10+七月!AQ10+八月!AQ10+九月!AQ10+十月!AQ10+十一月!AQ10+十二月!AQ10</f>
        <v>651204</v>
      </c>
      <c r="AR10" s="6">
        <f>一月!AR10+二月!AR10+三月!AR10+四月!AR10+五月!AR10+六月!AR10+七月!AR10+八月!AR10+九月!AR10+十月!AR10+十一月!AR10</f>
        <v>817.740373783922</v>
      </c>
      <c r="AS10" s="6">
        <f>一月!AS10+二月!AS10+三月!AS10+四月!AS10+五月!AS10+六月!AS10+七月!AS10+八月!AS10+九月!AS10+十月!AS10+十一月!AS10</f>
        <v>28.4090375</v>
      </c>
      <c r="AT10" s="7">
        <f>AS10/$AQ$16*1000</f>
        <v>3.7318629225202099E-2</v>
      </c>
      <c r="AU10" s="8">
        <f>AS10/$AQ$15*1000</f>
        <v>6.7873020876546802E-4</v>
      </c>
      <c r="AV10" s="6"/>
      <c r="AW10" s="6"/>
      <c r="AX10" s="6"/>
      <c r="AY10" s="7"/>
      <c r="AZ10" s="9"/>
      <c r="BA10" s="6"/>
      <c r="BB10" s="6"/>
      <c r="BC10" s="7"/>
      <c r="BD10" s="9"/>
      <c r="BE10" s="9"/>
      <c r="BF10" s="6"/>
      <c r="BG10" s="6"/>
      <c r="BH10" s="7"/>
      <c r="BI10" s="9"/>
      <c r="BJ10" s="9"/>
      <c r="BK10" s="6"/>
      <c r="BL10" s="6"/>
      <c r="BM10" s="7"/>
      <c r="BN10" s="9"/>
      <c r="BO10" s="9"/>
    </row>
    <row r="11" spans="1:67" ht="30" customHeight="1">
      <c r="A11" s="5" t="s">
        <v>18</v>
      </c>
      <c r="B11" s="5" t="s">
        <v>47</v>
      </c>
      <c r="C11" s="6"/>
      <c r="D11" s="6"/>
      <c r="E11" s="7"/>
      <c r="F11" s="9"/>
      <c r="G11" s="9"/>
      <c r="H11" s="6"/>
      <c r="I11" s="6"/>
      <c r="J11" s="7"/>
      <c r="K11" s="9"/>
      <c r="L11" s="9"/>
      <c r="M11" s="6"/>
      <c r="N11" s="6"/>
      <c r="O11" s="7"/>
      <c r="P11" s="9"/>
      <c r="Q11" s="9"/>
      <c r="R11" s="6"/>
      <c r="S11" s="6"/>
      <c r="T11" s="7"/>
      <c r="U11" s="9"/>
      <c r="V11" s="9"/>
      <c r="W11" s="6"/>
      <c r="X11" s="6"/>
      <c r="Y11" s="7"/>
      <c r="Z11" s="9"/>
      <c r="AA11" s="9"/>
      <c r="AB11" s="6">
        <f>一月!AB11+二月!AB11+三月!AB11+四月!AB11+五月!AB11+六月!AB11+七月!AB11+八月!AB11+九月!AB11+十月!AB11+十一月!AB11+十二月!AB11</f>
        <v>56</v>
      </c>
      <c r="AC11" s="6">
        <f>一月!AC11+二月!AC11+三月!AC11+四月!AC11+五月!AC11+六月!AC11+七月!AC11+八月!AC11+九月!AC11+十月!AC11+十一月!AC11</f>
        <v>7.5268817204301106E-2</v>
      </c>
      <c r="AD11" s="6">
        <f>一月!AD11+二月!AD11+三月!AD11+四月!AD11+五月!AD11+六月!AD11+七月!AD11+八月!AD11+九月!AD11+十月!AD11+十一月!AD11</f>
        <v>2.3184E-3</v>
      </c>
      <c r="AE11" s="7">
        <f>AD11/$AB$16*1000</f>
        <v>2.8239040338796799E-7</v>
      </c>
      <c r="AF11" s="8">
        <f>AD11/$AB$15*1000</f>
        <v>3.2404581373803601E-8</v>
      </c>
      <c r="AG11" s="6">
        <f>一月!AG11+二月!AG11+三月!AG11+四月!AG11+五月!AG11+六月!AG11+七月!AG11+八月!AG11+九月!AG11+十月!AG11+十一月!AG11+十二月!AG11</f>
        <v>389262</v>
      </c>
      <c r="AH11" s="6">
        <f>一月!AH11+二月!AH11+三月!AH11+四月!AH11+五月!AH11+六月!AH11+七月!AH11+八月!AH11+九月!AH11+十月!AH11+十一月!AH11</f>
        <v>495.27465117767503</v>
      </c>
      <c r="AI11" s="6">
        <f>一月!AI11+二月!AI11+三月!AI11+四月!AI11+五月!AI11+六月!AI11+七月!AI11+八月!AI11+九月!AI11+十月!AI11+十一月!AI11</f>
        <v>15.028407</v>
      </c>
      <c r="AJ11" s="7"/>
      <c r="AK11" s="13">
        <f>AI11/$AG$15*1000</f>
        <v>3.60235796084447E-3</v>
      </c>
      <c r="AL11" s="6">
        <f>一月!AL11+二月!AL11+三月!AL11+四月!AL11+五月!AL11+六月!AL11+七月!AL11+八月!AL11+九月!AL11+十月!AL11+十一月!AL11+十二月!AL11</f>
        <v>55637</v>
      </c>
      <c r="AM11" s="6">
        <f>一月!AM11+二月!AM11+三月!AM11+四月!AM11+五月!AM11+六月!AM11+七月!AM11+八月!AM11+九月!AM11+十月!AM11+十一月!AM11</f>
        <v>75.448454301075301</v>
      </c>
      <c r="AN11" s="6">
        <f>一月!AN11+二月!AN11+三月!AN11+四月!AN11+五月!AN11+六月!AN11+七月!AN11+八月!AN11+九月!AN11+十月!AN11+十一月!AN11</f>
        <v>2.3001839999999998</v>
      </c>
      <c r="AO11" s="13">
        <f>AN11/$AL$16*1000</f>
        <v>1.0829107357231899E-3</v>
      </c>
      <c r="AP11" s="14">
        <f>AN11/$AL$15*1000</f>
        <v>3.4822830916312501E-5</v>
      </c>
      <c r="AQ11" s="6"/>
      <c r="AR11" s="6"/>
      <c r="AS11" s="7"/>
      <c r="AT11" s="9"/>
      <c r="AU11" s="9"/>
      <c r="AV11" s="6">
        <f>一月!AV11+二月!AV11+三月!AV11+四月!AV11+五月!AV11+六月!AV11+七月!AV11+八月!AV11+九月!AV11+十月!AV11+十一月!AV11+十二月!AV11</f>
        <v>1309428</v>
      </c>
      <c r="AW11" s="6">
        <f>一月!AW11+二月!AW11+三月!AW11+四月!AW11+五月!AW11+六月!AW11+七月!AW11+八月!AW11+九月!AW11+十月!AW11+十一月!AW11</f>
        <v>1648.1766481054799</v>
      </c>
      <c r="AX11" s="6">
        <f>一月!AX11+二月!AX11+三月!AX11+四月!AX11+五月!AX11+六月!AX11+七月!AX11+八月!AX11+九月!AX11+十月!AX11+十一月!AX11</f>
        <v>49.9017798</v>
      </c>
      <c r="AY11" s="7">
        <f>AX11/$AV$16*1000</f>
        <v>3.8821198767686402E-2</v>
      </c>
      <c r="AZ11" s="8"/>
      <c r="BA11" s="6"/>
      <c r="BB11" s="6"/>
      <c r="BC11" s="7"/>
      <c r="BD11" s="9"/>
      <c r="BE11" s="9"/>
      <c r="BF11" s="6"/>
      <c r="BG11" s="6"/>
      <c r="BH11" s="7"/>
      <c r="BI11" s="9"/>
      <c r="BJ11" s="9"/>
      <c r="BK11" s="6"/>
      <c r="BL11" s="6"/>
      <c r="BM11" s="7"/>
      <c r="BN11" s="9"/>
      <c r="BO11" s="9"/>
    </row>
    <row r="12" spans="1:67" ht="30" customHeight="1">
      <c r="A12" s="5" t="s">
        <v>15</v>
      </c>
      <c r="B12" s="5" t="s">
        <v>47</v>
      </c>
      <c r="C12" s="6"/>
      <c r="D12" s="6"/>
      <c r="E12" s="7"/>
      <c r="F12" s="9"/>
      <c r="G12" s="9"/>
      <c r="H12" s="6"/>
      <c r="I12" s="6"/>
      <c r="J12" s="7"/>
      <c r="K12" s="9"/>
      <c r="L12" s="9"/>
      <c r="M12" s="6"/>
      <c r="N12" s="6"/>
      <c r="O12" s="7"/>
      <c r="P12" s="9"/>
      <c r="Q12" s="9"/>
      <c r="R12" s="6"/>
      <c r="S12" s="6"/>
      <c r="T12" s="7"/>
      <c r="U12" s="9"/>
      <c r="V12" s="9"/>
      <c r="W12" s="6"/>
      <c r="X12" s="6"/>
      <c r="Y12" s="7"/>
      <c r="Z12" s="9"/>
      <c r="AA12" s="9"/>
      <c r="AB12" s="6">
        <f>一月!AB12+二月!AB12+三月!AB12+四月!AB12+五月!AB12+六月!AB12+七月!AB12+八月!AB12+九月!AB12+十月!AB12+十一月!AB12+十二月!AB12</f>
        <v>1158</v>
      </c>
      <c r="AC12" s="6"/>
      <c r="AD12" s="7"/>
      <c r="AE12" s="9"/>
      <c r="AF12" s="9"/>
      <c r="AG12" s="6"/>
      <c r="AH12" s="6"/>
      <c r="AI12" s="7"/>
      <c r="AJ12" s="9"/>
      <c r="AK12" s="9"/>
      <c r="AL12" s="6">
        <f>一月!AL12+二月!AL12+三月!AL12+四月!AL12+五月!AL12+六月!AL12+七月!AL12+八月!AL12+九月!AL12+十月!AL12+十一月!AL12+十二月!AL12</f>
        <v>7484</v>
      </c>
      <c r="AM12" s="6">
        <f>一月!AM12+二月!AM12+三月!AM12+四月!AM12+五月!AM12+六月!AM12+七月!AM12+八月!AM12+九月!AM12+十月!AM12+十一月!AM12</f>
        <v>9.5252432155657996</v>
      </c>
      <c r="AN12" s="6">
        <f>一月!AN12+二月!AN12+三月!AN12+四月!AN12+五月!AN12+六月!AN12+七月!AN12+八月!AN12+九月!AN12+十月!AN12+十一月!AN12</f>
        <v>0.28764719999999999</v>
      </c>
      <c r="AO12" s="8">
        <f>AN12/$AL$16*1000</f>
        <v>1.35422314467328E-4</v>
      </c>
      <c r="AP12" s="16">
        <f>AN12/$AL$15*1000</f>
        <v>4.3547341469859497E-6</v>
      </c>
      <c r="AQ12" s="6"/>
      <c r="AR12" s="6"/>
      <c r="AS12" s="7"/>
      <c r="AT12" s="9"/>
      <c r="AU12" s="9"/>
      <c r="AV12" s="6">
        <f>一月!AV12+二月!AV12+三月!AV12+四月!AV12+五月!AV12+六月!AV12+七月!AV12+八月!AV12+九月!AV12+十月!AV12+十一月!AV12+十二月!AV12</f>
        <v>15922</v>
      </c>
      <c r="AW12" s="6">
        <f>一月!AW12+二月!AW12+三月!AW12+四月!AW12+五月!AW12+六月!AW12+七月!AW12+八月!AW12+九月!AW12+十月!AW12+十一月!AW12</f>
        <v>21.568868407578101</v>
      </c>
      <c r="AX12" s="6">
        <f>一月!AX12+二月!AX12+三月!AX12+四月!AX12+五月!AX12+六月!AX12+七月!AX12+八月!AX12+九月!AX12+十月!AX12+十一月!AX12</f>
        <v>0.65544480000000005</v>
      </c>
      <c r="AY12" s="8">
        <f>AX12/$AV$16*1000</f>
        <v>5.0990471610486404E-4</v>
      </c>
      <c r="AZ12" s="8"/>
      <c r="BA12" s="6"/>
      <c r="BB12" s="6"/>
      <c r="BC12" s="7"/>
      <c r="BD12" s="9"/>
      <c r="BE12" s="9"/>
      <c r="BF12" s="6"/>
      <c r="BG12" s="6"/>
      <c r="BH12" s="7"/>
      <c r="BI12" s="9"/>
      <c r="BJ12" s="9"/>
      <c r="BK12" s="6"/>
      <c r="BL12" s="6"/>
      <c r="BM12" s="7"/>
      <c r="BN12" s="9"/>
      <c r="BO12" s="9"/>
    </row>
    <row r="13" spans="1:67" ht="30" customHeight="1">
      <c r="A13" s="5" t="s">
        <v>49</v>
      </c>
      <c r="B13" s="5" t="s">
        <v>50</v>
      </c>
      <c r="C13" s="6"/>
      <c r="D13" s="6"/>
      <c r="E13" s="7"/>
      <c r="F13" s="9"/>
      <c r="G13" s="9"/>
      <c r="H13" s="6"/>
      <c r="I13" s="6"/>
      <c r="J13" s="7"/>
      <c r="K13" s="9"/>
      <c r="L13" s="9"/>
      <c r="M13" s="6"/>
      <c r="N13" s="6"/>
      <c r="O13" s="7"/>
      <c r="P13" s="9"/>
      <c r="Q13" s="9"/>
      <c r="R13" s="6"/>
      <c r="S13" s="6"/>
      <c r="T13" s="7"/>
      <c r="U13" s="9"/>
      <c r="V13" s="9"/>
      <c r="W13" s="6"/>
      <c r="X13" s="6"/>
      <c r="Y13" s="7"/>
      <c r="Z13" s="9"/>
      <c r="AA13" s="9"/>
      <c r="AB13" s="6"/>
      <c r="AC13" s="6"/>
      <c r="AD13" s="7"/>
      <c r="AE13" s="9"/>
      <c r="AF13" s="9"/>
      <c r="AG13" s="6"/>
      <c r="AH13" s="6"/>
      <c r="AI13" s="7"/>
      <c r="AJ13" s="9"/>
      <c r="AK13" s="9"/>
      <c r="AL13" s="6"/>
      <c r="AM13" s="6"/>
      <c r="AN13" s="7"/>
      <c r="AO13" s="9"/>
      <c r="AP13" s="9"/>
      <c r="AQ13" s="6"/>
      <c r="AR13" s="6"/>
      <c r="AS13" s="7"/>
      <c r="AT13" s="9"/>
      <c r="AU13" s="9"/>
      <c r="AV13" s="6"/>
      <c r="AW13" s="6"/>
      <c r="AX13" s="7"/>
      <c r="AY13" s="9"/>
      <c r="AZ13" s="9"/>
      <c r="BA13" s="6"/>
      <c r="BB13" s="6"/>
      <c r="BC13" s="7"/>
      <c r="BD13" s="9"/>
      <c r="BE13" s="9"/>
      <c r="BF13" s="6"/>
      <c r="BG13" s="6"/>
      <c r="BH13" s="7"/>
      <c r="BI13" s="9"/>
      <c r="BJ13" s="9"/>
      <c r="BK13" s="6"/>
      <c r="BL13" s="6"/>
      <c r="BM13" s="7"/>
      <c r="BN13" s="9"/>
      <c r="BO13" s="9"/>
    </row>
    <row r="14" spans="1:67" ht="30" customHeight="1">
      <c r="A14" s="5" t="s">
        <v>51</v>
      </c>
      <c r="B14" s="5" t="s">
        <v>50</v>
      </c>
      <c r="C14" s="6"/>
      <c r="D14" s="6"/>
      <c r="E14" s="7"/>
      <c r="F14" s="9"/>
      <c r="G14" s="9"/>
      <c r="H14" s="6"/>
      <c r="I14" s="6"/>
      <c r="J14" s="7"/>
      <c r="K14" s="9"/>
      <c r="L14" s="9"/>
      <c r="M14" s="6"/>
      <c r="N14" s="6"/>
      <c r="O14" s="7"/>
      <c r="P14" s="9"/>
      <c r="Q14" s="9"/>
      <c r="R14" s="6"/>
      <c r="S14" s="6"/>
      <c r="T14" s="7"/>
      <c r="U14" s="9"/>
      <c r="V14" s="9"/>
      <c r="W14" s="6"/>
      <c r="X14" s="6"/>
      <c r="Y14" s="7"/>
      <c r="Z14" s="9"/>
      <c r="AA14" s="9"/>
      <c r="AB14" s="6"/>
      <c r="AC14" s="6"/>
      <c r="AD14" s="7"/>
      <c r="AE14" s="9"/>
      <c r="AF14" s="9"/>
      <c r="AG14" s="6"/>
      <c r="AH14" s="6"/>
      <c r="AI14" s="7"/>
      <c r="AJ14" s="9"/>
      <c r="AK14" s="9"/>
      <c r="AL14" s="6"/>
      <c r="AM14" s="6"/>
      <c r="AN14" s="7"/>
      <c r="AO14" s="9"/>
      <c r="AP14" s="9"/>
      <c r="AQ14" s="6"/>
      <c r="AR14" s="6"/>
      <c r="AS14" s="7"/>
      <c r="AT14" s="9"/>
      <c r="AU14" s="9"/>
      <c r="AV14" s="6"/>
      <c r="AW14" s="6"/>
      <c r="AX14" s="7"/>
      <c r="AY14" s="9"/>
      <c r="AZ14" s="9"/>
      <c r="BA14" s="6"/>
      <c r="BB14" s="6"/>
      <c r="BC14" s="7"/>
      <c r="BD14" s="9"/>
      <c r="BE14" s="9"/>
      <c r="BF14" s="6"/>
      <c r="BG14" s="6"/>
      <c r="BH14" s="7"/>
      <c r="BI14" s="9"/>
      <c r="BJ14" s="9"/>
      <c r="BK14" s="6"/>
      <c r="BL14" s="6"/>
      <c r="BM14" s="7"/>
      <c r="BN14" s="9"/>
      <c r="BO14" s="9"/>
    </row>
    <row r="15" spans="1:67" ht="30" customHeight="1">
      <c r="A15" s="10" t="s">
        <v>52</v>
      </c>
      <c r="B15" s="5" t="s">
        <v>43</v>
      </c>
      <c r="C15" s="6">
        <f>一月!C15+二月!C15+三月!C15+四月!C15+五月!C15+六月!C15+七月!C15+八月!C15+九月!C15+十月!C15+十一月!C15+十二月!C15</f>
        <v>47876400</v>
      </c>
      <c r="D15" s="6">
        <f>一月!D15+二月!D15+三月!D15+四月!D15+五月!D15+六月!D15+七月!D15+八月!D15+九月!D15+十月!D15+十一月!D15</f>
        <v>65491.4602534562</v>
      </c>
      <c r="E15" s="7"/>
      <c r="F15" s="5"/>
      <c r="G15" s="5"/>
      <c r="H15" s="6">
        <f>一月!H15+二月!H15+三月!H15+四月!H15+五月!H15+六月!H15+七月!H15+八月!H15+九月!H15+十月!H15+十一月!H15+十二月!H15</f>
        <v>56151200</v>
      </c>
      <c r="I15" s="6">
        <f>一月!I15+二月!I15+三月!I15+四月!I15+五月!I15+六月!I15+七月!I15+八月!I15+九月!I15+十月!I15+十一月!I15</f>
        <v>67748.104838709696</v>
      </c>
      <c r="J15" s="7"/>
      <c r="K15" s="5"/>
      <c r="L15" s="5"/>
      <c r="M15" s="6">
        <f>一月!M15+二月!M15+三月!M15+四月!M15+五月!M15+六月!M15+七月!M15+八月!M15+九月!M15+十月!M15+十一月!M15+十二月!M15</f>
        <v>118308000</v>
      </c>
      <c r="N15" s="6">
        <f>一月!N15+二月!N15+三月!N15+四月!N15+五月!N15+六月!N15+七月!N15+八月!N15+九月!N15+十月!N15+十一月!N15</f>
        <v>146626.91436251899</v>
      </c>
      <c r="O15" s="7"/>
      <c r="P15" s="5"/>
      <c r="Q15" s="5"/>
      <c r="R15" s="6">
        <f>一月!R15+二月!R15+三月!R15+四月!R15+五月!R15+六月!R15+七月!R15+八月!R15+九月!R15+十月!R15+十一月!R15+十二月!R15</f>
        <v>33283200</v>
      </c>
      <c r="S15" s="6">
        <f>一月!S15+二月!S15+三月!S15+四月!S15+五月!S15+六月!S15+七月!S15+八月!S15+九月!S15+十月!S15+十一月!S15</f>
        <v>37755.9856630824</v>
      </c>
      <c r="T15" s="7"/>
      <c r="U15" s="5"/>
      <c r="V15" s="5"/>
      <c r="W15" s="6">
        <f>一月!W15+二月!W15+三月!W15+四月!W15+五月!W15+六月!W15+七月!W15+八月!W15+九月!W15+十月!W15+十一月!W15+十二月!W15</f>
        <v>97903200</v>
      </c>
      <c r="X15" s="6">
        <f>一月!X15+二月!X15+三月!X15+四月!X15+五月!X15+六月!X15+七月!X15+八月!X15+九月!X15+十月!X15+十一月!X15</f>
        <v>123106.58890169</v>
      </c>
      <c r="Y15" s="7"/>
      <c r="Z15" s="5"/>
      <c r="AA15" s="5"/>
      <c r="AB15" s="6">
        <f>一月!AB15+二月!AB15+三月!AB15+四月!AB15+五月!AB15+六月!AB15+七月!AB15+八月!AB15+九月!AB15+十月!AB15+十一月!AB15+十二月!AB15</f>
        <v>71545439</v>
      </c>
      <c r="AC15" s="15" t="s">
        <v>53</v>
      </c>
      <c r="AD15" s="7"/>
      <c r="AE15" s="5"/>
      <c r="AF15" s="5"/>
      <c r="AG15" s="6">
        <f>一月!AG15+二月!AG15+三月!AG15+四月!AG15+五月!AG15+六月!AG15+七月!AG15+八月!AG15+九月!AG15+十月!AG15+十一月!AG15+十二月!AG15</f>
        <v>4171825</v>
      </c>
      <c r="AH15" s="15" t="s">
        <v>53</v>
      </c>
      <c r="AI15" s="7"/>
      <c r="AJ15" s="5"/>
      <c r="AK15" s="5"/>
      <c r="AL15" s="6">
        <f>一月!AL15+二月!AL15+三月!AL15+四月!AL15+五月!AL15+六月!AL15+七月!AL15+八月!AL15+九月!AL15+十月!AL15+十一月!AL15+十二月!AL15</f>
        <v>66053906</v>
      </c>
      <c r="AM15" s="15" t="s">
        <v>53</v>
      </c>
      <c r="AN15" s="7"/>
      <c r="AO15" s="5"/>
      <c r="AP15" s="5"/>
      <c r="AQ15" s="6">
        <f>一月!AQ15+二月!AQ15+三月!AQ15+四月!AQ15+五月!AQ15+六月!AQ15+七月!AQ15+八月!AQ15+九月!AQ15+十月!AQ15+十一月!AQ15+十二月!AQ15</f>
        <v>41856156</v>
      </c>
      <c r="AR15" s="15" t="s">
        <v>53</v>
      </c>
      <c r="AS15" s="7"/>
      <c r="AT15" s="5"/>
      <c r="AU15" s="5"/>
      <c r="AV15" s="6">
        <f>一月!AV15+二月!AV15+三月!AV15+四月!AV15+五月!AV15+六月!AV15+七月!AV15+八月!AV15+九月!AV15+十月!AV15+十一月!AV15+十二月!AV15</f>
        <v>0</v>
      </c>
      <c r="AW15" s="15" t="s">
        <v>53</v>
      </c>
      <c r="AX15" s="7"/>
      <c r="AY15" s="5"/>
      <c r="AZ15" s="5"/>
      <c r="BA15" s="6">
        <f>一月!BA15+二月!BA15+三月!BA15+四月!BA15+五月!BA15+六月!BA15+七月!BA15+八月!BA15+九月!BA15+十月!BA15+十一月!BA15+十二月!BA15</f>
        <v>2024775</v>
      </c>
      <c r="BB15" s="15" t="s">
        <v>54</v>
      </c>
      <c r="BC15" s="7"/>
      <c r="BD15" s="5"/>
      <c r="BE15" s="5"/>
      <c r="BF15" s="6">
        <f>一月!BF15+二月!BF15+三月!BF15+四月!BF15+五月!BF15+六月!BF15+七月!BF15+八月!BF15+九月!BF15+十月!BF15+十一月!BF15+十二月!BF15</f>
        <v>2221871</v>
      </c>
      <c r="BG15" s="15" t="s">
        <v>54</v>
      </c>
      <c r="BH15" s="7"/>
      <c r="BI15" s="5"/>
      <c r="BJ15" s="5"/>
      <c r="BK15" s="6">
        <f>一月!BK15+二月!BK15+三月!BK15+四月!BK15+五月!BK15+六月!BK15+七月!BK15+八月!BK15+九月!BK15+十月!BK15+十一月!BK15+十二月!BK15</f>
        <v>2278012</v>
      </c>
      <c r="BL15" s="15" t="s">
        <v>54</v>
      </c>
      <c r="BM15" s="7"/>
      <c r="BN15" s="5"/>
      <c r="BO15" s="5"/>
    </row>
    <row r="16" spans="1:67" ht="30" customHeight="1">
      <c r="A16" s="5" t="s">
        <v>55</v>
      </c>
      <c r="B16" s="5" t="s">
        <v>47</v>
      </c>
      <c r="C16" s="6">
        <f>一月!C16+二月!C16+三月!C16+四月!C16+五月!C16+六月!C16+七月!C16+八月!C16+九月!C16+十月!C16+十一月!C16+十二月!C16</f>
        <v>1121512.73</v>
      </c>
      <c r="D16" s="5"/>
      <c r="E16" s="7">
        <f>SUM(E4:E15)</f>
        <v>329.63931889431802</v>
      </c>
      <c r="F16" s="7">
        <f t="shared" ref="E16:L16" si="0">SUM(F4:F15)</f>
        <v>0.29392383169321501</v>
      </c>
      <c r="G16" s="7">
        <f t="shared" si="0"/>
        <v>6.8852152395401196E-3</v>
      </c>
      <c r="H16" s="6">
        <f>一月!H16+二月!H16+三月!H16+四月!H16+五月!H16+六月!H16+七月!H16+八月!H16+九月!H16+十月!H16+十一月!H16+十二月!H16</f>
        <v>1285426.04</v>
      </c>
      <c r="I16" s="5"/>
      <c r="J16" s="7">
        <f>SUM(J4:J15)</f>
        <v>56.673855389098698</v>
      </c>
      <c r="K16" s="7">
        <f t="shared" si="0"/>
        <v>4.4089549787787702E-2</v>
      </c>
      <c r="L16" s="7">
        <f t="shared" si="0"/>
        <v>1.00930800034725E-3</v>
      </c>
      <c r="M16" s="6">
        <f>一月!M16+二月!M16+三月!M16+四月!M16+五月!M16+六月!M16+七月!M16+八月!M16+九月!M16+十月!M16+十一月!M16+十二月!M16</f>
        <v>2379581.5499999998</v>
      </c>
      <c r="N16" s="5"/>
      <c r="O16" s="7">
        <f t="shared" ref="O16:Q16" si="1">SUM(O4:O15)</f>
        <v>403.56646582477498</v>
      </c>
      <c r="P16" s="7">
        <f t="shared" si="1"/>
        <v>0.16959556012054899</v>
      </c>
      <c r="Q16" s="7">
        <f t="shared" si="1"/>
        <v>3.4111511125602201E-3</v>
      </c>
      <c r="R16" s="6">
        <f>一月!R16+二月!R16+三月!R16+四月!R16+五月!R16+六月!R16+七月!R16+八月!R16+九月!R16+十月!R16+十一月!R16+十二月!R16</f>
        <v>753231.51</v>
      </c>
      <c r="S16" s="5"/>
      <c r="T16" s="7">
        <f t="shared" ref="T16:V16" si="2">SUM(T4:T15)</f>
        <v>285.47751137444698</v>
      </c>
      <c r="U16" s="7">
        <f t="shared" si="2"/>
        <v>0.37900367627271297</v>
      </c>
      <c r="V16" s="7">
        <f t="shared" si="2"/>
        <v>8.5772254883679094E-3</v>
      </c>
      <c r="W16" s="6">
        <f>一月!W16+二月!W16+三月!W16+四月!W16+五月!W16+六月!W16+七月!W16+八月!W16+九月!W16+十月!W16+十一月!W16+十二月!W16</f>
        <v>2124075.35</v>
      </c>
      <c r="X16" s="5"/>
      <c r="Y16" s="7">
        <f t="shared" ref="Y16:AA16" si="3">SUM(Y4:Y15)</f>
        <v>428.85387857136999</v>
      </c>
      <c r="Z16" s="7">
        <f t="shared" si="3"/>
        <v>0.20190144317214101</v>
      </c>
      <c r="AA16" s="7">
        <f t="shared" si="3"/>
        <v>4.38038673476832E-3</v>
      </c>
      <c r="AB16" s="6">
        <f>一月!AB16+二月!AB16+三月!AB16+四月!AB16+五月!AB16+六月!AB16+七月!AB16+八月!AB16+九月!AB16+十月!AB16+十一月!AB16+十二月!AB16</f>
        <v>8209910.7199999997</v>
      </c>
      <c r="AC16" s="5"/>
      <c r="AD16" s="7">
        <f t="shared" ref="AD16:AF16" si="4">SUM(AD4:AD15)</f>
        <v>2240.1792743885999</v>
      </c>
      <c r="AE16" s="7">
        <f t="shared" si="4"/>
        <v>0.27286280579535999</v>
      </c>
      <c r="AF16" s="7">
        <f t="shared" si="4"/>
        <v>3.1311280015887497E-2</v>
      </c>
      <c r="AG16" s="5"/>
      <c r="AH16" s="5"/>
      <c r="AI16" s="7">
        <f t="shared" ref="AI16:AK16" si="5">SUM(AI4:AI15)</f>
        <v>102.576541539658</v>
      </c>
      <c r="AJ16" s="7">
        <f t="shared" si="5"/>
        <v>0</v>
      </c>
      <c r="AK16" s="7">
        <f t="shared" si="5"/>
        <v>2.4587930112039202E-2</v>
      </c>
      <c r="AL16" s="6">
        <f>一月!AL16+二月!AL16+三月!AL16+四月!AL16+五月!AL16+六月!AL16+七月!AL16+八月!AL16+九月!AL16+十月!AL16+十一月!AL16+十二月!AL16</f>
        <v>2124075.35</v>
      </c>
      <c r="AM16" s="5"/>
      <c r="AN16" s="7">
        <f t="shared" ref="AN16:AP16" si="6">SUM(AN4:AN15)</f>
        <v>2657.5055851886</v>
      </c>
      <c r="AO16" s="7">
        <f t="shared" si="6"/>
        <v>1.2511352693719699</v>
      </c>
      <c r="AP16" s="7">
        <f t="shared" si="6"/>
        <v>4.0232376041298798E-2</v>
      </c>
      <c r="AQ16" s="6">
        <f>一月!AQ16+二月!AQ16+三月!AQ16+四月!AQ16+五月!AQ16+六月!AQ16+七月!AQ16+八月!AQ16+九月!AQ16+十月!AQ16+十一月!AQ16+十二月!AQ16</f>
        <v>761256.19</v>
      </c>
      <c r="AR16" s="5"/>
      <c r="AS16" s="7">
        <f t="shared" ref="AS16:AU16" si="7">SUM(AS4:AS15)</f>
        <v>1742.6108634886</v>
      </c>
      <c r="AT16" s="7">
        <f t="shared" si="7"/>
        <v>2.2891253777372902</v>
      </c>
      <c r="AU16" s="7">
        <f t="shared" si="7"/>
        <v>4.1633323028722503E-2</v>
      </c>
      <c r="AV16" s="6">
        <f>一月!AV16+二月!AV16+三月!AV16+四月!AV16+五月!AV16+六月!AV16+七月!AV16+八月!AV16+九月!AV16+十月!AV16+十一月!AV16+十二月!AV16</f>
        <v>1285426.04</v>
      </c>
      <c r="AW16" s="5"/>
      <c r="AX16" s="7">
        <f t="shared" ref="AX16:AZ16" si="8">SUM(AX4:AX15)</f>
        <v>2186.9165440489401</v>
      </c>
      <c r="AY16" s="7">
        <f t="shared" si="8"/>
        <v>1.70131650985454</v>
      </c>
      <c r="AZ16" s="7">
        <f t="shared" si="8"/>
        <v>0</v>
      </c>
      <c r="BA16" s="6">
        <f>一月!BA16+二月!BA16+三月!BA16+四月!BA16+五月!BA16+六月!BA16+七月!BA16+八月!BA16+九月!BA16+十月!BA16+十一月!BA16+十二月!BA16</f>
        <v>1657103.94</v>
      </c>
      <c r="BB16" s="5"/>
      <c r="BC16" s="7">
        <f t="shared" ref="BC16:BE16" si="9">SUM(BC4:BC15)</f>
        <v>18142.872000200001</v>
      </c>
      <c r="BD16" s="7">
        <f t="shared" si="9"/>
        <v>10.948541948551499</v>
      </c>
      <c r="BE16" s="7">
        <f t="shared" si="9"/>
        <v>8.9604385673469906</v>
      </c>
      <c r="BF16" s="6">
        <f>一月!BF16+二月!BF16+三月!BF16+四月!BF16+五月!BF16+六月!BF16+七月!BF16+八月!BF16+九月!BF16+十月!BF16+十一月!BF16+十二月!BF16</f>
        <v>2124075.35</v>
      </c>
      <c r="BG16" s="5"/>
      <c r="BH16" s="7">
        <f t="shared" ref="BH16:BJ16" si="10">SUM(BH4:BH15)</f>
        <v>21234.8029818</v>
      </c>
      <c r="BI16" s="7">
        <f t="shared" si="10"/>
        <v>9.9971985371422907</v>
      </c>
      <c r="BJ16" s="7">
        <f t="shared" si="10"/>
        <v>9.5571718528213392</v>
      </c>
      <c r="BK16" s="6">
        <f>一月!BK16+二月!BK16+三月!BK16+四月!BK16+五月!BK16+六月!BK16+七月!BK16+八月!BK16+九月!BK16+十月!BK16+十一月!BK16+十二月!BK16</f>
        <v>2379581.5499999998</v>
      </c>
      <c r="BL16" s="5"/>
      <c r="BM16" s="7">
        <f t="shared" ref="BM16:BO16" si="11">SUM(BM4:BM15)</f>
        <v>23491.834198</v>
      </c>
      <c r="BN16" s="7">
        <f t="shared" si="11"/>
        <v>9.8722543037030999</v>
      </c>
      <c r="BO16" s="7">
        <f t="shared" si="11"/>
        <v>10.312427765086399</v>
      </c>
    </row>
    <row r="17" spans="1:49" ht="30" customHeight="1"/>
    <row r="18" spans="1:49" ht="30" customHeight="1"/>
    <row r="19" spans="1:49" ht="30" customHeight="1">
      <c r="AU19" s="2" t="s">
        <v>21</v>
      </c>
      <c r="AV19" s="2" t="s">
        <v>57</v>
      </c>
      <c r="AW19" s="2" t="s">
        <v>21</v>
      </c>
    </row>
    <row r="20" spans="1:49">
      <c r="A20" s="2" t="s">
        <v>20</v>
      </c>
      <c r="B20" s="2" t="s">
        <v>21</v>
      </c>
      <c r="C20" s="2" t="s">
        <v>57</v>
      </c>
      <c r="D20" s="2" t="s">
        <v>21</v>
      </c>
    </row>
    <row r="21" spans="1:49">
      <c r="A21" s="11" t="s">
        <v>58</v>
      </c>
      <c r="B21" s="11" t="s">
        <v>59</v>
      </c>
      <c r="C21" s="12">
        <v>1.2290000000000001E-4</v>
      </c>
      <c r="D21" s="11" t="s">
        <v>60</v>
      </c>
    </row>
    <row r="22" spans="1:49">
      <c r="A22" s="11" t="s">
        <v>61</v>
      </c>
      <c r="B22" s="11" t="s">
        <v>44</v>
      </c>
      <c r="C22" s="12">
        <v>3.4099999999999998E-2</v>
      </c>
      <c r="D22" s="11" t="s">
        <v>62</v>
      </c>
    </row>
    <row r="23" spans="1:49">
      <c r="A23" s="11" t="s">
        <v>63</v>
      </c>
      <c r="B23" s="11" t="s">
        <v>64</v>
      </c>
      <c r="C23" s="12">
        <v>4.7500000000000003E-5</v>
      </c>
      <c r="D23" s="11" t="s">
        <v>65</v>
      </c>
    </row>
    <row r="24" spans="1:49">
      <c r="A24" s="11" t="s">
        <v>66</v>
      </c>
      <c r="B24" s="11" t="s">
        <v>64</v>
      </c>
      <c r="C24" s="12">
        <v>4.1399999999999997E-5</v>
      </c>
      <c r="D24" s="11" t="s">
        <v>65</v>
      </c>
    </row>
    <row r="25" spans="1:49">
      <c r="A25" s="11" t="s">
        <v>67</v>
      </c>
      <c r="B25" s="11" t="s">
        <v>64</v>
      </c>
      <c r="C25" s="12">
        <v>4.1399999999999997E-5</v>
      </c>
      <c r="D25" s="11" t="s">
        <v>65</v>
      </c>
    </row>
    <row r="26" spans="1:49">
      <c r="A26" s="11" t="s">
        <v>68</v>
      </c>
      <c r="B26" s="11" t="s">
        <v>64</v>
      </c>
      <c r="C26" s="12">
        <v>4.7500000000000003E-5</v>
      </c>
      <c r="D26" s="11" t="s">
        <v>65</v>
      </c>
    </row>
    <row r="27" spans="1:49">
      <c r="A27" s="11" t="s">
        <v>69</v>
      </c>
      <c r="B27" s="11" t="s">
        <v>64</v>
      </c>
      <c r="C27" s="12">
        <v>4.1399999999999997E-5</v>
      </c>
      <c r="D27" s="11" t="s">
        <v>65</v>
      </c>
    </row>
    <row r="28" spans="1:49">
      <c r="A28" s="11" t="s">
        <v>70</v>
      </c>
      <c r="B28" s="11" t="s">
        <v>71</v>
      </c>
      <c r="C28" s="12">
        <v>1.52E-5</v>
      </c>
      <c r="D28" s="11" t="s">
        <v>72</v>
      </c>
    </row>
    <row r="29" spans="1:49">
      <c r="A29" s="11" t="s">
        <v>73</v>
      </c>
      <c r="B29" s="11" t="s">
        <v>71</v>
      </c>
      <c r="C29" s="12">
        <v>1.52E-5</v>
      </c>
      <c r="D29" s="11" t="s">
        <v>72</v>
      </c>
    </row>
    <row r="30" spans="1:49">
      <c r="A30" s="11" t="s">
        <v>16</v>
      </c>
      <c r="B30" s="11" t="s">
        <v>71</v>
      </c>
      <c r="C30" s="12">
        <v>1.6900000000000001E-5</v>
      </c>
      <c r="D30" s="11" t="s">
        <v>72</v>
      </c>
    </row>
    <row r="31" spans="1:49">
      <c r="A31" s="11" t="s">
        <v>17</v>
      </c>
      <c r="B31" s="11" t="s">
        <v>71</v>
      </c>
      <c r="C31" s="12">
        <v>1.6900000000000001E-5</v>
      </c>
      <c r="D31" s="11" t="s">
        <v>72</v>
      </c>
    </row>
  </sheetData>
  <mergeCells count="15">
    <mergeCell ref="BA2:BD2"/>
    <mergeCell ref="BF2:BI2"/>
    <mergeCell ref="BK2:BN2"/>
    <mergeCell ref="A2:A3"/>
    <mergeCell ref="B2:B3"/>
    <mergeCell ref="AB2:AE2"/>
    <mergeCell ref="AG2:AJ2"/>
    <mergeCell ref="AL2:AO2"/>
    <mergeCell ref="AQ2:AT2"/>
    <mergeCell ref="AV2:AY2"/>
    <mergeCell ref="C2:F2"/>
    <mergeCell ref="H2:K2"/>
    <mergeCell ref="M2:P2"/>
    <mergeCell ref="R2:U2"/>
    <mergeCell ref="W2:Z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"/>
  <sheetViews>
    <sheetView workbookViewId="0">
      <selection activeCell="I13" sqref="I13"/>
    </sheetView>
  </sheetViews>
  <sheetFormatPr defaultColWidth="9" defaultRowHeight="13.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 filterMode="1"/>
  <dimension ref="A1:E48"/>
  <sheetViews>
    <sheetView workbookViewId="0">
      <selection activeCell="B73" sqref="B73"/>
    </sheetView>
  </sheetViews>
  <sheetFormatPr defaultColWidth="9" defaultRowHeight="13.5"/>
  <cols>
    <col min="1" max="1" width="15" customWidth="1"/>
  </cols>
  <sheetData>
    <row r="1" spans="1:5">
      <c r="A1" t="s">
        <v>15</v>
      </c>
      <c r="B1">
        <v>37</v>
      </c>
      <c r="C1" t="s">
        <v>1</v>
      </c>
      <c r="D1" t="s">
        <v>74</v>
      </c>
      <c r="E1">
        <v>251</v>
      </c>
    </row>
    <row r="2" spans="1:5">
      <c r="A2" t="s">
        <v>18</v>
      </c>
      <c r="B2">
        <v>37</v>
      </c>
      <c r="C2" t="s">
        <v>1</v>
      </c>
      <c r="D2" t="s">
        <v>75</v>
      </c>
      <c r="E2">
        <v>26412</v>
      </c>
    </row>
    <row r="3" spans="1:5" hidden="1">
      <c r="A3" t="s">
        <v>16</v>
      </c>
      <c r="B3">
        <v>22</v>
      </c>
      <c r="C3" t="s">
        <v>1</v>
      </c>
      <c r="D3" t="s">
        <v>76</v>
      </c>
      <c r="E3">
        <v>1039000</v>
      </c>
    </row>
    <row r="4" spans="1:5" hidden="1">
      <c r="A4" t="s">
        <v>17</v>
      </c>
      <c r="B4">
        <v>57</v>
      </c>
      <c r="C4" t="s">
        <v>1</v>
      </c>
      <c r="D4" t="s">
        <v>77</v>
      </c>
      <c r="E4">
        <v>0</v>
      </c>
    </row>
    <row r="5" spans="1:5" hidden="1">
      <c r="A5" t="s">
        <v>15</v>
      </c>
      <c r="B5">
        <v>37</v>
      </c>
      <c r="C5" t="s">
        <v>2</v>
      </c>
      <c r="D5" t="s">
        <v>74</v>
      </c>
      <c r="E5">
        <v>366</v>
      </c>
    </row>
    <row r="6" spans="1:5">
      <c r="A6" t="s">
        <v>18</v>
      </c>
      <c r="B6">
        <v>37</v>
      </c>
      <c r="C6" t="s">
        <v>2</v>
      </c>
      <c r="D6" t="s">
        <v>75</v>
      </c>
      <c r="E6">
        <v>4641</v>
      </c>
    </row>
    <row r="7" spans="1:5" hidden="1">
      <c r="A7" t="s">
        <v>16</v>
      </c>
      <c r="B7">
        <v>22</v>
      </c>
      <c r="C7" t="s">
        <v>2</v>
      </c>
      <c r="D7" t="s">
        <v>76</v>
      </c>
      <c r="E7">
        <v>967000</v>
      </c>
    </row>
    <row r="8" spans="1:5" hidden="1">
      <c r="A8" t="s">
        <v>17</v>
      </c>
      <c r="B8">
        <v>57</v>
      </c>
      <c r="C8" t="s">
        <v>2</v>
      </c>
      <c r="D8" t="s">
        <v>77</v>
      </c>
      <c r="E8">
        <v>0</v>
      </c>
    </row>
    <row r="9" spans="1:5" hidden="1">
      <c r="A9" t="s">
        <v>15</v>
      </c>
      <c r="B9">
        <v>37</v>
      </c>
      <c r="C9" t="s">
        <v>3</v>
      </c>
      <c r="D9" t="s">
        <v>74</v>
      </c>
      <c r="E9">
        <v>605</v>
      </c>
    </row>
    <row r="10" spans="1:5">
      <c r="A10" t="s">
        <v>18</v>
      </c>
      <c r="B10">
        <v>37</v>
      </c>
      <c r="C10" t="s">
        <v>3</v>
      </c>
      <c r="D10" t="s">
        <v>75</v>
      </c>
      <c r="E10">
        <v>4422</v>
      </c>
    </row>
    <row r="11" spans="1:5" hidden="1">
      <c r="A11" t="s">
        <v>16</v>
      </c>
      <c r="B11">
        <v>22</v>
      </c>
      <c r="C11" t="s">
        <v>3</v>
      </c>
      <c r="D11" t="s">
        <v>76</v>
      </c>
      <c r="E11">
        <v>1016000</v>
      </c>
    </row>
    <row r="12" spans="1:5" hidden="1">
      <c r="A12" t="s">
        <v>17</v>
      </c>
      <c r="B12">
        <v>57</v>
      </c>
      <c r="C12" t="s">
        <v>3</v>
      </c>
      <c r="D12" t="s">
        <v>77</v>
      </c>
      <c r="E12">
        <v>0</v>
      </c>
    </row>
    <row r="13" spans="1:5" hidden="1">
      <c r="A13" t="s">
        <v>15</v>
      </c>
      <c r="B13">
        <v>37</v>
      </c>
      <c r="C13" t="s">
        <v>4</v>
      </c>
      <c r="D13" t="s">
        <v>74</v>
      </c>
      <c r="E13">
        <v>1190</v>
      </c>
    </row>
    <row r="14" spans="1:5">
      <c r="A14" t="s">
        <v>18</v>
      </c>
      <c r="B14">
        <v>37</v>
      </c>
      <c r="C14" t="s">
        <v>4</v>
      </c>
      <c r="D14" t="s">
        <v>75</v>
      </c>
      <c r="E14">
        <v>768</v>
      </c>
    </row>
    <row r="15" spans="1:5" hidden="1">
      <c r="A15" t="s">
        <v>16</v>
      </c>
      <c r="B15">
        <v>22</v>
      </c>
      <c r="C15" t="s">
        <v>4</v>
      </c>
      <c r="D15" t="s">
        <v>76</v>
      </c>
      <c r="E15">
        <v>971000</v>
      </c>
    </row>
    <row r="16" spans="1:5" hidden="1">
      <c r="A16" t="s">
        <v>17</v>
      </c>
      <c r="B16">
        <v>57</v>
      </c>
      <c r="C16" t="s">
        <v>4</v>
      </c>
      <c r="D16" t="s">
        <v>77</v>
      </c>
      <c r="E16">
        <v>0</v>
      </c>
    </row>
    <row r="17" spans="1:5" hidden="1">
      <c r="A17" t="s">
        <v>15</v>
      </c>
      <c r="B17">
        <v>37</v>
      </c>
      <c r="C17" t="s">
        <v>5</v>
      </c>
      <c r="D17" t="s">
        <v>74</v>
      </c>
      <c r="E17">
        <v>435</v>
      </c>
    </row>
    <row r="18" spans="1:5">
      <c r="A18" t="s">
        <v>18</v>
      </c>
      <c r="B18">
        <v>37</v>
      </c>
      <c r="C18" t="s">
        <v>5</v>
      </c>
      <c r="D18" t="s">
        <v>75</v>
      </c>
      <c r="E18">
        <v>2605</v>
      </c>
    </row>
    <row r="19" spans="1:5" hidden="1">
      <c r="A19" t="s">
        <v>16</v>
      </c>
      <c r="B19">
        <v>22</v>
      </c>
      <c r="C19" t="s">
        <v>5</v>
      </c>
      <c r="D19" t="s">
        <v>76</v>
      </c>
      <c r="E19">
        <v>1002000</v>
      </c>
    </row>
    <row r="20" spans="1:5" hidden="1">
      <c r="A20" t="s">
        <v>17</v>
      </c>
      <c r="B20">
        <v>57</v>
      </c>
      <c r="C20" t="s">
        <v>5</v>
      </c>
      <c r="D20" t="s">
        <v>77</v>
      </c>
      <c r="E20">
        <v>0</v>
      </c>
    </row>
    <row r="21" spans="1:5" hidden="1">
      <c r="A21" t="s">
        <v>15</v>
      </c>
      <c r="B21">
        <v>37</v>
      </c>
      <c r="C21" t="s">
        <v>6</v>
      </c>
      <c r="D21" t="s">
        <v>74</v>
      </c>
      <c r="E21">
        <v>894</v>
      </c>
    </row>
    <row r="22" spans="1:5">
      <c r="A22" t="s">
        <v>18</v>
      </c>
      <c r="B22">
        <v>37</v>
      </c>
      <c r="C22" t="s">
        <v>6</v>
      </c>
      <c r="D22" t="s">
        <v>75</v>
      </c>
      <c r="E22">
        <v>3457</v>
      </c>
    </row>
    <row r="23" spans="1:5" hidden="1">
      <c r="A23" t="s">
        <v>16</v>
      </c>
      <c r="B23">
        <v>22</v>
      </c>
      <c r="C23" t="s">
        <v>6</v>
      </c>
      <c r="D23" t="s">
        <v>76</v>
      </c>
      <c r="E23">
        <v>970000</v>
      </c>
    </row>
    <row r="24" spans="1:5" hidden="1">
      <c r="A24" t="s">
        <v>17</v>
      </c>
      <c r="B24">
        <v>57</v>
      </c>
      <c r="C24" t="s">
        <v>6</v>
      </c>
      <c r="D24" t="s">
        <v>77</v>
      </c>
      <c r="E24">
        <v>82666.666666666701</v>
      </c>
    </row>
    <row r="25" spans="1:5" hidden="1">
      <c r="A25" t="s">
        <v>15</v>
      </c>
      <c r="B25">
        <v>37</v>
      </c>
      <c r="C25" t="s">
        <v>7</v>
      </c>
      <c r="D25" t="s">
        <v>74</v>
      </c>
      <c r="E25">
        <v>501</v>
      </c>
    </row>
    <row r="26" spans="1:5">
      <c r="A26" t="s">
        <v>18</v>
      </c>
      <c r="B26">
        <v>37</v>
      </c>
      <c r="C26" t="s">
        <v>7</v>
      </c>
      <c r="D26" t="s">
        <v>75</v>
      </c>
      <c r="E26">
        <v>1227</v>
      </c>
    </row>
    <row r="27" spans="1:5" hidden="1">
      <c r="A27" t="s">
        <v>16</v>
      </c>
      <c r="B27">
        <v>22</v>
      </c>
      <c r="C27" t="s">
        <v>7</v>
      </c>
      <c r="D27" t="s">
        <v>76</v>
      </c>
      <c r="E27">
        <v>1017000</v>
      </c>
    </row>
    <row r="28" spans="1:5" hidden="1">
      <c r="A28" t="s">
        <v>17</v>
      </c>
      <c r="B28">
        <v>57</v>
      </c>
      <c r="C28" t="s">
        <v>7</v>
      </c>
      <c r="D28" t="s">
        <v>77</v>
      </c>
      <c r="E28">
        <v>85333.333333333299</v>
      </c>
    </row>
    <row r="29" spans="1:5" hidden="1">
      <c r="A29" t="s">
        <v>15</v>
      </c>
      <c r="B29">
        <v>37</v>
      </c>
      <c r="C29" t="s">
        <v>8</v>
      </c>
      <c r="D29" t="s">
        <v>74</v>
      </c>
      <c r="E29">
        <v>387</v>
      </c>
    </row>
    <row r="30" spans="1:5">
      <c r="A30" t="s">
        <v>18</v>
      </c>
      <c r="B30">
        <v>37</v>
      </c>
      <c r="C30" t="s">
        <v>8</v>
      </c>
      <c r="D30" t="s">
        <v>75</v>
      </c>
      <c r="E30">
        <v>5321</v>
      </c>
    </row>
    <row r="31" spans="1:5" hidden="1">
      <c r="A31" t="s">
        <v>16</v>
      </c>
      <c r="B31">
        <v>22</v>
      </c>
      <c r="C31" t="s">
        <v>8</v>
      </c>
      <c r="D31" t="s">
        <v>76</v>
      </c>
      <c r="E31">
        <v>1026000</v>
      </c>
    </row>
    <row r="32" spans="1:5" hidden="1">
      <c r="A32" t="s">
        <v>17</v>
      </c>
      <c r="B32">
        <v>57</v>
      </c>
      <c r="C32" t="s">
        <v>8</v>
      </c>
      <c r="D32" t="s">
        <v>77</v>
      </c>
      <c r="E32">
        <v>85333.333333333299</v>
      </c>
    </row>
    <row r="33" spans="1:5" hidden="1">
      <c r="A33" t="s">
        <v>15</v>
      </c>
      <c r="B33">
        <v>37</v>
      </c>
      <c r="C33" t="s">
        <v>9</v>
      </c>
      <c r="D33" t="s">
        <v>74</v>
      </c>
      <c r="E33">
        <v>480</v>
      </c>
    </row>
    <row r="34" spans="1:5">
      <c r="A34" t="s">
        <v>18</v>
      </c>
      <c r="B34">
        <v>37</v>
      </c>
      <c r="C34" t="s">
        <v>9</v>
      </c>
      <c r="D34" t="s">
        <v>75</v>
      </c>
      <c r="E34">
        <v>1194</v>
      </c>
    </row>
    <row r="35" spans="1:5" hidden="1">
      <c r="A35" t="s">
        <v>16</v>
      </c>
      <c r="B35">
        <v>22</v>
      </c>
      <c r="C35" t="s">
        <v>9</v>
      </c>
      <c r="D35" t="s">
        <v>76</v>
      </c>
      <c r="E35">
        <v>986000</v>
      </c>
    </row>
    <row r="36" spans="1:5" hidden="1">
      <c r="A36" t="s">
        <v>17</v>
      </c>
      <c r="B36">
        <v>57</v>
      </c>
      <c r="C36" t="s">
        <v>9</v>
      </c>
      <c r="D36" t="s">
        <v>77</v>
      </c>
      <c r="E36">
        <v>82666.666666666701</v>
      </c>
    </row>
    <row r="37" spans="1:5" hidden="1">
      <c r="A37" t="s">
        <v>15</v>
      </c>
      <c r="B37">
        <v>37</v>
      </c>
      <c r="C37" t="s">
        <v>10</v>
      </c>
      <c r="D37" t="s">
        <v>74</v>
      </c>
      <c r="E37">
        <v>522</v>
      </c>
    </row>
    <row r="38" spans="1:5">
      <c r="A38" t="s">
        <v>18</v>
      </c>
      <c r="B38">
        <v>37</v>
      </c>
      <c r="C38" t="s">
        <v>10</v>
      </c>
      <c r="D38" t="s">
        <v>75</v>
      </c>
      <c r="E38">
        <v>5183</v>
      </c>
    </row>
    <row r="39" spans="1:5" hidden="1">
      <c r="A39" t="s">
        <v>16</v>
      </c>
      <c r="B39">
        <v>22</v>
      </c>
      <c r="C39" t="s">
        <v>10</v>
      </c>
      <c r="D39" t="s">
        <v>76</v>
      </c>
      <c r="E39">
        <v>1037000</v>
      </c>
    </row>
    <row r="40" spans="1:5" hidden="1">
      <c r="A40" t="s">
        <v>17</v>
      </c>
      <c r="B40">
        <v>57</v>
      </c>
      <c r="C40" t="s">
        <v>10</v>
      </c>
      <c r="D40" t="s">
        <v>77</v>
      </c>
      <c r="E40">
        <v>85333.333333333299</v>
      </c>
    </row>
    <row r="41" spans="1:5" hidden="1">
      <c r="A41" t="s">
        <v>15</v>
      </c>
      <c r="B41">
        <v>37</v>
      </c>
      <c r="C41" t="s">
        <v>11</v>
      </c>
      <c r="D41" t="s">
        <v>74</v>
      </c>
      <c r="E41">
        <v>1317</v>
      </c>
    </row>
    <row r="42" spans="1:5">
      <c r="A42" t="s">
        <v>18</v>
      </c>
      <c r="B42">
        <v>37</v>
      </c>
      <c r="C42" t="s">
        <v>11</v>
      </c>
      <c r="D42" t="s">
        <v>75</v>
      </c>
      <c r="E42">
        <v>330</v>
      </c>
    </row>
    <row r="43" spans="1:5" hidden="1">
      <c r="A43" t="s">
        <v>16</v>
      </c>
      <c r="B43">
        <v>22</v>
      </c>
      <c r="C43" t="s">
        <v>11</v>
      </c>
      <c r="D43" t="s">
        <v>76</v>
      </c>
      <c r="E43">
        <v>1003000</v>
      </c>
    </row>
    <row r="44" spans="1:5" hidden="1">
      <c r="A44" t="s">
        <v>17</v>
      </c>
      <c r="B44">
        <v>57</v>
      </c>
      <c r="C44" t="s">
        <v>11</v>
      </c>
      <c r="D44" t="s">
        <v>77</v>
      </c>
      <c r="E44">
        <v>82666.666666666701</v>
      </c>
    </row>
    <row r="45" spans="1:5" hidden="1">
      <c r="A45" t="s">
        <v>15</v>
      </c>
      <c r="B45">
        <v>37</v>
      </c>
      <c r="C45" t="s">
        <v>12</v>
      </c>
      <c r="D45" t="s">
        <v>74</v>
      </c>
      <c r="E45">
        <v>536</v>
      </c>
    </row>
    <row r="46" spans="1:5">
      <c r="A46" t="s">
        <v>18</v>
      </c>
      <c r="B46">
        <v>37</v>
      </c>
      <c r="C46" t="s">
        <v>12</v>
      </c>
      <c r="D46" t="s">
        <v>75</v>
      </c>
      <c r="E46">
        <v>77</v>
      </c>
    </row>
    <row r="47" spans="1:5" hidden="1">
      <c r="A47" t="s">
        <v>16</v>
      </c>
      <c r="B47">
        <v>22</v>
      </c>
      <c r="C47" t="s">
        <v>12</v>
      </c>
      <c r="D47" t="s">
        <v>76</v>
      </c>
      <c r="E47">
        <v>1063000</v>
      </c>
    </row>
    <row r="48" spans="1:5" hidden="1">
      <c r="A48" t="s">
        <v>17</v>
      </c>
      <c r="B48">
        <v>57</v>
      </c>
      <c r="C48" t="s">
        <v>12</v>
      </c>
      <c r="D48" t="s">
        <v>77</v>
      </c>
      <c r="E48">
        <v>85333</v>
      </c>
    </row>
  </sheetData>
  <autoFilter ref="A1:A48" xr:uid="{00000000-0009-0000-0000-000010000000}">
    <filterColumn colId="0">
      <filters>
        <filter val="澄清水（净水）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2D6539-4ECA-48B2-B5D7-C38F88B9F33C}"/>
</file>

<file path=customXml/itemProps2.xml><?xml version="1.0" encoding="utf-8"?>
<ds:datastoreItem xmlns:ds="http://schemas.openxmlformats.org/officeDocument/2006/customXml" ds:itemID="{32342186-D68E-4AB1-9FA2-C2A772FC3AEF}"/>
</file>

<file path=customXml/itemProps3.xml><?xml version="1.0" encoding="utf-8"?>
<ds:datastoreItem xmlns:ds="http://schemas.openxmlformats.org/officeDocument/2006/customXml" ds:itemID="{434FC758-CE87-4F8A-914B-71FB311DA6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曾彦滔</cp:lastModifiedBy>
  <cp:revision/>
  <dcterms:created xsi:type="dcterms:W3CDTF">2024-12-11T07:05:00Z</dcterms:created>
  <dcterms:modified xsi:type="dcterms:W3CDTF">2026-02-08T13:03:15Z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1E9E10DE74804A66AC8D8299EE982500</vt:lpwstr>
  </property>
  <property fmtid="{D5CDD505-2E9C-101B-9397-08002B2CF9AE}" pid="3" name="KSOProductBuildVer">
    <vt:lpwstr>2052-12.1.0.19770</vt:lpwstr>
  </property>
  <property fmtid="{D5CDD505-2E9C-101B-9397-08002B2CF9AE}" pid="4" name="ContentTypeId">
    <vt:lpwstr>0x01010028C7B6C620067247A35EF62A3E68EE62</vt:lpwstr>
  </property>
</Properties>
</file>